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as BR" sheetId="1" r:id="rId4"/>
    <sheet state="visible" name="RESUMO_NOVEMBRO_ML" sheetId="2" r:id="rId5"/>
  </sheets>
  <definedNames>
    <definedName hidden="1" localSheetId="0" name="_xlnm._FilterDatabase">'Vendas BR'!$A$1:$AY$1783</definedName>
  </definedNames>
  <calcPr/>
  <extLst>
    <ext uri="GoogleSheetsCustomDataVersion2">
      <go:sheetsCustomData xmlns:go="http://customooxmlschemas.google.com/" r:id="rId6" roundtripDataChecksum="KNCSs9jKvShpHlWV0osE14m6rQUZKrM5EDWO5bEks9I="/>
    </ext>
  </extLst>
</workbook>
</file>

<file path=xl/sharedStrings.xml><?xml version="1.0" encoding="utf-8"?>
<sst xmlns="http://schemas.openxmlformats.org/spreadsheetml/2006/main" count="71299" uniqueCount="17709">
  <si>
    <t>N.º de venda</t>
  </si>
  <si>
    <t>Data da venda</t>
  </si>
  <si>
    <t>Status</t>
  </si>
  <si>
    <t>Descrição do status</t>
  </si>
  <si>
    <t>Pacote de diversos produtos</t>
  </si>
  <si>
    <t>Unidades</t>
  </si>
  <si>
    <t>Receita por produtos (BRL)</t>
  </si>
  <si>
    <t>Receita por envio (BRL)</t>
  </si>
  <si>
    <t>Tarifa de venda e impostos</t>
  </si>
  <si>
    <t>Tarifas de envio</t>
  </si>
  <si>
    <t>Cancelamentos e reembolsos (BRL)</t>
  </si>
  <si>
    <t>Total (BRL)</t>
  </si>
  <si>
    <t>Mês de faturamento das suas tarifas</t>
  </si>
  <si>
    <t>Venda por publicidade</t>
  </si>
  <si>
    <t>SKU</t>
  </si>
  <si>
    <t># de anúncio</t>
  </si>
  <si>
    <t>Título do anúncio</t>
  </si>
  <si>
    <t>Variação</t>
  </si>
  <si>
    <t>Preço unitário de venda do anúncio (BRL)</t>
  </si>
  <si>
    <t>Custo por unidade</t>
  </si>
  <si>
    <t>Tipo de anúncio</t>
  </si>
  <si>
    <t>NF-e em anexo</t>
  </si>
  <si>
    <t>Dados pessoais ou da empresa</t>
  </si>
  <si>
    <t>Tipo e número do documento</t>
  </si>
  <si>
    <t>Endereço</t>
  </si>
  <si>
    <t>Tipo de contribuinte</t>
  </si>
  <si>
    <t>Inscrição estadual</t>
  </si>
  <si>
    <t>Comprador</t>
  </si>
  <si>
    <t>CPF</t>
  </si>
  <si>
    <t>Cidade</t>
  </si>
  <si>
    <t>CEP</t>
  </si>
  <si>
    <t>País</t>
  </si>
  <si>
    <t>Forma de entrega</t>
  </si>
  <si>
    <t>Data a caminho</t>
  </si>
  <si>
    <t>Data de entrega</t>
  </si>
  <si>
    <t>Motorista</t>
  </si>
  <si>
    <t>Número de rastreamento</t>
  </si>
  <si>
    <t>URL de acompanhamento</t>
  </si>
  <si>
    <t>Reclamação aberta</t>
  </si>
  <si>
    <t>Reclamação encerrada</t>
  </si>
  <si>
    <t>Em mediação</t>
  </si>
  <si>
    <t>2000006741373511</t>
  </si>
  <si>
    <t>30 de novembro de 2024 23:59 hs.</t>
  </si>
  <si>
    <t>Entregue</t>
  </si>
  <si>
    <t>Chegou em 12 de dezembro</t>
  </si>
  <si>
    <t>Sim</t>
  </si>
  <si>
    <t>dezembro 2024</t>
  </si>
  <si>
    <t>00304</t>
  </si>
  <si>
    <t>MLB2747381442</t>
  </si>
  <si>
    <t>Pantofar   (pantoformula) Kit C/3 Frascos</t>
  </si>
  <si>
    <t/>
  </si>
  <si>
    <t>Premium</t>
  </si>
  <si>
    <t>Autorizado</t>
  </si>
  <si>
    <t>Beatriz Silva</t>
  </si>
  <si>
    <t>CPF 40543282880</t>
  </si>
  <si>
    <t>Rua Giovanni Segantini 219, São Paulo - CEP: 08253340, São Paulo</t>
  </si>
  <si>
    <t>40543282880</t>
  </si>
  <si>
    <t>Rua Giovanni Segantini 219 / Referencia: atrás da igreja, em frente a Etec. 
casa com uma arvore pequena na fente - CEP 08253340 - Conjunto Residencial José Bonifácio, São Paulo, São Paulo</t>
  </si>
  <si>
    <t>São Paulo</t>
  </si>
  <si>
    <t>08253340</t>
  </si>
  <si>
    <t>Brasil</t>
  </si>
  <si>
    <t>Coleta do Mercado Envios</t>
  </si>
  <si>
    <t>11 de dezembro | 05:52</t>
  </si>
  <si>
    <t>12 de dezembro | 14:09</t>
  </si>
  <si>
    <t>Mercado Envios</t>
  </si>
  <si>
    <t>MEL44160969199LMXDF01</t>
  </si>
  <si>
    <t>Não</t>
  </si>
  <si>
    <t>2000010013294446</t>
  </si>
  <si>
    <t>30 de novembro de 2024 23:40 hs.</t>
  </si>
  <si>
    <t>Cancelada pelo comprador</t>
  </si>
  <si>
    <t>Cancelou e especificou outro problema.</t>
  </si>
  <si>
    <t>00360</t>
  </si>
  <si>
    <t>MLB5000330188</t>
  </si>
  <si>
    <t>Probiótico Para Candidíase - 30 Cápsulas</t>
  </si>
  <si>
    <t>Sabor : Sem sabor</t>
  </si>
  <si>
    <t>Não emitida</t>
  </si>
  <si>
    <t>Carlos Watilos Brito Barros</t>
  </si>
  <si>
    <t>CPF 03368308157</t>
  </si>
  <si>
    <t>Quadra ASR SE 75 Alameda 9 10 - Reis auto center, Palmas - CEP: 77022440, Tocantins</t>
  </si>
  <si>
    <t>03368308157</t>
  </si>
  <si>
    <t>Palmas</t>
  </si>
  <si>
    <t>Tocantins</t>
  </si>
  <si>
    <t>77022440</t>
  </si>
  <si>
    <t>2000010012686402</t>
  </si>
  <si>
    <t>30 de novembro de 2024 22:30 hs.</t>
  </si>
  <si>
    <t>00318</t>
  </si>
  <si>
    <t>MLB4537949686</t>
  </si>
  <si>
    <t>1 Orlists - Fórmula Concentrada 120mg - C/ 180 Cap</t>
  </si>
  <si>
    <t>Eziquiel Jesus Dos Santos</t>
  </si>
  <si>
    <t>CPF 01857117581</t>
  </si>
  <si>
    <t>Avenida Guareí 900, Guareí - CEP: 18252064, São Paulo</t>
  </si>
  <si>
    <t>01857117581</t>
  </si>
  <si>
    <t>Avenida Guareí 900 / Referencia: Textil wm confeccoes LTDA - CEP 18252064 - Floresta, Guareí, São Paulo</t>
  </si>
  <si>
    <t>Guareí</t>
  </si>
  <si>
    <t>18252064</t>
  </si>
  <si>
    <t>12 de dezembro | 12:54</t>
  </si>
  <si>
    <t>MEL44160670925LMXDF01</t>
  </si>
  <si>
    <t>2000006740880969</t>
  </si>
  <si>
    <t>30 de novembro de 2024 22:26 hs.</t>
  </si>
  <si>
    <t>Chegou em 13 de dezembro</t>
  </si>
  <si>
    <t>00253</t>
  </si>
  <si>
    <t>MLB3442903931</t>
  </si>
  <si>
    <t>Pantofar Plus C/ Biotina E Ácido Fólico - 3 Und - C/60 Cáps</t>
  </si>
  <si>
    <t>Ana Paula de Castro Batista</t>
  </si>
  <si>
    <t>CPF 37684691821</t>
  </si>
  <si>
    <t>Rua Portugal 66 66, Ubatuba - CEP: 11682222, São Paulo</t>
  </si>
  <si>
    <t>37684691821</t>
  </si>
  <si>
    <t>Rua Ana Andrade Vilela 182 / CEP 12402490 - Loteamento Residencial Andrade, Pindamonhangaba, São Paulo</t>
  </si>
  <si>
    <t>Pindamonhangaba</t>
  </si>
  <si>
    <t>12402490</t>
  </si>
  <si>
    <t>13 de dezembro | 17:47</t>
  </si>
  <si>
    <t>MEL44160671681LMXDF01</t>
  </si>
  <si>
    <t>2000010012686278</t>
  </si>
  <si>
    <t>João Gustavo Mendes Barbosa</t>
  </si>
  <si>
    <t>CPF 12946020983</t>
  </si>
  <si>
    <t>Rua Pedro do Rosário 1257 - pastelaria são Jorge, Colombo - CEP: 83410380, Paraná</t>
  </si>
  <si>
    <t>12946020983</t>
  </si>
  <si>
    <t>Rua Pedro do Rosário 1257 / pastelaria são Jorge Referencia: pode entrar e deixar com o dono da pastelaria ou da papelaria - CEP 83410380 - Guaraituba, Colombo, Paraná</t>
  </si>
  <si>
    <t>Colombo</t>
  </si>
  <si>
    <t>Paraná</t>
  </si>
  <si>
    <t>83410380</t>
  </si>
  <si>
    <t>12 de dezembro | 18:01</t>
  </si>
  <si>
    <t>MEL44160867070LMXDF01</t>
  </si>
  <si>
    <t>2000006740862195</t>
  </si>
  <si>
    <t>30 de novembro de 2024 22:24 hs.</t>
  </si>
  <si>
    <t>Chegou em 11 de dezembro</t>
  </si>
  <si>
    <t>janeiro 2025</t>
  </si>
  <si>
    <t>00336</t>
  </si>
  <si>
    <t>MLB3700779843</t>
  </si>
  <si>
    <t>Mix Enzimas Digestivas 90 Cápsulas - Gastrorresistente</t>
  </si>
  <si>
    <t>Jose Dos Santos de Oliveira Neto</t>
  </si>
  <si>
    <t>CPF 03477512707</t>
  </si>
  <si>
    <t>Rua Brasil 133 - Sobrado Verde, Cariacica - CEP: 29141222, Espírito Santo</t>
  </si>
  <si>
    <t>03477512707</t>
  </si>
  <si>
    <t>Rua Brasil 133 / Sobrado Verde - CEP 29141222 - Boa Sorte, Cariacica, Espírito Santo</t>
  </si>
  <si>
    <t>Cariacica</t>
  </si>
  <si>
    <t>Espírito Santo</t>
  </si>
  <si>
    <t>29141222</t>
  </si>
  <si>
    <t>11 de dezembro | 00:22</t>
  </si>
  <si>
    <t>11 de dezembro | 18:22</t>
  </si>
  <si>
    <t>MEL44160662155LMXDF01</t>
  </si>
  <si>
    <t>2000010012329750</t>
  </si>
  <si>
    <t>30 de novembro de 2024 21:49 hs.</t>
  </si>
  <si>
    <t>00373</t>
  </si>
  <si>
    <t>MLB5081934508</t>
  </si>
  <si>
    <t>Orlists - Fórmula Natural Concentrada 120mg / C 90 Cápsulas</t>
  </si>
  <si>
    <t>Laura Minc Baumfeld Andre</t>
  </si>
  <si>
    <t>CPF 12434292755</t>
  </si>
  <si>
    <t>Rua Barão da Torre 214 - 102, Rio de Janeiro - CEP: 22411000, Rio de Janeiro</t>
  </si>
  <si>
    <t>12434292755</t>
  </si>
  <si>
    <t>Rua Barão da Torre 214 / 102 Referencia: Porteiro até as 20h - CEP 22411000 - Ipanema, Rio de Janeiro, Rio de Janeiro</t>
  </si>
  <si>
    <t>Rio de Janeiro</t>
  </si>
  <si>
    <t>22411000</t>
  </si>
  <si>
    <t>11 de dezembro | 01:40</t>
  </si>
  <si>
    <t>11 de dezembro | 17:55</t>
  </si>
  <si>
    <t>MEL44160533881LMXDF01</t>
  </si>
  <si>
    <t>2000006740632507</t>
  </si>
  <si>
    <t>30 de novembro de 2024 21:43 hs.</t>
  </si>
  <si>
    <t>A caminho</t>
  </si>
  <si>
    <t>O pacote foi despachado com atraso por nossa responsabilidade e, por isso, não afetou sua reputação. Chegará em sábado dia 14 de dezembro ao comprador.</t>
  </si>
  <si>
    <t>00231</t>
  </si>
  <si>
    <t>MLB3412404385</t>
  </si>
  <si>
    <t>Vit D3 10.000 Ui + K2 Mk7 100mcg Kit 3 Und C/ 60 Cápsulas</t>
  </si>
  <si>
    <t>Belina Barros Serra</t>
  </si>
  <si>
    <t>CPF 00775481327</t>
  </si>
  <si>
    <t>rua do Alto 2 33, Santa Luzia do Paruá - CEP: 65272000, Maranhão</t>
  </si>
  <si>
    <t>00775481327</t>
  </si>
  <si>
    <t>rua do Alto 2 33 / Referencia: casa próximo ao mercadinho Abigail - CEP 65272000 - Paruá, Santa Luzia do Paruá, Maranhão</t>
  </si>
  <si>
    <t>Santa Luzia do Paruá</t>
  </si>
  <si>
    <t>Maranhão</t>
  </si>
  <si>
    <t>65272000</t>
  </si>
  <si>
    <t>11 de dezembro | 04:58</t>
  </si>
  <si>
    <t>MEL44160707480LMXDF01</t>
  </si>
  <si>
    <t>2000010011738256</t>
  </si>
  <si>
    <t>30 de novembro de 2024 20:46 hs.</t>
  </si>
  <si>
    <t>Chegou em 14 de dezembro</t>
  </si>
  <si>
    <t>00323</t>
  </si>
  <si>
    <t>MLB4553420546</t>
  </si>
  <si>
    <t>1 - Orlist Plus | Fórmula Ultra Concentrada 120mg C/ 60 Caps</t>
  </si>
  <si>
    <t>Thais Costa</t>
  </si>
  <si>
    <t>CPF 07876853560</t>
  </si>
  <si>
    <t>Rua Itaberaba SN, Ibicoara - CEP: 46760000, Bahia</t>
  </si>
  <si>
    <t>07876853560</t>
  </si>
  <si>
    <t>Rua Itaberaba SN / Referencia: próximo a quitanda do Ceará. - CEP 46760000 - Cascavel bairro Renascer, Ibicoara, Bahia</t>
  </si>
  <si>
    <t>Ibicoara</t>
  </si>
  <si>
    <t>Bahia</t>
  </si>
  <si>
    <t>46760000</t>
  </si>
  <si>
    <t>14 de dezembro | 16:00</t>
  </si>
  <si>
    <t>MEL44160283433LMXDF01</t>
  </si>
  <si>
    <t>2000010011671460</t>
  </si>
  <si>
    <t>30 de novembro de 2024 20:40 hs.</t>
  </si>
  <si>
    <t>Chegou em 7 de dezembro</t>
  </si>
  <si>
    <t>00232</t>
  </si>
  <si>
    <t>MLB3902836310</t>
  </si>
  <si>
    <t>Clássico</t>
  </si>
  <si>
    <t>Renato Benites Mougenot</t>
  </si>
  <si>
    <t>CPF 35759127187</t>
  </si>
  <si>
    <t>Avenida Pilad Rebuá 1605 - Pousada São Jorge, Bonito - CEP: 79290000, Mato Grosso do Sul</t>
  </si>
  <si>
    <t>35759127187</t>
  </si>
  <si>
    <t>Avenida Pilad Rebuá 1605 / Pousada São Jorge Referencia: Pousada São Jorge - CEP 79290000 - centro, Bonito, Mato Grosso do Sul</t>
  </si>
  <si>
    <t>Bonito</t>
  </si>
  <si>
    <t>Mato Grosso do Sul</t>
  </si>
  <si>
    <t>79290000</t>
  </si>
  <si>
    <t>4 de dezembro | 04:29</t>
  </si>
  <si>
    <t>7 de dezembro | 10:43</t>
  </si>
  <si>
    <t>MEL44160458524LMXDF01</t>
  </si>
  <si>
    <t>2000006740210063</t>
  </si>
  <si>
    <t>30 de novembro de 2024 20:31 hs.</t>
  </si>
  <si>
    <t>Maria Madalena Nichele</t>
  </si>
  <si>
    <t>CPF 37844130997</t>
  </si>
  <si>
    <t>Rua Santos Saraiva 469, Florianópolis - CEP: 88070100, Santa Catarina</t>
  </si>
  <si>
    <t>37844130997</t>
  </si>
  <si>
    <t>Rua Santos Saraiva 469 / 405B Referencia: res. H. Deucher/Restriçao-No/Condomínio-Si/Portaria-No/Elevador-Si/Escalera-No - CEP 88070100 - Estreito, Florianópolis, Santa Catarina</t>
  </si>
  <si>
    <t>Florianópolis</t>
  </si>
  <si>
    <t>Santa Catarina</t>
  </si>
  <si>
    <t>88070100</t>
  </si>
  <si>
    <t>11 de dezembro | 05:48</t>
  </si>
  <si>
    <t>12 de dezembro | 14:22</t>
  </si>
  <si>
    <t>MEL44160425082LMXDF01</t>
  </si>
  <si>
    <t>2000010011595448</t>
  </si>
  <si>
    <t>Debora Dos Santos Paraguai Marinho</t>
  </si>
  <si>
    <t>CPF 09381369763</t>
  </si>
  <si>
    <t>Estrada Coronel Pedro Corrêa 140 - Bloco 3 / 1007, Rio de Janeiro - CEP: 22775090, Rio de Janeiro</t>
  </si>
  <si>
    <t>09381369763</t>
  </si>
  <si>
    <t>Estrada Coronel Pedro Corrêa 140 / Bloco 3 / 1007 - CEP 22775090 - Barra Olímpica, Rio de Janeiro, Rio de Janeiro</t>
  </si>
  <si>
    <t>22775090</t>
  </si>
  <si>
    <t>11 de dezembro | 16:54</t>
  </si>
  <si>
    <t>MEL44160230141LMXDF01</t>
  </si>
  <si>
    <t>2000006740040313</t>
  </si>
  <si>
    <t>30 de novembro de 2024 20:04 hs.</t>
  </si>
  <si>
    <t>jovino medeiros</t>
  </si>
  <si>
    <t>CPF 16505643842</t>
  </si>
  <si>
    <t>Rua Bueno Brandão 178 - casa fundo, Guarulhos - CEP: 07143030, São Paulo</t>
  </si>
  <si>
    <t>16505643842</t>
  </si>
  <si>
    <t>Rua Bueno Brandão 178 / casa fundo Referencia: portao verde claro - CEP 07143030 - Jardim São José, Guarulhos, São Paulo</t>
  </si>
  <si>
    <t>Guarulhos</t>
  </si>
  <si>
    <t>07143030</t>
  </si>
  <si>
    <t>11 de dezembro | 04:48</t>
  </si>
  <si>
    <t>12 de dezembro | 13:08</t>
  </si>
  <si>
    <t>MEL44160318532LMXDF01</t>
  </si>
  <si>
    <t>2000010010857416</t>
  </si>
  <si>
    <t>30 de novembro de 2024 19:14 hs.</t>
  </si>
  <si>
    <t>Katia Brito Pereira</t>
  </si>
  <si>
    <t>CPF 14113248702</t>
  </si>
  <si>
    <t>Estrada do Porto Velho 981, Rio de Janeiro - CEP: 21012140, Rio de Janeiro</t>
  </si>
  <si>
    <t>14113248702</t>
  </si>
  <si>
    <t>Estrada do Porto Velho 981 / Referencia: Fica próximo a Clínica da. Família José Breves, atrás da árvore grande e dos 2 trailers, embaixo do primeiro prédio - CEP 21012140 - Cordovil, Rio de Janeiro, Rio de Janeiro</t>
  </si>
  <si>
    <t>21012140</t>
  </si>
  <si>
    <t>11 de dezembro | 00:06</t>
  </si>
  <si>
    <t>11 de dezembro | 14:25</t>
  </si>
  <si>
    <t>MEL44159921223LMXDF01</t>
  </si>
  <si>
    <t>2000010010787020</t>
  </si>
  <si>
    <t>30 de novembro de 2024 19:07 hs.</t>
  </si>
  <si>
    <t>Rafael Terras</t>
  </si>
  <si>
    <t>CPF 12658515901</t>
  </si>
  <si>
    <t>Rua Euclides Gallina 914, Chapecó - CEP: 89806715, Santa Catarina</t>
  </si>
  <si>
    <t>12658515901</t>
  </si>
  <si>
    <t>Rua Euclides Gallina 914 / E - CEP 89806715 - Pinheirinho, Chapecó, Santa Catarina</t>
  </si>
  <si>
    <t>Chapecó</t>
  </si>
  <si>
    <t>89806715</t>
  </si>
  <si>
    <t>13 de dezembro | 11:30</t>
  </si>
  <si>
    <t>MEL44160087866LMXDF01</t>
  </si>
  <si>
    <t>2000006739381547</t>
  </si>
  <si>
    <t>30 de novembro de 2024 18:13 hs.</t>
  </si>
  <si>
    <t>O pacote foi despachado com atraso por nossa responsabilidade e, por isso, não afetou sua reputação. Chegará amanhã ao comprador.</t>
  </si>
  <si>
    <t>00377</t>
  </si>
  <si>
    <t>MLB3860129003</t>
  </si>
  <si>
    <t>Probiótico Para Candidíase - Kit C/ 3 Und - C/ 60 Cápsulas</t>
  </si>
  <si>
    <t>ALEXANDRE ABENANTE FERNANDES</t>
  </si>
  <si>
    <t>CPF 25515659368</t>
  </si>
  <si>
    <t>AVENIDA 103 15, São Luís - CEP: 65058094, Maranhão</t>
  </si>
  <si>
    <t>25515659368</t>
  </si>
  <si>
    <t>AVENIDA 103 15 / Referencia: LAN HOUSE ESPACO VIRTUAL - CEP 65058094 - Cidade Operária, São Luís, Maranhão</t>
  </si>
  <si>
    <t>São Luís</t>
  </si>
  <si>
    <t>65058094</t>
  </si>
  <si>
    <t>MEL44159667629LMXDF01</t>
  </si>
  <si>
    <t>2000010009921460</t>
  </si>
  <si>
    <t>30 de novembro de 2024 17:48 hs.</t>
  </si>
  <si>
    <t>Lisiane Santos de Souza</t>
  </si>
  <si>
    <t>CPF 49714724015</t>
  </si>
  <si>
    <t>Rua dos Pinheiros 141 - lote2, Canoas - CEP: 92410230, Rio Grande do Sul</t>
  </si>
  <si>
    <t>49714724015</t>
  </si>
  <si>
    <t>Rua dos Pinheiros 141 / lote2 Referencia: Condomínio Las Brisas - CEP 92410230 - Igara, Canoas, Rio Grande do Sul</t>
  </si>
  <si>
    <t>Canoas</t>
  </si>
  <si>
    <t>Rio Grande do Sul</t>
  </si>
  <si>
    <t>92410230</t>
  </si>
  <si>
    <t>13 de dezembro | 15:53</t>
  </si>
  <si>
    <t>MEL44159531215LMXDF01</t>
  </si>
  <si>
    <t>2000006738848735</t>
  </si>
  <si>
    <t>30 de novembro de 2024 16:50 hs.</t>
  </si>
  <si>
    <t>Chegou em 4 de dezembro</t>
  </si>
  <si>
    <t>Daniel Franciaco</t>
  </si>
  <si>
    <t>CPF 27287559811</t>
  </si>
  <si>
    <t>Rua Vicentina da Silva Almeida 15 - bloco a ap 14, Campinas - CEP: 13058173, São Paulo</t>
  </si>
  <si>
    <t>27287559811</t>
  </si>
  <si>
    <t>Rua Vicentina da Silva Almeida 15 / bloco a ap 14 - CEP 13058173 - Jardim Bassoli, Campinas, São Paulo</t>
  </si>
  <si>
    <t>Campinas</t>
  </si>
  <si>
    <t>13058173</t>
  </si>
  <si>
    <t>3 de dezembro | 04:53</t>
  </si>
  <si>
    <t>4 de dezembro | 12:56</t>
  </si>
  <si>
    <t>MEL44159526678LMXDF01</t>
  </si>
  <si>
    <t>2000006738670805</t>
  </si>
  <si>
    <t>30 de novembro de 2024 16:16 hs.</t>
  </si>
  <si>
    <t>helder gomes</t>
  </si>
  <si>
    <t>CPF 00811847780</t>
  </si>
  <si>
    <t>Avenida Antônio Gil Vellozo 1580, Vila Velha - CEP: 29101016, Espírito Santo</t>
  </si>
  <si>
    <t>00811847780</t>
  </si>
  <si>
    <t>Avenida Antônio Gil Vellozo 1580 / Apt 201 Ao Lado Da Pizzaria Rusticana - CEP 29101016 - Praia da Costa, Vila Velha, Espírito Santo</t>
  </si>
  <si>
    <t>Vila Velha</t>
  </si>
  <si>
    <t>29101016</t>
  </si>
  <si>
    <t>11 de dezembro | 19:06</t>
  </si>
  <si>
    <t>MEL44159184633LMXDF01</t>
  </si>
  <si>
    <t>2000010008963740</t>
  </si>
  <si>
    <t>30 de novembro de 2024 16:04 hs.</t>
  </si>
  <si>
    <t>00382</t>
  </si>
  <si>
    <t>MLB5082588758</t>
  </si>
  <si>
    <t>Vit D 5000 Ui + Vit B12 1 Mg - Kit 3 Und - C/90 Cáps</t>
  </si>
  <si>
    <t>Paula Rettore</t>
  </si>
  <si>
    <t>CPF 09974897661</t>
  </si>
  <si>
    <t>Rua Pouso Alegre 391 - apto303, Belo Horizonte - CEP: 31110010, Minas Gerais</t>
  </si>
  <si>
    <t>09974897661</t>
  </si>
  <si>
    <t>Rua Pouso Alegre 391 / apto303 Referencia: Ao lado da polícia civil - CEP 31110010 - Colégio Batista, Belo Horizonte, Minas Gerais</t>
  </si>
  <si>
    <t>Belo Horizonte</t>
  </si>
  <si>
    <t>Minas Gerais</t>
  </si>
  <si>
    <t>31110010</t>
  </si>
  <si>
    <t>11 de dezembro | 01:27</t>
  </si>
  <si>
    <t>11 de dezembro | 18:11</t>
  </si>
  <si>
    <t>MEL44159330836LMXDF01</t>
  </si>
  <si>
    <t>2000010008708824</t>
  </si>
  <si>
    <t>30 de novembro de 2024 15:39 hs.</t>
  </si>
  <si>
    <t>Andreia Aparecida Pereira</t>
  </si>
  <si>
    <t>CPF 25124815817</t>
  </si>
  <si>
    <t>Rua Concórdia 126, Cosmópolis - CEP: 13157414, São Paulo</t>
  </si>
  <si>
    <t>25124815817</t>
  </si>
  <si>
    <t>Rua Concórdia 126 / CEP 13157414 - Conjunto Habitacional 30 de Novembro, Cosmópolis, São Paulo</t>
  </si>
  <si>
    <t>Cosmópolis</t>
  </si>
  <si>
    <t>13157414</t>
  </si>
  <si>
    <t>11 de dezembro | 05:56</t>
  </si>
  <si>
    <t>12 de dezembro | 12:58</t>
  </si>
  <si>
    <t>MEL44159021891LMXDF01</t>
  </si>
  <si>
    <t>2000010008450756</t>
  </si>
  <si>
    <t>30 de novembro de 2024 15:12 hs.</t>
  </si>
  <si>
    <t>Envio reagendado</t>
  </si>
  <si>
    <t>Chegará no máximo dia 29 de dezembro.</t>
  </si>
  <si>
    <t>Maria Luiza Crepaldi Caxali</t>
  </si>
  <si>
    <t>CPF 97244287968</t>
  </si>
  <si>
    <t>Vila Rural Estrela do Norte SN - quadra A lote 3, Terra Rica - CEP: 87890000, Paraná</t>
  </si>
  <si>
    <t>97244287968</t>
  </si>
  <si>
    <t>Vila Rural Estrela do Norte SN / quadra A lote 3 Referencia: Vila Rural Quadra A lote 3 - CEP 87890000 - Vila Rural, Terra Rica, Paraná</t>
  </si>
  <si>
    <t>Terra Rica</t>
  </si>
  <si>
    <t>87890000</t>
  </si>
  <si>
    <t>MEL44159109360LMXDF01</t>
  </si>
  <si>
    <t>2000006738207151</t>
  </si>
  <si>
    <t>30 de novembro de 2024 15:03 hs.</t>
  </si>
  <si>
    <t>No ponto de retirada</t>
  </si>
  <si>
    <t>O seu comprador deverá retirar o pacote em Agência Mercado Livre - CRYS FLORICULTURA.</t>
  </si>
  <si>
    <t>Benilda Aparecida de Andrade Costa</t>
  </si>
  <si>
    <t>CPF 79614566604</t>
  </si>
  <si>
    <t>AVENIDA AFONSO PENA 3029, Uberlândia - CEP: 38400710, Minas Gerais</t>
  </si>
  <si>
    <t>79614566604</t>
  </si>
  <si>
    <t>AVENIDA AFONSO PENA 3029 / CEP 38400710 - Brasil, Uberlândia, Minas Gerais</t>
  </si>
  <si>
    <t>Uberlândia</t>
  </si>
  <si>
    <t>38400710</t>
  </si>
  <si>
    <t>11 de dezembro | 02:54</t>
  </si>
  <si>
    <t>MEL44158872361LMXDF01</t>
  </si>
  <si>
    <t>https://myaccount.mercadolivre.com.br/shipments/44158872361/detail</t>
  </si>
  <si>
    <t>2000006738048501</t>
  </si>
  <si>
    <t>30 de novembro de 2024 14:37 hs.</t>
  </si>
  <si>
    <t>Izaura Ceo Alves de Barros</t>
  </si>
  <si>
    <t>CPF 00748916857</t>
  </si>
  <si>
    <t>Alameda Sibipiruna 167 - apto, Osasco - CEP: 06030302, São Paulo</t>
  </si>
  <si>
    <t>00748916857</t>
  </si>
  <si>
    <t>Alameda Sibipiruna 167 / apto - CEP 06030302 - Adalgisa, Osasco, São Paulo</t>
  </si>
  <si>
    <t>Osasco</t>
  </si>
  <si>
    <t>06030302</t>
  </si>
  <si>
    <t>12 de dezembro | 11:09</t>
  </si>
  <si>
    <t>MEL44158956322LMXDF01</t>
  </si>
  <si>
    <t>2000010007938804</t>
  </si>
  <si>
    <t>30 de novembro de 2024 14:23 hs.</t>
  </si>
  <si>
    <t>Deyse Garcia Damer</t>
  </si>
  <si>
    <t>CPF 83383867900</t>
  </si>
  <si>
    <t>Rua Alcino Navegantes Moreira 738 - ao lado da casa 728, Palhoça - CEP: 88134100, Santa Catarina</t>
  </si>
  <si>
    <t>83383867900</t>
  </si>
  <si>
    <t>Rua Alcino Navegantes Moreira 738 / ao lado da casa 728 Referencia: pequena servidão ao lado da casa 728 - CEP 88134100 - Barra do Aririú, Palhoça, Santa Catarina</t>
  </si>
  <si>
    <t>Palhoça</t>
  </si>
  <si>
    <t>88134100</t>
  </si>
  <si>
    <t>12 de dezembro | 15:03</t>
  </si>
  <si>
    <t>MEL44158894454LMXDF01</t>
  </si>
  <si>
    <t>2000010007154548</t>
  </si>
  <si>
    <t>30 de novembro de 2024 13:08 hs.</t>
  </si>
  <si>
    <t>Joao Ryan Souza de Jesus</t>
  </si>
  <si>
    <t>CPF 07293215509</t>
  </si>
  <si>
    <t>Rua Alto da Serra 154 - 154, Andorinha - CEP: 48990000, Bahia</t>
  </si>
  <si>
    <t>07293215509</t>
  </si>
  <si>
    <t>Rua Alto da Serra 154 / 154 Referencia: Próximo padaria Bahia - CEP 48990000 - São Manoel, Andorinha, Bahia</t>
  </si>
  <si>
    <t>Andorinha</t>
  </si>
  <si>
    <t>48990000</t>
  </si>
  <si>
    <t>11 de dezembro | 00:53</t>
  </si>
  <si>
    <t>14 de dezembro | 16:24</t>
  </si>
  <si>
    <t>MEL44158561896LMXDF01</t>
  </si>
  <si>
    <t>2000010006815962</t>
  </si>
  <si>
    <t>30 de novembro de 2024 12:39 hs.</t>
  </si>
  <si>
    <t>Cancelou porque não podia esperar o produto.</t>
  </si>
  <si>
    <t>Jonnatah Gregory Bonifacio de Carvalho</t>
  </si>
  <si>
    <t>CPF 07941060485</t>
  </si>
  <si>
    <t>Rua Washington de Moura Cahino 27 - res. Gabriela ap 102, João Pessoa - CEP: 58035015, Paraíba</t>
  </si>
  <si>
    <t>07941060485</t>
  </si>
  <si>
    <t>João Pessoa</t>
  </si>
  <si>
    <t>Paraíba</t>
  </si>
  <si>
    <t>58035015</t>
  </si>
  <si>
    <t>2000006737274379</t>
  </si>
  <si>
    <t>30 de novembro de 2024 12:35 hs.</t>
  </si>
  <si>
    <t>00371</t>
  </si>
  <si>
    <t>MLB5079643988</t>
  </si>
  <si>
    <t>Biotina 10mg - 10.000mcg - Kit C/3 Und - C/60 Cápsulas</t>
  </si>
  <si>
    <t>Sabor : Sem</t>
  </si>
  <si>
    <t>Wilma Medeiros</t>
  </si>
  <si>
    <t>CPF 66759331672</t>
  </si>
  <si>
    <t>Rua Intendente Geraldo Pereira 127 - Wilma Freitas Medeiros, São Sebastião do Oeste - CEP: 35567000, Minas Gerais</t>
  </si>
  <si>
    <t>66759331672</t>
  </si>
  <si>
    <t>Rua Intendente Geraldo Pereira 127 / Wilma Freitas Medeiros Referencia: Wilma Freitas Medeiros - CEP 35567000 - Belo Horizonte, São Sebastião do Oeste, Minas Gerais</t>
  </si>
  <si>
    <t>São Sebastião do Oeste</t>
  </si>
  <si>
    <t>35567000</t>
  </si>
  <si>
    <t>12 de dezembro | 11:26</t>
  </si>
  <si>
    <t>MEL44158218493LMXDF01</t>
  </si>
  <si>
    <t>2000006737210165</t>
  </si>
  <si>
    <t>30 de novembro de 2024 12:26 hs.</t>
  </si>
  <si>
    <t>Daniele da Silva Pinheiro</t>
  </si>
  <si>
    <t>CPF 41794475842</t>
  </si>
  <si>
    <t>Avenida Nossa Senhora da Encarnação 329, São Paulo - CEP: 04180080, São Paulo</t>
  </si>
  <si>
    <t>41794475842</t>
  </si>
  <si>
    <t>Avenida Nossa Senhora da Encarnação 329 / CEP 04180080 - Jardim Maria Estela, São Paulo, São Paulo</t>
  </si>
  <si>
    <t>04180080</t>
  </si>
  <si>
    <t>11 de dezembro | 04:50</t>
  </si>
  <si>
    <t>12 de dezembro | 14:36</t>
  </si>
  <si>
    <t>MEL44158171987LMXDF01</t>
  </si>
  <si>
    <t>2000006737089463</t>
  </si>
  <si>
    <t>30 de novembro de 2024 12:07 hs.</t>
  </si>
  <si>
    <t>Kerolayne Alves Dos Santos</t>
  </si>
  <si>
    <t>CPF 10703109480</t>
  </si>
  <si>
    <t>Rua José Hildon Boaventura 371 - Casa 36, Campina Grande - CEP: 58423177, Paraíba</t>
  </si>
  <si>
    <t>10703109480</t>
  </si>
  <si>
    <t>Rua José Hildon Boaventura 371 / Casa 36 Referencia: residencial vicenza em frente ao CT do Serra Branca ao lado da energisa. - CEP 58423177 - Três Irmãs, Campina Grande, Paraíba</t>
  </si>
  <si>
    <t>Campina Grande</t>
  </si>
  <si>
    <t>58423177</t>
  </si>
  <si>
    <t>13 de dezembro | 13:14</t>
  </si>
  <si>
    <t>MEL44158085487LMXDF01</t>
  </si>
  <si>
    <t>2000010006442030</t>
  </si>
  <si>
    <t>30 de novembro de 2024 11:59 hs.</t>
  </si>
  <si>
    <t>Leandra Vargas de Miranda</t>
  </si>
  <si>
    <t>CPF 06550747678</t>
  </si>
  <si>
    <t>Rua José Marcelo 276, Ribeirão das Neves - CEP: 33823310, Minas Gerais</t>
  </si>
  <si>
    <t>06550747678</t>
  </si>
  <si>
    <t>Rua José Marcelo 276 / Casa - CEP 33823310 - Florença, Ribeirão das Neves, Minas Gerais</t>
  </si>
  <si>
    <t>Ribeirão das Neves</t>
  </si>
  <si>
    <t>33823310</t>
  </si>
  <si>
    <t>11 de dezembro | 02:55</t>
  </si>
  <si>
    <t>11 de dezembro | 17:25</t>
  </si>
  <si>
    <t>MEL44158057549LMXDF01</t>
  </si>
  <si>
    <t>2000006736907057</t>
  </si>
  <si>
    <t>30 de novembro de 2024 11:36 hs.</t>
  </si>
  <si>
    <t>00335</t>
  </si>
  <si>
    <t>MLB4704459718</t>
  </si>
  <si>
    <t>Probióticos Para H. Pylori - Helicobacter Pylori - 60 Caps.</t>
  </si>
  <si>
    <t>Gildete Soares da Silva</t>
  </si>
  <si>
    <t>CPF 02004418508</t>
  </si>
  <si>
    <t>Rua 4 19 19, Teixeira de Freitas - CEP: 45990838, Bahia</t>
  </si>
  <si>
    <t>02004418508</t>
  </si>
  <si>
    <t>Rua 4 19 / Entrega salão Odair Referencia: Entregar no salão Odair Cabeleireiro ao lado da construção - CEP 45990838 - Urbis I, Teixeira de Freitas, Bahia</t>
  </si>
  <si>
    <t>Teixeira de Freitas</t>
  </si>
  <si>
    <t>45990838</t>
  </si>
  <si>
    <t>11 de dezembro | 05:53</t>
  </si>
  <si>
    <t>13 de dezembro | 11:42</t>
  </si>
  <si>
    <t>MEL44158150184LMXDF01</t>
  </si>
  <si>
    <t>2000010005928202</t>
  </si>
  <si>
    <t>30 de novembro de 2024 11:09 hs.</t>
  </si>
  <si>
    <t>Glaucia Noronha Moraes</t>
  </si>
  <si>
    <t>CPF 00299351726</t>
  </si>
  <si>
    <t>Rua Minas Gerais 304 - casa, Serra - CEP: 29163384, Espírito Santo</t>
  </si>
  <si>
    <t>00299351726</t>
  </si>
  <si>
    <t>Rua Minas Gerais 304 / casa Referencia: enfrente Rocha gás - CEP 29163384 - São Geraldo, Serra, Espírito Santo</t>
  </si>
  <si>
    <t>Serra</t>
  </si>
  <si>
    <t>29163384</t>
  </si>
  <si>
    <t>12 de dezembro | 17:29</t>
  </si>
  <si>
    <t>MEL44157840419LMXDF01</t>
  </si>
  <si>
    <t>2000010005910730</t>
  </si>
  <si>
    <t>30 de novembro de 2024 11:08 hs.</t>
  </si>
  <si>
    <t>Elza Naomi Kawaguchi</t>
  </si>
  <si>
    <t>CPF 14980784860</t>
  </si>
  <si>
    <t>Rua Amazonas 59, Sorocaba - CEP: 18035520, São Paulo</t>
  </si>
  <si>
    <t>14980784860</t>
  </si>
  <si>
    <t>Rua Amazonas 59 / KLKB PERSONALIZADOS - CEP 18035520 - Centro, Sorocaba, São Paulo</t>
  </si>
  <si>
    <t>Sorocaba</t>
  </si>
  <si>
    <t>18035520</t>
  </si>
  <si>
    <t>13 de dezembro | 09:43</t>
  </si>
  <si>
    <t>MEL44158032982LMXDF01</t>
  </si>
  <si>
    <t>https://myaccount.mercadolivre.com.br/shipments/44158032982/detail</t>
  </si>
  <si>
    <t>2000010005551556</t>
  </si>
  <si>
    <t>30 de novembro de 2024 10:33 hs.</t>
  </si>
  <si>
    <t>Leonardo de Oliveira Lopes</t>
  </si>
  <si>
    <t>CPF 03757051637</t>
  </si>
  <si>
    <t>Avenida Célia Machado Colares 10 - Villa Segura, Montes Claros - CEP: 39404882, Minas Gerais</t>
  </si>
  <si>
    <t>03757051637</t>
  </si>
  <si>
    <t>Avenida Célia Machado Colares 10 / Villa Segura Referencia: Condomínio Villa Segura - CEP 39404882 - Jardim Primavera, Montes Claros, Minas Gerais</t>
  </si>
  <si>
    <t>Montes Claros</t>
  </si>
  <si>
    <t>39404882</t>
  </si>
  <si>
    <t>12 de dezembro | 11:14</t>
  </si>
  <si>
    <t>MEL44157685761LMXDF01</t>
  </si>
  <si>
    <t>2000006736248969</t>
  </si>
  <si>
    <t>30 de novembro de 2024 10:21 hs.</t>
  </si>
  <si>
    <t>Kaiane Silva</t>
  </si>
  <si>
    <t>CPF 06636024593</t>
  </si>
  <si>
    <t>Rua Men de Sá 73 - Casa, Nova Redenção - CEP: 46835000, Bahia</t>
  </si>
  <si>
    <t>06636024593</t>
  </si>
  <si>
    <t>Rua Men de Sá 73 / Casa Referencia: Padaria Carneiro - CEP 46835000 - Centro, Nova Redenção, Bahia</t>
  </si>
  <si>
    <t>Nova Redenção</t>
  </si>
  <si>
    <t>46835000</t>
  </si>
  <si>
    <t>14 de dezembro | 19:21</t>
  </si>
  <si>
    <t>MEL44157637719LMXDF01</t>
  </si>
  <si>
    <t>2000010005375482</t>
  </si>
  <si>
    <t>30 de novembro de 2024 10:13 hs.</t>
  </si>
  <si>
    <t>Jomara Castro de Oliveira Luz</t>
  </si>
  <si>
    <t>CPF 07074386758</t>
  </si>
  <si>
    <t>Rua B 59 - casa, Campos dos Goytacazes - CEP: 28090540, Rio de Janeiro</t>
  </si>
  <si>
    <t>07074386758</t>
  </si>
  <si>
    <t>Rua B 59 / codim campos dos Goytacazes - Campos estado Rj - CEP 28090540 - Codim, Campos dos Goytacazes, Rio de Janeiro</t>
  </si>
  <si>
    <t>Campos dos Goytacazes</t>
  </si>
  <si>
    <t>28090540</t>
  </si>
  <si>
    <t>11 de dezembro | 16:14</t>
  </si>
  <si>
    <t>MEL44157609667LMXDF01</t>
  </si>
  <si>
    <t>2000010005124340</t>
  </si>
  <si>
    <t>30 de novembro de 2024 09:40 hs.</t>
  </si>
  <si>
    <t>Eunice de Oliveira Benfica</t>
  </si>
  <si>
    <t>CPF 85605085620</t>
  </si>
  <si>
    <t>Avenida Juscelino Kubitschek 40, Ribeirão das Neves - CEP: 33902010, Minas Gerais</t>
  </si>
  <si>
    <t>85605085620</t>
  </si>
  <si>
    <t>Avenida Juscelino Kubitschek 40 / CEP 33902010 - Cerejeira (Justinópolis), Ribeirão das Neves, Minas Gerais</t>
  </si>
  <si>
    <t>33902010</t>
  </si>
  <si>
    <t>11 de dezembro | 20:55</t>
  </si>
  <si>
    <t>MEL44157491651LMXDF01</t>
  </si>
  <si>
    <t>2000010005016534</t>
  </si>
  <si>
    <t>30 de novembro de 2024 09:27 hs.</t>
  </si>
  <si>
    <t>Gilvan Florencio da Silva</t>
  </si>
  <si>
    <t>CPF 12401452842</t>
  </si>
  <si>
    <t>AVENIDA ROQUE CELESTINO PIRES 820, Cotia - CEP: 06727185, São Paulo</t>
  </si>
  <si>
    <t>12401452842</t>
  </si>
  <si>
    <t>AVENIDA ROQUE CELESTINO PIRES 820 / Despachante Casteli em frente a adega - CEP 06727185 - Centro (caucaia Do Alto), Cotia, São Paulo</t>
  </si>
  <si>
    <t>Cotia</t>
  </si>
  <si>
    <t>06727185</t>
  </si>
  <si>
    <t>12 de dezembro | 15:18</t>
  </si>
  <si>
    <t>MEL44157644728LMXDF01</t>
  </si>
  <si>
    <t>https://myaccount.mercadolivre.com.br/shipments/44157644728/detail</t>
  </si>
  <si>
    <t>2000006736129501</t>
  </si>
  <si>
    <t>30 de novembro de 2024 09:05 hs.</t>
  </si>
  <si>
    <t>Chegou em 15 de dezembro</t>
  </si>
  <si>
    <t>Laudelino Soares</t>
  </si>
  <si>
    <t>CPF 40690601115</t>
  </si>
  <si>
    <t>Rua José de Oliveira 353 - próximo k churasko, Tangará da Serra - CEP: 78300122, Mato Grosso</t>
  </si>
  <si>
    <t>40690601115</t>
  </si>
  <si>
    <t>Rua José de Oliveira 353 / próximo k churasko Referencia: 65 999034502 - CEP 78300122 - Centro, Tangará da Serra, Mato Grosso</t>
  </si>
  <si>
    <t>Tangará da Serra</t>
  </si>
  <si>
    <t>Mato Grosso</t>
  </si>
  <si>
    <t>78300122</t>
  </si>
  <si>
    <t>15 de dezembro | 11:17</t>
  </si>
  <si>
    <t>MEL44157382435LMXDF01</t>
  </si>
  <si>
    <t>2000010004745890</t>
  </si>
  <si>
    <t>30 de novembro de 2024 08:48 hs.</t>
  </si>
  <si>
    <t>Nayara Miranda Oliveira</t>
  </si>
  <si>
    <t>CPF 03521440338</t>
  </si>
  <si>
    <t>Rua da Companhia 100, São Luís - CEP: 65045230, Maranhão</t>
  </si>
  <si>
    <t>03521440338</t>
  </si>
  <si>
    <t>65045230</t>
  </si>
  <si>
    <t>MEL44157332555FMXDF01</t>
  </si>
  <si>
    <t>2000010004314926</t>
  </si>
  <si>
    <t>30 de novembro de 2024 07:12 hs.</t>
  </si>
  <si>
    <t>Marcia Elizabete Archilha Alvares</t>
  </si>
  <si>
    <t>CPF 69214069972</t>
  </si>
  <si>
    <t>Rua Estilac Leal 983, Rolândia - CEP: 86600127, Paraná</t>
  </si>
  <si>
    <t>69214069972</t>
  </si>
  <si>
    <t>Rua Estilac Leal 983 / CEP 86600127 - Centro, Rolândia, Paraná</t>
  </si>
  <si>
    <t>Rolândia</t>
  </si>
  <si>
    <t>86600127</t>
  </si>
  <si>
    <t>14 de dezembro | 11:28</t>
  </si>
  <si>
    <t>MEL44157130509LMXDF01</t>
  </si>
  <si>
    <t>2000010004258034</t>
  </si>
  <si>
    <t>30 de novembro de 2024 06:50 hs.</t>
  </si>
  <si>
    <t>00292</t>
  </si>
  <si>
    <t>MLB3608571069</t>
  </si>
  <si>
    <t>Protetor Solar Oral - Kit - 3 Unidades C/60 Caps</t>
  </si>
  <si>
    <t>Roseli Soares de Oliveira</t>
  </si>
  <si>
    <t>CPF 08119939654</t>
  </si>
  <si>
    <t>Afonsina passali 61, Perdões - CEP: 37260000, Minas Gerais</t>
  </si>
  <si>
    <t>08119939654</t>
  </si>
  <si>
    <t>Afonsina passali 61 / CEP 37260000 - Palestina, Perdões, Minas Gerais</t>
  </si>
  <si>
    <t>Perdões</t>
  </si>
  <si>
    <t>37260000</t>
  </si>
  <si>
    <t>11 de dezembro | 02:21</t>
  </si>
  <si>
    <t>12 de dezembro | 10:36</t>
  </si>
  <si>
    <t>MEL44157294184LMXDF01</t>
  </si>
  <si>
    <t>2000010004203346</t>
  </si>
  <si>
    <t>30 de novembro de 2024 06:35 hs.</t>
  </si>
  <si>
    <t>Eliabe Gouveia de Souza</t>
  </si>
  <si>
    <t>CPF 05438595925</t>
  </si>
  <si>
    <t>Rua Jaboti 000 - escola Daigles, Ibaiti - CEP: 84900000, Paraná</t>
  </si>
  <si>
    <t>05438595925</t>
  </si>
  <si>
    <t>Rua Jaboti 000 / escola Daigles  Referencia: escola Daigles - CEP 84900000 - Ibaiti, Ibaiti, Paraná</t>
  </si>
  <si>
    <t>Ibaiti</t>
  </si>
  <si>
    <t>84900000</t>
  </si>
  <si>
    <t>14 de dezembro | 15:52</t>
  </si>
  <si>
    <t>MEL44157078335LMXDF01</t>
  </si>
  <si>
    <t>2000006735401781</t>
  </si>
  <si>
    <t>30 de novembro de 2024 02:56 hs.</t>
  </si>
  <si>
    <t>Cassio Alexandre Machado Brisola Moreira</t>
  </si>
  <si>
    <t>CPF 85527319915</t>
  </si>
  <si>
    <t>Travessa Euralina 190, Guarapuava - CEP: 85015050, Paraná</t>
  </si>
  <si>
    <t>85527319915</t>
  </si>
  <si>
    <t>Travessa Euralina 190 / CEP 85015050 - Santa Cruz, Guarapuava, Paraná</t>
  </si>
  <si>
    <t>Guarapuava</t>
  </si>
  <si>
    <t>85015050</t>
  </si>
  <si>
    <t>11 de dezembro | 05:49</t>
  </si>
  <si>
    <t>12 de dezembro | 13:09</t>
  </si>
  <si>
    <t>MEL44156888913LMXDF01</t>
  </si>
  <si>
    <t>2000010003539484</t>
  </si>
  <si>
    <t>30 de novembro de 2024 02:07 hs.</t>
  </si>
  <si>
    <t>Eliana Tanck</t>
  </si>
  <si>
    <t>CPF 12375435842</t>
  </si>
  <si>
    <t>Rua Joaquim Ernesto de Castro 257, Limeira - CEP: 13484473, São Paulo</t>
  </si>
  <si>
    <t>12375435842</t>
  </si>
  <si>
    <t>Rua Joaquim Ernesto de Castro 257 / Referencia: Proximo Ao Antigo Posto De Combustivel A4 - CEP 13484473 - Jardim São Paulo, Limeira, São Paulo</t>
  </si>
  <si>
    <t>Limeira</t>
  </si>
  <si>
    <t>13484473</t>
  </si>
  <si>
    <t>12 de dezembro | 12:31</t>
  </si>
  <si>
    <t>MEL44157003394LMXDF01</t>
  </si>
  <si>
    <t>2000006734830119</t>
  </si>
  <si>
    <t>30 de novembro de 2024 00:24 hs.</t>
  </si>
  <si>
    <t>Claudia Guimaraes Rocha</t>
  </si>
  <si>
    <t>CPF 17457932836</t>
  </si>
  <si>
    <t>Rua Feliciano Bicudo 367 - apto 22, São Paulo - CEP: 02301020, São Paulo</t>
  </si>
  <si>
    <t>17457932836</t>
  </si>
  <si>
    <t>Rua Feliciano Bicudo 367 / apto 22 Referencia: tocar o interfone 22 para ser atendido - CEP 02301020 - Vila Paulicéia, São Paulo, São Paulo</t>
  </si>
  <si>
    <t>02301020</t>
  </si>
  <si>
    <t>12 de dezembro | 13:27</t>
  </si>
  <si>
    <t>MEL44156736680LMXDF01</t>
  </si>
  <si>
    <t>2000010002724432</t>
  </si>
  <si>
    <t>30 de novembro de 2024 00:08 hs.</t>
  </si>
  <si>
    <t>Cristiana Rosa Dos Santos</t>
  </si>
  <si>
    <t>CPF 04401979532</t>
  </si>
  <si>
    <t>Rua Oscar Teixeira dos Santos 429 - Casa, Poções - CEP: 45263006, Bahia</t>
  </si>
  <si>
    <t>04401979532</t>
  </si>
  <si>
    <t>Rua Oscar Teixeira dos Santos 429 / Casa - CEP 45263006 - Alto da Vitória, Poções, Bahia</t>
  </si>
  <si>
    <t>Poções</t>
  </si>
  <si>
    <t>45263006</t>
  </si>
  <si>
    <t>14 de dezembro | 11:03</t>
  </si>
  <si>
    <t>MEL44156482367LMXDF01</t>
  </si>
  <si>
    <t>2000010002614114</t>
  </si>
  <si>
    <t>29 de novembro de 2024 23:57 hs.</t>
  </si>
  <si>
    <t>Ana Cristina Pereira Silva</t>
  </si>
  <si>
    <t>CPF 79894291368</t>
  </si>
  <si>
    <t>Rua F 26 - perto do ponto final, São Luís - CEP: 65072465, Maranhão</t>
  </si>
  <si>
    <t>79894291368</t>
  </si>
  <si>
    <t>Rua F 26 / perto do ponto final Referencia: perto do bar do gordo - CEP 65072465 - Parque Athenas, São Luís, Maranhão</t>
  </si>
  <si>
    <t>65072465</t>
  </si>
  <si>
    <t>15 de dezembro | 14:10</t>
  </si>
  <si>
    <t>MEL44156633556LMXDF01</t>
  </si>
  <si>
    <t>2000010002375134</t>
  </si>
  <si>
    <t>29 de novembro de 2024 23:38 hs.</t>
  </si>
  <si>
    <t>Marilu Fachini</t>
  </si>
  <si>
    <t>CPF 83839470978</t>
  </si>
  <si>
    <t>Rodovia BR-470 800, Indaial - CEP: 89084397, Santa Catarina</t>
  </si>
  <si>
    <t>83839470978</t>
  </si>
  <si>
    <t>Rodovia BR-470 800 / Km 69 - CEP 89084397 - Carijós, Indaial, Santa Catarina</t>
  </si>
  <si>
    <t>Indaial</t>
  </si>
  <si>
    <t>89084397</t>
  </si>
  <si>
    <t>12 de dezembro | 18:46</t>
  </si>
  <si>
    <t>MEL44156545814LMXDF01</t>
  </si>
  <si>
    <t>2000006734446387</t>
  </si>
  <si>
    <t>29 de novembro de 2024 23:31 hs.</t>
  </si>
  <si>
    <t>Ericles Julien Reis Hoffmann Rosa</t>
  </si>
  <si>
    <t>CPF 44876075824</t>
  </si>
  <si>
    <t>Rua César Costa 265, Caieiras - CEP: 07713625, São Paulo</t>
  </si>
  <si>
    <t>44876075824</t>
  </si>
  <si>
    <t>Rua César Costa 265 / CEP 07713625 - Serpa, Caieiras, São Paulo</t>
  </si>
  <si>
    <t>Caieiras</t>
  </si>
  <si>
    <t>07713625</t>
  </si>
  <si>
    <t>10 de dezembro | 04:08</t>
  </si>
  <si>
    <t>11 de dezembro | 12:15</t>
  </si>
  <si>
    <t>MEL44156504442LMXDF01</t>
  </si>
  <si>
    <t>2000006734447143</t>
  </si>
  <si>
    <t>Chegou em 10 de dezembro</t>
  </si>
  <si>
    <t>richard deyber</t>
  </si>
  <si>
    <t>CPF 09531317690</t>
  </si>
  <si>
    <t>Rua Bela Emília 49, Belo Horizonte - CEP: 30660480, Minas Gerais</t>
  </si>
  <si>
    <t>09531317690</t>
  </si>
  <si>
    <t>Rua Bela Emília 49 / Casa - CEP 30660480 - Olaria (Barreiro), Belo Horizonte, Minas Gerais</t>
  </si>
  <si>
    <t>30660480</t>
  </si>
  <si>
    <t>10 de dezembro | 00:23</t>
  </si>
  <si>
    <t>10 de dezembro | 16:59</t>
  </si>
  <si>
    <t>MEL44156309745LMXDF01</t>
  </si>
  <si>
    <t>2000010002087978</t>
  </si>
  <si>
    <t>29 de novembro de 2024 23:16 hs.</t>
  </si>
  <si>
    <t>Sonete Oliveira de Magalhaes</t>
  </si>
  <si>
    <t>CPF 03967168573</t>
  </si>
  <si>
    <t>Rua Cabo Verde 260, Teixeira de Freitas - CEP: 45993422, Bahia</t>
  </si>
  <si>
    <t>03967168573</t>
  </si>
  <si>
    <t>Rua Cabo Verde 260 / Referencia: prox mercado algusto - CEP 45993422 - Liberdade I, Teixeira de Freitas, Bahia</t>
  </si>
  <si>
    <t>45993422</t>
  </si>
  <si>
    <t>7 de dezembro | 05:08</t>
  </si>
  <si>
    <t>10 de dezembro | 13:01</t>
  </si>
  <si>
    <t>MEL44156434974LMXDF01</t>
  </si>
  <si>
    <t>2000006734323381</t>
  </si>
  <si>
    <t>29 de novembro de 2024 23:15 hs.</t>
  </si>
  <si>
    <t>Cleide Fernandes Duarte</t>
  </si>
  <si>
    <t>CPF 01733282530</t>
  </si>
  <si>
    <t>Estrada nova do castelo sítio tanque SN SN, Praia do Forte - CEP: 48287000, Bahia</t>
  </si>
  <si>
    <t>01733282530</t>
  </si>
  <si>
    <t>Estrada nova do castelo sítio tanque SN / sitio Maria rosa Referencia: parte de Maria Rosa e Basílio - CEP 48287000 - centro, Praia do Forte, Bahia</t>
  </si>
  <si>
    <t>Praia do Forte</t>
  </si>
  <si>
    <t>48287000</t>
  </si>
  <si>
    <t>7 de dezembro | 05:07</t>
  </si>
  <si>
    <t>10 de dezembro | 17:08</t>
  </si>
  <si>
    <t>MEL44156424064LMXDF01</t>
  </si>
  <si>
    <t>2000006734316115</t>
  </si>
  <si>
    <t>29 de novembro de 2024 23:14 hs.</t>
  </si>
  <si>
    <t>Carolina da Silveira</t>
  </si>
  <si>
    <t>CPF 28110215823</t>
  </si>
  <si>
    <t>Rua Artur Sabóia 367, São Paulo - CEP: 04104060, São Paulo</t>
  </si>
  <si>
    <t>28110215823</t>
  </si>
  <si>
    <t>Rua Artur Sabóia 367 / Apto 21 Bloco 02 - CEP 04104060 - Paraíso, São Paulo, São Paulo</t>
  </si>
  <si>
    <t>04104060</t>
  </si>
  <si>
    <t>10 de dezembro | 04:45</t>
  </si>
  <si>
    <t>11 de dezembro | 19:21</t>
  </si>
  <si>
    <t>MEL44156421236LMXDF01</t>
  </si>
  <si>
    <t>2000010001929140</t>
  </si>
  <si>
    <t>29 de novembro de 2024 23:03 hs.</t>
  </si>
  <si>
    <t>Chegou em 9 de dezembro</t>
  </si>
  <si>
    <t>Matheus Rodrigues Rocha</t>
  </si>
  <si>
    <t>CPF 08213722973</t>
  </si>
  <si>
    <t>Avenida Iguaçu 3000 - PORTARIA, Curitiba - CEP: 80240031, Paraná</t>
  </si>
  <si>
    <t>08213722973</t>
  </si>
  <si>
    <t>Avenida Iguaçu 3000 / PORTARIA - CEP 80240031 - Água Verde, Curitiba, Paraná</t>
  </si>
  <si>
    <t>Curitiba</t>
  </si>
  <si>
    <t>80240031</t>
  </si>
  <si>
    <t>7 de dezembro | 05:27</t>
  </si>
  <si>
    <t>9 de dezembro | 12:23</t>
  </si>
  <si>
    <t>MEL44156368670LMXDF01</t>
  </si>
  <si>
    <t>2000006734084655</t>
  </si>
  <si>
    <t>29 de novembro de 2024 22:45 hs.</t>
  </si>
  <si>
    <t>Pacote de 2 produtos</t>
  </si>
  <si>
    <t>Dorival Domingues</t>
  </si>
  <si>
    <t>CPF 04546838808</t>
  </si>
  <si>
    <t>Rua Sebastião Benedito da Silva 485, Mogi Guaçu - CEP: 13848113, São Paulo</t>
  </si>
  <si>
    <t>04546838808</t>
  </si>
  <si>
    <t>Rua Sebastião Benedito da Silva 485 / Referencia: Ao lado da viela - CEP 13848113 - Jardim Novo II, Mogi Guaçu, São Paulo</t>
  </si>
  <si>
    <t>Mogi Guaçu</t>
  </si>
  <si>
    <t>13848113</t>
  </si>
  <si>
    <t>7 de dezembro | 04:53</t>
  </si>
  <si>
    <t>8 de dezembro | 10:26</t>
  </si>
  <si>
    <t>MEL44156277618LMXDF01</t>
  </si>
  <si>
    <t>2000010001712478</t>
  </si>
  <si>
    <t>Chegou em 8 de dezembro</t>
  </si>
  <si>
    <t>2000010001693798</t>
  </si>
  <si>
    <t>00021</t>
  </si>
  <si>
    <t>MLB3498852266</t>
  </si>
  <si>
    <t>Kit 3x Coenzima Q10 100mg 100% Pura Ubiquinona Importada</t>
  </si>
  <si>
    <t>2000010001632730</t>
  </si>
  <si>
    <t>29 de novembro de 2024 22:39 hs.</t>
  </si>
  <si>
    <t>002</t>
  </si>
  <si>
    <t>MLB2798458555</t>
  </si>
  <si>
    <t>Uc2 40mg Colageno Tipo 2 - Kit Com 180 Cápsulas</t>
  </si>
  <si>
    <t>Eunice de Fatima Rodrigues</t>
  </si>
  <si>
    <t>CPF 63319730100</t>
  </si>
  <si>
    <t>Rua 9 de Julho 4 - Casa, Goiânia - CEP: 74475250, Goiás</t>
  </si>
  <si>
    <t>63319730100</t>
  </si>
  <si>
    <t>Rua 9 de Julho 4 / Casa Referencia: FERRAGISTA E CASA DE RAÇÃO RODRIGUES - CEP 74475250 - Setor Estrela Dalva, Goiânia, Goiás</t>
  </si>
  <si>
    <t>Goiânia</t>
  </si>
  <si>
    <t>Goiás</t>
  </si>
  <si>
    <t>74475250</t>
  </si>
  <si>
    <t>7 de dezembro | 02:49</t>
  </si>
  <si>
    <t>10 de dezembro | 19:08</t>
  </si>
  <si>
    <t>MEL44156051143LMXDF01</t>
  </si>
  <si>
    <t>2000010001155128</t>
  </si>
  <si>
    <t>29 de novembro de 2024 22:04 hs.</t>
  </si>
  <si>
    <t>Ana Luiza Guedes Pinto</t>
  </si>
  <si>
    <t>CPF 31213005809</t>
  </si>
  <si>
    <t>Rua Heitor Penteado 1267 - Salão de beleza, Campinas - CEP: 13108002, São Paulo</t>
  </si>
  <si>
    <t>31213005809</t>
  </si>
  <si>
    <t>Rua Heitor Penteado 1267 / Salão de beleza - CEP 13108002 - Joaquim Egídio, Campinas, São Paulo</t>
  </si>
  <si>
    <t>13108002</t>
  </si>
  <si>
    <t>7 de dezembro | 04:47</t>
  </si>
  <si>
    <t>9 de dezembro | 14:43</t>
  </si>
  <si>
    <t>MEL44156056170LMXDF01</t>
  </si>
  <si>
    <t>2000010001128736</t>
  </si>
  <si>
    <t>29 de novembro de 2024 22:02 hs.</t>
  </si>
  <si>
    <t>Adeilza Carvalho da Silva</t>
  </si>
  <si>
    <t>CPF 71300368420</t>
  </si>
  <si>
    <t>Rua Antonio V de Gois 122, Iati - CEP: 55345000, Pernambuco</t>
  </si>
  <si>
    <t>71300368420</t>
  </si>
  <si>
    <t>Rua Antonio V de Gois 122 / casa - CEP 55345000 - Iati, Iati, Pernambuco</t>
  </si>
  <si>
    <t>Iati</t>
  </si>
  <si>
    <t>Pernambuco</t>
  </si>
  <si>
    <t>55345000</t>
  </si>
  <si>
    <t>9 de dezembro | 13:59</t>
  </si>
  <si>
    <t>MEL44155846315LMXDF01</t>
  </si>
  <si>
    <t>2000010000821750</t>
  </si>
  <si>
    <t>29 de novembro de 2024 21:41 hs.</t>
  </si>
  <si>
    <t>Margarete Aparecida roque</t>
  </si>
  <si>
    <t>CPF 05077070601</t>
  </si>
  <si>
    <t>Rua Jordano Mafra 534, Santa Bárbara - CEP: 35960000, Minas Gerais</t>
  </si>
  <si>
    <t>05077070601</t>
  </si>
  <si>
    <t>Rua Jordano Mafra 534 / CEP 35960000 - São Bernardo, Santa Bárbara, Minas Gerais</t>
  </si>
  <si>
    <t>Santa Bárbara</t>
  </si>
  <si>
    <t>35960000</t>
  </si>
  <si>
    <t>10 de dezembro | 01:24</t>
  </si>
  <si>
    <t>11 de dezembro | 14:27</t>
  </si>
  <si>
    <t>MEL44155727361LMXDF01</t>
  </si>
  <si>
    <t>2000010000777494</t>
  </si>
  <si>
    <t>29 de novembro de 2024 21:38 hs.</t>
  </si>
  <si>
    <t>Adriana Pereira y</t>
  </si>
  <si>
    <t>CPF 09950684617</t>
  </si>
  <si>
    <t>Avenida Ernesto de Oliveira 1159 - sup. do frade, Ilhabela - CEP: 11630099, São Paulo</t>
  </si>
  <si>
    <t>09950684617</t>
  </si>
  <si>
    <t>Avenida Ernesto de Oliveira 1159 / sup. do frade - CEP 11630099 - Barra Velha, Ilhabela, São Paulo</t>
  </si>
  <si>
    <t>Ilhabela</t>
  </si>
  <si>
    <t>11630099</t>
  </si>
  <si>
    <t>11 de dezembro | 12:59</t>
  </si>
  <si>
    <t>MEL44155706491LMXDF01</t>
  </si>
  <si>
    <t>2000010000615740</t>
  </si>
  <si>
    <t>29 de novembro de 2024 21:25 hs.</t>
  </si>
  <si>
    <t>Sineide de Souza Carvalho</t>
  </si>
  <si>
    <t>CPF 42118307837</t>
  </si>
  <si>
    <t>Rua João Jorge de Oliveira 17 - casa, São Bernardo do Campo - CEP: 09785205, São Paulo</t>
  </si>
  <si>
    <t>42118307837</t>
  </si>
  <si>
    <t>Rua João Jorge de Oliveira 17 / casa Referencia: casa de referência pra entrega - CEP 09785205 - Montanhão, São Bernardo do Campo, São Paulo</t>
  </si>
  <si>
    <t>São Bernardo do Campo</t>
  </si>
  <si>
    <t>09785205</t>
  </si>
  <si>
    <t>10 de dezembro | 04:31</t>
  </si>
  <si>
    <t>11 de dezembro | 12:36</t>
  </si>
  <si>
    <t>MEL44155838564LMXDF01</t>
  </si>
  <si>
    <t>2000010000545534</t>
  </si>
  <si>
    <t>29 de novembro de 2024 21:20 hs.</t>
  </si>
  <si>
    <t>Maria  da Gloria Duarte Santana</t>
  </si>
  <si>
    <t>CPF 22112360817</t>
  </si>
  <si>
    <t>Rua Doutor Leopoldo Guimarães da Cunha 234 - APTO 104B, Ponta Grossa - CEP: 84035310, Paraná</t>
  </si>
  <si>
    <t>22112360817</t>
  </si>
  <si>
    <t>Rua Doutor Leopoldo Guimarães da Cunha 234 / apto 104B - CEP 84035310 - Oficinas, Ponta Grossa, Paraná</t>
  </si>
  <si>
    <t>Ponta Grossa</t>
  </si>
  <si>
    <t>84035310</t>
  </si>
  <si>
    <t>7 de dezembro | 05:18</t>
  </si>
  <si>
    <t>9 de dezembro | 10:18</t>
  </si>
  <si>
    <t>MEL44155808220LMXDF01</t>
  </si>
  <si>
    <t>2000010000307602</t>
  </si>
  <si>
    <t>29 de novembro de 2024 21:03 hs.</t>
  </si>
  <si>
    <t>Helena Gomes</t>
  </si>
  <si>
    <t>CPF 04262680835</t>
  </si>
  <si>
    <t>Rua Américo Brasiliense 71 - casa, Jundiaí - CEP: 13211060, São Paulo</t>
  </si>
  <si>
    <t>04262680835</t>
  </si>
  <si>
    <t>Rua Américo Brasiliense 71 / casa - CEP 13211060 - Vila Nova Esperia, Jundiaí, São Paulo</t>
  </si>
  <si>
    <t>Jundiaí</t>
  </si>
  <si>
    <t>13211060</t>
  </si>
  <si>
    <t>11 de dezembro | 11:11</t>
  </si>
  <si>
    <t>MEL44155514447LMXDF01</t>
  </si>
  <si>
    <t>2000006733154875</t>
  </si>
  <si>
    <t>29 de novembro de 2024 20:55 hs.</t>
  </si>
  <si>
    <t>00031</t>
  </si>
  <si>
    <t>MLB2747342139</t>
  </si>
  <si>
    <t>Pantofar   (pantoformula )</t>
  </si>
  <si>
    <t>Fabiana Roberta Porta</t>
  </si>
  <si>
    <t>CPF 16716364811</t>
  </si>
  <si>
    <t>Avenida Dona Ines Murci 1271, Itápolis - CEP: 14906269, São Paulo</t>
  </si>
  <si>
    <t>16716364811</t>
  </si>
  <si>
    <t>Avenida Dona Ines Murci 1271 / Referencia: Na rua da caixa d#39agua do Campestre, descendo.  Pinheiro na calçada. - CEP 14906269 - Jardim Campestre, Itápolis, São Paulo</t>
  </si>
  <si>
    <t>Itápolis</t>
  </si>
  <si>
    <t>14906269</t>
  </si>
  <si>
    <t>7 de dezembro | 03:55</t>
  </si>
  <si>
    <t>8 de dezembro | 12:15</t>
  </si>
  <si>
    <t>MEL44155668656LMXDF01</t>
  </si>
  <si>
    <t>2000006733144431</t>
  </si>
  <si>
    <t>29 de novembro de 2024 20:54 hs.</t>
  </si>
  <si>
    <t>Ricardo Martins</t>
  </si>
  <si>
    <t>CPF 30466132883</t>
  </si>
  <si>
    <t>R Benedita Pires De Albuquerque 81, Santa Branca - CEP: 12380000, São Paulo</t>
  </si>
  <si>
    <t>30466132883</t>
  </si>
  <si>
    <t>R Benedita Pires De Albuquerque 81 / CEP 12380000 - Santa Branca, Santa Branca, São Paulo</t>
  </si>
  <si>
    <t>Santa Branca</t>
  </si>
  <si>
    <t>12380000</t>
  </si>
  <si>
    <t>9 de dezembro | 11:58</t>
  </si>
  <si>
    <t>MEL44155663248LMXDF01</t>
  </si>
  <si>
    <t>2000010000208826</t>
  </si>
  <si>
    <t>00319</t>
  </si>
  <si>
    <t>MLB2775584006</t>
  </si>
  <si>
    <t>Laranja Moro  (morosil) Auxilia Na Redução De Medidas 60caps</t>
  </si>
  <si>
    <t>2000010000199560</t>
  </si>
  <si>
    <t>00354</t>
  </si>
  <si>
    <t>MLB4883679444</t>
  </si>
  <si>
    <t>Kit 3x Pool Lactobacilo 60 Cápsulas - Imunidade E Intestinal</t>
  </si>
  <si>
    <t>2000006733103103</t>
  </si>
  <si>
    <t>29 de novembro de 2024 20:49 hs.</t>
  </si>
  <si>
    <t>ADENIL Costa</t>
  </si>
  <si>
    <t>CPF 69961573900</t>
  </si>
  <si>
    <t>Estrada Das Olarias 1633 - Apto 62 Referencia: Entregar Para André Felipe Ou Flavia, Curitiba - CEP: 82630160, Paraná</t>
  </si>
  <si>
    <t>69961573900</t>
  </si>
  <si>
    <t>Estrada das Olarias 1633 / Apto 62 Referencia: Entregar para André Felipe ou Flavia - CEP 82630160 - Atuba, Curitiba, Paraná</t>
  </si>
  <si>
    <t>82630160</t>
  </si>
  <si>
    <t>10 de dezembro | 05:56</t>
  </si>
  <si>
    <t>11 de dezembro | 18:57</t>
  </si>
  <si>
    <t>MEL44155435925LMXDF01</t>
  </si>
  <si>
    <t>2000009999920758</t>
  </si>
  <si>
    <t>29 de novembro de 2024 20:35 hs.</t>
  </si>
  <si>
    <t>Diana Dias Da Silva</t>
  </si>
  <si>
    <t>CPF 01551722550</t>
  </si>
  <si>
    <t>sabiá 20, Casa Nova - CEP: 47300000, Bahia</t>
  </si>
  <si>
    <t>01551722550</t>
  </si>
  <si>
    <t>sabiá 20 / CEP 47300000 - vila massu, Casa Nova, Bahia</t>
  </si>
  <si>
    <t>Casa Nova</t>
  </si>
  <si>
    <t>47300000</t>
  </si>
  <si>
    <t>10 de dezembro | 00:56</t>
  </si>
  <si>
    <t>13 de dezembro | 19:01</t>
  </si>
  <si>
    <t>MEL44155547990LMXDF01</t>
  </si>
  <si>
    <t>2000009999749386</t>
  </si>
  <si>
    <t>29 de novembro de 2024 20:25 hs.</t>
  </si>
  <si>
    <t>00386</t>
  </si>
  <si>
    <t>MLB5084707924</t>
  </si>
  <si>
    <t>Probiótico Para Candidíase Masculino - Kit C/3 Und - 60 Cáps</t>
  </si>
  <si>
    <t>Wilson Paulo Rodrigues</t>
  </si>
  <si>
    <t>CPF 95859292368</t>
  </si>
  <si>
    <t>Rua Areolino de Abreu 858, Valença do Piauí - CEP: 64300000, Piauí</t>
  </si>
  <si>
    <t>95859292368</t>
  </si>
  <si>
    <t>Rua Areolino de Abreu 858 / CEP 64300000 - Amando Lima, Valença do Piauí, Piauí</t>
  </si>
  <si>
    <t>Valença do Piauí</t>
  </si>
  <si>
    <t>Piauí</t>
  </si>
  <si>
    <t>64300000</t>
  </si>
  <si>
    <t>13 de dezembro | 15:52</t>
  </si>
  <si>
    <t>MEL44155280575LMXDF01</t>
  </si>
  <si>
    <t>2000009999510612</t>
  </si>
  <si>
    <t>29 de novembro de 2024 20:08 hs.</t>
  </si>
  <si>
    <t>Andreia Aparecida de Souza Souza</t>
  </si>
  <si>
    <t>CPF 82625433604</t>
  </si>
  <si>
    <t>Rua Alfa 161 - casa interfone A, Sete Lagoas - CEP: 35701259, Minas Gerais</t>
  </si>
  <si>
    <t>82625433604</t>
  </si>
  <si>
    <t>Rua Alfa 161 / casa interfone A Referencia: Reg (Faculdade UNIFEM - CEP 35701259 - Santo Antônio, Sete Lagoas, Minas Gerais</t>
  </si>
  <si>
    <t>Sete Lagoas</t>
  </si>
  <si>
    <t>35701259</t>
  </si>
  <si>
    <t>10 de dezembro | 02:53</t>
  </si>
  <si>
    <t>12 de dezembro | 09:39</t>
  </si>
  <si>
    <t>MEL44155370216LMXDF01</t>
  </si>
  <si>
    <t>2000009999538720</t>
  </si>
  <si>
    <t>29 de novembro de 2024 20:06 hs.</t>
  </si>
  <si>
    <t>Venda entregue</t>
  </si>
  <si>
    <t>Encerramos a reclamação da venda e liberamos o dinheiro para você.</t>
  </si>
  <si>
    <t>Silmária  Santos</t>
  </si>
  <si>
    <t>CPF 85775597508</t>
  </si>
  <si>
    <t>rua de doinha 190 - casa, Taperoá - CEP: 45430000, Bahia</t>
  </si>
  <si>
    <t>85775597508</t>
  </si>
  <si>
    <t>rua de doinha 190 / casa Referencia: casa de dona Dina - CEP 45430000 - bairro São Felipe, Taperoá, Bahia</t>
  </si>
  <si>
    <t>Taperoá</t>
  </si>
  <si>
    <t>45430000</t>
  </si>
  <si>
    <t>13 de dezembro | 21:26</t>
  </si>
  <si>
    <t>MEL44155383440LMXDF01</t>
  </si>
  <si>
    <t>2000006732625651</t>
  </si>
  <si>
    <t>29 de novembro de 2024 19:52 hs.</t>
  </si>
  <si>
    <t>Cristiane Prestes Silva Braga</t>
  </si>
  <si>
    <t>CPF 83475532034</t>
  </si>
  <si>
    <t>Avenida Júlio Tróis 2143 - Loja, São Borja - CEP: 97670000, Rio Grande do Sul</t>
  </si>
  <si>
    <t>83475532034</t>
  </si>
  <si>
    <t>Avenida Júlio Tróis 2143 / Loja Referencia: Loja - CEP 97670000 - passo, São Borja, Rio Grande do Sul</t>
  </si>
  <si>
    <t>São Borja</t>
  </si>
  <si>
    <t>97670000</t>
  </si>
  <si>
    <t>10 de dezembro | 05:49</t>
  </si>
  <si>
    <t>13 de dezembro | 16:45</t>
  </si>
  <si>
    <t>MEL44155108157LMXDF01</t>
  </si>
  <si>
    <t>2000009999176584</t>
  </si>
  <si>
    <t>29 de novembro de 2024 19:41 hs.</t>
  </si>
  <si>
    <t>Ema Olinda Piovezan</t>
  </si>
  <si>
    <t>CPF 80597874034</t>
  </si>
  <si>
    <t>Pedro moro 3961 - casa, Caraá - CEP: 95515000, Rio Grande do Sul</t>
  </si>
  <si>
    <t>80597874034</t>
  </si>
  <si>
    <t>Pedro moro 3961 / casa Referencia: é no interior,  pedir onde mora a dona Rosinha. - CEP 95515000 - sertão do Rio dos Sinos, Caraá, Rio Grande do Sul</t>
  </si>
  <si>
    <t>Caraá</t>
  </si>
  <si>
    <t>95515000</t>
  </si>
  <si>
    <t>13 de dezembro | 15:37</t>
  </si>
  <si>
    <t>MEL44155231026LMXDF01</t>
  </si>
  <si>
    <t>2000009998155814</t>
  </si>
  <si>
    <t>29 de novembro de 2024 18:27 hs.</t>
  </si>
  <si>
    <t>Tânia Camilo</t>
  </si>
  <si>
    <t>CPF 09672155794</t>
  </si>
  <si>
    <t>Rua Clapp Filho 70 - campainha 1, Rio de Janeiro - CEP: 20785270, Rio de Janeiro</t>
  </si>
  <si>
    <t>09672155794</t>
  </si>
  <si>
    <t>Rua Clapp Filho 70 / campainha 1 - CEP 20785270 - Cachambi, Rio de Janeiro, Rio de Janeiro</t>
  </si>
  <si>
    <t>20785270</t>
  </si>
  <si>
    <t>10 de dezembro | 00:21</t>
  </si>
  <si>
    <t>10 de dezembro | 16:38</t>
  </si>
  <si>
    <t>MEL44154614537LMXDF01</t>
  </si>
  <si>
    <t>2000009997695986</t>
  </si>
  <si>
    <t>29 de novembro de 2024 17:51 hs.</t>
  </si>
  <si>
    <t>Leticia Auxiliadora Destri Bressiani</t>
  </si>
  <si>
    <t>CPF 01681955008</t>
  </si>
  <si>
    <t>Rua Isidoro Guilherme Dall Agnol 84, Veranópolis - CEP: 95330000, Rio Grande do Sul</t>
  </si>
  <si>
    <t>01681955008</t>
  </si>
  <si>
    <t>Rua Isidoro Guilherme Dall Agnol 84 / Casa - CEP 95330000 - Medianeira, Veranópolis, Rio Grande do Sul</t>
  </si>
  <si>
    <t>Veranópolis</t>
  </si>
  <si>
    <t>95330000</t>
  </si>
  <si>
    <t>12 de dezembro | 12:17</t>
  </si>
  <si>
    <t>MEL44154618124LMXDF01</t>
  </si>
  <si>
    <t>2000009997203970</t>
  </si>
  <si>
    <t>29 de novembro de 2024 17:14 hs.</t>
  </si>
  <si>
    <t>Andreia Godinho da Silva de Campos</t>
  </si>
  <si>
    <t>CPF 14479700803</t>
  </si>
  <si>
    <t>Rua José Maria de Barros 53 - casa, Votorantim - CEP: 18117689, São Paulo</t>
  </si>
  <si>
    <t>14479700803</t>
  </si>
  <si>
    <t>Rua José Maria de Barros 53 / casa - CEP 18117689 - Jardim São Lucas, Votorantim, São Paulo</t>
  </si>
  <si>
    <t>Votorantim</t>
  </si>
  <si>
    <t>18117689</t>
  </si>
  <si>
    <t>8 de dezembro | 12:59</t>
  </si>
  <si>
    <t>MEL44154208947LMXDF01</t>
  </si>
  <si>
    <t>2000009997057666</t>
  </si>
  <si>
    <t>29 de novembro de 2024 17:04 hs.</t>
  </si>
  <si>
    <t>Aldina Gentil</t>
  </si>
  <si>
    <t>CPF 01170584756</t>
  </si>
  <si>
    <t>Rua Professor Júlio Ferreira de Melo 340 - Apto 1302, Recife - CEP: 51020231, Pernambuco</t>
  </si>
  <si>
    <t>01170584756</t>
  </si>
  <si>
    <t>Rua Professor Júlio Ferreira de Melo 340 / Apto 1302 Referencia: Edf. Chateau Chablis. Esquina com a Rua Mamanguape, cabine branca. - CEP 51020231 - Boa Viagem, Recife, Pernambuco</t>
  </si>
  <si>
    <t>Recife</t>
  </si>
  <si>
    <t>51020231</t>
  </si>
  <si>
    <t>7 de dezembro | 05:31</t>
  </si>
  <si>
    <t>14 de dezembro | 12:16</t>
  </si>
  <si>
    <t>Loggi</t>
  </si>
  <si>
    <t>ML44154147107135551</t>
  </si>
  <si>
    <t>https://www.loggi.com/rastreador/3762947aef/ML44154147107135551</t>
  </si>
  <si>
    <t>2000006731131003</t>
  </si>
  <si>
    <t>29 de novembro de 2024 16:53 hs.</t>
  </si>
  <si>
    <t>Maria Terezinha Brolo</t>
  </si>
  <si>
    <t>CPF 79955070110</t>
  </si>
  <si>
    <t>Rua Ferreira Mendes 478 - Casa, Cláudia - CEP: 78540000, Mato Grosso</t>
  </si>
  <si>
    <t>79955070110</t>
  </si>
  <si>
    <t>Rua Ferreira Mendes 478 / Casa Referencia: Casa - CEP 78540000 - centro, Cláudia, Mato Grosso</t>
  </si>
  <si>
    <t>Cláudia</t>
  </si>
  <si>
    <t>78540000</t>
  </si>
  <si>
    <t>12 de dezembro | 11:36</t>
  </si>
  <si>
    <t>MEL44154274948LMXDF01</t>
  </si>
  <si>
    <t>2000009996650978</t>
  </si>
  <si>
    <t>29 de novembro de 2024 16:34 hs.</t>
  </si>
  <si>
    <t>Sueli Silva Barros</t>
  </si>
  <si>
    <t>CPF 19734989871</t>
  </si>
  <si>
    <t>Avenida Andradina 646, Sorocaba - CEP: 18070800, São Paulo</t>
  </si>
  <si>
    <t>19734989871</t>
  </si>
  <si>
    <t>Avenida Andradina 646 / CEP 18070800 - Vila Nova Sorocaba, Sorocaba, São Paulo</t>
  </si>
  <si>
    <t>18070800</t>
  </si>
  <si>
    <t>6 de dezembro | 04:46</t>
  </si>
  <si>
    <t>7 de dezembro | 14:19</t>
  </si>
  <si>
    <t>MEL44154163338LMXDF01</t>
  </si>
  <si>
    <t>2000009996527242</t>
  </si>
  <si>
    <t>29 de novembro de 2024 16:25 hs.</t>
  </si>
  <si>
    <t>Erotides Felismina da Silva</t>
  </si>
  <si>
    <t>CPF 02206709864</t>
  </si>
  <si>
    <t>Rua Rosa Mendes 85 - Ap. 43, Bloco, 03, São Paulo - CEP: 03757090, São Paulo</t>
  </si>
  <si>
    <t>02206709864</t>
  </si>
  <si>
    <t>Rua Rosa Mendes 85 / Ap. 43, Bloco, 03 - CEP 03757090 - Jardim Penha, São Paulo, São Paulo</t>
  </si>
  <si>
    <t>03757090</t>
  </si>
  <si>
    <t>10 de dezembro | 05:52</t>
  </si>
  <si>
    <t>11 de dezembro | 16:28</t>
  </si>
  <si>
    <t>MEL44153912293LMXDF01</t>
  </si>
  <si>
    <t>2000006730737377</t>
  </si>
  <si>
    <t>29 de novembro de 2024 16:10 hs.</t>
  </si>
  <si>
    <t>AIDA HANNA KALLAS</t>
  </si>
  <si>
    <t>CPF 06696324810</t>
  </si>
  <si>
    <t>Rua Maria Bazilicia Brito 204 - Apto 303, Florianópolis - CEP: 88058562, Santa Catarina</t>
  </si>
  <si>
    <t>06696324810</t>
  </si>
  <si>
    <t>Rua Maria Bazilicia Brito 204 / Apto 303 - CEP 88058562 - Ingleses do Rio Vermelho, Florianópolis, Santa Catarina</t>
  </si>
  <si>
    <t>88058562</t>
  </si>
  <si>
    <t>12 de dezembro | 16:56</t>
  </si>
  <si>
    <t>MEL44154009010LMXDF01</t>
  </si>
  <si>
    <t>2000009994864438</t>
  </si>
  <si>
    <t>29 de novembro de 2024 14:26 hs.</t>
  </si>
  <si>
    <t>Michele dos santos pereira</t>
  </si>
  <si>
    <t>CPF 08546524777</t>
  </si>
  <si>
    <t>Avenida dos Mananciais 1155 - bl.03 apt.602, Rio de Janeiro - CEP: 22720400, Rio de Janeiro</t>
  </si>
  <si>
    <t>08546524777</t>
  </si>
  <si>
    <t>Avenida dos Mananciais 1155 / bl.03 apt.602 - CEP 22720400 - Taquara, Rio de Janeiro, Rio de Janeiro</t>
  </si>
  <si>
    <t>22720400</t>
  </si>
  <si>
    <t>10 de dezembro | 02:20</t>
  </si>
  <si>
    <t>10 de dezembro | 15:14</t>
  </si>
  <si>
    <t>MEL44153178197LMXDF01</t>
  </si>
  <si>
    <t>2000009994344356</t>
  </si>
  <si>
    <t>29 de novembro de 2024 13:49 hs.</t>
  </si>
  <si>
    <t>henrique cándano</t>
  </si>
  <si>
    <t>CPF 63132508004</t>
  </si>
  <si>
    <t>Avenida João Pessoa 731 - Apartamento 1014, Porto Alegre - CEP: 90040000, Rio Grande do Sul</t>
  </si>
  <si>
    <t>63132508004</t>
  </si>
  <si>
    <t>Avenida João Pessoa 731 / Apartamento 1014 Referencia: Em frente ao Parque Farroupilha (Redenção) - CEP 90040000 - Centro Histórico, Porto Alegre, Rio Grande do Sul</t>
  </si>
  <si>
    <t>Porto Alegre</t>
  </si>
  <si>
    <t>90040000</t>
  </si>
  <si>
    <t>12 de dezembro | 15:24</t>
  </si>
  <si>
    <t>MEL44152952347LMXDF01</t>
  </si>
  <si>
    <t>2000009994215530</t>
  </si>
  <si>
    <t>29 de novembro de 2024 13:41 hs.</t>
  </si>
  <si>
    <t>Andre de Sousa Martins</t>
  </si>
  <si>
    <t>CPF 09478339435</t>
  </si>
  <si>
    <t>Avenida da Esperança 111 - próx João do peixe, Petrolina - CEP: 56323140, Pernambuco</t>
  </si>
  <si>
    <t>09478339435</t>
  </si>
  <si>
    <t>Avenida da Esperança 111 / próx João do peixe - CEP 56323140 - Dom Avelar, Petrolina, Pernambuco</t>
  </si>
  <si>
    <t>Petrolina</t>
  </si>
  <si>
    <t>56323140</t>
  </si>
  <si>
    <t>13 de dezembro | 17:59</t>
  </si>
  <si>
    <t>MEL44152903757LMXDF01</t>
  </si>
  <si>
    <t>2000009993683022</t>
  </si>
  <si>
    <t>29 de novembro de 2024 13:04 hs.</t>
  </si>
  <si>
    <t>00332</t>
  </si>
  <si>
    <t>MLB4610626068</t>
  </si>
  <si>
    <t>Gymnema Sylvestre Spray Anti Doces 30ml - Kit C/3 Unidades</t>
  </si>
  <si>
    <t>Silvia Mann</t>
  </si>
  <si>
    <t>CPF 89553551068</t>
  </si>
  <si>
    <t>Rua Adelar da Cunha 165, Colorado - CEP: 99460000, Rio Grande do Sul</t>
  </si>
  <si>
    <t>89553551068</t>
  </si>
  <si>
    <t>Rua Adelar da Cunha 165 / Referencia: Ao lado do Sicredi - CEP 99460000 - Centro, Colorado, Rio Grande do Sul</t>
  </si>
  <si>
    <t>Colorado</t>
  </si>
  <si>
    <t>99460000</t>
  </si>
  <si>
    <t>11 de dezembro | 16:48</t>
  </si>
  <si>
    <t>MEL44152670909LMXDF01</t>
  </si>
  <si>
    <t>2000009993486974</t>
  </si>
  <si>
    <t>29 de novembro de 2024 12:51 hs.</t>
  </si>
  <si>
    <t>SIdirley Melo da Silva</t>
  </si>
  <si>
    <t>CPF 95278001704</t>
  </si>
  <si>
    <t>Rua Dublim 142, Vila Velha - CEP: 29103055, Espírito Santo</t>
  </si>
  <si>
    <t>95278001704</t>
  </si>
  <si>
    <t>Rua Dublim 142 / CEP 29103055 - Araçás, Vila Velha, Espírito Santo</t>
  </si>
  <si>
    <t>29103055</t>
  </si>
  <si>
    <t>10 de dezembro | 00:24</t>
  </si>
  <si>
    <t>13 de dezembro | 17:09</t>
  </si>
  <si>
    <t>MEL44152584519LMXDF01</t>
  </si>
  <si>
    <t>2000009993389314</t>
  </si>
  <si>
    <t>29 de novembro de 2024 12:46 hs.</t>
  </si>
  <si>
    <t xml:space="preserve">Sabrynna  Scapini </t>
  </si>
  <si>
    <t>CPF 70335477143</t>
  </si>
  <si>
    <t>rua Raimundo Silva 388, Nova Xavantina - CEP: 78690000, Mato Grosso</t>
  </si>
  <si>
    <t>70335477143</t>
  </si>
  <si>
    <t>rua Raimundo Silva 388 / Referencia: penultima casa portao roxo lado esquerdo - CEP 78690000 - Centro oeste, Nova Xavantina, Mato Grosso</t>
  </si>
  <si>
    <t>Nova Xavantina</t>
  </si>
  <si>
    <t>78690000</t>
  </si>
  <si>
    <t>10 de dezembro | 05:51</t>
  </si>
  <si>
    <t>13 de dezembro | 11:51</t>
  </si>
  <si>
    <t>MEL44152548897LMXDF01</t>
  </si>
  <si>
    <t>2000009980670626</t>
  </si>
  <si>
    <t>29 de novembro de 2024 12:37 hs.</t>
  </si>
  <si>
    <t>Kelly Oliveira</t>
  </si>
  <si>
    <t>CPF 55224882800</t>
  </si>
  <si>
    <t>Área Rural 155 - farmácia, São Miguel Arcanjo - CEP: 18239899, São Paulo</t>
  </si>
  <si>
    <t>55224882800</t>
  </si>
  <si>
    <t>Área Rural 155 / farmácia Referencia: farmácia - CEP 18239899 - Área Rural de Gramadão, São Miguel Arcanjo, São Paulo</t>
  </si>
  <si>
    <t>São Miguel Arcanjo</t>
  </si>
  <si>
    <t>18239899</t>
  </si>
  <si>
    <t>11 de dezembro | 11:52</t>
  </si>
  <si>
    <t>MEL44147167098LMXDF01</t>
  </si>
  <si>
    <t>2000006728379877</t>
  </si>
  <si>
    <t>29 de novembro de 2024 11:41 hs.</t>
  </si>
  <si>
    <t>Gabriel Santos Cadete</t>
  </si>
  <si>
    <t>CPF 09005284609</t>
  </si>
  <si>
    <t>Rua Maria Antônia 110, São Paulo - CEP: 01222010, São Paulo</t>
  </si>
  <si>
    <t>09005284609</t>
  </si>
  <si>
    <t>Rua Maria Antônia 110 / Ap 11 Referencia: Ao lado da Kalunga - CEP 01222010 - Vila Buarque, São Paulo, São Paulo</t>
  </si>
  <si>
    <t>01222010</t>
  </si>
  <si>
    <t>8 de dezembro | 11:21</t>
  </si>
  <si>
    <t>MEL44152340808LMXDF01</t>
  </si>
  <si>
    <t>2000009992325144</t>
  </si>
  <si>
    <t>29 de novembro de 2024 11:32 hs.</t>
  </si>
  <si>
    <t>Oneida Silva Francisco Francisco</t>
  </si>
  <si>
    <t>CPF 00989519635</t>
  </si>
  <si>
    <t>Rua São Miguel 18, Fama - CEP: 37144000, Minas Gerais</t>
  </si>
  <si>
    <t>00989519635</t>
  </si>
  <si>
    <t>Rua São Miguel 18 / Referencia: Joaquim  Silvério  Siqueira  86 - CEP 37144000 - centro, Fama, Minas Gerais</t>
  </si>
  <si>
    <t>Fama</t>
  </si>
  <si>
    <t>37144000</t>
  </si>
  <si>
    <t>10 de dezembro | 02:22</t>
  </si>
  <si>
    <t>10 de dezembro | 17:58</t>
  </si>
  <si>
    <t>MEL44152274728LMXDF01</t>
  </si>
  <si>
    <t>2000009992130968</t>
  </si>
  <si>
    <t>29 de novembro de 2024 11:17 hs.</t>
  </si>
  <si>
    <t>David Jose Rodrigues de Oliveira</t>
  </si>
  <si>
    <t>CPF 04345507600</t>
  </si>
  <si>
    <t>Rua Carlos Nasser 221, Contagem - CEP: 32185370, Minas Gerais</t>
  </si>
  <si>
    <t>04345507600</t>
  </si>
  <si>
    <t>Rua Carlos Nasser 221 / CEP 32185370 - Bom Jesus, Contagem, Minas Gerais</t>
  </si>
  <si>
    <t>Contagem</t>
  </si>
  <si>
    <t>32185370</t>
  </si>
  <si>
    <t>12 de dezembro | 16:06</t>
  </si>
  <si>
    <t>MEL44152190668LMXDF01</t>
  </si>
  <si>
    <t>2000009990708772</t>
  </si>
  <si>
    <t>29 de novembro de 2024 09:29 hs.</t>
  </si>
  <si>
    <t>Fabiana Santos</t>
  </si>
  <si>
    <t>CPF 31032151854</t>
  </si>
  <si>
    <t>rua rio das voltas 25 - Est Nicolas imparato, Diadema - CEP: 09971430, São Paulo</t>
  </si>
  <si>
    <t>31032151854</t>
  </si>
  <si>
    <t>rua rio das voltas 25 / Est Nicolas imparato Referencia: atrás do cemitério Vale da Paz. Rua rio das voltas, 25 - CEP 09971430 - Eldorado, Diadema, São Paulo</t>
  </si>
  <si>
    <t>Diadema</t>
  </si>
  <si>
    <t>09971430</t>
  </si>
  <si>
    <t>11 de dezembro | 18:15</t>
  </si>
  <si>
    <t>MEL44151566588LMXDF01</t>
  </si>
  <si>
    <t>2000006727200739</t>
  </si>
  <si>
    <t>29 de novembro de 2024 09:13 hs.</t>
  </si>
  <si>
    <t>Maricelia Goncalves Fidelis</t>
  </si>
  <si>
    <t>CPF 10251974707</t>
  </si>
  <si>
    <t>Rua Potiguara 100 - bloco 1 ap 502, Rio de Janeiro - CEP: 22750290, Rio de Janeiro</t>
  </si>
  <si>
    <t>10251974707</t>
  </si>
  <si>
    <t>Rua Potiguara 100 / bloco 1 ap 502  Referencia: Cond. Gran vally - CEP 22750290 - Freguesia (Jacarepaguá), Rio de Janeiro, Rio de Janeiro</t>
  </si>
  <si>
    <t>22750290</t>
  </si>
  <si>
    <t>7 de dezembro | 02:16</t>
  </si>
  <si>
    <t>7 de dezembro | 18:55</t>
  </si>
  <si>
    <t>MEL44151487552LMXDF01</t>
  </si>
  <si>
    <t>2000009990501140</t>
  </si>
  <si>
    <t>Cancelou porque não conseguiu entrar em contato com você.</t>
  </si>
  <si>
    <t>Marinez Garcia da Silva</t>
  </si>
  <si>
    <t>CPF 58290192053</t>
  </si>
  <si>
    <t>Rua Ademar Arthur Beck 51, São Leopoldo - CEP: 93050374, Rio Grande do Sul</t>
  </si>
  <si>
    <t>58290192053</t>
  </si>
  <si>
    <t>São Leopoldo</t>
  </si>
  <si>
    <t>93050374</t>
  </si>
  <si>
    <t>MEL44151280025FMXDF01</t>
  </si>
  <si>
    <t>2000009990400476</t>
  </si>
  <si>
    <t>29 de novembro de 2024 09:01 hs.</t>
  </si>
  <si>
    <t>Isolene Weber</t>
  </si>
  <si>
    <t>CPF 84577657953</t>
  </si>
  <si>
    <t>estrada geral rio antinhas SN, Petrolândia - CEP: 88430000, Santa Catarina</t>
  </si>
  <si>
    <t>84577657953</t>
  </si>
  <si>
    <t>estrada geral rio antinhas SN / CEP 88430000 - Petrolândia, Petrolândia, Santa Catarina</t>
  </si>
  <si>
    <t>Petrolândia</t>
  </si>
  <si>
    <t>88430000</t>
  </si>
  <si>
    <t>13 de dezembro | 11:19</t>
  </si>
  <si>
    <t>MEL44151430270LMXDF01</t>
  </si>
  <si>
    <t>2000009990254890</t>
  </si>
  <si>
    <t>29 de novembro de 2024 08:48 hs.</t>
  </si>
  <si>
    <t>Andre Dolinski Pontes</t>
  </si>
  <si>
    <t>CPF 31577712803</t>
  </si>
  <si>
    <t>Rua Alberico Robillard de Marigny 685 - Px ao quartel, São Vicente - CEP: 11370010, São Paulo</t>
  </si>
  <si>
    <t>31577712803</t>
  </si>
  <si>
    <t>Rua Alberico Robillard de Marigny 685 / Px ao quartel - CEP 11370010 - Vila Cascatinha, São Vicente, São Paulo</t>
  </si>
  <si>
    <t>São Vicente</t>
  </si>
  <si>
    <t>11370010</t>
  </si>
  <si>
    <t>11 de dezembro | 15:34</t>
  </si>
  <si>
    <t>MEL44151367000LMXDF01</t>
  </si>
  <si>
    <t>2000006726643131</t>
  </si>
  <si>
    <t>29 de novembro de 2024 07:15 hs.</t>
  </si>
  <si>
    <t>Thaina Ferreira Do Carmo</t>
  </si>
  <si>
    <t>CPF 07526778535</t>
  </si>
  <si>
    <t>Rua Humildes 354 - Ao lado da casa 352, Feira de Santana - CEP: 44034061, Bahia</t>
  </si>
  <si>
    <t>07526778535</t>
  </si>
  <si>
    <t>Rua Humildes 354 / Ao lado da casa 352 - CEP 44034061 - Campo Limpo, Feira de Santana, Bahia</t>
  </si>
  <si>
    <t>Feira de Santana</t>
  </si>
  <si>
    <t>44034061</t>
  </si>
  <si>
    <t>13 de dezembro | 10:13</t>
  </si>
  <si>
    <t>MEL44151054970LMXDF01</t>
  </si>
  <si>
    <t>2000006726523173</t>
  </si>
  <si>
    <t>29 de novembro de 2024 06:23 hs.</t>
  </si>
  <si>
    <t>Emerson messias freitas souto</t>
  </si>
  <si>
    <t>CPF 47977472856</t>
  </si>
  <si>
    <t>Rua Savério Quadrio 621 - bloco 2 apê 402, São Paulo - CEP: 05571190, São Paulo</t>
  </si>
  <si>
    <t>47977472856</t>
  </si>
  <si>
    <t>Rua Savério Quadrio 621 / bloco 2 apê 402 - CEP 05571190 - Parque Ipê, São Paulo, São Paulo</t>
  </si>
  <si>
    <t>05571190</t>
  </si>
  <si>
    <t>10 de dezembro | 04:54</t>
  </si>
  <si>
    <t>11 de dezembro | 10:26</t>
  </si>
  <si>
    <t>MEL44150757043LMXDF01</t>
  </si>
  <si>
    <t>2000006724395861</t>
  </si>
  <si>
    <t>29 de novembro de 2024 02:06 hs.</t>
  </si>
  <si>
    <t>Chegou em 5 de dezembro</t>
  </si>
  <si>
    <t>Sidney Pires</t>
  </si>
  <si>
    <t>CPF 15593680809</t>
  </si>
  <si>
    <t>Rua Luiz Bottacin 115, Ribeirão Pires - CEP: 09403650, São Paulo</t>
  </si>
  <si>
    <t>15593680809</t>
  </si>
  <si>
    <t>Rua Luiz Bottacin 115 / CEP 09403650 - Aliança, Ribeirão Pires, São Paulo</t>
  </si>
  <si>
    <t>Ribeirão Pires</t>
  </si>
  <si>
    <t>09403650</t>
  </si>
  <si>
    <t>4 de dezembro | 04:53</t>
  </si>
  <si>
    <t>5 de dezembro | 13:50</t>
  </si>
  <si>
    <t>MEL44150684622LMXDF01</t>
  </si>
  <si>
    <t>2000009987551120</t>
  </si>
  <si>
    <t>28 de novembro de 2024 23:32 hs.</t>
  </si>
  <si>
    <t>Lidiane Costa de Souza</t>
  </si>
  <si>
    <t>CPF 36824129801</t>
  </si>
  <si>
    <t>RUA JOSÉ RAMPAZZO 238, Cosmópolis - CEP: 13152256, São Paulo</t>
  </si>
  <si>
    <t>36824129801</t>
  </si>
  <si>
    <t>RUA JOSÉ RAMPAZZO 238 / Sala 2 - CEP 13152256 - Parque Residencial Rosamélia, Cosmópolis, São Paulo</t>
  </si>
  <si>
    <t>13152256</t>
  </si>
  <si>
    <t>12 de dezembro | 16:37</t>
  </si>
  <si>
    <t>MEL44150018939LMXDF01</t>
  </si>
  <si>
    <t>https://myaccount.mercadolivre.com.br/shipments/44150018939/detail</t>
  </si>
  <si>
    <t>2000009987278098</t>
  </si>
  <si>
    <t>28 de novembro de 2024 23:03 hs.</t>
  </si>
  <si>
    <t>Laurici Santos Amaral Ricartes</t>
  </si>
  <si>
    <t>CPF 86885570125</t>
  </si>
  <si>
    <t>Rua das Garças 835 - Ap. 501, Campo Grande - CEP: 79010020, Mato Grosso do Sul</t>
  </si>
  <si>
    <t>86885570125</t>
  </si>
  <si>
    <t>Rua das Garças 835 / Ap. 501 - CEP 79010020 - Centro, Campo Grande, Mato Grosso do Sul</t>
  </si>
  <si>
    <t>Campo Grande</t>
  </si>
  <si>
    <t>79010020</t>
  </si>
  <si>
    <t>12 de dezembro | 11:42</t>
  </si>
  <si>
    <t>MEL44150096050LMXDF01</t>
  </si>
  <si>
    <t>2000006724910963</t>
  </si>
  <si>
    <t>28 de novembro de 2024 22:28 hs.</t>
  </si>
  <si>
    <t>Priscila Ferreira Rocha</t>
  </si>
  <si>
    <t>CPF 01607321661</t>
  </si>
  <si>
    <t>Rua Paulo Avelino Neto 245, Montes Claros - CEP: 39402326, Minas Gerais</t>
  </si>
  <si>
    <t>01607321661</t>
  </si>
  <si>
    <t>Rua Paulo Avelino Neto 245 / Casa - CEP 39402326 - Antônio Pimenta, Montes Claros, Minas Gerais</t>
  </si>
  <si>
    <t>39402326</t>
  </si>
  <si>
    <t>10 de dezembro | 02:34</t>
  </si>
  <si>
    <t>11 de dezembro | 14:04</t>
  </si>
  <si>
    <t>MEL44149741681LMXDF01</t>
  </si>
  <si>
    <t>2000009986876020</t>
  </si>
  <si>
    <t>28 de novembro de 2024 22:25 hs.</t>
  </si>
  <si>
    <t>Deya Souza</t>
  </si>
  <si>
    <t>CPF 34579849809</t>
  </si>
  <si>
    <t>Rua Davide Perez 297 - apt 104 bloco 3, São Paulo - CEP: 04470260, São Paulo</t>
  </si>
  <si>
    <t>34579849809</t>
  </si>
  <si>
    <t>Rua Davide Perez 297 / apt 104 bloco 3 - CEP 04470260 - Jardim Bandeirantes, São Paulo, São Paulo</t>
  </si>
  <si>
    <t>04470260</t>
  </si>
  <si>
    <t>11 de dezembro | 12:38</t>
  </si>
  <si>
    <t>MEL44149928370LMXDF01</t>
  </si>
  <si>
    <t>2000006724735735</t>
  </si>
  <si>
    <t>28 de novembro de 2024 22:01 hs.</t>
  </si>
  <si>
    <t>Wilson Jose Ferreira da Silva</t>
  </si>
  <si>
    <t>CPF 08821099792</t>
  </si>
  <si>
    <t>Rua José de Assis Ferreira 243 - casa 1, Nova Iguaçu - CEP: 26285590, Rio de Janeiro</t>
  </si>
  <si>
    <t>08821099792</t>
  </si>
  <si>
    <t>Rua José de Assis Ferreira 243 / casa 1 Referencia: proximo ao bar do peixe - CEP 26285590 - Chacrinha, Nova Iguaçu, Rio de Janeiro</t>
  </si>
  <si>
    <t>Nova Iguaçu</t>
  </si>
  <si>
    <t>26285590</t>
  </si>
  <si>
    <t>10 de dezembro | 01:17</t>
  </si>
  <si>
    <t>10 de dezembro | 14:00</t>
  </si>
  <si>
    <t>MEL44149622235LMXDF01</t>
  </si>
  <si>
    <t>2000006724454631</t>
  </si>
  <si>
    <t>28 de novembro de 2024 21:21 hs.</t>
  </si>
  <si>
    <t>Reinaldo Pereira da Silva</t>
  </si>
  <si>
    <t>CPF 87613530191</t>
  </si>
  <si>
    <t>Avenida Tiradentes 521, Mara Rosa - CEP: 76490000, Goiás</t>
  </si>
  <si>
    <t>87613530191</t>
  </si>
  <si>
    <t>Avenida Tiradentes 521 / CEP 76490000 - Mara Rosa, Mara Rosa, Goiás</t>
  </si>
  <si>
    <t>Mara Rosa</t>
  </si>
  <si>
    <t>76490000</t>
  </si>
  <si>
    <t>12 de dezembro | 13:56</t>
  </si>
  <si>
    <t>MEL44149626558LMXDF01</t>
  </si>
  <si>
    <t>2000009986108688</t>
  </si>
  <si>
    <t>28 de novembro de 2024 21:20 hs.</t>
  </si>
  <si>
    <t>Dirce ribeiro santos</t>
  </si>
  <si>
    <t>CPF 42896428100</t>
  </si>
  <si>
    <t>Quadra 306 Conjunto 7 10 - próximo ao bombeiro., Brasília - CEP: 72621312, Distrito Federal</t>
  </si>
  <si>
    <t>42896428100</t>
  </si>
  <si>
    <t>Quadra 306 Conjunto 7 10 / próximo ao bombeiro. Referencia: recanto das emas rua do corpo de bombeiros. - CEP 72621312 - Recanto das Emas, Brasília, Distrito Federal</t>
  </si>
  <si>
    <t>Brasília</t>
  </si>
  <si>
    <t>Distrito Federal</t>
  </si>
  <si>
    <t>72621312</t>
  </si>
  <si>
    <t>11 de dezembro | 15:16</t>
  </si>
  <si>
    <t>MEL44149409727LMXDF01</t>
  </si>
  <si>
    <t>2000009986037618</t>
  </si>
  <si>
    <t>28 de novembro de 2024 21:14 hs.</t>
  </si>
  <si>
    <t>Rosa Maria Ramos da Silveira</t>
  </si>
  <si>
    <t>CPF 41196201072</t>
  </si>
  <si>
    <t>Rua Nelson Duarte Brochado 9 - Esc.  saúde publlica, Porto Alegre - CEP: 90610090, Rio Grande do Sul</t>
  </si>
  <si>
    <t>41196201072</t>
  </si>
  <si>
    <t>Rua Nelson Duarte Brochado 9 / Esc.  saúde publlica Referencia: etsus tel 51 39011508 - CEP 90610090 - Partenon, Porto Alegre, Rio Grande do Sul</t>
  </si>
  <si>
    <t>90610090</t>
  </si>
  <si>
    <t>5 de dezembro | 05:24</t>
  </si>
  <si>
    <t>9 de dezembro | 11:32</t>
  </si>
  <si>
    <t>MEL44149579472LMXDF01</t>
  </si>
  <si>
    <t>2000006724349775</t>
  </si>
  <si>
    <t>28 de novembro de 2024 21:07 hs.</t>
  </si>
  <si>
    <t>Suellen Lopes Dos Santos</t>
  </si>
  <si>
    <t>CPF 41431318892</t>
  </si>
  <si>
    <t>Rua Antônio Serafim Zampieri 100 - Casa 17, São Bernardo do Campo - CEP: 09820050, São Paulo</t>
  </si>
  <si>
    <t>41431318892</t>
  </si>
  <si>
    <t>Rua Antônio Serafim Zampieri 100 / Casa 17 - CEP 09820050 - Demarchi, São Bernardo do Campo, São Paulo</t>
  </si>
  <si>
    <t>09820050</t>
  </si>
  <si>
    <t>9 de dezembro | 12:45</t>
  </si>
  <si>
    <t>MEL44149355889LMXDF01</t>
  </si>
  <si>
    <t>2000006724258627</t>
  </si>
  <si>
    <t>28 de novembro de 2024 20:54 hs.</t>
  </si>
  <si>
    <t>Geraldo Elizeu Sobral</t>
  </si>
  <si>
    <t>CPF 12084463807</t>
  </si>
  <si>
    <t>Rua Araras 548 548, Várzea Paulista - CEP: 13222400, São Paulo</t>
  </si>
  <si>
    <t>12084463807</t>
  </si>
  <si>
    <t>Rua Araras 548 / CEP 13222400 - Jardim América, Várzea Paulista, São Paulo</t>
  </si>
  <si>
    <t>Várzea Paulista</t>
  </si>
  <si>
    <t>13222400</t>
  </si>
  <si>
    <t>8 de dezembro | 11:34</t>
  </si>
  <si>
    <t>MEL44149489474LMXDF01</t>
  </si>
  <si>
    <t>2000006724217657</t>
  </si>
  <si>
    <t>28 de novembro de 2024 20:47 hs.</t>
  </si>
  <si>
    <t>Devolução a caminho</t>
  </si>
  <si>
    <t>Chegará entre 17 e 23 de janeiro. Se houver algum problema, você pode nos avisar quando receber.</t>
  </si>
  <si>
    <t>Ezequiel Gasperin</t>
  </si>
  <si>
    <t>CPF 09925476950</t>
  </si>
  <si>
    <t>Rua Almirante Tamandaré 2036, São Miguel do Oeste - CEP: 89900000, Santa Catarina</t>
  </si>
  <si>
    <t>09925476950</t>
  </si>
  <si>
    <t>Avenida das Américas 13685 / "Loja J2, 129 Referencia: Farmácia De Manipulação Fórmula Da Terra - A4 Office"</t>
  </si>
  <si>
    <t>22790701</t>
  </si>
  <si>
    <t>13 de dezembro | 14:30</t>
  </si>
  <si>
    <t>AK793649545BR</t>
  </si>
  <si>
    <t>https://www2.correios.com.br/sistemas/rastreamento/resultado.cfm</t>
  </si>
  <si>
    <t>2000006723715779</t>
  </si>
  <si>
    <t>28 de novembro de 2024 19:32 hs.</t>
  </si>
  <si>
    <t>Chegou em 6 de dezembro</t>
  </si>
  <si>
    <t>Karla Sousa Rocha Cavalcante</t>
  </si>
  <si>
    <t>CPF 33541437898</t>
  </si>
  <si>
    <t>Estrada João Carlos de Moura 727, Francisco Morato - CEP: 07980040, São Paulo</t>
  </si>
  <si>
    <t>33541437898</t>
  </si>
  <si>
    <t>Estrada João Carlos de Moura 727 / CEP 07980040 - Recanto Feliz, Francisco Morato, São Paulo</t>
  </si>
  <si>
    <t>Francisco Morato</t>
  </si>
  <si>
    <t>07980040</t>
  </si>
  <si>
    <t>5 de dezembro | 04:51</t>
  </si>
  <si>
    <t>6 de dezembro | 17:57</t>
  </si>
  <si>
    <t>MEL44148900495LMXDF01</t>
  </si>
  <si>
    <t>2000009984708202</t>
  </si>
  <si>
    <t>28 de novembro de 2024 19:11 hs.</t>
  </si>
  <si>
    <t>Tamara de Cassia Dos Santos Pontes</t>
  </si>
  <si>
    <t>CPF 11585800457</t>
  </si>
  <si>
    <t>Rua Carlos Lôbo Moreira Brêda 768 - Q c 6 n 768B, Maceió - CEP: 57063242, Alagoas</t>
  </si>
  <si>
    <t>11585800457</t>
  </si>
  <si>
    <t>Rua Carlos Lôbo Moreira Brêda 768 / Q c 6 n 768B Referencia: Cond res jardim petropolis ll
Localizado por trás de um posto de gasolina chamado  auto posto maceio - CEP 57063242 - Santa Amélia, Maceió, Alagoas</t>
  </si>
  <si>
    <t>Maceió</t>
  </si>
  <si>
    <t>Alagoas</t>
  </si>
  <si>
    <t>57063242</t>
  </si>
  <si>
    <t>11 de dezembro | 16:36</t>
  </si>
  <si>
    <t>MEL44148994432LMXDF01</t>
  </si>
  <si>
    <t>2000006723414651</t>
  </si>
  <si>
    <t>28 de novembro de 2024 18:46 hs.</t>
  </si>
  <si>
    <t>Angela Santos Santana Nunes</t>
  </si>
  <si>
    <t>CPF 25714828828</t>
  </si>
  <si>
    <t>Rua Otto Shubart 35, São Paulo - CEP: 03238030, São Paulo</t>
  </si>
  <si>
    <t>25714828828</t>
  </si>
  <si>
    <t>Rua Otto Shubart 35 / Referencia: caso não tenha ninguém,  entregar no número 34 - CEP 03238030 - Parque São Lucas, São Paulo, São Paulo</t>
  </si>
  <si>
    <t>03238030</t>
  </si>
  <si>
    <t>8 de dezembro | 10:59</t>
  </si>
  <si>
    <t>MEL44148686571LMXDF01</t>
  </si>
  <si>
    <t>2000009984290858</t>
  </si>
  <si>
    <t>28 de novembro de 2024 18:31 hs.</t>
  </si>
  <si>
    <t>waldineia fonseca</t>
  </si>
  <si>
    <t>CPF 10798271612</t>
  </si>
  <si>
    <t>Rua Francisco De Oliveira Penteado 1305, Pindamonhangaba - CEP: 12422570, São Paulo</t>
  </si>
  <si>
    <t>10798271612</t>
  </si>
  <si>
    <t>Rua Francisco De Oliveira Penteado 1305 / Casa Da Frente - CEP 12422570 - Jardim Residencial Doutor Lessa, Pindamonhangaba, São Paulo</t>
  </si>
  <si>
    <t>12422570</t>
  </si>
  <si>
    <t>5 de dezembro | 05:51</t>
  </si>
  <si>
    <t>6 de dezembro | 13:44</t>
  </si>
  <si>
    <t>MEL44148617795LMXDF01</t>
  </si>
  <si>
    <t>2000006723101787</t>
  </si>
  <si>
    <t>28 de novembro de 2024 18:07 hs.</t>
  </si>
  <si>
    <t>Bruno Enrico Dos Santos Britto</t>
  </si>
  <si>
    <t>CPF 32797314883</t>
  </si>
  <si>
    <t>Avenida Presidente Juscelino Kubitschek 1489 - Eataly, São Paulo - CEP: 04543011, São Paulo</t>
  </si>
  <si>
    <t>32797314883</t>
  </si>
  <si>
    <t>Avenida Presidente Juscelino Kubitschek 1489 / Eataly Referencia: Mercado Eataly...deixar na recepção - CEP 04543011 - Vila Nova Conceição, São Paulo, São Paulo</t>
  </si>
  <si>
    <t>04543011</t>
  </si>
  <si>
    <t>5 de dezembro | 04:42</t>
  </si>
  <si>
    <t>6 de dezembro | 17:00</t>
  </si>
  <si>
    <t>MEL44148703620LMXDF01</t>
  </si>
  <si>
    <t>2000006722847699</t>
  </si>
  <si>
    <t>28 de novembro de 2024 17:20 hs.</t>
  </si>
  <si>
    <t>Gilza Chaves Brandão Silva</t>
  </si>
  <si>
    <t>CPF 09338703886</t>
  </si>
  <si>
    <t>Travessa Cleriston Andrade 840 - Casa, Campo Formoso - CEP: 44790000, Bahia</t>
  </si>
  <si>
    <t>09338703886</t>
  </si>
  <si>
    <t>Travessa Cleriston Andrade 840 / Casa Referencia: Em frente ao cais da antiga delegacia provisória (perto do mutirão). - CEP 44790000 - Colina do sol, Campo Formoso, Bahia</t>
  </si>
  <si>
    <t>Campo Formoso</t>
  </si>
  <si>
    <t>44790000</t>
  </si>
  <si>
    <t>7 de dezembro | 02:48</t>
  </si>
  <si>
    <t>10 de dezembro | 13:59</t>
  </si>
  <si>
    <t>MEL44148278921LMXDF01</t>
  </si>
  <si>
    <t>2000009983488216</t>
  </si>
  <si>
    <t>28 de novembro de 2024 17:14 hs.</t>
  </si>
  <si>
    <t>MLB3553578929</t>
  </si>
  <si>
    <t>Polypodium Leucotomos 400 Mg - Protetor Solar Oral C/90 Caps</t>
  </si>
  <si>
    <t>Marta De Souza De Jesus</t>
  </si>
  <si>
    <t>CPF 83288260549</t>
  </si>
  <si>
    <t>Vila Verde 10 - ao lado clube dos 40, Macaé - CEP: 27966545, Rio de Janeiro</t>
  </si>
  <si>
    <t>83288260549</t>
  </si>
  <si>
    <t>Vila Verde 10 / ao lado clube dos 40 Referencia: minha casa - CEP 27966545 - Lagomar, Macaé, Rio de Janeiro</t>
  </si>
  <si>
    <t>Macaé</t>
  </si>
  <si>
    <t>27966545</t>
  </si>
  <si>
    <t>7 de dezembro | 00:25</t>
  </si>
  <si>
    <t>7 de dezembro | 12:58</t>
  </si>
  <si>
    <t>MEL44148257055LMXDF01</t>
  </si>
  <si>
    <t>2000009983463888</t>
  </si>
  <si>
    <t>Valeria Cardozo de Oliveira</t>
  </si>
  <si>
    <t>CPF 19460008844</t>
  </si>
  <si>
    <t>Rua Doutor Valentim Amaral 100, São Paulo - CEP: 01524020, São Paulo</t>
  </si>
  <si>
    <t>19460008844</t>
  </si>
  <si>
    <t>Rua Doutor Valentim Amaral 100 / Viva Benx apto 2706 Referencia: Próximo ao Carrefour Praca Alberto Lion - CEP 01524020 - Cambuci, São Paulo, São Paulo</t>
  </si>
  <si>
    <t>01524020</t>
  </si>
  <si>
    <t>8 de dezembro | 12:09</t>
  </si>
  <si>
    <t>MEL44148450396LMXDF01</t>
  </si>
  <si>
    <t>2000009983409690</t>
  </si>
  <si>
    <t>28 de novembro de 2024 17:09 hs.</t>
  </si>
  <si>
    <t>Fabio Junior Fabiano</t>
  </si>
  <si>
    <t>CPF 05081970905</t>
  </si>
  <si>
    <t>Avenida Presidente Humberto de Alencar Castelo Branco 651 - funilaria ART fênix, Apiaí - CEP: 18320644, São Paulo</t>
  </si>
  <si>
    <t>05081970905</t>
  </si>
  <si>
    <t>Avenida Presidente Humberto de Alencar Castelo Branco 651 / funilaria ART fênix Referencia: moro no fundo da oficina - CEP 18320644 - Pinheiros II, Apiaí, São Paulo</t>
  </si>
  <si>
    <t>Apiaí</t>
  </si>
  <si>
    <t>18320644</t>
  </si>
  <si>
    <t>5 de dezembro | 05:56</t>
  </si>
  <si>
    <t>6 de dezembro | 14:26</t>
  </si>
  <si>
    <t>MEL44148228491LMXDF01</t>
  </si>
  <si>
    <t>2000006722430753</t>
  </si>
  <si>
    <t>28 de novembro de 2024 16:18 hs.</t>
  </si>
  <si>
    <t>Victoria De Andrade Menezes</t>
  </si>
  <si>
    <t>CPF 85306002749</t>
  </si>
  <si>
    <t>Rua 4 144 - Atrás do hospital, Barra de São João - CEP: 28880000, Rio de Janeiro</t>
  </si>
  <si>
    <t>85306002749</t>
  </si>
  <si>
    <t>Rua 4 144 / Atrás do hospital - CEP 28880000 - Nova Barra, Barra de São João, Rio de Janeiro</t>
  </si>
  <si>
    <t>Barra de São João</t>
  </si>
  <si>
    <t>28880000</t>
  </si>
  <si>
    <t>4 de dezembro | 00:25</t>
  </si>
  <si>
    <t>4 de dezembro | 14:24</t>
  </si>
  <si>
    <t>MEL44147969393LMXDF01</t>
  </si>
  <si>
    <t>2000009982464528</t>
  </si>
  <si>
    <t>28 de novembro de 2024 15:41 hs.</t>
  </si>
  <si>
    <t>GABRIEL TROFINO MAGALHAES</t>
  </si>
  <si>
    <t>CPF 16026045686</t>
  </si>
  <si>
    <t>Rua Marrom 435, Belo Horizonte - CEP: 31970735, Minas Gerais</t>
  </si>
  <si>
    <t>16026045686</t>
  </si>
  <si>
    <t>31970735</t>
  </si>
  <si>
    <t>MEL44147785005FMXDF01</t>
  </si>
  <si>
    <t>2000009982169884</t>
  </si>
  <si>
    <t>28 de novembro de 2024 15:16 hs.</t>
  </si>
  <si>
    <t>Marcos Vieira Chaves</t>
  </si>
  <si>
    <t>CPF 03054227154</t>
  </si>
  <si>
    <t>Avenida São Paulo 759, Lucas do Rio Verde - CEP: 78466165, Mato Grosso</t>
  </si>
  <si>
    <t>03054227154</t>
  </si>
  <si>
    <t>Avenida São Paulo 759 / Barbearia Scorpion Em Frente Ao Hotel Maiara - CEP 78466165 - Parque dos Buritis, Lucas do Rio Verde, Mato Grosso</t>
  </si>
  <si>
    <t>Lucas do Rio Verde</t>
  </si>
  <si>
    <t>78466165</t>
  </si>
  <si>
    <t>12 de dezembro | 14:29</t>
  </si>
  <si>
    <t>MEL44147852744LMXDF01</t>
  </si>
  <si>
    <t>2000006721956917</t>
  </si>
  <si>
    <t>28 de novembro de 2024 15:11 hs.</t>
  </si>
  <si>
    <t>Valeria Gimenes da Silva</t>
  </si>
  <si>
    <t>CPF 50498053768</t>
  </si>
  <si>
    <t>Rua Joaquim Cardoso 104 104, Rio de Janeiro - CEP: 22795035, Rio de Janeiro</t>
  </si>
  <si>
    <t>50498053768</t>
  </si>
  <si>
    <t>Rua Joaquim Cardoso 104 / apt 202 - CEP 22795035 - Recreio dos Bandeirantes, Rio de Janeiro, Rio de Janeiro</t>
  </si>
  <si>
    <t>22795035</t>
  </si>
  <si>
    <t>7 de dezembro | 20:13</t>
  </si>
  <si>
    <t>MEL44147626969LMXDF01</t>
  </si>
  <si>
    <t>2000009981326750</t>
  </si>
  <si>
    <t>28 de novembro de 2024 14:02 hs.</t>
  </si>
  <si>
    <t>Ivone Gregorio</t>
  </si>
  <si>
    <t>CPF 28702924811</t>
  </si>
  <si>
    <t>irá pasqualine 311, Guararema - CEP: 08900000, São Paulo</t>
  </si>
  <si>
    <t>28702924811</t>
  </si>
  <si>
    <t>irá pasqualine 311 / CEP 08900000 - Jardim Dulce, Guararema, São Paulo</t>
  </si>
  <si>
    <t>Guararema</t>
  </si>
  <si>
    <t>08900000</t>
  </si>
  <si>
    <t>8 de dezembro | 12:30</t>
  </si>
  <si>
    <t>MEL44147267895LMXDF01</t>
  </si>
  <si>
    <t>2000009981318834</t>
  </si>
  <si>
    <t>28 de novembro de 2024 14:01 hs.</t>
  </si>
  <si>
    <t>Dione Peterson</t>
  </si>
  <si>
    <t>CPF 06360542170</t>
  </si>
  <si>
    <t>AV DORVALINO DOS SANTOS 593, Sidrolândia - CEP: 79170000, Mato Grosso do Sul</t>
  </si>
  <si>
    <t>06360542170</t>
  </si>
  <si>
    <t>AV DORVALINO DOS SANTOS 593 / Loterica - CEP 79170000 - CENTRO, Sidrolândia, Mato Grosso do Sul</t>
  </si>
  <si>
    <t>Sidrolândia</t>
  </si>
  <si>
    <t>79170000</t>
  </si>
  <si>
    <t>12 de dezembro | 10:32</t>
  </si>
  <si>
    <t>MEL44147265015LMXDF01</t>
  </si>
  <si>
    <t>https://myaccount.mercadolivre.com.br/shipments/44147265015/detail</t>
  </si>
  <si>
    <t>2000009981219132</t>
  </si>
  <si>
    <t>28 de novembro de 2024 13:53 hs.</t>
  </si>
  <si>
    <t>Edilma Sueli Dias</t>
  </si>
  <si>
    <t>CPF 49022032949</t>
  </si>
  <si>
    <t>Rua Visconde de Baraúna 1368, Ponta Grossa - CEP: 84016300, Paraná</t>
  </si>
  <si>
    <t>49022032949</t>
  </si>
  <si>
    <t>Rua Visconde de Baraúna 1368 / Referencia: Escola Fioravante slavieiro - CEP 84016300 - Jardim Carvalho, Ponta Grossa, Paraná</t>
  </si>
  <si>
    <t>84016300</t>
  </si>
  <si>
    <t>9 de dezembro | 13:27</t>
  </si>
  <si>
    <t>MEL44147219429LMXDF01</t>
  </si>
  <si>
    <t>2000009981194038</t>
  </si>
  <si>
    <t>28 de novembro de 2024 13:51 hs.</t>
  </si>
  <si>
    <t>Florindo Antonio Dias</t>
  </si>
  <si>
    <t>CPF 00467653950</t>
  </si>
  <si>
    <t>Rua Atílio Antonio Kirch 39 - rua sem saída, Concórdia - CEP: 89712060, Santa Catarina</t>
  </si>
  <si>
    <t>00467653950</t>
  </si>
  <si>
    <t>Rua Atílio Antonio Kirch 39 / rua sem saída Referencia: entregar somente de tarde apos 14 hs outro horário não tem ninguém p receber a mercadoria - CEP 89712060 - Vila Jacob Biezus, Concórdia, Santa Catarina</t>
  </si>
  <si>
    <t>Concórdia</t>
  </si>
  <si>
    <t>89712060</t>
  </si>
  <si>
    <t>11 de dezembro | 18:21</t>
  </si>
  <si>
    <t>MEL44147398264LMXDF01</t>
  </si>
  <si>
    <t>2000009980863356</t>
  </si>
  <si>
    <t>28 de novembro de 2024 13:23 hs.</t>
  </si>
  <si>
    <t>Raissa Pereira</t>
  </si>
  <si>
    <t>CPF 04475560292</t>
  </si>
  <si>
    <t>Rua Venezuela 1605, Itapuã do Oeste - CEP: 76861000, Rondônia</t>
  </si>
  <si>
    <t>04475560292</t>
  </si>
  <si>
    <t>Rua Venezuela 1605 / CEP 76861000 - centro, Itapuã do Oeste, Rondônia</t>
  </si>
  <si>
    <t>Itapuã do Oeste</t>
  </si>
  <si>
    <t>Rondônia</t>
  </si>
  <si>
    <t>76861000</t>
  </si>
  <si>
    <t>7 de dezembro | 00:54</t>
  </si>
  <si>
    <t>11 de dezembro | 12:28</t>
  </si>
  <si>
    <t>MEL44147257578LMXDF01</t>
  </si>
  <si>
    <t>2000006721102347</t>
  </si>
  <si>
    <t>28 de novembro de 2024 13:13 hs.</t>
  </si>
  <si>
    <t>Hermes Spínola</t>
  </si>
  <si>
    <t>CPF 78095395587</t>
  </si>
  <si>
    <t>Rua Juvêncio Mendes 137, Conceição do Coité - CEP: 48730000, Bahia</t>
  </si>
  <si>
    <t>78095395587</t>
  </si>
  <si>
    <t>Rua Juvêncio Mendes 137 / Setor de Licitação Referencia: PRÓXIMO AO DIGITAL NET (CONHECIDA RUA DO FOGO) - CEP 48730000 - Centro, Conceição do Coité, Bahia</t>
  </si>
  <si>
    <t>Conceição do Coité</t>
  </si>
  <si>
    <t>48730000</t>
  </si>
  <si>
    <t>5 de dezembro | 04:22</t>
  </si>
  <si>
    <t>9 de dezembro | 20:53</t>
  </si>
  <si>
    <t>MEL44147211044LMXDF01</t>
  </si>
  <si>
    <t>2000009980525824</t>
  </si>
  <si>
    <t>28 de novembro de 2024 12:53 hs.</t>
  </si>
  <si>
    <t>leo leo</t>
  </si>
  <si>
    <t>CPF 43289267806</t>
  </si>
  <si>
    <t>Rua Dona Joana de Menezes Faro 353, Guarujá - CEP: 11462000, São Paulo</t>
  </si>
  <si>
    <t>43289267806</t>
  </si>
  <si>
    <t>Rua Dona Joana de Menezes Faro 353 / CEP 11462000 - Sítio Paecara (Vicente de Carvalho), Guarujá, São Paulo</t>
  </si>
  <si>
    <t>Guarujá</t>
  </si>
  <si>
    <t>11462000</t>
  </si>
  <si>
    <t>5 de dezembro | 04:54</t>
  </si>
  <si>
    <t>6 de dezembro | 12:57</t>
  </si>
  <si>
    <t>MEL44146911267LMXDF01</t>
  </si>
  <si>
    <t>2000009980162546</t>
  </si>
  <si>
    <t>28 de novembro de 2024 12:21 hs.</t>
  </si>
  <si>
    <t>Raquel Fatima Vieira</t>
  </si>
  <si>
    <t>CPF 39392953020</t>
  </si>
  <si>
    <t>Rua Carapicuíba 69, Santo André - CEP: 09051430, São Paulo</t>
  </si>
  <si>
    <t>39392953020</t>
  </si>
  <si>
    <t>Rua Carapicuíba 69 / Fundos - CEP 09051430 - Vila Scarpelli, Santo André, São Paulo</t>
  </si>
  <si>
    <t>Santo André</t>
  </si>
  <si>
    <t>09051430</t>
  </si>
  <si>
    <t>8 de dezembro | 09:15</t>
  </si>
  <si>
    <t>MEL44146743207LMXDF01</t>
  </si>
  <si>
    <t>2000009980149124</t>
  </si>
  <si>
    <t>Tina rodrigues</t>
  </si>
  <si>
    <t>CPF 08264906389</t>
  </si>
  <si>
    <t>Rua SN, Barra D'Alcântara - CEP: 64528000, Piauí</t>
  </si>
  <si>
    <t>08264906389</t>
  </si>
  <si>
    <t>Rua SN / Referencia: Gogó da ema - CEP 64528000 - Bairro tanque, Barra D'Alcântara, Piauí</t>
  </si>
  <si>
    <t>Barra D'Alcântara</t>
  </si>
  <si>
    <t>64528000</t>
  </si>
  <si>
    <t>5 de dezembro | 00:53</t>
  </si>
  <si>
    <t>8 de dezembro | 13:24</t>
  </si>
  <si>
    <t>MEL44146740067LMXDF01</t>
  </si>
  <si>
    <t>2000006720580863</t>
  </si>
  <si>
    <t>28 de novembro de 2024 12:01 hs.</t>
  </si>
  <si>
    <t>Ana Flavia de Oliveira E Silva</t>
  </si>
  <si>
    <t>CPF 01813774110</t>
  </si>
  <si>
    <t>Edifício San Marco Rua T-62 SN - Apto 703, Goiânia - CEP: 74823330, Goiás</t>
  </si>
  <si>
    <t>01813774110</t>
  </si>
  <si>
    <t>Edifício San Marco Rua T-62 SN / Apto 703 Referencia: Deixar no armário inteligente - CEP 74823330 - Setor Bela Vista, Goiânia, Goiás</t>
  </si>
  <si>
    <t>74823330</t>
  </si>
  <si>
    <t>5 de dezembro | 02:46</t>
  </si>
  <si>
    <t>7 de dezembro | 13:13</t>
  </si>
  <si>
    <t>MEL44146831692LMXDF01</t>
  </si>
  <si>
    <t>2000009979782328</t>
  </si>
  <si>
    <t>28 de novembro de 2024 11:49 hs.</t>
  </si>
  <si>
    <t>Lilian Maria Matos Sanches E Souza</t>
  </si>
  <si>
    <t>CPF 56472315604</t>
  </si>
  <si>
    <t>Rua Cassiterita 368 - casa A, Belo Horizonte - CEP: 31080150, Minas Gerais</t>
  </si>
  <si>
    <t>56472315604</t>
  </si>
  <si>
    <t>Rua Cassiterita 368 / casa A - CEP 31080150 - Santa Inês, Belo Horizonte, Minas Gerais</t>
  </si>
  <si>
    <t>31080150</t>
  </si>
  <si>
    <t>7 de dezembro | 01:23</t>
  </si>
  <si>
    <t>7 de dezembro | 17:11</t>
  </si>
  <si>
    <t>MEL44146573057LMXDF01</t>
  </si>
  <si>
    <t>2000006720463017</t>
  </si>
  <si>
    <t>28 de novembro de 2024 11:44 hs.</t>
  </si>
  <si>
    <t>00381</t>
  </si>
  <si>
    <t>MLB5082561722</t>
  </si>
  <si>
    <t>Vit D 5000 Ui + Vit B12 1 Mg - C/90 Cáps</t>
  </si>
  <si>
    <t xml:space="preserve">Jackeline  Guimaraes Silveira de Jesus </t>
  </si>
  <si>
    <t>CPF 10958314705</t>
  </si>
  <si>
    <t>Rua Antenor Ubinha 753 - Quadra 11 Lote 21, Itatiba - CEP: 13254623, São Paulo</t>
  </si>
  <si>
    <t>10958314705</t>
  </si>
  <si>
    <t>Rua Antenor Ubinha 753 / Quadra 11 Lote 21 - CEP 13254623 - Residencial Fazenda Serrinha, Itatiba, São Paulo</t>
  </si>
  <si>
    <t>Itatiba</t>
  </si>
  <si>
    <t>13254623</t>
  </si>
  <si>
    <t>9 de dezembro | 15:57</t>
  </si>
  <si>
    <t>MEL44146740130LMXDF01</t>
  </si>
  <si>
    <t>2000009979697694</t>
  </si>
  <si>
    <t>28 de novembro de 2024 11:43 hs.</t>
  </si>
  <si>
    <t>adelina ribeiro</t>
  </si>
  <si>
    <t>CPF 07739839612</t>
  </si>
  <si>
    <t>Rua Cristo Redentor 72 - mercadinho Jaburu, São Paulo - CEP: 04236260, São Paulo</t>
  </si>
  <si>
    <t>07739839612</t>
  </si>
  <si>
    <t>Rua Cristo Redentor 72 / mercadinho Jaburu Referencia: mercadinho jaburu em frente o campo do hospital heliopolis - CEP 04236260 - Cidade Nova Heliópolis, São Paulo, São Paulo</t>
  </si>
  <si>
    <t>04236260</t>
  </si>
  <si>
    <t>8 de dezembro | 14:02</t>
  </si>
  <si>
    <t>MEL44146541143LMXDF01</t>
  </si>
  <si>
    <t>2000009979553612</t>
  </si>
  <si>
    <t>28 de novembro de 2024 11:32 hs.</t>
  </si>
  <si>
    <t xml:space="preserve">Evandro  Teixeira Gonçalves </t>
  </si>
  <si>
    <t>CPF 04090069637</t>
  </si>
  <si>
    <t>Rua Java 65, Betim - CEP: 32675598, Minas Gerais</t>
  </si>
  <si>
    <t>04090069637</t>
  </si>
  <si>
    <t>Rua Java 65 / Casa - CEP 32675598 - São Luiz, Betim, Minas Gerais</t>
  </si>
  <si>
    <t>Betim</t>
  </si>
  <si>
    <t>32675598</t>
  </si>
  <si>
    <t>7 de dezembro | 01:54</t>
  </si>
  <si>
    <t>7 de dezembro | 16:17</t>
  </si>
  <si>
    <t>MEL44146475577LMXDF01</t>
  </si>
  <si>
    <t>2000009979320750</t>
  </si>
  <si>
    <t>28 de novembro de 2024 11:11 hs.</t>
  </si>
  <si>
    <t>fabiana DUDZIAK</t>
  </si>
  <si>
    <t>CPF 05489102942</t>
  </si>
  <si>
    <t>Rua Frederico Maurer 2787, Curitiba - CEP: 81670020, Paraná</t>
  </si>
  <si>
    <t>05489102942</t>
  </si>
  <si>
    <t>Rua Frederico Maurer 2787 / Sob 01 - CEP 81670020 - Boqueirão, Curitiba, Paraná</t>
  </si>
  <si>
    <t>81670020</t>
  </si>
  <si>
    <t>8 de dezembro | 12:34</t>
  </si>
  <si>
    <t>MEL44146366707LMXDF01</t>
  </si>
  <si>
    <t>2000009978980030</t>
  </si>
  <si>
    <t>28 de novembro de 2024 10:41 hs.</t>
  </si>
  <si>
    <t>Claudete Ines Heckler</t>
  </si>
  <si>
    <t>CPF 93781075087</t>
  </si>
  <si>
    <t>Rua Emílio Müler 1085 - Conselho Tutelar, São José do Inhacorá - CEP: 98958000, Rio Grande do Sul</t>
  </si>
  <si>
    <t>93781075087</t>
  </si>
  <si>
    <t>Rua Emílio Müler 1085 / Conselho Tutelar - CEP 98958000 - centro, São José do Inhacorá, Rio Grande do Sul</t>
  </si>
  <si>
    <t>São José do Inhacorá</t>
  </si>
  <si>
    <t>98958000</t>
  </si>
  <si>
    <t>11 de dezembro | 09:50</t>
  </si>
  <si>
    <t>MEL44146402728LMXDF01</t>
  </si>
  <si>
    <t>2000009978843382</t>
  </si>
  <si>
    <t>28 de novembro de 2024 10:28 hs.</t>
  </si>
  <si>
    <t>Yolanda Freitas de Souza Pereira</t>
  </si>
  <si>
    <t>CPF 40581199855</t>
  </si>
  <si>
    <t>Avenida Paul Harris 1135 - Ap. 1 Bloco A, Leme - CEP: 13613190, São Paulo</t>
  </si>
  <si>
    <t>40581199855</t>
  </si>
  <si>
    <t>Avenida Paul Harris 1135 / Ap. 1 Bloco A - CEP 13613190 - Jardim do Bosque, Leme, São Paulo</t>
  </si>
  <si>
    <t>Leme</t>
  </si>
  <si>
    <t>13613190</t>
  </si>
  <si>
    <t>5 de dezembro | 05:52</t>
  </si>
  <si>
    <t>6 de dezembro | 16:29</t>
  </si>
  <si>
    <t>MEL44146153355LMXDF01</t>
  </si>
  <si>
    <t>2000009978646654</t>
  </si>
  <si>
    <t>28 de novembro de 2024 10:09 hs.</t>
  </si>
  <si>
    <t>Juliana Cristina da Silva</t>
  </si>
  <si>
    <t>CPF 03441888685</t>
  </si>
  <si>
    <t>Rua Sônia 28 - casa A sobreloja, Belo Horizonte - CEP: 31810500, Minas Gerais</t>
  </si>
  <si>
    <t>03441888685</t>
  </si>
  <si>
    <t>Rua Sônia 28 / casa A sobreloja Referencia: A Referencia: Próximo à Estação De Metrô Primeiro De Maio - CEP 31810500 - Primeiro de Maio, Belo Horizonte, Minas Gerais</t>
  </si>
  <si>
    <t>31810500</t>
  </si>
  <si>
    <t>7 de dezembro | 20:15</t>
  </si>
  <si>
    <t>MEL44146058215LMXDF01</t>
  </si>
  <si>
    <t>2000006719497703</t>
  </si>
  <si>
    <t>28 de novembro de 2024 09:14 hs.</t>
  </si>
  <si>
    <t>Eliseu Nogueira Moraes</t>
  </si>
  <si>
    <t>CPF 00612530060</t>
  </si>
  <si>
    <t>Rua Juvenal Herculano Cruz 373, Caxias do Sul - CEP: 95086140, Rio Grande do Sul</t>
  </si>
  <si>
    <t>00612530060</t>
  </si>
  <si>
    <t>Rua Juvenal Herculano Cruz 373 / CEP 95086140 - Planalto, Caxias do Sul, Rio Grande do Sul</t>
  </si>
  <si>
    <t>Caxias do Sul</t>
  </si>
  <si>
    <t>95086140</t>
  </si>
  <si>
    <t>11 de dezembro | 13:19</t>
  </si>
  <si>
    <t>MEL44146019476LMXDF01</t>
  </si>
  <si>
    <t>2000009978154166</t>
  </si>
  <si>
    <t>28 de novembro de 2024 09:13 hs.</t>
  </si>
  <si>
    <t>Cintia Moreira Teofilo</t>
  </si>
  <si>
    <t>CPF 12554018693</t>
  </si>
  <si>
    <t>Rua Alves de Figueiredo 1485 - 1485, São Tomás de Aquino - CEP: 37960000, Minas Gerais</t>
  </si>
  <si>
    <t>12554018693</t>
  </si>
  <si>
    <t>Rua Alves de Figueiredo 1485 / 1485 Referencia: Casa - CEP 37960000 - Centro, São Tomás de Aquino, Minas Gerais</t>
  </si>
  <si>
    <t>São Tomás de Aquino</t>
  </si>
  <si>
    <t>37960000</t>
  </si>
  <si>
    <t>7 de dezembro | 12:09</t>
  </si>
  <si>
    <t>MEL44146016194LMXDF01</t>
  </si>
  <si>
    <t>2000009978033194</t>
  </si>
  <si>
    <t>28 de novembro de 2024 09:01 hs.</t>
  </si>
  <si>
    <t>Norma Celia Fernandes Brito</t>
  </si>
  <si>
    <t>CPF 78472520153</t>
  </si>
  <si>
    <t>Rua Itapuranga SN - qd 178 LT 54, Trindade - CEP: 75380559, Goiás</t>
  </si>
  <si>
    <t>78472520153</t>
  </si>
  <si>
    <t>Rua Itapuranga SN / qd 178 LT 54 Referencia: qd 178 LT 54 - CEP 75380559 - Setor Maysa, Trindade, Goiás</t>
  </si>
  <si>
    <t>Trindade</t>
  </si>
  <si>
    <t>75380559</t>
  </si>
  <si>
    <t>9 de dezembro | 13:32</t>
  </si>
  <si>
    <t>MEL44145769929LMXDF01</t>
  </si>
  <si>
    <t>2000009978019946</t>
  </si>
  <si>
    <t>28 de novembro de 2024 09:00 hs.</t>
  </si>
  <si>
    <t>Bruna Scheffer Costa de Souza</t>
  </si>
  <si>
    <t>CPF 22937995810</t>
  </si>
  <si>
    <t>Rua dos Maias 865 - bloco R1 Ap 102, Porto Alegre - CEP: 91170200, Rio Grande do Sul</t>
  </si>
  <si>
    <t>22937995810</t>
  </si>
  <si>
    <t>Rua dos Maias 865 / bloco R1 Ap 102 - CEP 91170200 - Rubem Berta, Porto Alegre, Rio Grande do Sul</t>
  </si>
  <si>
    <t>91170200</t>
  </si>
  <si>
    <t>10 de dezembro | 17:16</t>
  </si>
  <si>
    <t>MEL44145767367LMXDF01</t>
  </si>
  <si>
    <t>2000006719396691</t>
  </si>
  <si>
    <t>28 de novembro de 2024 08:53 hs.</t>
  </si>
  <si>
    <t>Maria Aparecida Goncalves</t>
  </si>
  <si>
    <t>CPF 28657216809</t>
  </si>
  <si>
    <t>Rua Voluntários da Pátria 3533 - APTO 22 M Bloco 02, São Paulo - CEP: 02401300, São Paulo</t>
  </si>
  <si>
    <t>28657216809</t>
  </si>
  <si>
    <t>Rua Voluntários da Pátria 3533 / APTO 22 M Bloco 02 Referencia: O condomínio fica entre, o hospital São Camilo Santana e a caixa d'água da Sabesp de frente para o posto de gasolina BR. - CEP 02401300 - Santana, São Paulo, São Paulo</t>
  </si>
  <si>
    <t>02401300</t>
  </si>
  <si>
    <t>6 de dezembro | 15:12</t>
  </si>
  <si>
    <t>MEL44145742121LMXDF01</t>
  </si>
  <si>
    <t>2000006719381731</t>
  </si>
  <si>
    <t>28 de novembro de 2024 08:49 hs.</t>
  </si>
  <si>
    <t>Joaquim Alcantra</t>
  </si>
  <si>
    <t>CPF 32615974882</t>
  </si>
  <si>
    <t>Avenida Prestes Maia 678 678, Osasco - CEP: 06040004, São Paulo</t>
  </si>
  <si>
    <t>32615974882</t>
  </si>
  <si>
    <t>Avenida Prestes Maia 678 / casa 2 Referencia: depósito de gás - CEP 06040004 - Jardim D'Abril, Osasco, São Paulo</t>
  </si>
  <si>
    <t>06040004</t>
  </si>
  <si>
    <t>6 de dezembro | 14:22</t>
  </si>
  <si>
    <t>MEL44145925552LMXDF01</t>
  </si>
  <si>
    <t>2000006719347719</t>
  </si>
  <si>
    <t>28 de novembro de 2024 08:41 hs.</t>
  </si>
  <si>
    <t>MARCOS DE OLIVEIRA</t>
  </si>
  <si>
    <t>CPF 00602660580</t>
  </si>
  <si>
    <t>Rua Desembargador Souza Dias 11, Jacobina - CEP: 44700000, Bahia</t>
  </si>
  <si>
    <t>00602660580</t>
  </si>
  <si>
    <t>Rua Desembargador Souza Dias 11 / Referencia: Antiga Rua 2 - CEP 44700000 - Jacobina 1, Jacobina, Bahia</t>
  </si>
  <si>
    <t>Jacobina</t>
  </si>
  <si>
    <t>44700000</t>
  </si>
  <si>
    <t>10 de dezembro | 09:46</t>
  </si>
  <si>
    <t>MEL44145897460LMXDF01</t>
  </si>
  <si>
    <t>2000009977904420</t>
  </si>
  <si>
    <t>2000009977906328</t>
  </si>
  <si>
    <t>00361</t>
  </si>
  <si>
    <t>MLB3833529715</t>
  </si>
  <si>
    <t>Silimarina - Protetor Hepato Para O Fígado - 60 Caps</t>
  </si>
  <si>
    <t>2000006719234271</t>
  </si>
  <si>
    <t>28 de novembro de 2024 08:12 hs.</t>
  </si>
  <si>
    <t>Paulo Deboni</t>
  </si>
  <si>
    <t>CPF 11177587882</t>
  </si>
  <si>
    <t>Rua José Alves de Mello 1516 - casa 17 981157812, Ibirá - CEP: 15860003, São Paulo</t>
  </si>
  <si>
    <t>11177587882</t>
  </si>
  <si>
    <t>Rua José Alves de Mello 1516 / casa 17 981157812 Referencia: procurar por marta - CEP 15860003 - Centro, Ibirá, São Paulo</t>
  </si>
  <si>
    <t>Ibirá</t>
  </si>
  <si>
    <t>15860003</t>
  </si>
  <si>
    <t>6 de dezembro | 16:53</t>
  </si>
  <si>
    <t>MEL44145810308LMXDF01</t>
  </si>
  <si>
    <t>2000009977680336</t>
  </si>
  <si>
    <t>28 de novembro de 2024 08:06 hs.</t>
  </si>
  <si>
    <t>gabriel  konzen</t>
  </si>
  <si>
    <t>CPF 01625982038</t>
  </si>
  <si>
    <t>Rua Monteiro Lobato 432, Parobé - CEP: 95630000, Rio Grande do Sul</t>
  </si>
  <si>
    <t>01625982038</t>
  </si>
  <si>
    <t>Rua Monteiro Lobato 432 / CEP 95630000 - Nova Guarujá, Parobé, Rio Grande do Sul</t>
  </si>
  <si>
    <t>Parobé</t>
  </si>
  <si>
    <t>95630000</t>
  </si>
  <si>
    <t>9 de dezembro | 19:02</t>
  </si>
  <si>
    <t>MEL44145593769LMXDF01</t>
  </si>
  <si>
    <t>2000006718979229</t>
  </si>
  <si>
    <t>28 de novembro de 2024 06:03 hs.</t>
  </si>
  <si>
    <t>Alex Junior Rodrigues</t>
  </si>
  <si>
    <t>CPF 08510194980</t>
  </si>
  <si>
    <t>Rua Alberto Manoel Glaser 30 30, Curitiba - CEP: 82600080, Paraná</t>
  </si>
  <si>
    <t>08510194980</t>
  </si>
  <si>
    <t>82600080</t>
  </si>
  <si>
    <t>MEL44145584424FMXDF01</t>
  </si>
  <si>
    <t>2000009977185854</t>
  </si>
  <si>
    <t>28 de novembro de 2024 05:20 hs.</t>
  </si>
  <si>
    <t>Creide Fernandes da Silva</t>
  </si>
  <si>
    <t>CPF 14098728826</t>
  </si>
  <si>
    <t>Rua Rubilo 154 - casa, Itapevi - CEP: 06680640, São Paulo</t>
  </si>
  <si>
    <t>14098728826</t>
  </si>
  <si>
    <t>Rua Rubilo 154 / casa - CEP 06680640 - Jardim Cruzeiro, Itapevi, São Paulo</t>
  </si>
  <si>
    <t>Itapevi</t>
  </si>
  <si>
    <t>06680640</t>
  </si>
  <si>
    <t>6 de dezembro | 13:06</t>
  </si>
  <si>
    <t>MEL44145355517LMXDF01</t>
  </si>
  <si>
    <t>2000006718845313</t>
  </si>
  <si>
    <t>28 de novembro de 2024 03:29 hs.</t>
  </si>
  <si>
    <t>Luiz Severino Luize</t>
  </si>
  <si>
    <t>CPF 06220452968</t>
  </si>
  <si>
    <t>Rua Prof. João Batista De Brito 93 93, Osasco - CEP: 06020050, São Paulo</t>
  </si>
  <si>
    <t>06220452968</t>
  </si>
  <si>
    <t>Rua Professor João Batista de Brito 93 / casa - CEP 06020050 - Vila Yara, Osasco, São Paulo</t>
  </si>
  <si>
    <t>06020050</t>
  </si>
  <si>
    <t>8 de dezembro | 10:51</t>
  </si>
  <si>
    <t>MEL44145487816LMXDF01</t>
  </si>
  <si>
    <t>2000009976629352</t>
  </si>
  <si>
    <t>28 de novembro de 2024 01:17 hs.</t>
  </si>
  <si>
    <t xml:space="preserve">Michelle Sousa </t>
  </si>
  <si>
    <t>CPF 01437957080</t>
  </si>
  <si>
    <t>Rua General Flôres da Cunha 796, Ijuí - CEP: 98700000, Rio Grande do Sul</t>
  </si>
  <si>
    <t>01437957080</t>
  </si>
  <si>
    <t>Rua General Flôres da Cunha 796 / Referencia: Casa de esquina, entregar para João Francisco - CEP 98700000 - Tiaraju, Ijuí, Rio Grande do Sul</t>
  </si>
  <si>
    <t>Ijuí</t>
  </si>
  <si>
    <t>98700000</t>
  </si>
  <si>
    <t>MEL44145117947LMXDF01</t>
  </si>
  <si>
    <t>2000006718477819</t>
  </si>
  <si>
    <t>28 de novembro de 2024 00:55 hs.</t>
  </si>
  <si>
    <t>JOAO CABUS</t>
  </si>
  <si>
    <t>CPF 60574313400</t>
  </si>
  <si>
    <t>Rua Doutor Cláudio Lívio 125, Maceió - CEP: 57055180, Alagoas</t>
  </si>
  <si>
    <t>60574313400</t>
  </si>
  <si>
    <t>Rua Doutor Cláudio Lívio 125 / Referencia: Rua do Colégio Cristo Rei e Sta Casa Farol - CEP 57055180 - Farol, Maceió, Alagoas</t>
  </si>
  <si>
    <t>57055180</t>
  </si>
  <si>
    <t>11 de dezembro | 12:41</t>
  </si>
  <si>
    <t>MEL44145272280LMXDF01</t>
  </si>
  <si>
    <t>2000009975725558</t>
  </si>
  <si>
    <t>27 de novembro de 2024 23:03 hs.</t>
  </si>
  <si>
    <t>adriana kunz</t>
  </si>
  <si>
    <t>CPF 72307625020</t>
  </si>
  <si>
    <t>Pereira Filho 35, Iraí - CEP: 98460000, Rio Grande do Sul</t>
  </si>
  <si>
    <t>72307625020</t>
  </si>
  <si>
    <t>Pereira Filho 35 / Referencia: Promotoria de Justiça - CEP 98460000 - Centro, Iraí, Rio Grande do Sul</t>
  </si>
  <si>
    <t>Iraí</t>
  </si>
  <si>
    <t>98460000</t>
  </si>
  <si>
    <t>9 de dezembro | 17:03</t>
  </si>
  <si>
    <t>MEL44144739295LMXDF01</t>
  </si>
  <si>
    <t>2000009975409800</t>
  </si>
  <si>
    <t>27 de novembro de 2024 22:30 hs.</t>
  </si>
  <si>
    <t>Elenice Dias Dos Santos</t>
  </si>
  <si>
    <t>CPF 08377998645</t>
  </si>
  <si>
    <t>Rua Doutor Vicente Torregrossa 285, Campinas - CEP: 13061202, São Paulo</t>
  </si>
  <si>
    <t>08377998645</t>
  </si>
  <si>
    <t>Rua Doutor Vicente Torregrossa 285 / CEP 13061202 - Jardim García, Campinas, São Paulo</t>
  </si>
  <si>
    <t>13061202</t>
  </si>
  <si>
    <t>8 de dezembro | 15:52</t>
  </si>
  <si>
    <t>MEL44144607181LMXDF01</t>
  </si>
  <si>
    <t>2000006717560903</t>
  </si>
  <si>
    <t>27 de novembro de 2024 22:01 hs.</t>
  </si>
  <si>
    <t>ritaelene ritaelene</t>
  </si>
  <si>
    <t>CPF 07140643601</t>
  </si>
  <si>
    <t>Rua Um 92 92, Santana do Paraíso - CEP: 35179000, Minas Gerais</t>
  </si>
  <si>
    <t>07140643601</t>
  </si>
  <si>
    <t>Rua Um 92 / casa - CEP 35179000 - industrial, Santana do Paraíso, Minas Gerais</t>
  </si>
  <si>
    <t>Santana do Paraíso</t>
  </si>
  <si>
    <t>35179000</t>
  </si>
  <si>
    <t>5 de dezembro | 02:31</t>
  </si>
  <si>
    <t>6 de dezembro | 09:52</t>
  </si>
  <si>
    <t>MEL44144671408LMXDF01</t>
  </si>
  <si>
    <t>2000009974955528</t>
  </si>
  <si>
    <t>27 de novembro de 2024 21:49 hs.</t>
  </si>
  <si>
    <t>O seu comprador deverá retirar o pacote em Agência Mercado Livre - D2NETGAMES.</t>
  </si>
  <si>
    <t>Ana Paula Ferreira De Campos</t>
  </si>
  <si>
    <t>CPF 29556346899</t>
  </si>
  <si>
    <t>Rua São Jorge 41, São José dos Campos - CEP: 12212060, São Paulo</t>
  </si>
  <si>
    <t>29556346899</t>
  </si>
  <si>
    <t>Rua São Jorge 41 / Comercio - CEP 12212060 - Santana, São José dos Campos, São Paulo</t>
  </si>
  <si>
    <t>São José dos Campos</t>
  </si>
  <si>
    <t>12212060</t>
  </si>
  <si>
    <t>MEL44144414447LMXDF01</t>
  </si>
  <si>
    <t>https://myaccount.mercadolivre.com.br/shipments/44144414447/detail</t>
  </si>
  <si>
    <t>2000009974918676</t>
  </si>
  <si>
    <t>27 de novembro de 2024 21:44 hs.</t>
  </si>
  <si>
    <t>Lucas Lopes</t>
  </si>
  <si>
    <t>CPF 52081647877</t>
  </si>
  <si>
    <t>Rua Jacques Lacan 246 - Sobrado amarelo, São Paulo - CEP: 08461125, São Paulo</t>
  </si>
  <si>
    <t>52081647877</t>
  </si>
  <si>
    <t>Rua Jacques Lacan 246 / Sobrado amarelo Referencia: a casa tem uma loja do lado - CEP 08461125 - Jardim São Paulo(Zona Leste), São Paulo, São Paulo</t>
  </si>
  <si>
    <t>08461125</t>
  </si>
  <si>
    <t>6 de dezembro | 12:34</t>
  </si>
  <si>
    <t>MEL44144588708LMXDF01</t>
  </si>
  <si>
    <t>2000009974867070</t>
  </si>
  <si>
    <t>27 de novembro de 2024 21:38 hs.</t>
  </si>
  <si>
    <t>Silse Wannely Gomes Cezar de Vasconcelos</t>
  </si>
  <si>
    <t>CPF 80124208649</t>
  </si>
  <si>
    <t>Praça Dr José Lima Guimarães 130, Pitangui - CEP: 35650000, Minas Gerais</t>
  </si>
  <si>
    <t>80124208649</t>
  </si>
  <si>
    <t>Praça Dr José Lima Guimarães 130 / CEP 35650000 - Brumado, Pitangui, Minas Gerais</t>
  </si>
  <si>
    <t>Pitangui</t>
  </si>
  <si>
    <t>35650000</t>
  </si>
  <si>
    <t>7 de dezembro | 02:53</t>
  </si>
  <si>
    <t>10 de dezembro | 10:11</t>
  </si>
  <si>
    <t>MEL44144568406LMXDF01</t>
  </si>
  <si>
    <t>2000009974338196</t>
  </si>
  <si>
    <t>27 de novembro de 2024 20:48 hs.</t>
  </si>
  <si>
    <t xml:space="preserve">Delaine  Gonçalves Carvalho </t>
  </si>
  <si>
    <t>CPF 63804549691</t>
  </si>
  <si>
    <t>Rua Capitão Cristovão Gonçalves Santos 60, Bom Sucesso - CEP: 37220000, Minas Gerais</t>
  </si>
  <si>
    <t>63804549691</t>
  </si>
  <si>
    <t>Rua Capitão Cristovão Gonçalves Santos 60 / Referencia: Telefone da casa 35 988170847 - CEP 37220000 - Bom Sucesso, Bom Sucesso, Minas Gerais</t>
  </si>
  <si>
    <t>Bom Sucesso</t>
  </si>
  <si>
    <t>37220000</t>
  </si>
  <si>
    <t>5 de dezembro | 02:22</t>
  </si>
  <si>
    <t>6 de dezembro | 08:14</t>
  </si>
  <si>
    <t>MEL44144136123LMXDF01</t>
  </si>
  <si>
    <t>2000006716874623</t>
  </si>
  <si>
    <t>27 de novembro de 2024 20:15 hs.</t>
  </si>
  <si>
    <t>Pacote de 3 produtos</t>
  </si>
  <si>
    <t>Jair Antunes de Sousa Elias</t>
  </si>
  <si>
    <t>CPF 01304554740</t>
  </si>
  <si>
    <t>Rodovia Prefeito José Bicudo Jardim SN, Rio das Ostras - CEP: 28890779, Rio de Janeiro</t>
  </si>
  <si>
    <t>01304554740</t>
  </si>
  <si>
    <t>Rodovia Prefeito José Bicudo Jardim SN / RJ-162 Rodovia Serramar Vila Verde - COND. GREEN VILLAGE Referencia: ROD. SERRAMAR KM5 (LIGA RIO DOURADO A RIO DAS OSTRAS) COND GREEN VILLAGE, VILA VERDE, ALTURA DO POSTO FAZENDA, SENTIDO TREVO - CEP 28890779 - Serramar, Rio das Ostras, Rio de Janeiro</t>
  </si>
  <si>
    <t>Rio das Ostras</t>
  </si>
  <si>
    <t>28890779</t>
  </si>
  <si>
    <t>5 de dezembro | 23:52</t>
  </si>
  <si>
    <t>6 de dezembro | 15:48</t>
  </si>
  <si>
    <t>MEL44144185406LMXDF01</t>
  </si>
  <si>
    <t>2000009973998368</t>
  </si>
  <si>
    <t>2000009973993320</t>
  </si>
  <si>
    <t>2000009974002180</t>
  </si>
  <si>
    <t>00407</t>
  </si>
  <si>
    <t>MLB3647315579</t>
  </si>
  <si>
    <t>Lactobacilos Reuteri Diarreia, Dor E Prisão De Ventre 90 Cap</t>
  </si>
  <si>
    <t>2000009916449178</t>
  </si>
  <si>
    <t>27 de novembro de 2024 20:07 hs.</t>
  </si>
  <si>
    <t>Sidersino Pereira Do Nascimento</t>
  </si>
  <si>
    <t>CPF 36159042149</t>
  </si>
  <si>
    <t>Rua Valentin Dalastra 3331 - casa de esquina, Sinop - CEP: 78557066, Mato Grosso</t>
  </si>
  <si>
    <t>36159042149</t>
  </si>
  <si>
    <t>Rua Valentin Dalastra 3331 / casa de esquina - CEP 78557066 - Setor Industrial, Sinop, Mato Grosso</t>
  </si>
  <si>
    <t>Sinop</t>
  </si>
  <si>
    <t>78557066</t>
  </si>
  <si>
    <t>9 de dezembro | 10:47</t>
  </si>
  <si>
    <t>MEL44118539068LMXDF01</t>
  </si>
  <si>
    <t>2000009973786214</t>
  </si>
  <si>
    <t>27 de novembro de 2024 19:53 hs.</t>
  </si>
  <si>
    <t>Vanusa Gomes de Andrade</t>
  </si>
  <si>
    <t>CPF 12088225609</t>
  </si>
  <si>
    <t>vicente bicaclho chagas 171, Bonfim - CEP: 35480000, Minas Gerais</t>
  </si>
  <si>
    <t>12088225609</t>
  </si>
  <si>
    <t>vicente bicaclho chagas 171 / CEP 35480000 - sagrado Coração de jesus, Bonfim, Minas Gerais</t>
  </si>
  <si>
    <t>Bonfim</t>
  </si>
  <si>
    <t>35480000</t>
  </si>
  <si>
    <t>6 de dezembro | 12:26</t>
  </si>
  <si>
    <t>MEL44143892505LMXDF01</t>
  </si>
  <si>
    <t>2000009973580060</t>
  </si>
  <si>
    <t>27 de novembro de 2024 19:33 hs.</t>
  </si>
  <si>
    <t>Benedito Jose Jaime Bonifacio</t>
  </si>
  <si>
    <t>CPF 14982250120</t>
  </si>
  <si>
    <t>Quadra SQS 205 Bloco A SN, Brasília - CEP: 70235010, Distrito Federal</t>
  </si>
  <si>
    <t>14982250120</t>
  </si>
  <si>
    <t>Quadra SQS 205 Bloco A SN / Apt. 503 - CEP 70235010 - Asa Sul, Brasília, Distrito Federal</t>
  </si>
  <si>
    <t>70235010</t>
  </si>
  <si>
    <t>7 de dezembro | 07:53</t>
  </si>
  <si>
    <t>MEL44143801809LMXDF01</t>
  </si>
  <si>
    <t>2000009973025036</t>
  </si>
  <si>
    <t>27 de novembro de 2024 18:39 hs.</t>
  </si>
  <si>
    <t>Elaine de oliveira dionizio cammarosano</t>
  </si>
  <si>
    <t>CPF 35557106804</t>
  </si>
  <si>
    <t>Rua Geni Michelon 81, Indaiatuba - CEP: 13348674, São Paulo</t>
  </si>
  <si>
    <t>35557106804</t>
  </si>
  <si>
    <t>Rua Geni Michelon 81 / 81 Jd. União - Casa - CEP 13348674 - Jardim União, Indaiatuba, São Paulo</t>
  </si>
  <si>
    <t>Indaiatuba</t>
  </si>
  <si>
    <t>13348674</t>
  </si>
  <si>
    <t>MEL44143562903LMXDF01</t>
  </si>
  <si>
    <t>2000006716192161</t>
  </si>
  <si>
    <t>27 de novembro de 2024 18:23 hs.</t>
  </si>
  <si>
    <t>Joice Pereira Nogueira Joice Pereira Nogueira</t>
  </si>
  <si>
    <t>CPF 33371861813</t>
  </si>
  <si>
    <t>Av 9 a 206 - casa b, Guaíra - CEP: 14790000, São Paulo</t>
  </si>
  <si>
    <t>33371861813</t>
  </si>
  <si>
    <t>Av 9 a 206 / casa b Referencia: com a rua 12 perto da mina mercantil - CEP 14790000 - jardim são Francisco, Guaíra, São Paulo</t>
  </si>
  <si>
    <t>Guaíra</t>
  </si>
  <si>
    <t>14790000</t>
  </si>
  <si>
    <t>6 de dezembro | 14:32</t>
  </si>
  <si>
    <t>MEL44143493147LMXDF01</t>
  </si>
  <si>
    <t>2000009972591090</t>
  </si>
  <si>
    <t>27 de novembro de 2024 17:56 hs.</t>
  </si>
  <si>
    <t>Anderson Dos Santos Timbo</t>
  </si>
  <si>
    <t>CPF 27228589831</t>
  </si>
  <si>
    <t>Avenida José Monteiro Romão 427 - super bom preço, Pindamonhangaba - CEP: 12446260, São Paulo</t>
  </si>
  <si>
    <t>27228589831</t>
  </si>
  <si>
    <t>Avenida José Monteiro Romão 427 / super bom preço - CEP 12446260 - Residencial Mantiqueira, Pindamonhangaba, São Paulo</t>
  </si>
  <si>
    <t>12446260</t>
  </si>
  <si>
    <t>6 de dezembro | 05:46</t>
  </si>
  <si>
    <t>7 de dezembro | 13:14</t>
  </si>
  <si>
    <t>MEL44143368609LMXDF01</t>
  </si>
  <si>
    <t>2000009972563030</t>
  </si>
  <si>
    <t>27 de novembro de 2024 17:52 hs.</t>
  </si>
  <si>
    <t>Ana Jessica Larre Larre</t>
  </si>
  <si>
    <t>CPF 56943458000</t>
  </si>
  <si>
    <t>Rua Brasílio Cavalim Carvalho 242 - casa 2, São José dos Pinhais - CEP: 83090330, Paraná</t>
  </si>
  <si>
    <t>56943458000</t>
  </si>
  <si>
    <t>Rua Brasílio Cavalim Carvalho 242 / casa 2 - CEP 83090330 - São Marcos, São José dos Pinhais, Paraná</t>
  </si>
  <si>
    <t>São José dos Pinhais</t>
  </si>
  <si>
    <t>83090330</t>
  </si>
  <si>
    <t>5 de dezembro | 05:54</t>
  </si>
  <si>
    <t>6 de dezembro | 18:13</t>
  </si>
  <si>
    <t>MEL44143355095LMXDF01</t>
  </si>
  <si>
    <t>2000009972240700</t>
  </si>
  <si>
    <t>27 de novembro de 2024 17:21 hs.</t>
  </si>
  <si>
    <t>Vera Lucia Marques de Lima</t>
  </si>
  <si>
    <t>CPF 80410065749</t>
  </si>
  <si>
    <t>Rua São Judas Tadeu 25, Volta Redonda - CEP: 27275210, Rio de Janeiro</t>
  </si>
  <si>
    <t>80410065749</t>
  </si>
  <si>
    <t>Rua São Judas Tadeu 25 / Apto 101 Referencia: Apto 101 - CEP 27275210 - Retiro, Volta Redonda, Rio de Janeiro</t>
  </si>
  <si>
    <t>Volta Redonda</t>
  </si>
  <si>
    <t>27275210</t>
  </si>
  <si>
    <t>5 de dezembro | 01:23</t>
  </si>
  <si>
    <t>5 de dezembro | 09:33</t>
  </si>
  <si>
    <t>MEL44143403172LMXDF01</t>
  </si>
  <si>
    <t>2000006715782543</t>
  </si>
  <si>
    <t>27 de novembro de 2024 17:20 hs.</t>
  </si>
  <si>
    <t>Wellington Moura de Sousa</t>
  </si>
  <si>
    <t>CPF 49060082168</t>
  </si>
  <si>
    <t>Quadra QNJ 11 34, Brasília - CEP: 72140110, Distrito Federal</t>
  </si>
  <si>
    <t>49060082168</t>
  </si>
  <si>
    <t>Quadra QNJ 11 34 / Referencia: próximo ao condomínio top life e do posto Ipiranga. Contra esquina do supermercado Superbom. Penúltima casa da rua, lado direito - CEP 72140110 - Taguatinga Norte (Taguatinga), Brasília, Distrito Federal</t>
  </si>
  <si>
    <t>72140110</t>
  </si>
  <si>
    <t>6 de dezembro | 16:03</t>
  </si>
  <si>
    <t>MEL44143199625LMXDF01</t>
  </si>
  <si>
    <t>2000006715563755</t>
  </si>
  <si>
    <t>27 de novembro de 2024 16:46 hs.</t>
  </si>
  <si>
    <t>Helenarosadeoliveiramariano Mariano</t>
  </si>
  <si>
    <t>CPF 09842097862</t>
  </si>
  <si>
    <t>Rua Tucano 172 - casa, Campos do Jordão - CEP: 12470074, São Paulo</t>
  </si>
  <si>
    <t>09842097862</t>
  </si>
  <si>
    <t>Rua Tucano 172 / casa - CEP 12470074 - Vila Santo Antônio, Campos do Jordão, São Paulo</t>
  </si>
  <si>
    <t>Campos do Jordão</t>
  </si>
  <si>
    <t>12470074</t>
  </si>
  <si>
    <t>5 de dezembro | 05:55</t>
  </si>
  <si>
    <t>6 de dezembro | 13:15</t>
  </si>
  <si>
    <t>MEL44143233628LMXDF01</t>
  </si>
  <si>
    <t>2000006715542367</t>
  </si>
  <si>
    <t>27 de novembro de 2024 16:45 hs.</t>
  </si>
  <si>
    <t>Leonardo  Henrique Rocha fasussi</t>
  </si>
  <si>
    <t>CPF 05473256147</t>
  </si>
  <si>
    <t>Rua Florianópolis 172 - CASA ESQUINA, Apiacás - CEP: 78595000, Mato Grosso</t>
  </si>
  <si>
    <t>05473256147</t>
  </si>
  <si>
    <t>Rua Florianópolis 172 / CASA ESQUINA Referencia: EM FRENTE A ESCOLA VINICIUS DE MORAES, ENTREDA PELA LATERAL - CEP 78595000 - PIONEIRO, Apiacás, Mato Grosso</t>
  </si>
  <si>
    <t>Apiacás</t>
  </si>
  <si>
    <t>78595000</t>
  </si>
  <si>
    <t>11 de dezembro | 17:43</t>
  </si>
  <si>
    <t>Carvalima</t>
  </si>
  <si>
    <t>00240480571924</t>
  </si>
  <si>
    <t>https://ssw.inf.br/app/meli/00240480571924</t>
  </si>
  <si>
    <t>2000009971694622</t>
  </si>
  <si>
    <t>27 de novembro de 2024 16:30 hs.</t>
  </si>
  <si>
    <t>Luzinete da Silva</t>
  </si>
  <si>
    <t>CPF 00271175702</t>
  </si>
  <si>
    <t>Rua General Osório 70, Nova Friburgo - CEP: 28625630, Rio de Janeiro</t>
  </si>
  <si>
    <t>00271175702</t>
  </si>
  <si>
    <t>Rua General Osório 70 / CEP 28625630 - Centro, Nova Friburgo, Rio de Janeiro</t>
  </si>
  <si>
    <t>Nova Friburgo</t>
  </si>
  <si>
    <t>28625630</t>
  </si>
  <si>
    <t>5 de dezembro | 01:11</t>
  </si>
  <si>
    <t>6 de dezembro | 11:12</t>
  </si>
  <si>
    <t>MEL44142958175LMXDF01</t>
  </si>
  <si>
    <t>2000006715430887</t>
  </si>
  <si>
    <t>27 de novembro de 2024 16:28 hs.</t>
  </si>
  <si>
    <t>Chega quarta-feira dia 15 de janeiro</t>
  </si>
  <si>
    <t>Lorena Duarte Queiroz</t>
  </si>
  <si>
    <t>CPF 04787182170</t>
  </si>
  <si>
    <t>Rua Jacob Rodrigues 410, Itajá - CEP: 75815000, Goiás</t>
  </si>
  <si>
    <t>04787182170</t>
  </si>
  <si>
    <t>Rua Jacob Rodrigues 410 / Casa Referencia: Próximo à igreja Assembleia de Deus - CEP 75815000 - Centro, Itajá, Goiás</t>
  </si>
  <si>
    <t>Itajá</t>
  </si>
  <si>
    <t>75815000</t>
  </si>
  <si>
    <t>Jad Logistica Ltda</t>
  </si>
  <si>
    <t>12108801077637</t>
  </si>
  <si>
    <t>2000009971572462</t>
  </si>
  <si>
    <t>27 de novembro de 2024 16:20 hs.</t>
  </si>
  <si>
    <t>Edna Alvarenga Caran</t>
  </si>
  <si>
    <t>CPF 13418195822</t>
  </si>
  <si>
    <t>Rua Humberto Casari 85, Osasco - CEP: 06296150, São Paulo</t>
  </si>
  <si>
    <t>13418195822</t>
  </si>
  <si>
    <t>Rua Humberto Casari 85 / CEP 06296150 - Remédios, Osasco, São Paulo</t>
  </si>
  <si>
    <t>06296150</t>
  </si>
  <si>
    <t>6 de dezembro | 17:19</t>
  </si>
  <si>
    <t>MEL44142902513LMXDF01</t>
  </si>
  <si>
    <t>2000006715300829</t>
  </si>
  <si>
    <t>27 de novembro de 2024 16:11 hs.</t>
  </si>
  <si>
    <t>Maria Seli Feijó Gomes Seli</t>
  </si>
  <si>
    <t>CPF 43521029204</t>
  </si>
  <si>
    <t>Rua Geraldo Barbosa 367 - papelaria Rocha, Acrelândia - CEP: 69945000, Acre</t>
  </si>
  <si>
    <t>43521029204</t>
  </si>
  <si>
    <t>Rua Geraldo Barbosa 367 / papelaria Rocha Referencia: em frete o correio, se a papelaria estiver fechado pode deixar no correio - CEP 69945000 - Centro, Acrelândia, Acre</t>
  </si>
  <si>
    <t>Acrelândia</t>
  </si>
  <si>
    <t>Acre</t>
  </si>
  <si>
    <t>69945000</t>
  </si>
  <si>
    <t>10 de dezembro | 14:19</t>
  </si>
  <si>
    <t>MEL44143051362LMXDF01</t>
  </si>
  <si>
    <t>2000009971261814</t>
  </si>
  <si>
    <t>27 de novembro de 2024 15:53 hs.</t>
  </si>
  <si>
    <t>Ismario Santana</t>
  </si>
  <si>
    <t>CPF 35228512500</t>
  </si>
  <si>
    <t>conselheiro saraiva 36 36, Santo Amaro - CEP: 44200000, Bahia</t>
  </si>
  <si>
    <t>35228512500</t>
  </si>
  <si>
    <t>conselheiro saraiva 36 36 / calçadão - CEP 44200000 - centro, Santo Amaro, Bahia</t>
  </si>
  <si>
    <t>Santo Amaro</t>
  </si>
  <si>
    <t>44200000</t>
  </si>
  <si>
    <t>9 de dezembro | 12:47</t>
  </si>
  <si>
    <t>MEL44142960510LMXDF01</t>
  </si>
  <si>
    <t>2000006714907673</t>
  </si>
  <si>
    <t>27 de novembro de 2024 15:14 hs.</t>
  </si>
  <si>
    <t>Sarah masson</t>
  </si>
  <si>
    <t>CPF 27960224803</t>
  </si>
  <si>
    <t>Avenida Nove de Julho 1465 1465, São Paulo - CEP: 01406000, São Paulo</t>
  </si>
  <si>
    <t>27960224803</t>
  </si>
  <si>
    <t>Rua José Vicente Ferreira 58 / rua dos predinhos - CEP 15402300 - Jardim Tropical, Olímpia, São Paulo</t>
  </si>
  <si>
    <t>Olímpia</t>
  </si>
  <si>
    <t>15402300</t>
  </si>
  <si>
    <t>6 de dezembro | 16:02</t>
  </si>
  <si>
    <t>MEL44142763228LMXDF01</t>
  </si>
  <si>
    <t>2000009970858070</t>
  </si>
  <si>
    <t>00372</t>
  </si>
  <si>
    <t>MLB5079775618</t>
  </si>
  <si>
    <t>Vitamina B12 Metilcobalamina 5000mcg - Kit 3x - 60 Cápsulas</t>
  </si>
  <si>
    <t>2000009970841814</t>
  </si>
  <si>
    <t>2000009970670328</t>
  </si>
  <si>
    <t>27 de novembro de 2024 14:58 hs.</t>
  </si>
  <si>
    <t>Lilian Korkischko</t>
  </si>
  <si>
    <t>CPF 80750540168</t>
  </si>
  <si>
    <t>Rua Vieira de Morais 1900 - Apto 96, São Paulo - CEP: 04617007, São Paulo</t>
  </si>
  <si>
    <t>80750540168</t>
  </si>
  <si>
    <t>Rua Vieira de Morais 1900 / Apto 96 - CEP 04617007 - Campo Belo, São Paulo, São Paulo</t>
  </si>
  <si>
    <t>04617007</t>
  </si>
  <si>
    <t>6 de dezembro | 17:39</t>
  </si>
  <si>
    <t>MEL44142482051LMXDF01</t>
  </si>
  <si>
    <t>2000009970530076</t>
  </si>
  <si>
    <t>27 de novembro de 2024 14:45 hs.</t>
  </si>
  <si>
    <t>MEL44142416947LMXDF01</t>
  </si>
  <si>
    <t>2000009970479534</t>
  </si>
  <si>
    <t>27 de novembro de 2024 14:43 hs.</t>
  </si>
  <si>
    <t>Charles Costa</t>
  </si>
  <si>
    <t>CPF 37694822805</t>
  </si>
  <si>
    <t>Rua 7 de Setembro 1910 - clube, Ponta Porã - CEP: 79904512, Mato Grosso do Sul</t>
  </si>
  <si>
    <t>37694822805</t>
  </si>
  <si>
    <t>Rua 7 de Setembro 1910 / clube - CEP 79904512 - Centro, Ponta Porã, Mato Grosso do Sul</t>
  </si>
  <si>
    <t>Ponta Porã</t>
  </si>
  <si>
    <t>79904512</t>
  </si>
  <si>
    <t>7 de dezembro | 15:53</t>
  </si>
  <si>
    <t>MEL44142598786LMXDF01</t>
  </si>
  <si>
    <t>2000009969971614</t>
  </si>
  <si>
    <t>27 de novembro de 2024 14:00 hs.</t>
  </si>
  <si>
    <t>7 de dezembro | 11:01</t>
  </si>
  <si>
    <t>MEL44142171195LMXDF01</t>
  </si>
  <si>
    <t>2000009969844808</t>
  </si>
  <si>
    <t>27 de novembro de 2024 13:46 hs.</t>
  </si>
  <si>
    <t>Deise Maria  Leite da Silva</t>
  </si>
  <si>
    <t>CPF 19352678842</t>
  </si>
  <si>
    <t>Rua Mauro Ribeiro Pires 240 - ype 3, Tatuí - CEP: 18272562, São Paulo</t>
  </si>
  <si>
    <t>19352678842</t>
  </si>
  <si>
    <t>Rua Mauro Ribeiro Pires 240 / ype 3 - CEP 18272562 - Residencial Bosques dos Ipês, Tatuí, São Paulo</t>
  </si>
  <si>
    <t>Tatuí</t>
  </si>
  <si>
    <t>18272562</t>
  </si>
  <si>
    <t>6 de dezembro | 12:55</t>
  </si>
  <si>
    <t>MEL44142106017LMXDF01</t>
  </si>
  <si>
    <t>2000006714207469</t>
  </si>
  <si>
    <t>27 de novembro de 2024 13:37 hs.</t>
  </si>
  <si>
    <t>Fabiano Guimarães</t>
  </si>
  <si>
    <t>CPF 02882747179</t>
  </si>
  <si>
    <t>Rua 19 de Julho SN, Posse - CEP: 73902033, Goiás</t>
  </si>
  <si>
    <t>02882747179</t>
  </si>
  <si>
    <t>Rua 19 de Julho SN / Q40 Lote 09 Setor Santa Luzia - CEP 73902033 - Santa Luzia, Posse, Goiás</t>
  </si>
  <si>
    <t>Posse</t>
  </si>
  <si>
    <t>73902033</t>
  </si>
  <si>
    <t>10 de dezembro | 10:58</t>
  </si>
  <si>
    <t>MEL44142258214LMXDF01</t>
  </si>
  <si>
    <t>2000009969673314</t>
  </si>
  <si>
    <t>27 de novembro de 2024 13:36 hs.</t>
  </si>
  <si>
    <t>João Hélio Viana</t>
  </si>
  <si>
    <t>CPF 28157206120</t>
  </si>
  <si>
    <t>Rua F14 104 - R F14 QD101 LT18 C3, Goiânia - CEP: 74360110, Goiás</t>
  </si>
  <si>
    <t>28157206120</t>
  </si>
  <si>
    <t>Rua F14 104 / QD101 LT18 CASA 03 - R F14 QD101 LT18 C3 Referencia: LIGAR 62-991213800 ANTES DA ENTREGA, F14 faz todo o cortono da quadra 101. - CEP 74360110 - Setor Faiçalville, Goiânia, Goiás</t>
  </si>
  <si>
    <t>74360110</t>
  </si>
  <si>
    <t>7 de dezembro | 10:20</t>
  </si>
  <si>
    <t>MEL44142255508LMXDF01</t>
  </si>
  <si>
    <t>2000009969506514</t>
  </si>
  <si>
    <t>27 de novembro de 2024 13:17 hs.</t>
  </si>
  <si>
    <t>Silvana Camargo</t>
  </si>
  <si>
    <t>CPF 25983323857</t>
  </si>
  <si>
    <t>Avenida Giustiniano Borin 1187 - bl.3 ap.43, Jundiaí - CEP: 13218546, São Paulo</t>
  </si>
  <si>
    <t>25983323857</t>
  </si>
  <si>
    <t>Avenida Giustiniano Borin 1187 / bl.3 ap.43 Referencia: torres do caxambu - CEP 13218546 - Caxambu, Jundiaí, São Paulo</t>
  </si>
  <si>
    <t>13218546</t>
  </si>
  <si>
    <t>6 de dezembro | 14:21</t>
  </si>
  <si>
    <t>MEL44142155728LMXDF01</t>
  </si>
  <si>
    <t>2000009969512120</t>
  </si>
  <si>
    <t>27 de novembro de 2024 13:16 hs.</t>
  </si>
  <si>
    <t>Silmara Britz</t>
  </si>
  <si>
    <t>CPF 09888689975</t>
  </si>
  <si>
    <t>Odilo Antonio Linck 1318 - Ap 102, São José do Cedro - CEP: 89930000, Santa Catarina</t>
  </si>
  <si>
    <t>09888689975</t>
  </si>
  <si>
    <t>Odilo Antonio Linck 1318 / Ap 102 - CEP 89930000 - centro, São José do Cedro, Santa Catarina</t>
  </si>
  <si>
    <t>São José do Cedro</t>
  </si>
  <si>
    <t>89930000</t>
  </si>
  <si>
    <t>7 de dezembro | 16:56</t>
  </si>
  <si>
    <t>MEL44141957155LMXDF01</t>
  </si>
  <si>
    <t>2000006713869803</t>
  </si>
  <si>
    <t>27 de novembro de 2024 12:50 hs.</t>
  </si>
  <si>
    <t xml:space="preserve">Nayara luana dos Santos </t>
  </si>
  <si>
    <t>CPF 74603957149</t>
  </si>
  <si>
    <t>Avenida Olímpica SN - qd21 lt26, Aparecida de Goiânia - CEP: 74922080, Goiás</t>
  </si>
  <si>
    <t>74603957149</t>
  </si>
  <si>
    <t>Avenida Olímpica SN / qd21 lt26 Referencia: qd21 lt26 Em frente a distribuidora pinguim - CEP 74922080 - Jardim Olímpico, Aparecida de Goiânia, Goiás</t>
  </si>
  <si>
    <t>Aparecida de Goiânia</t>
  </si>
  <si>
    <t>74922080</t>
  </si>
  <si>
    <t>7 de dezembro | 12:00</t>
  </si>
  <si>
    <t>MEL44142021136LMXDF01</t>
  </si>
  <si>
    <t>2000009968868048</t>
  </si>
  <si>
    <t>27 de novembro de 2024 12:18 hs.</t>
  </si>
  <si>
    <t>Cancelou porque se arrependeu da compra.</t>
  </si>
  <si>
    <t>Cancelada</t>
  </si>
  <si>
    <t>Thailaine Paula da Conceicao Pereira</t>
  </si>
  <si>
    <t>CPF 17947452709</t>
  </si>
  <si>
    <t>Rua Giordano Vincenzo SN - lot 13 q 6, Rio de Janeiro - CEP: 23036050, Rio de Janeiro</t>
  </si>
  <si>
    <t>17947452709</t>
  </si>
  <si>
    <t>23036050</t>
  </si>
  <si>
    <t>MEL44141664189FMXDF01</t>
  </si>
  <si>
    <t>2000006713593499</t>
  </si>
  <si>
    <t>27 de novembro de 2024 12:09 hs.</t>
  </si>
  <si>
    <t>Mauricia De Souza Carvalho Mary</t>
  </si>
  <si>
    <t>CPF 04442673527</t>
  </si>
  <si>
    <t>Rua Ceará 57 - Casa, Guanambi - CEP: 46430000, Bahia</t>
  </si>
  <si>
    <t>04442673527</t>
  </si>
  <si>
    <t>Rua Ceará 57 / Casa Referencia: Início da rua - CEP 46430000 - Brasília, Guanambi, Bahia</t>
  </si>
  <si>
    <t>Guanambi</t>
  </si>
  <si>
    <t>46430000</t>
  </si>
  <si>
    <t>6 de dezembro | 04:36</t>
  </si>
  <si>
    <t>9 de dezembro | 15:44</t>
  </si>
  <si>
    <t>MEL44141617325LMXDF01</t>
  </si>
  <si>
    <t>2000009968469094</t>
  </si>
  <si>
    <t>27 de novembro de 2024 11:44 hs.</t>
  </si>
  <si>
    <t>Patricia Barbara da Silva Bueno Fukuda</t>
  </si>
  <si>
    <t>CPF 33199005870</t>
  </si>
  <si>
    <t>Rua Debora Oliveira de Almeida 170 - apto 201, Guarulhos - CEP: 07261700, São Paulo</t>
  </si>
  <si>
    <t>33199005870</t>
  </si>
  <si>
    <t>Rua Debora Oliveira de Almeida 170 / apto 201 Referencia: Chamar no 222 ou 201 - CEP 07261700 - Vila Real, Guarulhos, São Paulo</t>
  </si>
  <si>
    <t>07261700</t>
  </si>
  <si>
    <t>6 de dezembro | 16:36</t>
  </si>
  <si>
    <t>MEL44141694568LMXDF01</t>
  </si>
  <si>
    <t>2000009968161372</t>
  </si>
  <si>
    <t>27 de novembro de 2024 11:18 hs.</t>
  </si>
  <si>
    <t>Sâmara Souza Lopes Silva</t>
  </si>
  <si>
    <t>CPF 02507998555</t>
  </si>
  <si>
    <t>Rua Manoel Teixeira Leite 1205 - Casa 1205A, Seabra - CEP: 46900000, Bahia</t>
  </si>
  <si>
    <t>02507998555</t>
  </si>
  <si>
    <t>Rua Manoel Teixeira Leite 1205 / Casa 1205A Referencia: Casa com pastilhas azuis, garagem em baixo e fica após o Mercado Saborear - CEP 46900000 - Nossa Senhora das Graças, Seabra, Bahia</t>
  </si>
  <si>
    <t>Seabra</t>
  </si>
  <si>
    <t>46900000</t>
  </si>
  <si>
    <t>8 de dezembro | 11:47</t>
  </si>
  <si>
    <t>MEL44141361515LMXDF01</t>
  </si>
  <si>
    <t>2000009967932296</t>
  </si>
  <si>
    <t>27 de novembro de 2024 10:55 hs.</t>
  </si>
  <si>
    <t>Chegou em 3 de dezembro</t>
  </si>
  <si>
    <t>Eugenia Jardim E Silva</t>
  </si>
  <si>
    <t>CPF 02309899500</t>
  </si>
  <si>
    <t>Rua Ana Rosa de Jesus 172 - casa de honorio, Botuporã - CEP: 46572873, Bahia</t>
  </si>
  <si>
    <t>02309899500</t>
  </si>
  <si>
    <t>Rua Ana Rosa de Jesus 172 / casa de honorio Referencia: Se não estiver no endereço pode deixar na recepção do hospital municipal - CEP 46572873 - Coração de Jesus, Botuporã, Bahia</t>
  </si>
  <si>
    <t>Botuporã</t>
  </si>
  <si>
    <t>46572873</t>
  </si>
  <si>
    <t>30 de novembro | 04:58</t>
  </si>
  <si>
    <t>3 de dezembro | 16:11</t>
  </si>
  <si>
    <t>MEL44141251907LMXDF01</t>
  </si>
  <si>
    <t>2000006713081233</t>
  </si>
  <si>
    <t>27 de novembro de 2024 10:53 hs.</t>
  </si>
  <si>
    <t>Juliane Miquelotti Maciel</t>
  </si>
  <si>
    <t>CPF 14066331785</t>
  </si>
  <si>
    <t>Rua Minas Gerais 710 - Casa 1, Nova Iguaçu - CEP: 26282190, Rio de Janeiro</t>
  </si>
  <si>
    <t>14066331785</t>
  </si>
  <si>
    <t>Rua Minas Gerais 710 / Casa 1 Referencia: Atrás da faculdade rural - CEP 26282190 - Jardim Iguaçu, Nova Iguaçu, Rio de Janeiro</t>
  </si>
  <si>
    <t>26282190</t>
  </si>
  <si>
    <t>5 de dezembro | 19:28</t>
  </si>
  <si>
    <t>MEL44141439486LMXDF01</t>
  </si>
  <si>
    <t>2000009967841598</t>
  </si>
  <si>
    <t>27 de novembro de 2024 10:48 hs.</t>
  </si>
  <si>
    <t>laura feitosa</t>
  </si>
  <si>
    <t>CPF 88842363120</t>
  </si>
  <si>
    <t>AVENIDA ANÍSIO HADDAD 3, Várzea Grande - CEP: 78150716, Mato Grosso</t>
  </si>
  <si>
    <t>88842363120</t>
  </si>
  <si>
    <t>AVENIDA ANÍSIO HADDAD 3 / Quadra 63 - CEP 78150716 - Várzea Grande, Várzea Grande, Mato Grosso</t>
  </si>
  <si>
    <t>Várzea Grande</t>
  </si>
  <si>
    <t>78150716</t>
  </si>
  <si>
    <t>12 de dezembro | 10:17</t>
  </si>
  <si>
    <t>MEL44141414470LMXDF01</t>
  </si>
  <si>
    <t>https://myaccount.mercadolivre.com.br/shipments/44141414470/detail</t>
  </si>
  <si>
    <t>2000009967650598</t>
  </si>
  <si>
    <t>27 de novembro de 2024 10:37 hs.</t>
  </si>
  <si>
    <t>Hilda Amalia Back Preis</t>
  </si>
  <si>
    <t>CPF 76739473153</t>
  </si>
  <si>
    <t>Rua Dez 1335, Chapadão do Sul - CEP: 79560000, Mato Grosso do Sul</t>
  </si>
  <si>
    <t>76739473153</t>
  </si>
  <si>
    <t>Rua Dez 1335 / CEP 79560000 - centro, Chapadão do Sul, Mato Grosso do Sul</t>
  </si>
  <si>
    <t>Chapadão do Sul</t>
  </si>
  <si>
    <t>79560000</t>
  </si>
  <si>
    <t>9 de dezembro | 12:32</t>
  </si>
  <si>
    <t>MEL44141319386LMXDF01</t>
  </si>
  <si>
    <t>2000009967698972</t>
  </si>
  <si>
    <t>27 de novembro de 2024 10:33 hs.</t>
  </si>
  <si>
    <t>simone bilck</t>
  </si>
  <si>
    <t>CPF 23191589953</t>
  </si>
  <si>
    <t>Rua das Gaivotas 93, Florianópolis - CEP: 88058500, Santa Catarina</t>
  </si>
  <si>
    <t>23191589953</t>
  </si>
  <si>
    <t>Rua das Gaivotas 93 / SC Imóveis - CEP 88058500 - Ingleses do Rio Vermelho, Florianópolis, Santa Catarina</t>
  </si>
  <si>
    <t>88058500</t>
  </si>
  <si>
    <t>6 de dezembro | 17:50</t>
  </si>
  <si>
    <t>MEL44141344338LMXDF01</t>
  </si>
  <si>
    <t>2000009967580490</t>
  </si>
  <si>
    <t>27 de novembro de 2024 10:23 hs.</t>
  </si>
  <si>
    <t>welby benites</t>
  </si>
  <si>
    <t>CPF 69538808053</t>
  </si>
  <si>
    <t>Avenida Praia de Belas 800 - 9ºBPM, Porto Alegre - CEP: 90110000, Rio Grande do Sul</t>
  </si>
  <si>
    <t>69538808053</t>
  </si>
  <si>
    <t>Avenida Praia de Belas 800 / 9ºBPM Referencia: 9º Batalhão de Polícia Militar - CEP 90110000 - Praia de Belas, Porto Alegre, Rio Grande do Sul</t>
  </si>
  <si>
    <t>90110000</t>
  </si>
  <si>
    <t>7 de dezembro | 11:35</t>
  </si>
  <si>
    <t>MEL44141094595LMXDF01</t>
  </si>
  <si>
    <t>2000009967559272</t>
  </si>
  <si>
    <t>27 de novembro de 2024 10:20 hs.</t>
  </si>
  <si>
    <t>Silvio Sarate Pereira Sarate</t>
  </si>
  <si>
    <t>CPF 92510337149</t>
  </si>
  <si>
    <t>Avenida Oito 1000 - fala tchê, Chapadão do Sul - CEP: 79560000, Mato Grosso do Sul</t>
  </si>
  <si>
    <t>92510337149</t>
  </si>
  <si>
    <t>Avenida Oito 1000 / fala tchê Referencia: loja  fala tchê - CEP 79560000 - Centro, Chapadão do Sul, Mato Grosso do Sul</t>
  </si>
  <si>
    <t>29 de novembro | 05:50</t>
  </si>
  <si>
    <t>3 de dezembro | 09:07</t>
  </si>
  <si>
    <t>MEL44141087523LMXDF01</t>
  </si>
  <si>
    <t>2000009967350658</t>
  </si>
  <si>
    <t>27 de novembro de 2024 09:58 hs.</t>
  </si>
  <si>
    <t>Chegou em 29 de novembro</t>
  </si>
  <si>
    <t>Gisele Sales</t>
  </si>
  <si>
    <t>CPF 38815336800</t>
  </si>
  <si>
    <t>Avenida Dom Pedro II 650 - Odonto Excellence., Presidente Venceslau - CEP: 19400011, São Paulo</t>
  </si>
  <si>
    <t>38815336800</t>
  </si>
  <si>
    <t>Avenida Dom Pedro II 650 / Odonto Excellence. Referencia: Clínica Odonto Excellence. Entregar somente nesses horários: segunda a sexta 9h as 19h e aos sábados 9-12h. - CEP 19400011 - Centro, Presidente Venceslau, São Paulo</t>
  </si>
  <si>
    <t>Presidente Venceslau</t>
  </si>
  <si>
    <t>19400011</t>
  </si>
  <si>
    <t>28 de novembro | 02:50</t>
  </si>
  <si>
    <t>29 de novembro | 16:18</t>
  </si>
  <si>
    <t>MEL44140985571LMXDF01</t>
  </si>
  <si>
    <t>2000009967314576</t>
  </si>
  <si>
    <t>27 de novembro de 2024 09:55 hs.</t>
  </si>
  <si>
    <t>Maria Regina de Oliveira Freitas</t>
  </si>
  <si>
    <t>CPF 02514910641</t>
  </si>
  <si>
    <t>Rua das Águias 264 - Casa, Cabo Verde - CEP: 37880000, Minas Gerais</t>
  </si>
  <si>
    <t>02514910641</t>
  </si>
  <si>
    <t>Rua das Águias 264 / Casa Referencia: CASA - CEP 37880000 - Assunção, Cabo Verde, Minas Gerais</t>
  </si>
  <si>
    <t>Cabo Verde</t>
  </si>
  <si>
    <t>37880000</t>
  </si>
  <si>
    <t>28 de novembro | 02:52</t>
  </si>
  <si>
    <t>29 de novembro | 13:10</t>
  </si>
  <si>
    <t>MEL44140969145LMXDF01</t>
  </si>
  <si>
    <t>2000006712706415</t>
  </si>
  <si>
    <t>27 de novembro de 2024 09:54 hs.</t>
  </si>
  <si>
    <t>aline  dos santos diogo</t>
  </si>
  <si>
    <t>CPF 09749466721</t>
  </si>
  <si>
    <t>Avenida Gilka Machado 123 123, Rio de Janeiro - CEP: 22795570, Rio de Janeiro</t>
  </si>
  <si>
    <t>09749466721</t>
  </si>
  <si>
    <t>Avenida Gilka Machado 123 / Drogaria prime - CEP 22795570 - Recreio dos Bandeirantes, Rio de Janeiro, Rio de Janeiro</t>
  </si>
  <si>
    <t>22795570</t>
  </si>
  <si>
    <t>29 de novembro | 02:21</t>
  </si>
  <si>
    <t>29 de novembro | 17:25</t>
  </si>
  <si>
    <t>MEL44140967093LMXDF01</t>
  </si>
  <si>
    <t>2000006712686117</t>
  </si>
  <si>
    <t>27 de novembro de 2024 09:50 hs.</t>
  </si>
  <si>
    <t>Leticia Pereira Dos Santos Derenzi</t>
  </si>
  <si>
    <t>CPF 31411295846</t>
  </si>
  <si>
    <t>Avenida das Bandeiras 1030 - 10.30, Bauru - CEP: 17055455, São Paulo</t>
  </si>
  <si>
    <t>31411295846</t>
  </si>
  <si>
    <t>Avenida das Bandeiras 1030 / 10.30 Referencia: em frente a lombada - CEP 17055455 - Vila Industrial, Bauru, São Paulo</t>
  </si>
  <si>
    <t>Bauru</t>
  </si>
  <si>
    <t>17055455</t>
  </si>
  <si>
    <t>29 de novembro | 11:13</t>
  </si>
  <si>
    <t>MEL44141145702LMXDF01</t>
  </si>
  <si>
    <t>2000009966995910</t>
  </si>
  <si>
    <t>27 de novembro de 2024 09:19 hs.</t>
  </si>
  <si>
    <t>RINALDO GHELLERO</t>
  </si>
  <si>
    <t>CPF 07536340826</t>
  </si>
  <si>
    <t>Rua Visconde de Parnaíba 335, São Paulo - CEP: 03045000, São Paulo</t>
  </si>
  <si>
    <t>07536340826</t>
  </si>
  <si>
    <t>Rua Visconde de Parnaíba 335 / Referencia: somente segunda a sexta até 17 horas - CEP 03045000 - Brás, São Paulo, São Paulo</t>
  </si>
  <si>
    <t>03045000</t>
  </si>
  <si>
    <t>29 de novembro | 04:51</t>
  </si>
  <si>
    <t>4 de dezembro | 10:07</t>
  </si>
  <si>
    <t>MEL44140821043LMXDF01</t>
  </si>
  <si>
    <t>2000009966867822</t>
  </si>
  <si>
    <t>27 de novembro de 2024 09:03 hs.</t>
  </si>
  <si>
    <t>Dolores Cabral de Almeida</t>
  </si>
  <si>
    <t>CPF 88112055734</t>
  </si>
  <si>
    <t>Rua Dr Lobato 79 - casa, Pinheiros - CEP: 29980000, Espírito Santo</t>
  </si>
  <si>
    <t>88112055734</t>
  </si>
  <si>
    <t>Rua Dr Lobato 79 / casa - CEP 29980000 - canário, Pinheiros, Espírito Santo</t>
  </si>
  <si>
    <t>Pinheiros</t>
  </si>
  <si>
    <t>29980000</t>
  </si>
  <si>
    <t>28 de novembro | 05:23</t>
  </si>
  <si>
    <t>29 de novembro | 17:06</t>
  </si>
  <si>
    <t>MEL44140759309LMXDF01</t>
  </si>
  <si>
    <t>2000006712410809</t>
  </si>
  <si>
    <t>27 de novembro de 2024 08:56 hs.</t>
  </si>
  <si>
    <t>Marcia Aparecida da Silva Piccolo</t>
  </si>
  <si>
    <t>CPF 13592847880</t>
  </si>
  <si>
    <t>Avenida Fulamina Mattar 419 419, Jundiaí - CEP: 13218220, São Paulo</t>
  </si>
  <si>
    <t>13592847880</t>
  </si>
  <si>
    <t>Avenida Fulamina Mattar 419 / Casa Referencia: Campo Do Paulista De Jundiaí - CEP 13218220 - Jardim Pacaembu, Jundiaí, São Paulo</t>
  </si>
  <si>
    <t>13218220</t>
  </si>
  <si>
    <t>30 de novembro | 13:02</t>
  </si>
  <si>
    <t>MEL44140930892LMXDF01</t>
  </si>
  <si>
    <t>2000009966834304</t>
  </si>
  <si>
    <t>Chegou em 30 de novembro</t>
  </si>
  <si>
    <t>LIQ001</t>
  </si>
  <si>
    <t>MLB3677594033</t>
  </si>
  <si>
    <t>Tônico Capilar Minoxiformula 100ml Cabelo | Crescimento</t>
  </si>
  <si>
    <t>2000009966828940</t>
  </si>
  <si>
    <t>2000009966641838</t>
  </si>
  <si>
    <t>27 de novembro de 2024 08:30 hs.</t>
  </si>
  <si>
    <t>Josiane Grockalski</t>
  </si>
  <si>
    <t>CPF 66648882972</t>
  </si>
  <si>
    <t>Travessa Aritana 6267, Rolim de Moura - CEP: 76940000, Rondônia</t>
  </si>
  <si>
    <t>66648882972</t>
  </si>
  <si>
    <t>Travessa Aritana 6267 / Referencia: Entregar Pr Josiane na sexta-feira  dia 11 /03 - CEP 76940000 - Jardim tropical, Rolim de Moura, Rondônia</t>
  </si>
  <si>
    <t>Rolim de Moura</t>
  </si>
  <si>
    <t>76940000</t>
  </si>
  <si>
    <t>10 de dezembro | 12:43</t>
  </si>
  <si>
    <t>MEL44140646971LMXDF01</t>
  </si>
  <si>
    <t>2000009966551618</t>
  </si>
  <si>
    <t>27 de novembro de 2024 08:15 hs.</t>
  </si>
  <si>
    <t>Maria Deusenilde Rodrigues Rodrigues</t>
  </si>
  <si>
    <t>CPF 00644225343</t>
  </si>
  <si>
    <t>Rua Daniel Batista de Oliveira 306 - casa, Limeira - CEP: 13487020, São Paulo</t>
  </si>
  <si>
    <t>00644225343</t>
  </si>
  <si>
    <t>Rua Daniel Batista de Oliveira 306 / casa - CEP 13487020 - Jardim Barão de Limeira, Limeira, São Paulo</t>
  </si>
  <si>
    <t>13487020</t>
  </si>
  <si>
    <t>6 de dezembro | 11:19</t>
  </si>
  <si>
    <t>MEL44140602595LMXDF01</t>
  </si>
  <si>
    <t>2000009966556750</t>
  </si>
  <si>
    <t>27 de novembro de 2024 08:13 hs.</t>
  </si>
  <si>
    <t>Mariangela de Morais Roriz</t>
  </si>
  <si>
    <t>CPF 29547792172</t>
  </si>
  <si>
    <t>Avenida T 14 300 - ap 801 C T. da Serra, Goiânia - CEP: 74835085, Goiás</t>
  </si>
  <si>
    <t>29547792172</t>
  </si>
  <si>
    <t>Avenida T 14 300 / ap. 801 - Res. Torres da Serra - CEP 74835085 - Serrinha, Goiânia, Goiás</t>
  </si>
  <si>
    <t>74835085</t>
  </si>
  <si>
    <t>7 de dezembro | 10:45</t>
  </si>
  <si>
    <t>MEL44140795814LMXDF01</t>
  </si>
  <si>
    <t>2000006712191619</t>
  </si>
  <si>
    <t>27 de novembro de 2024 07:58 hs.</t>
  </si>
  <si>
    <t>Rosangela Maria da Costa Estanislau Braga</t>
  </si>
  <si>
    <t>CPF 77774566791</t>
  </si>
  <si>
    <t>Rua Monsenhor Miguel Dos Reis Mello 4 4, Natividade - CEP: 28380000, Rio de Janeiro</t>
  </si>
  <si>
    <t>77774566791</t>
  </si>
  <si>
    <t>Rua Monsenhor Miguel Dos Reis Mello 4 / Laboratório Referencia: O endereço de entrega é um Laboratório, fica em frente ao Supermercado Sansão - CEP 28380000 - Liberdade, Natividade, Rio de Janeiro</t>
  </si>
  <si>
    <t>Natividade</t>
  </si>
  <si>
    <t>28380000</t>
  </si>
  <si>
    <t>5 de dezembro | 03:51</t>
  </si>
  <si>
    <t>6 de dezembro | 09:48</t>
  </si>
  <si>
    <t>MEL44140555389LMXDF01</t>
  </si>
  <si>
    <t>2000009966364522</t>
  </si>
  <si>
    <t>27 de novembro de 2024 07:33 hs.</t>
  </si>
  <si>
    <t>Diva Goncalves da Cunha Silva</t>
  </si>
  <si>
    <t>CPF 81147120820</t>
  </si>
  <si>
    <t>Rua Ministro Gastão Mesquita 363 - apt.18, São Paulo - CEP: 05012010, São Paulo</t>
  </si>
  <si>
    <t>81147120820</t>
  </si>
  <si>
    <t>Rua Ministro Gastão Mesquita 363 / apt.18 - CEP 05012010 - Perdizes, São Paulo, São Paulo</t>
  </si>
  <si>
    <t>05012010</t>
  </si>
  <si>
    <t>6 de dezembro | 13:23</t>
  </si>
  <si>
    <t>MEL44140697616LMXDF01</t>
  </si>
  <si>
    <t>2000006712108557</t>
  </si>
  <si>
    <t>27 de novembro de 2024 07:27 hs.</t>
  </si>
  <si>
    <t>Cida Oliveira Oliveira</t>
  </si>
  <si>
    <t>CPF 02520810483</t>
  </si>
  <si>
    <t>Rua Geovah Barbosa 124, Petrolina - CEP: 56318310, Pernambuco</t>
  </si>
  <si>
    <t>02520810483</t>
  </si>
  <si>
    <t>Rua Geovah Barbosa 124 / Referencia: em frente a uma oficina - CEP 56318310 - Jardim Amazonas, Petrolina, Pernambuco</t>
  </si>
  <si>
    <t>56318310</t>
  </si>
  <si>
    <t>5 de dezembro | 00:52</t>
  </si>
  <si>
    <t>8 de dezembro | 16:31</t>
  </si>
  <si>
    <t>MEL44140487519LMXDF01</t>
  </si>
  <si>
    <t>2000006712032873</t>
  </si>
  <si>
    <t>27 de novembro de 2024 06:44 hs.</t>
  </si>
  <si>
    <t>michelle felix da silva</t>
  </si>
  <si>
    <t>CPF 36890254864</t>
  </si>
  <si>
    <t>Rua Belém 115 - B, Itapecerica da Serra - CEP: 06867490, São Paulo</t>
  </si>
  <si>
    <t>36890254864</t>
  </si>
  <si>
    <t>Rua Belém 115 / B - CEP 06867490 - Jardim Santa Júlia, Itapecerica da Serra, São Paulo</t>
  </si>
  <si>
    <t>Itapecerica da Serra</t>
  </si>
  <si>
    <t>06867490</t>
  </si>
  <si>
    <t>6 de dezembro | 13:07</t>
  </si>
  <si>
    <t>MEL44140613076LMXDF01</t>
  </si>
  <si>
    <t>2000009966140042</t>
  </si>
  <si>
    <t>27 de novembro de 2024 06:17 hs.</t>
  </si>
  <si>
    <t>Erica Cristina da Silva Rosa</t>
  </si>
  <si>
    <t>CPF 03393366173</t>
  </si>
  <si>
    <t>Rua 37 78, Goianésia - CEP: 76381086, Goiás</t>
  </si>
  <si>
    <t>03393366173</t>
  </si>
  <si>
    <t>Rua 37 78 / CEP 76381086 - São Cristóvão, Goianésia, Goiás</t>
  </si>
  <si>
    <t>Goianésia</t>
  </si>
  <si>
    <t>76381086</t>
  </si>
  <si>
    <t>7 de dezembro | 10:08</t>
  </si>
  <si>
    <t>MEL44140380809LMXDF01</t>
  </si>
  <si>
    <t>2000009966098198</t>
  </si>
  <si>
    <t>27 de novembro de 2024 05:48 hs.</t>
  </si>
  <si>
    <t>Camila Helen Costa Alves</t>
  </si>
  <si>
    <t>CPF 40595211836</t>
  </si>
  <si>
    <t>Rua Um 569, Itirapina - CEP: 13530000, São Paulo</t>
  </si>
  <si>
    <t>40595211836</t>
  </si>
  <si>
    <t>Rua Um 569 / CEP 13530000 - vila garbi, Itirapina, São Paulo</t>
  </si>
  <si>
    <t>Itirapina</t>
  </si>
  <si>
    <t>13530000</t>
  </si>
  <si>
    <t>6 de dezembro | 18:00</t>
  </si>
  <si>
    <t>MEL44140555632LMXDF01</t>
  </si>
  <si>
    <t>2000006711728951</t>
  </si>
  <si>
    <t>27 de novembro de 2024 02:14 hs.</t>
  </si>
  <si>
    <t>Enilda Rodrigues Dos Santos</t>
  </si>
  <si>
    <t>CPF 45247803515</t>
  </si>
  <si>
    <t>Rua Eronides Souza Santos 37 37, Cafarnaum - CEP: 44880000, Bahia</t>
  </si>
  <si>
    <t>45247803515</t>
  </si>
  <si>
    <t>Rua Eronides Souza Santos 37 / casa - CEP 44880000 - centro, Cafarnaum, Bahia</t>
  </si>
  <si>
    <t>Cafarnaum</t>
  </si>
  <si>
    <t>44880000</t>
  </si>
  <si>
    <t>5 de dezembro | 00:54</t>
  </si>
  <si>
    <t>8 de dezembro | 11:28</t>
  </si>
  <si>
    <t>MEL44140199291LMXDF01</t>
  </si>
  <si>
    <t>2000009965142402</t>
  </si>
  <si>
    <t>27 de novembro de 2024 00:11 hs.</t>
  </si>
  <si>
    <t>Mirian Miranda Pignatti Vieira</t>
  </si>
  <si>
    <t>CPF 29605799847</t>
  </si>
  <si>
    <t>Rua Santa Paula 3951 - Apto 12 bloco 4 Ônix, São José do Rio Preto - CEP: 15040190, São Paulo</t>
  </si>
  <si>
    <t>29605799847</t>
  </si>
  <si>
    <t>Rua Santa Paula 3951 / Apto 12 bloco 4 Ônix Referencia: Condomínio Ônix, Entrada pela Rua Maria Almeida Caputo - Trabalho 12x36 se possível
 entregar a tarde. ou ligue 17988020734 - CEP 15040190 - Jardim Santa Lúcia, São José do Rio Preto, São Paulo</t>
  </si>
  <si>
    <t>São José do Rio Preto</t>
  </si>
  <si>
    <t>15040190</t>
  </si>
  <si>
    <t>6 de dezembro | 17:34</t>
  </si>
  <si>
    <t>MEL44139959411LMXDF01</t>
  </si>
  <si>
    <t>2000009965061462</t>
  </si>
  <si>
    <t>27 de novembro de 2024 00:02 hs.</t>
  </si>
  <si>
    <t>2000009964584574</t>
  </si>
  <si>
    <t>26 de novembro de 2024 23:02 hs.</t>
  </si>
  <si>
    <t>Fabiana Da Silva Oliveira Bulgarelli</t>
  </si>
  <si>
    <t>CPF 32531756850</t>
  </si>
  <si>
    <t>Rua Antônio Volpe 155 - Fundo, Campinas - CEP: 13058413, São Paulo</t>
  </si>
  <si>
    <t>32531756850</t>
  </si>
  <si>
    <t>Rua Antônio Volpe 155 / Fundo Referencia: Fundo - CEP 13058413 - Jardim Novo Maracanã, Campinas, São Paulo</t>
  </si>
  <si>
    <t>13058413</t>
  </si>
  <si>
    <t>MEL44139923936LMXDF01</t>
  </si>
  <si>
    <t>2000009964335434</t>
  </si>
  <si>
    <t>26 de novembro de 2024 22:51 hs.</t>
  </si>
  <si>
    <t>Mirieli Carvalho Boff</t>
  </si>
  <si>
    <t>CPF 00496424050</t>
  </si>
  <si>
    <t>Rua Antônio Velho 58, Vacaria - CEP: 95200166, Rio Grande do Sul</t>
  </si>
  <si>
    <t>00496424050</t>
  </si>
  <si>
    <t>Rua Antônio Velho 58 / CEP 95200166 - Centro, Vacaria, Rio Grande do Sul</t>
  </si>
  <si>
    <t>Vacaria</t>
  </si>
  <si>
    <t>95200166</t>
  </si>
  <si>
    <t>7 de dezembro | 13:10</t>
  </si>
  <si>
    <t>MEL44139823910LMXDF01</t>
  </si>
  <si>
    <t>2000009964189864</t>
  </si>
  <si>
    <t>26 de novembro de 2024 22:24 hs.</t>
  </si>
  <si>
    <t>Fernando Antonio Benevides Teixeira</t>
  </si>
  <si>
    <t>CPF 20346948304</t>
  </si>
  <si>
    <t>Rua Joaquim Emídio de Castro 275, Fortaleza - CEP: 60821575, Ceará</t>
  </si>
  <si>
    <t>20346948304</t>
  </si>
  <si>
    <t>Rua Joaquim Emídio de Castro 275 / CEP 60821575 - Parque Manibura, Fortaleza, Ceará</t>
  </si>
  <si>
    <t>Fortaleza</t>
  </si>
  <si>
    <t>Ceará</t>
  </si>
  <si>
    <t>60821575</t>
  </si>
  <si>
    <t>9 de dezembro | 19:54</t>
  </si>
  <si>
    <t>MEL44139568355LMXDF01</t>
  </si>
  <si>
    <t>2000009963967104</t>
  </si>
  <si>
    <t>26 de novembro de 2024 22:02 hs.</t>
  </si>
  <si>
    <t>Caroline Almeida Oliveira</t>
  </si>
  <si>
    <t>CPF 01422595277</t>
  </si>
  <si>
    <t>Avenida B SN - lote 1 quadra 38, Canaã dos Carajás - CEP: 68350479, Pará</t>
  </si>
  <si>
    <t>01422595277</t>
  </si>
  <si>
    <t>Avenida B SN / lote 1 quadra 38 Referencia: última rotatória  do vale dos sonhos  3 dobra pra direita  na avenida B - CEP 68350479 - Vale dos Sonhos III, Canaã dos Carajás, Pará</t>
  </si>
  <si>
    <t>Canaã dos Carajás</t>
  </si>
  <si>
    <t>Pará</t>
  </si>
  <si>
    <t>68350479</t>
  </si>
  <si>
    <t>11 de dezembro | 18:46</t>
  </si>
  <si>
    <t>MEL44139667254LMXDF01</t>
  </si>
  <si>
    <t>2000006710564939</t>
  </si>
  <si>
    <t>26 de novembro de 2024 21:59 hs.</t>
  </si>
  <si>
    <t>Adriana Aparecida Miraglia</t>
  </si>
  <si>
    <t>CPF 17369133877</t>
  </si>
  <si>
    <t>Rua José Carlos da Costa 38, Sales - CEP: 14980122, São Paulo</t>
  </si>
  <si>
    <t>17369133877</t>
  </si>
  <si>
    <t>Rua José Carlos da Costa 38 / CEP 14980122 - Santa Terezinha, Sales, São Paulo</t>
  </si>
  <si>
    <t>Sales</t>
  </si>
  <si>
    <t>14980122</t>
  </si>
  <si>
    <t>6 de dezembro | 16:52</t>
  </si>
  <si>
    <t>MEL44139654464LMXDF01</t>
  </si>
  <si>
    <t>2000006710313615</t>
  </si>
  <si>
    <t>26 de novembro de 2024 21:21 hs.</t>
  </si>
  <si>
    <t>Nelso Cordeiro Correa</t>
  </si>
  <si>
    <t>CPF 42155231253</t>
  </si>
  <si>
    <t>Rua Mister Mackenzie 4792, Porto Velho - CEP: 76810552, Rondônia</t>
  </si>
  <si>
    <t>42155231253</t>
  </si>
  <si>
    <t>Rua Mister Mackenzie 4792 / CEP 76810552 - Cidade Nova, Porto Velho, Rondônia</t>
  </si>
  <si>
    <t>Porto Velho</t>
  </si>
  <si>
    <t>76810552</t>
  </si>
  <si>
    <t>9 de dezembro | 12:33</t>
  </si>
  <si>
    <t>MEL44139480816LMXDF01</t>
  </si>
  <si>
    <t>2000006710293181</t>
  </si>
  <si>
    <t>26 de novembro de 2024 21:17 hs.</t>
  </si>
  <si>
    <t>Gelcione Ribeiro Barbosa</t>
  </si>
  <si>
    <t>CPF 04346749666</t>
  </si>
  <si>
    <t>Rua Dezenove-A 27, Belo Horizonte - CEP: 31845290, Minas Gerais</t>
  </si>
  <si>
    <t>04346749666</t>
  </si>
  <si>
    <t>Rua Dezenove-A 27 / CEP 31845290 - Novo Aarão Reis, Belo Horizonte, Minas Gerais</t>
  </si>
  <si>
    <t>31845290</t>
  </si>
  <si>
    <t>5 de dezembro | 01:26</t>
  </si>
  <si>
    <t>5 de dezembro | 20:55</t>
  </si>
  <si>
    <t>MEL44139268917LMXDF01</t>
  </si>
  <si>
    <t>2000009963227138</t>
  </si>
  <si>
    <t>26 de novembro de 2024 20:52 hs.</t>
  </si>
  <si>
    <t>jefferson rodrigues vasques</t>
  </si>
  <si>
    <t>CPF 36842095115</t>
  </si>
  <si>
    <t>Rua das Uvas 115, Sinop - CEP: 78556610, Mato Grosso</t>
  </si>
  <si>
    <t>36842095115</t>
  </si>
  <si>
    <t>Rua das Uvas 115 / CEP 78556610 - Jardim Celeste, Sinop, Mato Grosso</t>
  </si>
  <si>
    <t>78556610</t>
  </si>
  <si>
    <t>9 de dezembro | 16:55</t>
  </si>
  <si>
    <t>MEL44139350904LMXDF01</t>
  </si>
  <si>
    <t>2000006710060901</t>
  </si>
  <si>
    <t>26 de novembro de 2024 20:43 hs.</t>
  </si>
  <si>
    <t>Av Santa Monica 593 - Apto 18 Bloco 17, São Paulo - CEP: 05171000, São Paulo</t>
  </si>
  <si>
    <t>Av Santa Monica 593 / Apto 18 Bloco 17 Referencia: Condominio Santa Monica - CEP 05171000 - Jardim Santa Mônica, São Paulo, São Paulo</t>
  </si>
  <si>
    <t>05171000</t>
  </si>
  <si>
    <t>6 de dezembro | 16:04</t>
  </si>
  <si>
    <t>MEL44139306408LMXDF01</t>
  </si>
  <si>
    <t>2000006710057781</t>
  </si>
  <si>
    <t>26 de novembro de 2024 20:42 hs.</t>
  </si>
  <si>
    <t>Everaldo Ajonas Alves</t>
  </si>
  <si>
    <t>CPF 19441310867</t>
  </si>
  <si>
    <t>AV JUSCELINO K DE OLIVEIRA 1313, Matinhos - CEP: 83260000, Paraná</t>
  </si>
  <si>
    <t>19441310867</t>
  </si>
  <si>
    <t>AV JUSCELINO K DE OLIVEIRA 1313 / AV JUSCELINO K DE OLIVEIRA, CENTRO - CEP 83260000 - Centro, Matinhos, Paraná</t>
  </si>
  <si>
    <t>Matinhos</t>
  </si>
  <si>
    <t>83260000</t>
  </si>
  <si>
    <t>6 de dezembro | 20:17</t>
  </si>
  <si>
    <t>MEL44139105677LMXDF01</t>
  </si>
  <si>
    <t>https://myaccount.mercadolivre.com.br/shipments/44139105677/detail</t>
  </si>
  <si>
    <t>2000006709858517</t>
  </si>
  <si>
    <t>26 de novembro de 2024 20:12 hs.</t>
  </si>
  <si>
    <t>Luiz Eduardo Dos Santos Aquino</t>
  </si>
  <si>
    <t>CPF 10845904841</t>
  </si>
  <si>
    <t>Rua Itapema 120, Iguape - CEP: 11920000, São Paulo</t>
  </si>
  <si>
    <t>10845904841</t>
  </si>
  <si>
    <t>Rua Itapema 120 / Referencia: quadra coberta, Bar do tonho, campo futebol - CEP 11920000 - Rocio, Iguape, São Paulo</t>
  </si>
  <si>
    <t>Iguape</t>
  </si>
  <si>
    <t>11920000</t>
  </si>
  <si>
    <t>7 de dezembro | 15:20</t>
  </si>
  <si>
    <t>MEL44139160962LMXDF01</t>
  </si>
  <si>
    <t>2000009962744016</t>
  </si>
  <si>
    <t>26 de novembro de 2024 20:05 hs.</t>
  </si>
  <si>
    <t>Helder Luis Almeida de Sousa</t>
  </si>
  <si>
    <t>CPF 19292708520</t>
  </si>
  <si>
    <t>AVENIDA BRIGADEIRO ALBERTO COSTA MATOS 1496, Lauro de Freitas - CEP: 42702010, Bahia</t>
  </si>
  <si>
    <t>19292708520</t>
  </si>
  <si>
    <t>AVENIDA BRIGADEIRO ALBERTO COSTA MATOS 1496 / 127 - CEP 42702010 - Aracuí, Lauro de Freitas, Bahia</t>
  </si>
  <si>
    <t>Lauro de Freitas</t>
  </si>
  <si>
    <t>42702010</t>
  </si>
  <si>
    <t>9 de dezembro | 16:23</t>
  </si>
  <si>
    <t>MEL44138938323LMXDF01</t>
  </si>
  <si>
    <t>https://myaccount.mercadolivre.com.br/shipments/44138938323/detail</t>
  </si>
  <si>
    <t>2000006709622861</t>
  </si>
  <si>
    <t>26 de novembro de 2024 19:33 hs.</t>
  </si>
  <si>
    <t>Adriana Pimentel Beserra</t>
  </si>
  <si>
    <t>CPF 27310989880</t>
  </si>
  <si>
    <t>Rua Castanheiro do Brejo 146 - antigo 17, São Paulo - CEP: 08161240, São Paulo</t>
  </si>
  <si>
    <t>27310989880</t>
  </si>
  <si>
    <t>Rua Castanheiro do Brejo 146 / antigo 17 - CEP 08161240 - Jardim dos Ipês, São Paulo, São Paulo</t>
  </si>
  <si>
    <t>08161240</t>
  </si>
  <si>
    <t>6 de dezembro | 11:52</t>
  </si>
  <si>
    <t>MEL44138788963LMXDF01</t>
  </si>
  <si>
    <t>2000006709494033</t>
  </si>
  <si>
    <t>26 de novembro de 2024 19:11 hs.</t>
  </si>
  <si>
    <t>cesar presotto dias</t>
  </si>
  <si>
    <t>CPF 06146799904</t>
  </si>
  <si>
    <t>Rua Guaratuba 1155 - loja de confecção, Pato Bragado - CEP: 85948000, Paraná</t>
  </si>
  <si>
    <t>06146799904</t>
  </si>
  <si>
    <t>Rua Guaratuba 1155 / loja de confecção Referencia: pode entregar para as meninas Patrícia ou Elisa e Sara - CEP 85948000 - centro, Pato Bragado, Paraná</t>
  </si>
  <si>
    <t>Pato Bragado</t>
  </si>
  <si>
    <t>85948000</t>
  </si>
  <si>
    <t>9 de dezembro | 15:06</t>
  </si>
  <si>
    <t>MEL44138886000LMXDF01</t>
  </si>
  <si>
    <t>2000006709253319</t>
  </si>
  <si>
    <t>26 de novembro de 2024 18:32 hs.</t>
  </si>
  <si>
    <t>Ana Paula Batista Dos Santos</t>
  </si>
  <si>
    <t>CPF 06398698665</t>
  </si>
  <si>
    <t>Rua Quatro 123, Brumadinho - CEP: 32490316, Minas Gerais</t>
  </si>
  <si>
    <t>06398698665</t>
  </si>
  <si>
    <t>Rua Quatro 123 / recanto da serra Referencia: fica no condomínio recanto da serra próximo ao retiro do chalé e coufer - CEP 32490316 - Recanto da Serra I (Piedade do Paraopeba), Brumadinho, Minas Gerais</t>
  </si>
  <si>
    <t>Brumadinho</t>
  </si>
  <si>
    <t>32490316</t>
  </si>
  <si>
    <t>5 de dezembro | 01:52</t>
  </si>
  <si>
    <t>5 de dezembro | 16:40</t>
  </si>
  <si>
    <t>MEL44138712508LMXDF01</t>
  </si>
  <si>
    <t>2000009961726198</t>
  </si>
  <si>
    <t>26 de novembro de 2024 18:24 hs.</t>
  </si>
  <si>
    <t>Vicente Centeno Guillen</t>
  </si>
  <si>
    <t>CPF 05459245702</t>
  </si>
  <si>
    <t>Rua da Alfândega 192, Rio de Janeiro - CEP: 20070006, Rio de Janeiro</t>
  </si>
  <si>
    <t>05459245702</t>
  </si>
  <si>
    <t>Rua da Alfândega 192 / Referencia: Atrás do detran - CEP 20070006 - Centro, Rio de Janeiro, Rio de Janeiro</t>
  </si>
  <si>
    <t>20070006</t>
  </si>
  <si>
    <t>5 de dezembro | 00:08</t>
  </si>
  <si>
    <t>5 de dezembro | 16:33</t>
  </si>
  <si>
    <t>MEL44138480233LMXDF01</t>
  </si>
  <si>
    <t>2000009961545226</t>
  </si>
  <si>
    <t>26 de novembro de 2024 18:07 hs.</t>
  </si>
  <si>
    <t>Maria Reis Gonçalves Artoni Coelho</t>
  </si>
  <si>
    <t>CPF 08426592856</t>
  </si>
  <si>
    <t>Rodovia Raposo Tavares 15713 - Torre 1 AP 21, São Paulo - CEP: 05577200, São Paulo</t>
  </si>
  <si>
    <t>08426592856</t>
  </si>
  <si>
    <t>Rodovia Raposo Tavares 15713 / Torre 1 AP 21 Referencia: Cond Eco Vitallis - CEP 05577200 - Jardim Arpoador, São Paulo, São Paulo</t>
  </si>
  <si>
    <t>05577200</t>
  </si>
  <si>
    <t>6 de dezembro | 12:11</t>
  </si>
  <si>
    <t>MEL44138403055LMXDF01</t>
  </si>
  <si>
    <t>2000009961338054</t>
  </si>
  <si>
    <t>26 de novembro de 2024 17:48 hs.</t>
  </si>
  <si>
    <t>Eva Coelho Moretto</t>
  </si>
  <si>
    <t>CPF 36396217864</t>
  </si>
  <si>
    <t>Rua Caxambu 111 - casa, Santo André - CEP: 09271530, São Paulo</t>
  </si>
  <si>
    <t>36396217864</t>
  </si>
  <si>
    <t>Rua Caxambu 111 / casa - CEP 09271530 - Parque João Ramalho, Santo André, São Paulo</t>
  </si>
  <si>
    <t>09271530</t>
  </si>
  <si>
    <t>6 de dezembro | 13:27</t>
  </si>
  <si>
    <t>MEL44138494760LMXDF01</t>
  </si>
  <si>
    <t>2000009961308344</t>
  </si>
  <si>
    <t>26 de novembro de 2024 17:44 hs.</t>
  </si>
  <si>
    <t xml:space="preserve">Emidio Roberto Araújo </t>
  </si>
  <si>
    <t>CPF 09045355760</t>
  </si>
  <si>
    <t>Rua Barata Ribeiro 208 - 201, Rio de Janeiro - CEP: 22040002, Rio de Janeiro</t>
  </si>
  <si>
    <t>09045355760</t>
  </si>
  <si>
    <t>Rua Barata Ribeiro 208 / 201 Referencia: Na rua do teatro Gláucio Gil - CEP 22040002 - Copacabana, Rio de Janeiro, Rio de Janeiro</t>
  </si>
  <si>
    <t>22040002</t>
  </si>
  <si>
    <t>5 de dezembro | 02:09</t>
  </si>
  <si>
    <t>5 de dezembro | 16:59</t>
  </si>
  <si>
    <t>MEL44138484802LMXDF01</t>
  </si>
  <si>
    <t>2000006708954063</t>
  </si>
  <si>
    <t>ediana da Silva Andrade</t>
  </si>
  <si>
    <t>CPF 03034678355</t>
  </si>
  <si>
    <t>Rua Carlos Lacerda 113 - casa, Rio de Janeiro - CEP: 21044745, Rio de Janeiro</t>
  </si>
  <si>
    <t>03034678355</t>
  </si>
  <si>
    <t>Rua Carlos Lacerda 113 / casa - CEP 21044745 - Maré, Rio de Janeiro, Rio de Janeiro</t>
  </si>
  <si>
    <t>21044745</t>
  </si>
  <si>
    <t>5 de dezembro | 18:02</t>
  </si>
  <si>
    <t>MEL44138492254LMXDF01</t>
  </si>
  <si>
    <t>2000009961262770</t>
  </si>
  <si>
    <t>26 de novembro de 2024 17:38 hs.</t>
  </si>
  <si>
    <t>Denice Maria Sousa Lima</t>
  </si>
  <si>
    <t>CPF 97900389334</t>
  </si>
  <si>
    <t>Travessa Alexandre furtado próximo o mercadinho são Tomé 10 - casa da Denice, Reriutaba - CEP: 62260000, Ceará</t>
  </si>
  <si>
    <t>97900389334</t>
  </si>
  <si>
    <t>Travessa Alexandre furtado próximo o mercadinho são Tomé 10 / casa da Denice - CEP 62260000 - bairro Santa Cruz velha, Reriutaba, Ceará</t>
  </si>
  <si>
    <t>Reriutaba</t>
  </si>
  <si>
    <t>62260000</t>
  </si>
  <si>
    <t>9 de dezembro | 15:45</t>
  </si>
  <si>
    <t>MEL44138269687LMXDF01</t>
  </si>
  <si>
    <t>2000006708741533</t>
  </si>
  <si>
    <t>26 de novembro de 2024 17:12 hs.</t>
  </si>
  <si>
    <t>Maria Aparecida  Silva Pinheiro</t>
  </si>
  <si>
    <t>CPF 27137421881</t>
  </si>
  <si>
    <t>Avenida das Ondas 4699 - Bloco 8 Apto 402, Piracicaba - CEP: 13403600, São Paulo</t>
  </si>
  <si>
    <t>27137421881</t>
  </si>
  <si>
    <t>Avenida das Ondas 4699 / Bloco 8 Apto 402 Referencia: conhecido como bongue - CEP 13403600 - Jardim São Francisco, Piracicaba, São Paulo</t>
  </si>
  <si>
    <t>Piracicaba</t>
  </si>
  <si>
    <t>13403600</t>
  </si>
  <si>
    <t>MEL44138334758LMXDF01</t>
  </si>
  <si>
    <t>2000009960628400</t>
  </si>
  <si>
    <t>26 de novembro de 2024 16:36 hs.</t>
  </si>
  <si>
    <t>Elizabeth Maria Bezerra</t>
  </si>
  <si>
    <t>CPF 52891240987</t>
  </si>
  <si>
    <t>Rua José Sabó 485 - casa, Vinhedo - CEP: 13283272, São Paulo</t>
  </si>
  <si>
    <t>52891240987</t>
  </si>
  <si>
    <t>Rua José Sabó 485 / casa Referencia: pastelaria Miriam - CEP 13283272 - João XXIII, Vinhedo, São Paulo</t>
  </si>
  <si>
    <t>Vinhedo</t>
  </si>
  <si>
    <t>13283272</t>
  </si>
  <si>
    <t>6 de dezembro | 12:05</t>
  </si>
  <si>
    <t>MEL44137967925LMXDF01</t>
  </si>
  <si>
    <t>2000009960607236</t>
  </si>
  <si>
    <t>26 de novembro de 2024 16:35 hs.</t>
  </si>
  <si>
    <t>Daniel Garcia Dias</t>
  </si>
  <si>
    <t>CPF 10901602752</t>
  </si>
  <si>
    <t>Estrada Camboatá 180 - fundos, Duque de Caxias - CEP: 25213160, Rio de Janeiro</t>
  </si>
  <si>
    <t>10901602752</t>
  </si>
  <si>
    <t>Estrada Camboatá 180 / fundos - CEP 25213160 - Chácaras Rio-Petrópolis, Duque de Caxias, Rio de Janeiro</t>
  </si>
  <si>
    <t>Duque de Caxias</t>
  </si>
  <si>
    <t>25213160</t>
  </si>
  <si>
    <t>5 de dezembro | 15:43</t>
  </si>
  <si>
    <t>MEL44138155694LMXDF01</t>
  </si>
  <si>
    <t>2000006708361547</t>
  </si>
  <si>
    <t>26 de novembro de 2024 16:14 hs.</t>
  </si>
  <si>
    <t>Pacote de 4 produtos</t>
  </si>
  <si>
    <t>Viviane Souza Do Nascimento</t>
  </si>
  <si>
    <t>CPF 02825176508</t>
  </si>
  <si>
    <t>Rua Quatro 01 - loteamento São João, Aracaju - CEP: 49037873, Sergipe</t>
  </si>
  <si>
    <t>02825176508</t>
  </si>
  <si>
    <t>Rua Quatro 01 / loteamento São João - CEP 49037873 - Aeroporto, Aracaju, Sergipe</t>
  </si>
  <si>
    <t>Aracaju</t>
  </si>
  <si>
    <t>Sergipe</t>
  </si>
  <si>
    <t>49037873</t>
  </si>
  <si>
    <t>7 de dezembro | 13:15</t>
  </si>
  <si>
    <t>MEL44138052624LMXDF01</t>
  </si>
  <si>
    <t>2000009960387276</t>
  </si>
  <si>
    <t>00272</t>
  </si>
  <si>
    <t>MLB3485484657</t>
  </si>
  <si>
    <t>5-htp  200mg Com 90 Cápsulas - Autêntico</t>
  </si>
  <si>
    <t>2000009960396102</t>
  </si>
  <si>
    <t>2000009960398100</t>
  </si>
  <si>
    <t>26 de novembro de 2024 16:15 hs.</t>
  </si>
  <si>
    <t>2000009960398102</t>
  </si>
  <si>
    <t>2000009959952426</t>
  </si>
  <si>
    <t>26 de novembro de 2024 15:34 hs.</t>
  </si>
  <si>
    <t>Regina de Fatima Meira</t>
  </si>
  <si>
    <t>CPF 88993868891</t>
  </si>
  <si>
    <t>Rua Jaçanã 37 - apto 11, Sorocaba - CEP: 18044220, São Paulo</t>
  </si>
  <si>
    <t>88993868891</t>
  </si>
  <si>
    <t>Rua Jaçanã 37 / apto 11 - CEP 18044220 - Vila Jardini, Sorocaba, São Paulo</t>
  </si>
  <si>
    <t>18044220</t>
  </si>
  <si>
    <t>6 de dezembro | 12:22</t>
  </si>
  <si>
    <t>MEL44137841822LMXDF01</t>
  </si>
  <si>
    <t>2000009959818354</t>
  </si>
  <si>
    <t>26 de novembro de 2024 15:21 hs.</t>
  </si>
  <si>
    <t>Regina Marcia Silva</t>
  </si>
  <si>
    <t>CPF 40232425787</t>
  </si>
  <si>
    <t>Quadra QI 2 Bloco E 303, Brasília - CEP: 71010050, Distrito Federal</t>
  </si>
  <si>
    <t>40232425787</t>
  </si>
  <si>
    <t>Quadra QI 2 Bloco E 303 / E apt - Guará I - CEP 71010050 - Guará I, Brasília, Distrito Federal</t>
  </si>
  <si>
    <t>71010050</t>
  </si>
  <si>
    <t>6 de dezembro | 20:34</t>
  </si>
  <si>
    <t>MEL44137778390LMXDF01</t>
  </si>
  <si>
    <t>2000009959592010</t>
  </si>
  <si>
    <t>26 de novembro de 2024 15:02 hs.</t>
  </si>
  <si>
    <t>maria das graças machado</t>
  </si>
  <si>
    <t>CPF 76443868820</t>
  </si>
  <si>
    <t>Avenida Antônio Pincinato 3398 - casa 363, Jundiaí - CEP: 13211771, São Paulo</t>
  </si>
  <si>
    <t>76443868820</t>
  </si>
  <si>
    <t>Avenida Antônio Pincinato 3398 / casa 363 Referencia: Antes do aeroporto. - CEP 13211771 - Recanto Quarto Centenário, Jundiaí, São Paulo</t>
  </si>
  <si>
    <t>13211771</t>
  </si>
  <si>
    <t>6 de dezembro | 12:20</t>
  </si>
  <si>
    <t>MEL44137682226LMXDF01</t>
  </si>
  <si>
    <t>2000006707827377</t>
  </si>
  <si>
    <t>26 de novembro de 2024 14:58 hs.</t>
  </si>
  <si>
    <t>Ivaneide de Morais Ribeiro Santos</t>
  </si>
  <si>
    <t>CPF 31710988819</t>
  </si>
  <si>
    <t>Avenida João Peixoto Viegas 195 - Apto 53 Torre Ilha, São Paulo - CEP: 04437000, São Paulo</t>
  </si>
  <si>
    <t>31710988819</t>
  </si>
  <si>
    <t>Avenida João Peixoto Viegas 195 / Apto 53 Torre Ilha - CEP 04437000 - Jardim Consórcio, São Paulo, São Paulo</t>
  </si>
  <si>
    <t>04437000</t>
  </si>
  <si>
    <t>6 de dezembro | 10:38</t>
  </si>
  <si>
    <t>MEL44137464777LMXDF01</t>
  </si>
  <si>
    <t>2000009959555380</t>
  </si>
  <si>
    <t>00016</t>
  </si>
  <si>
    <t>MLB2775668438</t>
  </si>
  <si>
    <t>Vit D3 10.000 Ui + K2 Mkt 100mcg C/ 60 Cápsulas</t>
  </si>
  <si>
    <t>2000009959555378</t>
  </si>
  <si>
    <t>00006</t>
  </si>
  <si>
    <t>MLB2695503485</t>
  </si>
  <si>
    <t>Creme Clareador Axilas E Virilhas 50g</t>
  </si>
  <si>
    <t>Tipo de pele : Todo tipo de pele</t>
  </si>
  <si>
    <t>2000009959570116</t>
  </si>
  <si>
    <t>2000009959570114</t>
  </si>
  <si>
    <t>00353</t>
  </si>
  <si>
    <t>MLB3775089467</t>
  </si>
  <si>
    <t>Colágeno Tipo 2 40mg - 90 Caps Alívio Dor Articular</t>
  </si>
  <si>
    <t>2000006707511829</t>
  </si>
  <si>
    <t>26 de novembro de 2024 14:14 hs.</t>
  </si>
  <si>
    <t>Tamyres Pereira da Macena</t>
  </si>
  <si>
    <t>CPF 35294867877</t>
  </si>
  <si>
    <t>Rua João Francisco de Moura 92, São Paulo - CEP: 04455170, São Paulo</t>
  </si>
  <si>
    <t>35294867877</t>
  </si>
  <si>
    <t>Rua João Francisco de Moura 92 / CEP 04455170 - Vila Campo Grande, São Paulo, São Paulo</t>
  </si>
  <si>
    <t>04455170</t>
  </si>
  <si>
    <t>6 de dezembro | 12:33</t>
  </si>
  <si>
    <t>MEL44137439826LMXDF01</t>
  </si>
  <si>
    <t>2000009958930492</t>
  </si>
  <si>
    <t>26 de novembro de 2024 14:07 hs.</t>
  </si>
  <si>
    <t>Suelen Fernanda Dos Santos Sabino</t>
  </si>
  <si>
    <t>CPF 34906083803</t>
  </si>
  <si>
    <t>Rua Dorival Pereira Ribeiro 580 - fundos, Matão - CEP: 15995042, São Paulo</t>
  </si>
  <si>
    <t>34906083803</t>
  </si>
  <si>
    <t>Matão</t>
  </si>
  <si>
    <t>15995042</t>
  </si>
  <si>
    <t>MEL44137373968FMXDF01</t>
  </si>
  <si>
    <t>2000009958714128</t>
  </si>
  <si>
    <t>26 de novembro de 2024 13:44 hs.</t>
  </si>
  <si>
    <t>Marilei Strucker Bersch</t>
  </si>
  <si>
    <t>CPF 05948626989</t>
  </si>
  <si>
    <t>Rua Alcídes Oscár Schmidt 1196 - pra cima do Beto car, Paraíso - CEP: 89906000, Santa Catarina</t>
  </si>
  <si>
    <t>05948626989</t>
  </si>
  <si>
    <t>Rua Alcídes Oscár Schmidt 1196 / pra cima do Beto car - CEP 89906000 - Centro, Paraíso, Santa Catarina</t>
  </si>
  <si>
    <t>Paraíso</t>
  </si>
  <si>
    <t>89906000</t>
  </si>
  <si>
    <t>7 de dezembro | 13:26</t>
  </si>
  <si>
    <t>MEL44137075203LMXDF01</t>
  </si>
  <si>
    <t>2000009958675636</t>
  </si>
  <si>
    <t>wenderson araujo</t>
  </si>
  <si>
    <t>CPF 02691397297</t>
  </si>
  <si>
    <t>RUA PIRABAS 377, Manaus - CEP: 69042211, Amazonas</t>
  </si>
  <si>
    <t>02691397297</t>
  </si>
  <si>
    <t>RUA PIRABAS 377 / Prédio amarelo - CEP 69042211 - Manaus, Manaus, Amazonas</t>
  </si>
  <si>
    <t>Manaus</t>
  </si>
  <si>
    <t>Amazonas</t>
  </si>
  <si>
    <t>69042211</t>
  </si>
  <si>
    <t>11 de dezembro | 12:34</t>
  </si>
  <si>
    <t>MEL44137066087LMXDF01</t>
  </si>
  <si>
    <t>https://myaccount.mercadolivre.com.br/shipments/44137066087/detail</t>
  </si>
  <si>
    <t>2000006707061575</t>
  </si>
  <si>
    <t>26 de novembro de 2024 13:13 hs.</t>
  </si>
  <si>
    <t>Dalia O Briet briet</t>
  </si>
  <si>
    <t>CPF 02620187800</t>
  </si>
  <si>
    <t>Rua José Egidio da Costa Ferreira 300, Ubatuba - CEP: 11686450, São Paulo</t>
  </si>
  <si>
    <t>02620187800</t>
  </si>
  <si>
    <t>Rua José Egidio da Costa Ferreira 300 / Referencia: casa sem portão - CEP 11686450 - Perequê Mirim, Ubatuba, São Paulo</t>
  </si>
  <si>
    <t>Ubatuba</t>
  </si>
  <si>
    <t>11686450</t>
  </si>
  <si>
    <t>6 de dezembro | 12:19</t>
  </si>
  <si>
    <t>MEL44137127668LMXDF01</t>
  </si>
  <si>
    <t>2000009957954488</t>
  </si>
  <si>
    <t>26 de novembro de 2024 12:35 hs.</t>
  </si>
  <si>
    <t>Lygia Azeredo Fagundes</t>
  </si>
  <si>
    <t>CPF 48232091843</t>
  </si>
  <si>
    <t>Rua Marechal Arthur da Costa e Silva 1052, Taubaté - CEP: 12010490, São Paulo</t>
  </si>
  <si>
    <t>48232091843</t>
  </si>
  <si>
    <t>Rua Marechal Arthur da Costa e Silva 1052 / CEP 12010490 - Centro, Taubaté, São Paulo</t>
  </si>
  <si>
    <t>Taubaté</t>
  </si>
  <si>
    <t>12010490</t>
  </si>
  <si>
    <t>MEL44136731383LMXDF01</t>
  </si>
  <si>
    <t>2000006706561989</t>
  </si>
  <si>
    <t>26 de novembro de 2024 11:58 hs.</t>
  </si>
  <si>
    <t>Pauline Cordeiro da Silva</t>
  </si>
  <si>
    <t>CPF 10381730603</t>
  </si>
  <si>
    <t>Rua Riachuelo 925 - Casa, Belo Horizonte - CEP: 30720060, Minas Gerais</t>
  </si>
  <si>
    <t>10381730603</t>
  </si>
  <si>
    <t>Rua Riachuelo 925 / Casa Referencia: Ao lado da barbearia - CEP 30720060 - Padre Eustáquio, Belo Horizonte, Minas Gerais</t>
  </si>
  <si>
    <t>30720060</t>
  </si>
  <si>
    <t>5 de dezembro | 17:17</t>
  </si>
  <si>
    <t>MEL44136745768LMXDF01</t>
  </si>
  <si>
    <t>2000009957518018</t>
  </si>
  <si>
    <t>26 de novembro de 2024 11:54 hs.</t>
  </si>
  <si>
    <t>Sophia Tavolaro</t>
  </si>
  <si>
    <t>CPF 39980071800</t>
  </si>
  <si>
    <t>Rua das Nações 14, São Sebastião - CEP: 11604695, São Paulo</t>
  </si>
  <si>
    <t>39980071800</t>
  </si>
  <si>
    <t>Rua das Nações 14 / CEP 11604695 - Portal da Olaria, São Sebastião, São Paulo</t>
  </si>
  <si>
    <t>São Sebastião</t>
  </si>
  <si>
    <t>11604695</t>
  </si>
  <si>
    <t>6 de dezembro | 19:10</t>
  </si>
  <si>
    <t>MEL44136722326LMXDF01</t>
  </si>
  <si>
    <t>2000009957492636</t>
  </si>
  <si>
    <t>26 de novembro de 2024 11:52 hs.</t>
  </si>
  <si>
    <t>Leonardo Dimas</t>
  </si>
  <si>
    <t>CPF 02081405733</t>
  </si>
  <si>
    <t>Travessa F SN - lote 15 Qd 13, Magé - CEP: 25936540, Rio de Janeiro</t>
  </si>
  <si>
    <t>02081405733</t>
  </si>
  <si>
    <t>Travessa F SN / L15 Q13 - CEP 25936540 - Sampaio (Vila Inhomirim), Magé, Rio de Janeiro</t>
  </si>
  <si>
    <t>Magé</t>
  </si>
  <si>
    <t>25936540</t>
  </si>
  <si>
    <t>5 de dezembro | 00:21</t>
  </si>
  <si>
    <t>5 de dezembro | 15:08</t>
  </si>
  <si>
    <t>MEL44136518843LMXDF01</t>
  </si>
  <si>
    <t>2000009957469046</t>
  </si>
  <si>
    <t>26 de novembro de 2024 11:51 hs.</t>
  </si>
  <si>
    <t xml:space="preserve">Cristina  Golin Fernandes </t>
  </si>
  <si>
    <t>CPF 00246457023</t>
  </si>
  <si>
    <t>Rua Gustav Kuhlman 280, Panambi - CEP: 98280000, Rio Grande do Sul</t>
  </si>
  <si>
    <t>00246457023</t>
  </si>
  <si>
    <t>Rua Gustav Kuhlman 280 / CEP 98280000 - italiana, Panambi, Rio Grande do Sul</t>
  </si>
  <si>
    <t>Panambi</t>
  </si>
  <si>
    <t>98280000</t>
  </si>
  <si>
    <t>7 de dezembro | 15:46</t>
  </si>
  <si>
    <t>MEL44136703754LMXDF01</t>
  </si>
  <si>
    <t>2000009953861240</t>
  </si>
  <si>
    <t>26 de novembro de 2024 11:23 hs.</t>
  </si>
  <si>
    <t>Cleo Bartziki Camargo</t>
  </si>
  <si>
    <t>CPF 06706298980</t>
  </si>
  <si>
    <t>Rua Angelim 173, Cascavel - CEP: 85807678, Paraná</t>
  </si>
  <si>
    <t>06706298980</t>
  </si>
  <si>
    <t>Rua Angelim 173 / 173 - CEP 85807678 - Parque Verde, Cascavel, Paraná</t>
  </si>
  <si>
    <t>Cascavel</t>
  </si>
  <si>
    <t>85807678</t>
  </si>
  <si>
    <t>7 de dezembro | 14:08</t>
  </si>
  <si>
    <t>MEL44134865251LMXDF01</t>
  </si>
  <si>
    <t>2000009957144638</t>
  </si>
  <si>
    <t>26 de novembro de 2024 11:21 hs.</t>
  </si>
  <si>
    <t>Maycon Bastos da Silva</t>
  </si>
  <si>
    <t>CPF 06171615501</t>
  </si>
  <si>
    <t>Caminho Seis 02 - praça do quiosque, Ibotirama - CEP: 47520000, Bahia</t>
  </si>
  <si>
    <t>06171615501</t>
  </si>
  <si>
    <t>Caminho Seis 02 / praça do quiosque Referencia: próximo à feira. esquina com a praça do quiosque - CEP 47520000 - Ibotirama, Ibotirama, Bahia</t>
  </si>
  <si>
    <t>Ibotirama</t>
  </si>
  <si>
    <t>47520000</t>
  </si>
  <si>
    <t>8 de dezembro | 18:01</t>
  </si>
  <si>
    <t>MEL44136358173LMXDF01</t>
  </si>
  <si>
    <t>2000006705770155</t>
  </si>
  <si>
    <t>26 de novembro de 2024 10:00 hs.</t>
  </si>
  <si>
    <t>Denilson sousa</t>
  </si>
  <si>
    <t>CPF 02158279370</t>
  </si>
  <si>
    <t>Rua Bandeirantes 295 - ao lado d sítio club, Santa Luzia do Paruá - CEP: 65272000, Maranhão</t>
  </si>
  <si>
    <t>02158279370</t>
  </si>
  <si>
    <t>Rua Bandeirantes 295 / ao lado d sítio club Referencia: ao lado do sitio club - CEP 65272000 - centro, Santa Luzia do Paruá, Maranhão</t>
  </si>
  <si>
    <t>10 de dezembro | 14:32</t>
  </si>
  <si>
    <t>MEL44136168858LMXDF01</t>
  </si>
  <si>
    <t>2000006705630441</t>
  </si>
  <si>
    <t>26 de novembro de 2024 09:34 hs.</t>
  </si>
  <si>
    <t>Luiz Humberto Mendes Santos</t>
  </si>
  <si>
    <t>CPF 01572149663</t>
  </si>
  <si>
    <t>Rua Celorico de Basto 95 - Casa 3 deixar lurdes ou beto, São Paulo - CEP: 05857250, São Paulo</t>
  </si>
  <si>
    <t>01572149663</t>
  </si>
  <si>
    <t>Rua Celorico de Basto 95 / Casa 3 deixar lurdes ou beto Referencia: Casa 3 deixar lurdes ou beto - CEP 05857250 - Jardim Aurélio, São Paulo, São Paulo</t>
  </si>
  <si>
    <t>05857250</t>
  </si>
  <si>
    <t>9 de dezembro | 16:05</t>
  </si>
  <si>
    <t>ML44135862707135551</t>
  </si>
  <si>
    <t>https://www.loggi.com/rastreador/3762947aef/ML44135862707135551</t>
  </si>
  <si>
    <t>2000009955806704</t>
  </si>
  <si>
    <t>26 de novembro de 2024 09:01 hs.</t>
  </si>
  <si>
    <t>Janio de Almeida Freire</t>
  </si>
  <si>
    <t>CPF 66655498287</t>
  </si>
  <si>
    <t>Rua Joaquim Sales Guerra 2492, Humaitá - CEP: 69800000, Amazonas</t>
  </si>
  <si>
    <t>66655498287</t>
  </si>
  <si>
    <t>Rua Joaquim Sales Guerra 2492 / Atrás da Pousada Paraíso, São Pedro - CEP 69800000 - Humaitá, Humaitá, Amazonas</t>
  </si>
  <si>
    <t>Humaitá</t>
  </si>
  <si>
    <t>69800000</t>
  </si>
  <si>
    <t>9 de dezembro | 12:51</t>
  </si>
  <si>
    <t>MEL44135926962LMXDF01</t>
  </si>
  <si>
    <t>2000009955763004</t>
  </si>
  <si>
    <t>26 de novembro de 2024 08:55 hs.</t>
  </si>
  <si>
    <t>tania maria da silva</t>
  </si>
  <si>
    <t>CPF 00931389704</t>
  </si>
  <si>
    <t>Avenida Luís de Matos 234 - casa 5, Nova Iguaçu - CEP: 26255510, Rio de Janeiro</t>
  </si>
  <si>
    <t>00931389704</t>
  </si>
  <si>
    <t>Avenida Luís de Matos 234 / casa 5 Referencia: tel residencial 21 26673039 - CEP 26255510 - da Luz, Nova Iguaçu, Rio de Janeiro</t>
  </si>
  <si>
    <t>26255510</t>
  </si>
  <si>
    <t>5 de dezembro | 14:50</t>
  </si>
  <si>
    <t>MEL44135905208LMXDF01</t>
  </si>
  <si>
    <t>2000009955531966</t>
  </si>
  <si>
    <t>26 de novembro de 2024 08:22 hs.</t>
  </si>
  <si>
    <t>Silvia Kurunczi de Santana Martins</t>
  </si>
  <si>
    <t>CPF 06912832814</t>
  </si>
  <si>
    <t>AVENIDA BRASIL 925, Lagoa da Prata - CEP: 35592268, Minas Gerais</t>
  </si>
  <si>
    <t>06912832814</t>
  </si>
  <si>
    <t>AVENIDA BRASIL 925 / CEP 35592268 - Marília, Lagoa da Prata, Minas Gerais</t>
  </si>
  <si>
    <t>Lagoa da Prata</t>
  </si>
  <si>
    <t>35592268</t>
  </si>
  <si>
    <t>7 de dezembro | 09:59</t>
  </si>
  <si>
    <t>MEL44135797916LMXDF01</t>
  </si>
  <si>
    <t>https://myaccount.mercadolivre.com.br/shipments/44135797916/detail</t>
  </si>
  <si>
    <t>2000009955456070</t>
  </si>
  <si>
    <t>26 de novembro de 2024 08:05 hs.</t>
  </si>
  <si>
    <t>William de Andrade Franca</t>
  </si>
  <si>
    <t>CPF 13437773720</t>
  </si>
  <si>
    <t>Rua Horta Barbosa 2, Duque de Caxias - CEP: 25243424, Rio de Janeiro</t>
  </si>
  <si>
    <t>13437773720</t>
  </si>
  <si>
    <t>Rua Horta Barbosa 2 / CEP 25243424 - Chácaras Rio-Petrópolis, Duque de Caxias, Rio de Janeiro</t>
  </si>
  <si>
    <t>25243424</t>
  </si>
  <si>
    <t>5 de dezembro | 18:13</t>
  </si>
  <si>
    <t>MEL44135748272LMXDF01</t>
  </si>
  <si>
    <t>2000009924476676</t>
  </si>
  <si>
    <t>26 de novembro de 2024 02:09 hs.</t>
  </si>
  <si>
    <t>Adriana Paixao de Sena</t>
  </si>
  <si>
    <t>CPF 32234230870</t>
  </si>
  <si>
    <t>Avenida Rio Amazonas 960 - Casa Almeida, Guarujá - CEP: 11446132, São Paulo</t>
  </si>
  <si>
    <t>32234230870</t>
  </si>
  <si>
    <t>Avenida Rio Amazonas 960 / Casa Almeida Referencia: agilidade na entrega. - CEP 11446132 - Balneario Praia do Perequê, Guarujá, São Paulo</t>
  </si>
  <si>
    <t>11446132</t>
  </si>
  <si>
    <t>MEL44122054341LMXDF01</t>
  </si>
  <si>
    <t>2000009950726196</t>
  </si>
  <si>
    <t>26 de novembro de 2024 02:08 hs.</t>
  </si>
  <si>
    <t>denis ferreira</t>
  </si>
  <si>
    <t>CPF 28061245817</t>
  </si>
  <si>
    <t>Avenida Franz Voegeli 501, Osasco - CEP: 06020190, São Paulo</t>
  </si>
  <si>
    <t>28061245817</t>
  </si>
  <si>
    <t>Avenida Franz Voegeli 501 / Ap 22 Bloco 1 - CEP 06020190 - Continental, Osasco, São Paulo</t>
  </si>
  <si>
    <t>06020190</t>
  </si>
  <si>
    <t>6 de dezembro | 11:07</t>
  </si>
  <si>
    <t>MEL44133511709LMXDF01</t>
  </si>
  <si>
    <t>2000006704162459</t>
  </si>
  <si>
    <t>25 de novembro de 2024 23:41 hs.</t>
  </si>
  <si>
    <t>Roucenilda Ferreira Ribeiro</t>
  </si>
  <si>
    <t>CPF 04262663744</t>
  </si>
  <si>
    <t>Rua Valdemar Viana de Carvalho 5 - A, Rio de Janeiro - CEP: 21721180, Rio de Janeiro</t>
  </si>
  <si>
    <t>04262663744</t>
  </si>
  <si>
    <t>Rua Valdemar Viana de Carvalho 5 / A Referencia: na Rua da Alficima Elétrica Alcir Ferreira - CEP 21721180 - Padre Miguel, Rio de Janeiro, Rio de Janeiro</t>
  </si>
  <si>
    <t>21721180</t>
  </si>
  <si>
    <t>5 de dezembro | 00:55</t>
  </si>
  <si>
    <t>5 de dezembro | 10:16</t>
  </si>
  <si>
    <t>MEL44134843005LMXDF01</t>
  </si>
  <si>
    <t>2000006704100087</t>
  </si>
  <si>
    <t>25 de novembro de 2024 23:29 hs.</t>
  </si>
  <si>
    <t>Priscila Lima Silva de Souza</t>
  </si>
  <si>
    <t>CPF 04731707528</t>
  </si>
  <si>
    <t>RUA PINHEIROS (ZAP: 71 98251-1383) 10, Camaçari - CEP: 42807057, Bahia</t>
  </si>
  <si>
    <t>04731707528</t>
  </si>
  <si>
    <t>RUA PINHEIROS (ZAP: 71 98251-1383) 10 / Loc e horário estão no ZAP, favor não ligar. - CEP 42807057 - Gleba C, Camaçari, Bahia</t>
  </si>
  <si>
    <t>Camaçari</t>
  </si>
  <si>
    <t>42807057</t>
  </si>
  <si>
    <t>11 de dezembro | 15:26</t>
  </si>
  <si>
    <t>MEL44134999018LMXDF01</t>
  </si>
  <si>
    <t>https://myaccount.mercadolivre.com.br/shipments/44134999018/detail</t>
  </si>
  <si>
    <t>2000009953665742</t>
  </si>
  <si>
    <t>25 de novembro de 2024 23:24 hs.</t>
  </si>
  <si>
    <t>Pacote não entregue</t>
  </si>
  <si>
    <t>Não foi possível entregar o pacote à pessoa que realizou a compra. Pedimos desculpas, reembolsamos os custos da venda na sua conta.</t>
  </si>
  <si>
    <t>Jaqueline Rosa</t>
  </si>
  <si>
    <t>CPF 16274215808</t>
  </si>
  <si>
    <t>Rua Raimundo Barbosa Nogueira 450 - BL04 apt 22, São José dos Campos - CEP: 12237828, São Paulo</t>
  </si>
  <si>
    <t>16274215808</t>
  </si>
  <si>
    <t>12237828</t>
  </si>
  <si>
    <t>MEL44134982908LMXDF01</t>
  </si>
  <si>
    <t>2000009953536968</t>
  </si>
  <si>
    <t>25 de novembro de 2024 23:09 hs.</t>
  </si>
  <si>
    <t>Tiago Biegelmeier</t>
  </si>
  <si>
    <t>CPF 00169260054</t>
  </si>
  <si>
    <t>Rodovia SP 141 Km 43 SN, Cesário Lange - CEP: 18285901, São Paulo</t>
  </si>
  <si>
    <t>00169260054</t>
  </si>
  <si>
    <t>Rodovia SP 141 Km 43 SN / CEP 18285901 - Turvo, Cesário Lange, São Paulo</t>
  </si>
  <si>
    <t>Cesário Lange</t>
  </si>
  <si>
    <t>18285901</t>
  </si>
  <si>
    <t>6 de dezembro | 10:46</t>
  </si>
  <si>
    <t>MEL44134730287LMXDF01</t>
  </si>
  <si>
    <t>2000006703846563</t>
  </si>
  <si>
    <t>25 de novembro de 2024 22:46 hs.</t>
  </si>
  <si>
    <t>Ana Claudia Pereira de Sousa</t>
  </si>
  <si>
    <t>CPF 06332945192</t>
  </si>
  <si>
    <t>Rua Treze 740 - Próx a Rua 03, Colinas do Tocantins - CEP: 77760000, Tocantins</t>
  </si>
  <si>
    <t>06332945192</t>
  </si>
  <si>
    <t>Rua Treze 740 / Próx a Rua 03 Referencia: portão vermelho - CEP 77760000 - Sol Nascente, Colinas do Tocantins, Tocantins</t>
  </si>
  <si>
    <t>Colinas do Tocantins</t>
  </si>
  <si>
    <t>77760000</t>
  </si>
  <si>
    <t>9 de dezembro | 13:46</t>
  </si>
  <si>
    <t>MEL44134642403LMXDF01</t>
  </si>
  <si>
    <t>2000009953009596</t>
  </si>
  <si>
    <t>25 de novembro de 2024 22:17 hs.</t>
  </si>
  <si>
    <t>Janderson Marcelo Canhada</t>
  </si>
  <si>
    <t>CPF 54257000910</t>
  </si>
  <si>
    <t>Avenida Voluntários da Pátria 840 - apto 1501, Londrina - CEP: 86061120, Paraná</t>
  </si>
  <si>
    <t>54257000910</t>
  </si>
  <si>
    <t>Avenida Voluntários da Pátria 840 / apto 1501 - CEP 86061120 - Andrade, Londrina, Paraná</t>
  </si>
  <si>
    <t>Londrina</t>
  </si>
  <si>
    <t>86061120</t>
  </si>
  <si>
    <t>7 de dezembro | 14:18</t>
  </si>
  <si>
    <t>MEL44134515711LMXDF01</t>
  </si>
  <si>
    <t>2000006703621073</t>
  </si>
  <si>
    <t>25 de novembro de 2024 22:12 hs.</t>
  </si>
  <si>
    <t>Andreia Muller</t>
  </si>
  <si>
    <t>CPF 03378643900</t>
  </si>
  <si>
    <t>Alexandre M. Reinert 277, São João Batista - CEP: 88240000, Santa Catarina</t>
  </si>
  <si>
    <t>03378643900</t>
  </si>
  <si>
    <t>Alexandre M. Reinert 277 / Casa Branca Final Da Rua - CEP 88240000 - São João Batista, São João Batista, Santa Catarina</t>
  </si>
  <si>
    <t>São João Batista</t>
  </si>
  <si>
    <t>88240000</t>
  </si>
  <si>
    <t>6 de dezembro | 15:03</t>
  </si>
  <si>
    <t>MEL44134688484LMXDF01</t>
  </si>
  <si>
    <t>2000009952817030</t>
  </si>
  <si>
    <t>25 de novembro de 2024 21:59 hs.</t>
  </si>
  <si>
    <t>Leticia Oliveira de Freitas</t>
  </si>
  <si>
    <t>CPF 01529348048</t>
  </si>
  <si>
    <t>Rua Burundi 05 - quadra 26, São Leopoldo - CEP: 93056100, Rio Grande do Sul</t>
  </si>
  <si>
    <t>01529348048</t>
  </si>
  <si>
    <t>Rua Burundi 05 / quadra 26 Referencia: cheio de plantas na frente da casa ...portão marrom com dois bonecos de halloween pendurado no portão de dentro do pátio - CEP 93056100 - Feitoria, São Leopoldo, Rio Grande do Sul</t>
  </si>
  <si>
    <t>93056100</t>
  </si>
  <si>
    <t>7 de dezembro | 13:40</t>
  </si>
  <si>
    <t>MEL44134431091LMXDF01</t>
  </si>
  <si>
    <t>2000006703506437</t>
  </si>
  <si>
    <t>25 de novembro de 2024 21:57 hs.</t>
  </si>
  <si>
    <t>Sonia Regina Rios Bittar</t>
  </si>
  <si>
    <t>CPF 19254634867</t>
  </si>
  <si>
    <t>Rua Paumaris 55 - 51, Praia Grande - CEP: 11703000, São Paulo</t>
  </si>
  <si>
    <t>19254634867</t>
  </si>
  <si>
    <t>Rua Paumaris 55 / 51 - CEP 11703000 - Tupi, Praia Grande, São Paulo</t>
  </si>
  <si>
    <t>Praia Grande</t>
  </si>
  <si>
    <t>11703000</t>
  </si>
  <si>
    <t>6 de dezembro | 12:32</t>
  </si>
  <si>
    <t>MEL44134613438LMXDF01</t>
  </si>
  <si>
    <t>2000006703464391</t>
  </si>
  <si>
    <t>25 de novembro de 2024 21:50 hs.</t>
  </si>
  <si>
    <t>Gabriela Moreira Nisa</t>
  </si>
  <si>
    <t>CPF 03473487503</t>
  </si>
  <si>
    <t>Rua Israel 363 - casa, Teixeira de Freitas - CEP: 45994713, Bahia</t>
  </si>
  <si>
    <t>03473487503</t>
  </si>
  <si>
    <t>Rua Israel 363 / casa Referencia: ao lado do point do leal - CEP 45994713 - Ulisses Guimarães, Teixeira de Freitas, Bahia</t>
  </si>
  <si>
    <t>45994713</t>
  </si>
  <si>
    <t>5 de dezembro | 05:42</t>
  </si>
  <si>
    <t>13 de dezembro | 12:48</t>
  </si>
  <si>
    <t>MEL44134389105LMXDF01</t>
  </si>
  <si>
    <t>2000006703379267</t>
  </si>
  <si>
    <t>25 de novembro de 2024 21:38 hs.</t>
  </si>
  <si>
    <t>Michael Douglas de Jesus Santana</t>
  </si>
  <si>
    <t>CPF 86068901548</t>
  </si>
  <si>
    <t>Avenida contorno guanabara condomínio Itapuã 1055 - frente a life clube, Vitória da Conquista - CEP: 45026250, Bahia</t>
  </si>
  <si>
    <t>86068901548</t>
  </si>
  <si>
    <t>Avenida contorno guanabara condomínio Itapuã 1055 / frente a life clube Referencia: Condômino Itapuã bloco abaite 302 - CEP 45026250 - Boa Vista, Vitória da Conquista, Bahia</t>
  </si>
  <si>
    <t>Vitória da Conquista</t>
  </si>
  <si>
    <t>45026250</t>
  </si>
  <si>
    <t>8 de dezembro | 09:59</t>
  </si>
  <si>
    <t>MEL44134525338LMXDF01</t>
  </si>
  <si>
    <t>2000006702941247</t>
  </si>
  <si>
    <t>25 de novembro de 2024 20:36 hs.</t>
  </si>
  <si>
    <t>Iris Lailine Carvalho Dos Santos</t>
  </si>
  <si>
    <t>CPF 86120200509</t>
  </si>
  <si>
    <t>2 TV João Rosa 30 - residência, Jequié - CEP: 45208563, Bahia</t>
  </si>
  <si>
    <t>86120200509</t>
  </si>
  <si>
    <t>2 TV João Rosa 30 / residência Referencia: ao lado do CAIC - CEP 45208563 - Jequiezinho, Jequié, Bahia</t>
  </si>
  <si>
    <t>Jequié</t>
  </si>
  <si>
    <t>45208563</t>
  </si>
  <si>
    <t>4 de dezembro | 04:52</t>
  </si>
  <si>
    <t>7 de dezembro | 15:26</t>
  </si>
  <si>
    <t>MEL44134025419LMXDF01</t>
  </si>
  <si>
    <t>2000009951740412</t>
  </si>
  <si>
    <t>25 de novembro de 2024 20:23 hs.</t>
  </si>
  <si>
    <t>geova c ferreira</t>
  </si>
  <si>
    <t>CPF 75347909803</t>
  </si>
  <si>
    <t>do Irineu 206 - casa da Neguinha, Centro Novo do Maranhão - CEP: 65299000, Maranhão</t>
  </si>
  <si>
    <t>75347909803</t>
  </si>
  <si>
    <t>do Irineu 206 / casa da Neguinha Referencia: Fátima - CEP 65299000 - piçarra, Centro Novo do Maranhão, Maranhão</t>
  </si>
  <si>
    <t>Centro Novo do Maranhão</t>
  </si>
  <si>
    <t>65299000</t>
  </si>
  <si>
    <t>10 de dezembro | 19:25</t>
  </si>
  <si>
    <t>MEL44134158708LMXDF01</t>
  </si>
  <si>
    <t>2000006702661151</t>
  </si>
  <si>
    <t>25 de novembro de 2024 19:57 hs.</t>
  </si>
  <si>
    <t>Grace Kelly Santos da Silva Cruz</t>
  </si>
  <si>
    <t>CPF 26503589808</t>
  </si>
  <si>
    <t>Rua Cáceres 59, Guarulhos - CEP: 07183210, São Paulo</t>
  </si>
  <si>
    <t>26503589808</t>
  </si>
  <si>
    <t>Rua Cáceres 59 / Referencia: última travessa a esquerda da avenida Sebastião Valter Fusco - CEP 07183210 - Cidade SOIMCO, Guarulhos, São Paulo</t>
  </si>
  <si>
    <t>07183210</t>
  </si>
  <si>
    <t>4 de dezembro | 05:35</t>
  </si>
  <si>
    <t>5 de dezembro | 16:02</t>
  </si>
  <si>
    <t>MEL44133832645LMXDF01</t>
  </si>
  <si>
    <t>2000006702529117</t>
  </si>
  <si>
    <t>25 de novembro de 2024 19:35 hs.</t>
  </si>
  <si>
    <t>Jaime de Carvalho Goncalves</t>
  </si>
  <si>
    <t>CPF 17336800807</t>
  </si>
  <si>
    <t>Rua Santa Rita 999, São Paulo - CEP: 03026030, São Paulo</t>
  </si>
  <si>
    <t>17336800807</t>
  </si>
  <si>
    <t>03026000</t>
  </si>
  <si>
    <t>4 de dezembro | 04:57</t>
  </si>
  <si>
    <t>MEL44133921318LMXDF01</t>
  </si>
  <si>
    <t>2000009951129882</t>
  </si>
  <si>
    <t>25 de novembro de 2024 19:30 hs.</t>
  </si>
  <si>
    <t>Joao Faria</t>
  </si>
  <si>
    <t>CPF 22797602668</t>
  </si>
  <si>
    <t>RUA DOUTOR HIGINO 293, Pará de Minas - CEP: 35660026, Minas Gerais</t>
  </si>
  <si>
    <t>22797602668</t>
  </si>
  <si>
    <t>RUA DOUTOR HIGINO 293 / Loja 2 - CEP 35660026 - Centro, Pará de Minas, Minas Gerais</t>
  </si>
  <si>
    <t>Pará de Minas</t>
  </si>
  <si>
    <t>35660026</t>
  </si>
  <si>
    <t>4 de dezembro | 01:52</t>
  </si>
  <si>
    <t>5 de dezembro | 14:56</t>
  </si>
  <si>
    <t>MEL44133699365LMXDF01</t>
  </si>
  <si>
    <t>https://myaccount.mercadolivre.com.br/shipments/44133699365/detail</t>
  </si>
  <si>
    <t>2000006702350389</t>
  </si>
  <si>
    <t>25 de novembro de 2024 19:09 hs.</t>
  </si>
  <si>
    <t>Leda Leal</t>
  </si>
  <si>
    <t>CPF 17757092647</t>
  </si>
  <si>
    <t>Avenida Trinta e Um 158 - casa, Água Comprida - CEP: 38110000, Minas Gerais</t>
  </si>
  <si>
    <t>17757092647</t>
  </si>
  <si>
    <t>Avenida Trinta e Um 158 / casa Referencia: portão marrom - CEP 38110000 - centro, Água Comprida, Minas Gerais</t>
  </si>
  <si>
    <t>Água Comprida</t>
  </si>
  <si>
    <t>38110000</t>
  </si>
  <si>
    <t>4 de dezembro | 02:46</t>
  </si>
  <si>
    <t>6 de dezembro | 09:08</t>
  </si>
  <si>
    <t>MEL44133795462LMXDF01</t>
  </si>
  <si>
    <t>2000006702347221</t>
  </si>
  <si>
    <t>25 de novembro de 2024 19:07 hs.</t>
  </si>
  <si>
    <t>Josimeri de Almeida Bechtlufft</t>
  </si>
  <si>
    <t>CPF 96253762753</t>
  </si>
  <si>
    <t>Rua Treze Tílias 31, Timbó - CEP: 89092144, Santa Catarina</t>
  </si>
  <si>
    <t>96253762753</t>
  </si>
  <si>
    <t>Rua Treze Tílias 31 / CEP 89092144 - Quintino, Timbó, Santa Catarina</t>
  </si>
  <si>
    <t>Timbó</t>
  </si>
  <si>
    <t>89092144</t>
  </si>
  <si>
    <t>4 de dezembro | 05:53</t>
  </si>
  <si>
    <t>5 de dezembro | 12:06</t>
  </si>
  <si>
    <t>MEL44133790886LMXDF01</t>
  </si>
  <si>
    <t>2000009950916190</t>
  </si>
  <si>
    <t>2000009950901448</t>
  </si>
  <si>
    <t>2000009950151976</t>
  </si>
  <si>
    <t>25 de novembro de 2024 18:00 hs.</t>
  </si>
  <si>
    <t>Vanessa Silva Santos Vaz</t>
  </si>
  <si>
    <t>CPF 80402046587</t>
  </si>
  <si>
    <t>conj colinas de periperi bl38B apto 304 38 - Bl 38 B  apto 304, Salvador - CEP: 40725430, Bahia</t>
  </si>
  <si>
    <t>80402046587</t>
  </si>
  <si>
    <t>conj colinas de periperi bl38B apto 304 38 / Bl 38 B  apto 304 Referencia: predio fica atras da padaria sonho de pao - CEP 40725430 - Praia Grande, Salvador, Bahia</t>
  </si>
  <si>
    <t>Salvador</t>
  </si>
  <si>
    <t>40725430</t>
  </si>
  <si>
    <t>4 de dezembro | 05:54</t>
  </si>
  <si>
    <t>7 de dezembro | 16:45</t>
  </si>
  <si>
    <t>MEL44133462290LMXDF01</t>
  </si>
  <si>
    <t>2000006701432565</t>
  </si>
  <si>
    <t>25 de novembro de 2024 16:51 hs.</t>
  </si>
  <si>
    <t>Aparecida Ferreira Pereira</t>
  </si>
  <si>
    <t>CPF 03317485841</t>
  </si>
  <si>
    <t>Rua Vereador Edmundo José Vieira 93 - ccasa102, Ouro Preto - CEP: 35404498, Minas Gerais</t>
  </si>
  <si>
    <t>03317485841</t>
  </si>
  <si>
    <t>Rua Vereador Edmundo José Vieira 93 / ccasa102 Referencia: próximo mercado farid - CEP 35404498 - Nossa Senhora de Lourdes, Ouro Preto, Minas Gerais</t>
  </si>
  <si>
    <t>Ouro Preto</t>
  </si>
  <si>
    <t>35404498</t>
  </si>
  <si>
    <t>4 de dezembro | 01:22</t>
  </si>
  <si>
    <t>5 de dezembro | 11:13</t>
  </si>
  <si>
    <t>MEL44133125614LMXDF01</t>
  </si>
  <si>
    <t>2000009949335560</t>
  </si>
  <si>
    <t>25 de novembro de 2024 16:42 hs.</t>
  </si>
  <si>
    <t>Osni Martins de Oliveira</t>
  </si>
  <si>
    <t>CPF 71504494172</t>
  </si>
  <si>
    <t>AVENIDA SANTANA SN, Aparecida de Goiânia - CEP: 74987722, Goiás</t>
  </si>
  <si>
    <t>71504494172</t>
  </si>
  <si>
    <t>AVENIDA SANTANA SN / QUADRA 12;LOTE 03E;SALA 08 - CEP 74987722 - Vila Irmaos Souza, Aparecida de Goiânia, Goiás</t>
  </si>
  <si>
    <t>74987722</t>
  </si>
  <si>
    <t>4 de dezembro | 02:52</t>
  </si>
  <si>
    <t>6 de dezembro | 10:24</t>
  </si>
  <si>
    <t>MEL44133080910LMXDF01</t>
  </si>
  <si>
    <t>https://myaccount.mercadolivre.com.br/shipments/44133080910/detail</t>
  </si>
  <si>
    <t>2000009948622006</t>
  </si>
  <si>
    <t>25 de novembro de 2024 15:44 hs.</t>
  </si>
  <si>
    <t>Ivanete Hermes Dalosto</t>
  </si>
  <si>
    <t>CPF 02095005902</t>
  </si>
  <si>
    <t>rua Maurílio Correia 1921, Itaipulândia - CEP: 85880000, Paraná</t>
  </si>
  <si>
    <t>02095005902</t>
  </si>
  <si>
    <t>rua Maurílio Correia 1921 / Referencia: segunda casa da avenida ,cerca branca - CEP 85880000 - Jardim ipê, Itaipulândia, Paraná</t>
  </si>
  <si>
    <t>Itaipulândia</t>
  </si>
  <si>
    <t>85880000</t>
  </si>
  <si>
    <t>6 de dezembro | 14:16</t>
  </si>
  <si>
    <t>MEL44132553249LMXDF01</t>
  </si>
  <si>
    <t>2000009948631394</t>
  </si>
  <si>
    <t>25 de novembro de 2024 15:40 hs.</t>
  </si>
  <si>
    <t>Heloiza Petrachin Minguzzi Pires</t>
  </si>
  <si>
    <t>CPF 27410181893</t>
  </si>
  <si>
    <t>Praça Coronel Domingos Ferreira 6, Monte Mor - CEP: 13190031, São Paulo</t>
  </si>
  <si>
    <t>27410181893</t>
  </si>
  <si>
    <t>Praça Coronel Domingos Ferreira 6 / Referencia: casa ao lado da casa de máquinas de costura. atrás do semáforo casa verde, portão branco - CEP 13190031 - Centro, Monte Mor, São Paulo</t>
  </si>
  <si>
    <t>Monte Mor</t>
  </si>
  <si>
    <t>13190031</t>
  </si>
  <si>
    <t>29 de novembro | 04:50</t>
  </si>
  <si>
    <t>30 de novembro | 14:07</t>
  </si>
  <si>
    <t>MEL44132552293LMXDF01</t>
  </si>
  <si>
    <t>2000009948202818</t>
  </si>
  <si>
    <t>25 de novembro de 2024 15:02 hs.</t>
  </si>
  <si>
    <t>Marcia Nunes</t>
  </si>
  <si>
    <t>CPF 06694223633</t>
  </si>
  <si>
    <t>Rua Santa Teresa 122 - Casa, Barão de Cocais - CEP: 35970000, Minas Gerais</t>
  </si>
  <si>
    <t>06694223633</t>
  </si>
  <si>
    <t>Rua Santa Teresa 122 / Casa Referencia: antes do bar de lilau - CEP 35970000 - são Benedito, Barão de Cocais, Minas Gerais</t>
  </si>
  <si>
    <t>Barão de Cocais</t>
  </si>
  <si>
    <t>35970000</t>
  </si>
  <si>
    <t>4 de dezembro | 01:23</t>
  </si>
  <si>
    <t>5 de dezembro | 10:29</t>
  </si>
  <si>
    <t>MEL44132351635LMXDF01</t>
  </si>
  <si>
    <t>2000009948029992</t>
  </si>
  <si>
    <t>25 de novembro de 2024 14:48 hs.</t>
  </si>
  <si>
    <t>Guilherme Rodrigues Rosa</t>
  </si>
  <si>
    <t>CPF 03864984157</t>
  </si>
  <si>
    <t>Rua do Jacarandá SN - quadra 10 lote 24, Rio Verde - CEP: 75912399, Goiás</t>
  </si>
  <si>
    <t>03864984157</t>
  </si>
  <si>
    <t>Rua do Jacarandá SN / quadra 10 lote 24 Referencia: casa portão branco - CEP 75912399 - Jardim Floresta, Rio Verde, Goiás</t>
  </si>
  <si>
    <t>Rio Verde</t>
  </si>
  <si>
    <t>75912399</t>
  </si>
  <si>
    <t>MEL44132278485LMXDF01</t>
  </si>
  <si>
    <t>2000009948011492</t>
  </si>
  <si>
    <t>25 de novembro de 2024 14:46 hs.</t>
  </si>
  <si>
    <t>Adalva Luiza</t>
  </si>
  <si>
    <t>CPF 01111637490</t>
  </si>
  <si>
    <t>Estrada do Cruzeiro verde 86 - casa, Lagarto - CEP: 49400000, Sergipe</t>
  </si>
  <si>
    <t>01111637490</t>
  </si>
  <si>
    <t>Estrada do Cruzeiro verde 86 / casa Referencia: com frente ao loteamento colorado entrando o índio maranhese lado esquerdo rua sem saída  n86 - CEP 49400000 - são jose, Lagarto, Sergipe</t>
  </si>
  <si>
    <t>Lagarto</t>
  </si>
  <si>
    <t>49400000</t>
  </si>
  <si>
    <t>8 de dezembro | 12:18</t>
  </si>
  <si>
    <t>MEL44132464812LMXDF01</t>
  </si>
  <si>
    <t>2000009948002408</t>
  </si>
  <si>
    <t>25 de novembro de 2024 14:45 hs.</t>
  </si>
  <si>
    <t>RICARDO  SILVA</t>
  </si>
  <si>
    <t>CPF 35118733120</t>
  </si>
  <si>
    <t>Rua Alagoas 74 - Qd 19 Lt 332 Referencia Fovaor Chamar Zap, Montes Claros De Goiás - CEP: 76255000, Goiás</t>
  </si>
  <si>
    <t>35118733120</t>
  </si>
  <si>
    <t>Rua Alagoas 74 / QD 19 LT 332 Referencia: FOVAOR CHAMAR ZAP - CEP 76255000 - Montes Claros de Goiás, Montes Claros de Goiás, Goiás</t>
  </si>
  <si>
    <t>Montes Claros de Goiás</t>
  </si>
  <si>
    <t>76255000</t>
  </si>
  <si>
    <t>7 de dezembro | 08:37</t>
  </si>
  <si>
    <t>MEL44132257215LMXDF01</t>
  </si>
  <si>
    <t>2000009947961890</t>
  </si>
  <si>
    <t>25 de novembro de 2024 14:43 hs.</t>
  </si>
  <si>
    <t>Aurea Andreia Rodrigues</t>
  </si>
  <si>
    <t>CPF 57972621187</t>
  </si>
  <si>
    <t>Rodovia DF-425 02 - Conjunto C, Brasília - CEP: 73092902, Distrito Federal</t>
  </si>
  <si>
    <t>57972621187</t>
  </si>
  <si>
    <t>Rodovia DF-425 02 / Conjunto C Referencia: Condomínio Recanto dos Nobres conjunto C casa 02 - CEP 73092902 - Setor Habitacional Contagem (Sobradinho), Brasília, Distrito Federal</t>
  </si>
  <si>
    <t>73092902</t>
  </si>
  <si>
    <t>4 de dezembro | 00:57</t>
  </si>
  <si>
    <t>MEL44132446136LMXDF01</t>
  </si>
  <si>
    <t>2000006700013175</t>
  </si>
  <si>
    <t>25 de novembro de 2024 13:36 hs.</t>
  </si>
  <si>
    <t>Clebea Lucia Soares</t>
  </si>
  <si>
    <t>CPF 07029332601</t>
  </si>
  <si>
    <t>Rua Cláudio Bernardes da Silva 738 - Casa 2, Uberlândia - CEP: 38408312, Minas Gerais</t>
  </si>
  <si>
    <t>07029332601</t>
  </si>
  <si>
    <t>Rua Cláudio Bernardes da Silva 738 / Casa 2 - CEP 38408312 - Segismundo Pereira, Uberlândia, Minas Gerais</t>
  </si>
  <si>
    <t>38408312</t>
  </si>
  <si>
    <t>6 de dezembro | 11:46</t>
  </si>
  <si>
    <t>MEL44132090740LMXDF01</t>
  </si>
  <si>
    <t>2000009928679656</t>
  </si>
  <si>
    <t>25 de novembro de 2024 13:29 hs.</t>
  </si>
  <si>
    <t>Chegou em 28 de novembro</t>
  </si>
  <si>
    <t>Aparecida Fauzia Roque</t>
  </si>
  <si>
    <t>CPF 10521582857</t>
  </si>
  <si>
    <t>Rua Guaperuvu 310, São Paulo - CEP: 03504010, São Paulo</t>
  </si>
  <si>
    <t>10521582857</t>
  </si>
  <si>
    <t>Rua Guaperuvu 310 / CEP 03504010 - Vila Aricanduva, São Paulo, São Paulo</t>
  </si>
  <si>
    <t>03504010</t>
  </si>
  <si>
    <t>27 de novembro | 04:51</t>
  </si>
  <si>
    <t>28 de novembro | 14:41</t>
  </si>
  <si>
    <t>MEL44124148730LMXDF01</t>
  </si>
  <si>
    <t>2000009946922770</t>
  </si>
  <si>
    <t>25 de novembro de 2024 13:13 hs.</t>
  </si>
  <si>
    <t>Dinailde Lopes da Silva</t>
  </si>
  <si>
    <t>CPF 01894122160</t>
  </si>
  <si>
    <t>Rua Água-marinha SN - qd. 1 LT.25, Trindade - CEP: 75382182, Goiás</t>
  </si>
  <si>
    <t>01894122160</t>
  </si>
  <si>
    <t>Rua Água-marinha SN / qd. 1 LT.25 Referencia: Próximo ao supermercado Rede Serve Mais - CEP 75382182 - Conjunto Dona Iris, Trindade, Goiás</t>
  </si>
  <si>
    <t>75382182</t>
  </si>
  <si>
    <t>6 de dezembro | 15:08</t>
  </si>
  <si>
    <t>MEL44131960214LMXDF01</t>
  </si>
  <si>
    <t>2000009946783882</t>
  </si>
  <si>
    <t>25 de novembro de 2024 13:02 hs.</t>
  </si>
  <si>
    <t>Rosa Dos Santos Coutinho</t>
  </si>
  <si>
    <t>CPF 96473894349</t>
  </si>
  <si>
    <t>travessa do fio 454, São João do Sóter - CEP: 65615000, Maranhão</t>
  </si>
  <si>
    <t>96473894349</t>
  </si>
  <si>
    <t>travessa do fio 454 / Referencia: do lado do salão da jainaina - CEP 65615000 - cruzeiro, São João do Sóter, Maranhão</t>
  </si>
  <si>
    <t>São João do Sóter</t>
  </si>
  <si>
    <t>65615000</t>
  </si>
  <si>
    <t>7 de dezembro | 14:59</t>
  </si>
  <si>
    <t>MEL44131707957LMXDF01</t>
  </si>
  <si>
    <t>2000009946535910</t>
  </si>
  <si>
    <t>25 de novembro de 2024 12:36 hs.</t>
  </si>
  <si>
    <t>Eliane Gomides</t>
  </si>
  <si>
    <t>CPF 05169307705</t>
  </si>
  <si>
    <t>Avenida Lúcio Costa 17400 - Bloco2 ao 301, Rio de Janeiro - CEP: 22795008, Rio de Janeiro</t>
  </si>
  <si>
    <t>05169307705</t>
  </si>
  <si>
    <t>Avenida Lúcio Costa 17400 / Bloco2 ao 301 Referencia: Condomínio geriba - CEP 22795008 - Recreio dos Bandeirantes, Rio de Janeiro, Rio de Janeiro</t>
  </si>
  <si>
    <t>22795008</t>
  </si>
  <si>
    <t>4 de dezembro | 02:05</t>
  </si>
  <si>
    <t>4 de dezembro | 18:44</t>
  </si>
  <si>
    <t>MEL44131789942LMXDF01</t>
  </si>
  <si>
    <t>2000006699568197</t>
  </si>
  <si>
    <t>25 de novembro de 2024 12:32 hs.</t>
  </si>
  <si>
    <t>JOANA DE LIMA</t>
  </si>
  <si>
    <t>CPF 96736054672</t>
  </si>
  <si>
    <t>Rua João Borges de Oliveira 41 - apartamento 504, Paracatu - CEP: 38600466, Minas Gerais</t>
  </si>
  <si>
    <t>96736054672</t>
  </si>
  <si>
    <t>Rua João Borges de Oliveira 41 / apartamento 504 Referencia: Lockheed - CEP 38600466 - Jóquei Clube, Paracatu, Minas Gerais</t>
  </si>
  <si>
    <t>Paracatu</t>
  </si>
  <si>
    <t>38600466</t>
  </si>
  <si>
    <t>6 de dezembro | 15:53</t>
  </si>
  <si>
    <t>MEL44131572425LMXDF01</t>
  </si>
  <si>
    <t>2000009946476734</t>
  </si>
  <si>
    <t>25 de novembro de 2024 12:30 hs.</t>
  </si>
  <si>
    <t>Josimari Martarelli</t>
  </si>
  <si>
    <t>CPF 30811893812</t>
  </si>
  <si>
    <t>Estrada das Palmeiras 750, Vargem Grande Paulista - CEP: 06742508, São Paulo</t>
  </si>
  <si>
    <t>30811893812</t>
  </si>
  <si>
    <t>Estrada das Palmeiras 750 / Casa 284 - CEP 06742508 - Los Álamos, Vargem Grande Paulista, São Paulo</t>
  </si>
  <si>
    <t>Vargem Grande Paulista</t>
  </si>
  <si>
    <t>06742508</t>
  </si>
  <si>
    <t>5 de dezembro | 15:45</t>
  </si>
  <si>
    <t>MEL44131561839LMXDF01</t>
  </si>
  <si>
    <t>2000009946335974</t>
  </si>
  <si>
    <t>25 de novembro de 2024 12:18 hs.</t>
  </si>
  <si>
    <t>Ivanete Aparecida Rodrigues</t>
  </si>
  <si>
    <t>CPF 10761075836</t>
  </si>
  <si>
    <t>Rua Champolion 318 - final Queiroz filho, Santo André - CEP: 09131020, São Paulo</t>
  </si>
  <si>
    <t>10761075836</t>
  </si>
  <si>
    <t>Rua Champolion 318 / final Queiroz filho Referencia: sim - CEP 09131020 - Vila Suíça, Santo André, São Paulo</t>
  </si>
  <si>
    <t>09131020</t>
  </si>
  <si>
    <t>5 de dezembro | 13:00</t>
  </si>
  <si>
    <t>MEL44131501567LMXDF01</t>
  </si>
  <si>
    <t>2000006699442425</t>
  </si>
  <si>
    <t>25 de novembro de 2024 12:12 hs.</t>
  </si>
  <si>
    <t>Cassio Donizete Federighi</t>
  </si>
  <si>
    <t>CPF 37676334187</t>
  </si>
  <si>
    <t>SHVP Trecho 1 Quadra 1 Conjunto 12 Casa 10 - Rua do Jóquei, Brasília - CEP: 72005126, Distrito Federal</t>
  </si>
  <si>
    <t>37676334187</t>
  </si>
  <si>
    <t>SHVP Trecho 1 Quadra 1 Conjunto 12 Casa 10 / Rua do Jóquei Referencia: Residencial Vitória - CEP 72005126 - Setor Habitacional Vicente Pires, Brasília, Distrito Federal</t>
  </si>
  <si>
    <t>72005126</t>
  </si>
  <si>
    <t>5 de dezembro | 15:33</t>
  </si>
  <si>
    <t>MEL44131668410LMXDF01</t>
  </si>
  <si>
    <t>2000006699322723</t>
  </si>
  <si>
    <t>25 de novembro de 2024 11:54 hs.</t>
  </si>
  <si>
    <t>Ivani Silva Maluf</t>
  </si>
  <si>
    <t>CPF 04310834876</t>
  </si>
  <si>
    <t>Rua Pereira da Nóbrega 218, São Paulo - CEP: 01549020, São Paulo</t>
  </si>
  <si>
    <t>04310834876</t>
  </si>
  <si>
    <t>Rua Pereira da Nóbrega 218 / CEP 01549020 - Vila Monumento, São Paulo, São Paulo</t>
  </si>
  <si>
    <t>01549020</t>
  </si>
  <si>
    <t>5 de dezembro | 13:57</t>
  </si>
  <si>
    <t>MEL44131384169LMXDF01</t>
  </si>
  <si>
    <t>2000009946041940</t>
  </si>
  <si>
    <t>25 de novembro de 2024 11:50 hs.</t>
  </si>
  <si>
    <t>Maria Éster Gomes da Rocha Rocha</t>
  </si>
  <si>
    <t>CPF 10292752890</t>
  </si>
  <si>
    <t>Rua Maria Augusta Pereira dos Santos 1368, São José dos Campos - CEP: 12236470, São Paulo</t>
  </si>
  <si>
    <t>10292752890</t>
  </si>
  <si>
    <t>Rua Maria Augusta Pereira dos Santos 1368 / Casa - CEP 12236470 - Cidade Morumbi, São José dos Campos, São Paulo</t>
  </si>
  <si>
    <t>12236470</t>
  </si>
  <si>
    <t>5 de dezembro | 11:40</t>
  </si>
  <si>
    <t>MEL44131366907LMXDF01</t>
  </si>
  <si>
    <t>2000009945912522</t>
  </si>
  <si>
    <t>25 de novembro de 2024 11:37 hs.</t>
  </si>
  <si>
    <t>Maria de Fatima Salgueiro Leite</t>
  </si>
  <si>
    <t>CPF 00915506882</t>
  </si>
  <si>
    <t>Rua Carijios 322, Praia Grande - CEP: 11703250, São Paulo</t>
  </si>
  <si>
    <t>00915506882</t>
  </si>
  <si>
    <t>Rua Carijios 322 / Apartanento 2  Referencia: Prox a restaurante fazendinha - CEP 11703250 - Tupi, Praia Grande, São Paulo</t>
  </si>
  <si>
    <t>11703250</t>
  </si>
  <si>
    <t>5 de dezembro | 12:11</t>
  </si>
  <si>
    <t>MEL44131302185LMXDF01</t>
  </si>
  <si>
    <t>2000009945881888</t>
  </si>
  <si>
    <t>25 de novembro de 2024 11:36 hs.</t>
  </si>
  <si>
    <t>Izabel Gonçalves da Silva Trombino</t>
  </si>
  <si>
    <t>CPF 76434893868</t>
  </si>
  <si>
    <t>Estrada do Morro Grande 412, São Bernardo do Campo - CEP: 09831250, São Paulo</t>
  </si>
  <si>
    <t>76434893868</t>
  </si>
  <si>
    <t>Estrada do Morro Grande 412 / Referencia: 500 Metros Antes da Milícia Emaculada. - CEP 09831250 - Dos Finco, São Bernardo do Campo, São Paulo</t>
  </si>
  <si>
    <t>09831250</t>
  </si>
  <si>
    <t>5 de dezembro | 16:15</t>
  </si>
  <si>
    <t>MEL44131491890LMXDF01</t>
  </si>
  <si>
    <t>2000009945707952</t>
  </si>
  <si>
    <t>25 de novembro de 2024 11:20 hs.</t>
  </si>
  <si>
    <t>Sebastiao Jose Azevedo de Oliveira</t>
  </si>
  <si>
    <t>CPF 60343265753</t>
  </si>
  <si>
    <t>estrada pingo dágua bom jardim SN - casa, São Francisco de Itabapoana - CEP: 28230000, Rio de Janeiro</t>
  </si>
  <si>
    <t>60343265753</t>
  </si>
  <si>
    <t>estrada pingo dágua bom jardim SN / casa Referencia: casa do Sebastião que conserta Geladeira - CEP 28230000 - pingo dágua, São Francisco de Itabapoana, Rio de Janeiro</t>
  </si>
  <si>
    <t>São Francisco de Itabapoana</t>
  </si>
  <si>
    <t>28230000</t>
  </si>
  <si>
    <t>4 de dezembro | 00:20</t>
  </si>
  <si>
    <t>4 de dezembro | 19:39</t>
  </si>
  <si>
    <t>MEL44131413790LMXDF01</t>
  </si>
  <si>
    <t>2000009927758670</t>
  </si>
  <si>
    <t>25 de novembro de 2024 11:15 hs.</t>
  </si>
  <si>
    <t>Suelen Sabrina Ferreira</t>
  </si>
  <si>
    <t>CPF 40385307870</t>
  </si>
  <si>
    <t>Avenida Cristiano Vieira Pedrico 557 - apto 304 bl 08, Votorantim - CEP: 18115390, São Paulo</t>
  </si>
  <si>
    <t>40385307870</t>
  </si>
  <si>
    <t>Avenida Cristiano Vieira Pedrico 557 / apto 304 bl 08 - CEP 18115390 - Vila Guilherme, Votorantim, São Paulo</t>
  </si>
  <si>
    <t>18115390</t>
  </si>
  <si>
    <t>5 de dezembro | 12:36</t>
  </si>
  <si>
    <t>MEL44123712496LMXDF01</t>
  </si>
  <si>
    <t>2000009945631134</t>
  </si>
  <si>
    <t>25 de novembro de 2024 11:11 hs.</t>
  </si>
  <si>
    <t>Rosemeire Moreira Lemos</t>
  </si>
  <si>
    <t>CPF 05215380686</t>
  </si>
  <si>
    <t>Rua Padre Gerard Lucien petters 79 - casa, Bela Vista de Minas - CEP: 35938000, Minas Gerais</t>
  </si>
  <si>
    <t>05215380686</t>
  </si>
  <si>
    <t>Rua Padre Gerard Lucien petters 79 / casa Referencia: Próximo ao Curumim - CEP 35938000 - Lages, Bela Vista de Minas, Minas Gerais</t>
  </si>
  <si>
    <t>Bela Vista de Minas</t>
  </si>
  <si>
    <t>35938000</t>
  </si>
  <si>
    <t>5 de dezembro | 11:49</t>
  </si>
  <si>
    <t>MEL44131376216LMXDF01</t>
  </si>
  <si>
    <t>2000006698990663</t>
  </si>
  <si>
    <t>25 de novembro de 2024 11:06 hs.</t>
  </si>
  <si>
    <t>Wacy Alves Silva</t>
  </si>
  <si>
    <t>CPF 12473753822</t>
  </si>
  <si>
    <t>Rua Caqui 97, Ubatuba - CEP: 11685540, São Paulo</t>
  </si>
  <si>
    <t>12473753822</t>
  </si>
  <si>
    <t>Rua Caqui 97 / CEP 11685540 - Lázaro, Ubatuba, São Paulo</t>
  </si>
  <si>
    <t>11685540</t>
  </si>
  <si>
    <t>5 de dezembro | 14:19</t>
  </si>
  <si>
    <t>MEL44131151383LMXDF01</t>
  </si>
  <si>
    <t>2000009945521916</t>
  </si>
  <si>
    <t>25 de novembro de 2024 11:02 hs.</t>
  </si>
  <si>
    <t>Vera Lucia Gonçalves Gonçalves</t>
  </si>
  <si>
    <t>CPF 92771734168</t>
  </si>
  <si>
    <t>JoséPintoNunes 351 - casa, Brasilândia - CEP: 79670000, Mato Grosso do Sul</t>
  </si>
  <si>
    <t>92771734168</t>
  </si>
  <si>
    <t>JoséPintoNunes 351 / casa - CEP 79670000 - Jardim camargo, Brasilândia, Mato Grosso do Sul</t>
  </si>
  <si>
    <t>Brasilândia</t>
  </si>
  <si>
    <t>79670000</t>
  </si>
  <si>
    <t>4 de dezembro | 04:56</t>
  </si>
  <si>
    <t>6 de dezembro | 10:48</t>
  </si>
  <si>
    <t>MEL44131135049LMXDF01</t>
  </si>
  <si>
    <t>2000006698953327</t>
  </si>
  <si>
    <t>25 de novembro de 2024 10:58 hs.</t>
  </si>
  <si>
    <t>Marina de Oliveira Sousa</t>
  </si>
  <si>
    <t>CPF 06839039501</t>
  </si>
  <si>
    <t>Rua Doutor Mário Rego dos Santos 322 - Apto 201, Salvador - CEP: 40270200, Bahia</t>
  </si>
  <si>
    <t>06839039501</t>
  </si>
  <si>
    <t>40270200</t>
  </si>
  <si>
    <t>MEL44131117017FMXDF01</t>
  </si>
  <si>
    <t>2000009945453106</t>
  </si>
  <si>
    <t>25 de novembro de 2024 10:55 hs.</t>
  </si>
  <si>
    <t>Rosangela Oliva</t>
  </si>
  <si>
    <t>CPF 18153835858</t>
  </si>
  <si>
    <t>RUA NOVE 634, Santa Fé do Sul - CEP: 15775000, São Paulo</t>
  </si>
  <si>
    <t>18153835858</t>
  </si>
  <si>
    <t>RUA NOVE 634 / CEP 15775000 - Centro, Santa Fé do Sul, São Paulo</t>
  </si>
  <si>
    <t>Santa Fé do Sul</t>
  </si>
  <si>
    <t>15775000</t>
  </si>
  <si>
    <t>5 de dezembro | 16:57</t>
  </si>
  <si>
    <t>MEL44131100997LMXDF01</t>
  </si>
  <si>
    <t>https://myaccount.mercadolivre.com.br/shipments/44131100997/detail</t>
  </si>
  <si>
    <t>2000006698754663</t>
  </si>
  <si>
    <t>25 de novembro de 2024 10:29 hs.</t>
  </si>
  <si>
    <t>Miriam Braga Silva</t>
  </si>
  <si>
    <t>CPF 02230872702</t>
  </si>
  <si>
    <t>Rua Mathias 246, Duque de Caxias - CEP: 25235256, Rio de Janeiro</t>
  </si>
  <si>
    <t>02230872702</t>
  </si>
  <si>
    <t>Rua Mathias 246 / CEP 25235256 - Pilar, Duque de Caxias, Rio de Janeiro</t>
  </si>
  <si>
    <t>25235256</t>
  </si>
  <si>
    <t>4 de dezembro | 00:32</t>
  </si>
  <si>
    <t>4 de dezembro | 18:29</t>
  </si>
  <si>
    <t>MEL44131174464LMXDF01</t>
  </si>
  <si>
    <t>2000009944970024</t>
  </si>
  <si>
    <t>25 de novembro de 2024 10:03 hs.</t>
  </si>
  <si>
    <t>cacio antulio  sena da silva</t>
  </si>
  <si>
    <t>CPF 81885466749</t>
  </si>
  <si>
    <t>Rua Margarida Barbosa Pia 6 - lote 5A quadra 158, Maricá - CEP: 24921704, Rio de Janeiro</t>
  </si>
  <si>
    <t>81885466749</t>
  </si>
  <si>
    <t>Rua Margarida Barbosa Pia 6 / lote 5A quadra 158 Referencia: edifício tubarão,  apartamento 101 - CEP 24921704 - Cordeirinho (Ponta Negra), Maricá, Rio de Janeiro</t>
  </si>
  <si>
    <t>Maricá</t>
  </si>
  <si>
    <t>24921704</t>
  </si>
  <si>
    <t>4 de dezembro | 00:23</t>
  </si>
  <si>
    <t>4 de dezembro | 16:11</t>
  </si>
  <si>
    <t>MEL44131063036LMXDF01</t>
  </si>
  <si>
    <t>2000009944862544</t>
  </si>
  <si>
    <t>25 de novembro de 2024 09:52 hs.</t>
  </si>
  <si>
    <t>Gabriela Colhado de Andrade</t>
  </si>
  <si>
    <t>CPF 41051901804</t>
  </si>
  <si>
    <t>AVENIDA NOSSA SENHORA DE FÁTIMA 1184, Bauru - CEP: 17017337, São Paulo</t>
  </si>
  <si>
    <t>41051901804</t>
  </si>
  <si>
    <t>AVENIDA NOSSA SENHORA DE FÁTIMA 1184 / Loja - CEP 17017337 - Jardim América, Bauru, São Paulo</t>
  </si>
  <si>
    <t>17017337</t>
  </si>
  <si>
    <t>7 de dezembro | 12:31</t>
  </si>
  <si>
    <t>MEL44130819467LMXDF01</t>
  </si>
  <si>
    <t>https://myaccount.mercadolivre.com.br/shipments/44130819467/detail</t>
  </si>
  <si>
    <t>2000009944766096</t>
  </si>
  <si>
    <t>25 de novembro de 2024 09:41 hs.</t>
  </si>
  <si>
    <t>Emerson Paulo Chitto</t>
  </si>
  <si>
    <t>CPF 74571230915</t>
  </si>
  <si>
    <t>Rua Minas Gerais 130 - Autoescola Tonello, Xanxerê - CEP: 89820000, Santa Catarina</t>
  </si>
  <si>
    <t>74571230915</t>
  </si>
  <si>
    <t>Rua Minas Gerais 130 / Autoescola Tonello - CEP 89820000 - Centro, Xanxerê, Santa Catarina</t>
  </si>
  <si>
    <t>Xanxerê</t>
  </si>
  <si>
    <t>89820000</t>
  </si>
  <si>
    <t>6 de dezembro | 15:32</t>
  </si>
  <si>
    <t>MEL44130965016LMXDF01</t>
  </si>
  <si>
    <t>2000009944657972</t>
  </si>
  <si>
    <t>25 de novembro de 2024 09:29 hs.</t>
  </si>
  <si>
    <t>Rejane Baptista Madeira</t>
  </si>
  <si>
    <t>CPF 96911999715</t>
  </si>
  <si>
    <t>Rua Elías da Silva 189 - Casa A, Rio de Janeiro - CEP: 20740210, Rio de Janeiro</t>
  </si>
  <si>
    <t>96911999715</t>
  </si>
  <si>
    <t>Rua Elías da Silva 189 / Casa A Referencia: na rua da estacao de trem da piedade - CEP 20740210 - Piedade, Rio de Janeiro, Rio de Janeiro</t>
  </si>
  <si>
    <t>20740210</t>
  </si>
  <si>
    <t>4 de dezembro | 15:38</t>
  </si>
  <si>
    <t>MEL44130921690LMXDF01</t>
  </si>
  <si>
    <t>2000009944165132</t>
  </si>
  <si>
    <t>25 de novembro de 2024 08:06 hs.</t>
  </si>
  <si>
    <t>MARCELO CRISTIAM DA CRUZ GERMINIANI</t>
  </si>
  <si>
    <t>CNPJ 15870018000111</t>
  </si>
  <si>
    <t>Avenida Governador Jorge Lacerda 829, Curitibanos - CEP: 89520000, Santa Catarina</t>
  </si>
  <si>
    <t>Contribuinte</t>
  </si>
  <si>
    <t>256796033</t>
  </si>
  <si>
    <t>15870018000111</t>
  </si>
  <si>
    <t>Avenida Governador Jorge Lacerda 829 / Gráfica Printstore Referencia: Caso esteja fechado, deixar na casa lado direito da Printstore - CEP 89520000 - São José, Curitibanos, Santa Catarina</t>
  </si>
  <si>
    <t>Curitibanos</t>
  </si>
  <si>
    <t>89520000</t>
  </si>
  <si>
    <t>6 de dezembro | 18:04</t>
  </si>
  <si>
    <t>MEL44130671998LMXDF01</t>
  </si>
  <si>
    <t>2000009938487892</t>
  </si>
  <si>
    <t>25 de novembro de 2024 07:37 hs.</t>
  </si>
  <si>
    <t>Ivan Aparecido da Silva Junior</t>
  </si>
  <si>
    <t>CPF 17874347889</t>
  </si>
  <si>
    <t>Avenida Bandeirantes 2041, Araraquara - CEP: 14801180, São Paulo</t>
  </si>
  <si>
    <t>17874347889</t>
  </si>
  <si>
    <t>Avenida Bandeirantes 2041 / CEP 14801180 - Centro, Araraquara, São Paulo</t>
  </si>
  <si>
    <t>Araraquara</t>
  </si>
  <si>
    <t>14801180</t>
  </si>
  <si>
    <t>6 de dezembro | 17:32</t>
  </si>
  <si>
    <t>MEL44128146969LMXDF01</t>
  </si>
  <si>
    <t>2000006698011279</t>
  </si>
  <si>
    <t>25 de novembro de 2024 07:00 hs.</t>
  </si>
  <si>
    <t>00252</t>
  </si>
  <si>
    <t>MLB4031639710</t>
  </si>
  <si>
    <t>Pantofar Plus Com Biotina E Ácido Fólico -  C/90 Cápsulas</t>
  </si>
  <si>
    <t>Mauricio Azevedo Ferreira</t>
  </si>
  <si>
    <t>CPF 04953505832</t>
  </si>
  <si>
    <t>Rua Coronel Júlio Marcondes Salgado 138, Santa Cruz do Rio Pardo - CEP: 18900007, São Paulo</t>
  </si>
  <si>
    <t>04953505832</t>
  </si>
  <si>
    <t>Rua Coronel Júlio Marcondes Salgado 138 / Referencia: em frente Estética Dermobeauty. - CEP 18900007 - Centro, Santa Cruz do Rio Pardo, São Paulo</t>
  </si>
  <si>
    <t>Santa Cruz do Rio Pardo</t>
  </si>
  <si>
    <t>18900007</t>
  </si>
  <si>
    <t>5 de dezembro | 13:33</t>
  </si>
  <si>
    <t>MEL44130360321LMXDF01</t>
  </si>
  <si>
    <t>2000009943938138</t>
  </si>
  <si>
    <t>25 de novembro de 2024 06:56 hs.</t>
  </si>
  <si>
    <t>Eldineides Goncalves Pinheiro</t>
  </si>
  <si>
    <t>CPF 61598941615</t>
  </si>
  <si>
    <t>Rua Souza Aguiar 629 - casa, Belo Horizonte - CEP: 31050240, Minas Gerais</t>
  </si>
  <si>
    <t>61598941615</t>
  </si>
  <si>
    <t>Rua Souza Aguiar 629 / casa Referencia: Rua paralela à linha férrea - CEP 31050240 - São Geraldo, Belo Horizonte, Minas Gerais</t>
  </si>
  <si>
    <t>31050240</t>
  </si>
  <si>
    <t>4 de dezembro | 18:49</t>
  </si>
  <si>
    <t>MEL44130356627LMXDF01</t>
  </si>
  <si>
    <t>2000009943747990</t>
  </si>
  <si>
    <t>25 de novembro de 2024 04:53 hs.</t>
  </si>
  <si>
    <t>Darlene Amaral Cipriano</t>
  </si>
  <si>
    <t>CPF 73639770030</t>
  </si>
  <si>
    <t>Rua João do Couto 81 - 3, Porto Alegre - CEP: 91712210, Rio Grande do Sul</t>
  </si>
  <si>
    <t>73639770030</t>
  </si>
  <si>
    <t>Rua João do Couto 81 / 3 - CEP 91712210 - Belém Velho, Porto Alegre, Rio Grande do Sul</t>
  </si>
  <si>
    <t>91712210</t>
  </si>
  <si>
    <t>6 de dezembro | 10:39</t>
  </si>
  <si>
    <t>MEL44130468694LMXDF01</t>
  </si>
  <si>
    <t>2000006697886525</t>
  </si>
  <si>
    <t>25 de novembro de 2024 04:07 hs.</t>
  </si>
  <si>
    <t>Rafaela Cassiano da Silva</t>
  </si>
  <si>
    <t>CPF 14227202760</t>
  </si>
  <si>
    <t>Rua Ladario de Faria 75 75, Além Paraíba - CEP: 36660000, Minas Gerais</t>
  </si>
  <si>
    <t>14227202760</t>
  </si>
  <si>
    <t>Rua José Vital dos Réis 17 / CEP 25880000 - Jamapará, Sapucaia, Rio de Janeiro</t>
  </si>
  <si>
    <t>Sapucaia</t>
  </si>
  <si>
    <t>25880000</t>
  </si>
  <si>
    <t>4 de dezembro | 00:48</t>
  </si>
  <si>
    <t>4 de dezembro | 16:51</t>
  </si>
  <si>
    <t>MEL44130448078LMXDF01</t>
  </si>
  <si>
    <t>2000006697702715</t>
  </si>
  <si>
    <t>25 de novembro de 2024 02:03 hs.</t>
  </si>
  <si>
    <t>Joao Vagner Campos</t>
  </si>
  <si>
    <t>CPF 31086879805</t>
  </si>
  <si>
    <t>Avenida Vinte e Cinco de Janeiro 130, Lençóis Paulista - CEP: 18681037, São Paulo</t>
  </si>
  <si>
    <t>31086879805</t>
  </si>
  <si>
    <t>Avenida Vinte e Cinco de Janeiro 130 / eiro - Clínica Odontológica - CEP 18681037 - Vila Mamedina, Lençóis Paulista, São Paulo</t>
  </si>
  <si>
    <t>Lençóis Paulista</t>
  </si>
  <si>
    <t>18681037</t>
  </si>
  <si>
    <t>5 de dezembro | 17:20</t>
  </si>
  <si>
    <t>MEL44130344612LMXDF01</t>
  </si>
  <si>
    <t>2000009943124066</t>
  </si>
  <si>
    <t>25 de novembro de 2024 00:37 hs.</t>
  </si>
  <si>
    <t>Vanderlei Fagundes</t>
  </si>
  <si>
    <t>CPF 57842523991</t>
  </si>
  <si>
    <t>Rua Bruno Moritz 3, Brusque - CEP: 88351140, Santa Catarina</t>
  </si>
  <si>
    <t>57842523991</t>
  </si>
  <si>
    <t>Rua Bruno Moritz 3 / CEP 88351140 - Centro I, Brusque, Santa Catarina</t>
  </si>
  <si>
    <t>Brusque</t>
  </si>
  <si>
    <t>88351140</t>
  </si>
  <si>
    <t>5 de dezembro | 12:14</t>
  </si>
  <si>
    <t>MEL44130009877LMXDF01</t>
  </si>
  <si>
    <t>2000006696897957</t>
  </si>
  <si>
    <t>24 de novembro de 2024 22:35 hs.</t>
  </si>
  <si>
    <t>Aldo Silveira Scaglione</t>
  </si>
  <si>
    <t>CPF 27131163848</t>
  </si>
  <si>
    <t>Rua Biotônico 555 - BL 07 - AP 403, Suzano - CEP: 08615000, São Paulo</t>
  </si>
  <si>
    <t>27131163848</t>
  </si>
  <si>
    <t>Rua Biotônico 555 / BL 07 - AP 403 Referencia: BL. 07 - AP. 403 - CEP 08615000 - Vila Urupês, Suzano, São Paulo</t>
  </si>
  <si>
    <t>Suzano</t>
  </si>
  <si>
    <t>08615000</t>
  </si>
  <si>
    <t>5 de dezembro | 16:06</t>
  </si>
  <si>
    <t>MEL44129865796LMXDF01</t>
  </si>
  <si>
    <t>2000006696613991</t>
  </si>
  <si>
    <t>24 de novembro de 2024 21:43 hs.</t>
  </si>
  <si>
    <t>Joao Marcelo Soares Pereira</t>
  </si>
  <si>
    <t>CPF 08912671669</t>
  </si>
  <si>
    <t>Praça Dom Pedro II 95 - Ap502 Ed Maria Lina, Caratinga - CEP: 35300033, Minas Gerais</t>
  </si>
  <si>
    <t>08912671669</t>
  </si>
  <si>
    <t>Praça Dom Pedro II 95 / Ap502 Ed Maria Lina  Referencia: Edifício ao lado da Tamoio, próximo a antiga rodoviária velha. - CEP 35300033 - Centro, Caratinga, Minas Gerais</t>
  </si>
  <si>
    <t>Caratinga</t>
  </si>
  <si>
    <t>35300033</t>
  </si>
  <si>
    <t>5 de dezembro | 13:38</t>
  </si>
  <si>
    <t>MEL44129688656LMXDF01</t>
  </si>
  <si>
    <t>2000009941798268</t>
  </si>
  <si>
    <t>24 de novembro de 2024 21:41 hs.</t>
  </si>
  <si>
    <t>Maria Fabíola Silva de Sousa  Silva</t>
  </si>
  <si>
    <t>CPF 00241218276</t>
  </si>
  <si>
    <t>Rua Bauxita SN - quadra 30 lote 21, Aparecida de Goiânia - CEP: 74974600, Goiás</t>
  </si>
  <si>
    <t>00241218276</t>
  </si>
  <si>
    <t>Rua Bauxita SN / quadra 30 lote 21 Referencia: não me deixe na mão - CEP 74974600 - Virgínia Parque, Aparecida de Goiânia, Goiás</t>
  </si>
  <si>
    <t>74974600</t>
  </si>
  <si>
    <t>6 de dezembro | 10:43</t>
  </si>
  <si>
    <t>MEL44129483867LMXDF01</t>
  </si>
  <si>
    <t>2000006696487287</t>
  </si>
  <si>
    <t>24 de novembro de 2024 21:21 hs.</t>
  </si>
  <si>
    <t>Fernando Ferreira de Campos</t>
  </si>
  <si>
    <t>CPF 29382526846</t>
  </si>
  <si>
    <t>Estrada Municipal Tsuneiche Iwata SN - Fernando, Paruru - CEP: 18155000, São Paulo</t>
  </si>
  <si>
    <t>29382526846</t>
  </si>
  <si>
    <t>Estrada Municipal Tsuneiche Iwata SN / Fernando Referencia: Fernando gas e Mercearia - CEP 18155000 - Piratuba, Paruru, São Paulo</t>
  </si>
  <si>
    <t>Paruru</t>
  </si>
  <si>
    <t>18155000</t>
  </si>
  <si>
    <t>5 de dezembro | 14:35</t>
  </si>
  <si>
    <t>MEL44129409957LMXDF01</t>
  </si>
  <si>
    <t>2000009941541254</t>
  </si>
  <si>
    <t>24 de novembro de 2024 21:14 hs.</t>
  </si>
  <si>
    <t>Ariane Oliveira da Silva</t>
  </si>
  <si>
    <t>CPF 42346189855</t>
  </si>
  <si>
    <t>Rua Imperatriz Tereza Cristina 369, Araçariguama - CEP: 18147000, São Paulo</t>
  </si>
  <si>
    <t>42346189855</t>
  </si>
  <si>
    <t>Rua Imperatriz Tereza Cristina 369 / CEP 18147000 - Vila Real, Araçariguama, São Paulo</t>
  </si>
  <si>
    <t>Araçariguama</t>
  </si>
  <si>
    <t>18147000</t>
  </si>
  <si>
    <t>5 de dezembro | 13:44</t>
  </si>
  <si>
    <t>MEL44129384011LMXDF01</t>
  </si>
  <si>
    <t>2000009941353828</t>
  </si>
  <si>
    <t>24 de novembro de 2024 20:52 hs.</t>
  </si>
  <si>
    <t>Patricia Souza Neto</t>
  </si>
  <si>
    <t>CPF 01766877184</t>
  </si>
  <si>
    <t>Rua Valério de Almeida 128, Campo Grande - CEP: 79074480, Mato Grosso do Sul</t>
  </si>
  <si>
    <t>01766877184</t>
  </si>
  <si>
    <t>Rua Valério de Almeida 128 / Referencia: ao lado da conveniência do Lair - CEP 79074480 - Parque Residencial Iracy Coelho Netto, Campo Grande, Mato Grosso do Sul</t>
  </si>
  <si>
    <t>79074480</t>
  </si>
  <si>
    <t>6 de dezembro | 12:00</t>
  </si>
  <si>
    <t>MEL44129504944LMXDF01</t>
  </si>
  <si>
    <t>2000009941120654</t>
  </si>
  <si>
    <t>24 de novembro de 2024 20:23 hs.</t>
  </si>
  <si>
    <t>Iracema Andreia de Almeida</t>
  </si>
  <si>
    <t>CPF 94825718191</t>
  </si>
  <si>
    <t>Avenida 224 - loja, Bataguassu - CEP: 79780000, Mato Grosso do Sul</t>
  </si>
  <si>
    <t>94825718191</t>
  </si>
  <si>
    <t>Avenida 224 / loja Referencia: shopping tem de tudo - CEP 79780000 - centro, Bataguassu, Mato Grosso do Sul</t>
  </si>
  <si>
    <t>Bataguassu</t>
  </si>
  <si>
    <t>79780000</t>
  </si>
  <si>
    <t>7 de dezembro | 19:38</t>
  </si>
  <si>
    <t>MEL44129209455LMXDF01</t>
  </si>
  <si>
    <t>2000006695991469</t>
  </si>
  <si>
    <t>24 de novembro de 2024 19:51 hs.</t>
  </si>
  <si>
    <t>Cibele Mendes</t>
  </si>
  <si>
    <t>CPF 00290672600</t>
  </si>
  <si>
    <t>Rua das Sibipirunas 35, Pará de Minas - CEP: 35661558, Minas Gerais</t>
  </si>
  <si>
    <t>00290672600</t>
  </si>
  <si>
    <t>Rua das Sibipirunas 35 / Referencia: esquina c rua das Acácias - CEP 35661558 - Residencial Dona Flor, Pará de Minas, Minas Gerais</t>
  </si>
  <si>
    <t>35661558</t>
  </si>
  <si>
    <t>3 de dezembro | 01:52</t>
  </si>
  <si>
    <t>4 de dezembro | 12:40</t>
  </si>
  <si>
    <t>MEL44129285530LMXDF01</t>
  </si>
  <si>
    <t>2000009940692726</t>
  </si>
  <si>
    <t>24 de novembro de 2024 19:34 hs.</t>
  </si>
  <si>
    <t>Ana Paula Rodrigues Montero Sabatine</t>
  </si>
  <si>
    <t>CPF 37880409807</t>
  </si>
  <si>
    <t>AVENIDA TABAJARAS 832, Tupã - CEP: 17600360, São Paulo</t>
  </si>
  <si>
    <t>37880409807</t>
  </si>
  <si>
    <t>AVENIDA TABAJARAS 832 / CEP 17600360 - Centro, Tupã, São Paulo</t>
  </si>
  <si>
    <t>Tupã</t>
  </si>
  <si>
    <t>17600360</t>
  </si>
  <si>
    <t>3 de dezembro | 03:59</t>
  </si>
  <si>
    <t>4 de dezembro | 15:54</t>
  </si>
  <si>
    <t>MEL44129035935LMXDF01</t>
  </si>
  <si>
    <t>https://myaccount.mercadolivre.com.br/shipments/44129035935/detail</t>
  </si>
  <si>
    <t>2000009940528140</t>
  </si>
  <si>
    <t>24 de novembro de 2024 19:14 hs.</t>
  </si>
  <si>
    <t>Ivanilde Cavalheiro</t>
  </si>
  <si>
    <t>CPF 61071927949</t>
  </si>
  <si>
    <t>Avenida João Fraga Neto 849, São José dos Pinhais - CEP: 83060540, Paraná</t>
  </si>
  <si>
    <t>61071927949</t>
  </si>
  <si>
    <t>Avenida João Fraga Neto 849 / Casa - CEP 83060540 - Guatupê, São José dos Pinhais, Paraná</t>
  </si>
  <si>
    <t>83060540</t>
  </si>
  <si>
    <t>3 de dezembro | 05:52</t>
  </si>
  <si>
    <t>4 de dezembro | 20:17</t>
  </si>
  <si>
    <t>MEL44128965155LMXDF01</t>
  </si>
  <si>
    <t>2000006695550961</t>
  </si>
  <si>
    <t>24 de novembro de 2024 18:22 hs.</t>
  </si>
  <si>
    <t>Maria Elizabeth Rodrigues E Silva</t>
  </si>
  <si>
    <t>CPF 01332212611</t>
  </si>
  <si>
    <t>Rua Boa Esperança 187 - Apto 501, Belo Horizonte - CEP: 30310730, Minas Gerais</t>
  </si>
  <si>
    <t>01332212611</t>
  </si>
  <si>
    <t>Rua Boa Esperança 187 / Apto 501 Referencia: Endereço está correto - CEP 30310730 - Carmo, Belo Horizonte, Minas Gerais</t>
  </si>
  <si>
    <t>30310730</t>
  </si>
  <si>
    <t>3 de dezembro | 01:22</t>
  </si>
  <si>
    <t>3 de dezembro | 17:53</t>
  </si>
  <si>
    <t>MEL44128993090LMXDF01</t>
  </si>
  <si>
    <t>2000009939674454</t>
  </si>
  <si>
    <t>24 de novembro de 2024 17:28 hs.</t>
  </si>
  <si>
    <t>Adilson Bezerra de Freitas</t>
  </si>
  <si>
    <t>CPF 68867247468</t>
  </si>
  <si>
    <t>Rua Érico Moraes de Andrade 92 - Condomínio São José, Santo Antônio de Jesus - CEP: 44434452, Bahia</t>
  </si>
  <si>
    <t>68867247468</t>
  </si>
  <si>
    <t>Rua Érico Moraes de Andrade 92 / Condomínio São José - CEP 44434452 - Andaia, Santo Antônio de Jesus, Bahia</t>
  </si>
  <si>
    <t>Santo Antônio de Jesus</t>
  </si>
  <si>
    <t>44434452</t>
  </si>
  <si>
    <t>6 de dezembro | 14:08</t>
  </si>
  <si>
    <t>MEL44128621139LMXDF01</t>
  </si>
  <si>
    <t>2000009939602800</t>
  </si>
  <si>
    <t>24 de novembro de 2024 17:19 hs.</t>
  </si>
  <si>
    <t>Diego da Silva Noguez</t>
  </si>
  <si>
    <t>CPF 01362924024</t>
  </si>
  <si>
    <t>Rua Henrique Dias 790 - Bl:1 apto: 402, Pelotas - CEP: 96040720, Rio Grande do Sul</t>
  </si>
  <si>
    <t>01362924024</t>
  </si>
  <si>
    <t>Rua Henrique Dias 790 / Bl:1 apto: 402 - CEP 96040720 - Fragata, Pelotas, Rio Grande do Sul</t>
  </si>
  <si>
    <t>Pelotas</t>
  </si>
  <si>
    <t>96040720</t>
  </si>
  <si>
    <t>3 de dezembro | 05:25</t>
  </si>
  <si>
    <t>5 de dezembro | 09:07</t>
  </si>
  <si>
    <t>MEL44128592853LMXDF01</t>
  </si>
  <si>
    <t>2000006694788367</t>
  </si>
  <si>
    <t>24 de novembro de 2024 15:48 hs.</t>
  </si>
  <si>
    <t>Marcos Vinicio Cardoso Rocha</t>
  </si>
  <si>
    <t>CPF 37534181615</t>
  </si>
  <si>
    <t>Rua Costa Rica 290 - Apto 701, Belo Horizonte - CEP: 30320030, Minas Gerais</t>
  </si>
  <si>
    <t>37534181615</t>
  </si>
  <si>
    <t>Rua Costa Rica 290 / Apto 701 Referencia: /Restriçao-17a21h/Condomínio-Si/Portaria-No/Elevador-Si/Escalera-No - CEP 30320030 - Sion, Belo Horizonte, Minas Gerais</t>
  </si>
  <si>
    <t>30320030</t>
  </si>
  <si>
    <t>3 de dezembro | 19:53</t>
  </si>
  <si>
    <t>MEL44128295441LMXDF01</t>
  </si>
  <si>
    <t>2000006694777775</t>
  </si>
  <si>
    <t>24 de novembro de 2024 15:45 hs.</t>
  </si>
  <si>
    <t>Valdemir Santana da Silva</t>
  </si>
  <si>
    <t>CPF 02264215461</t>
  </si>
  <si>
    <t>Rua São Sebastião 163, Riachão do Poço - CEP: 58348000, Paraíba</t>
  </si>
  <si>
    <t>02264215461</t>
  </si>
  <si>
    <t>Rua São Sebastião 163 / CEP 58348000 - Centro, Riachão do Poço, Paraíba</t>
  </si>
  <si>
    <t>Riachão do Poço</t>
  </si>
  <si>
    <t>58348000</t>
  </si>
  <si>
    <t>5 de dezembro | 13:31</t>
  </si>
  <si>
    <t>MEL44128288423LMXDF01</t>
  </si>
  <si>
    <t>2000009938823956</t>
  </si>
  <si>
    <t>24 de novembro de 2024 15:43 hs.</t>
  </si>
  <si>
    <t>Robson Lima</t>
  </si>
  <si>
    <t>CPF 99306913672</t>
  </si>
  <si>
    <t>R DOS CRUZEIRENSES 89, Belo Horizonte - CEP: 30620210, Minas Gerais</t>
  </si>
  <si>
    <t>99306913672</t>
  </si>
  <si>
    <t>R DOS CRUZEIRENSES 89 / Esquina com Caetano Pirri - CEP 30620210 - Belo Horizonte, Belo Horizonte, Minas Gerais</t>
  </si>
  <si>
    <t>30620210</t>
  </si>
  <si>
    <t>5 de dezembro | 14:34</t>
  </si>
  <si>
    <t>MEL44128283059LMXDF01</t>
  </si>
  <si>
    <t>https://myaccount.mercadolivre.com.br/shipments/44128283059/detail</t>
  </si>
  <si>
    <t>2000006694470419</t>
  </si>
  <si>
    <t>24 de novembro de 2024 14:42 hs.</t>
  </si>
  <si>
    <t>Rosangela Alves Gomes</t>
  </si>
  <si>
    <t>CPF 22215528818</t>
  </si>
  <si>
    <t>Rua Itaipu 43 - casa 5, São Sebastião - CEP: 11618327, São Paulo</t>
  </si>
  <si>
    <t>22215528818</t>
  </si>
  <si>
    <t>Rua Itaipu 43 / casa 5 - CEP 11618327 - Boiçucanga, São Sebastião, São Paulo</t>
  </si>
  <si>
    <t>11618327</t>
  </si>
  <si>
    <t>4 de dezembro | 16:48</t>
  </si>
  <si>
    <t>MEL44128284224LMXDF01</t>
  </si>
  <si>
    <t>2000009938303044</t>
  </si>
  <si>
    <t>24 de novembro de 2024 14:35 hs.</t>
  </si>
  <si>
    <t>Beatriz Arantes Santos Beatriz Arantes Santos</t>
  </si>
  <si>
    <t>CPF 10573770662</t>
  </si>
  <si>
    <t>Rua José Bueno Sobrinho 49 - casa, Jacuí - CEP: 37965000, Minas Gerais</t>
  </si>
  <si>
    <t>10573770662</t>
  </si>
  <si>
    <t>Rua José Bueno Sobrinho 49 / casa - CEP 37965000 - São José, Jacuí, Minas Gerais</t>
  </si>
  <si>
    <t>Jacuí</t>
  </si>
  <si>
    <t>37965000</t>
  </si>
  <si>
    <t>3 de dezembro | 02:22</t>
  </si>
  <si>
    <t>4 de dezembro | 17:47</t>
  </si>
  <si>
    <t>MEL44128066353LMXDF01</t>
  </si>
  <si>
    <t>2000006694407801</t>
  </si>
  <si>
    <t>24 de novembro de 2024 14:29 hs.</t>
  </si>
  <si>
    <t>Wilson  Bulhões</t>
  </si>
  <si>
    <t>CPF 62915460949</t>
  </si>
  <si>
    <t>Rua Xavantes 953, Praia Grande - CEP: 11703300, São Paulo</t>
  </si>
  <si>
    <t>62915460949</t>
  </si>
  <si>
    <t>Rua Xavantes 953 / CEP 11703300 - Tupi, Praia Grande, São Paulo</t>
  </si>
  <si>
    <t>11703300</t>
  </si>
  <si>
    <t>3 de dezembro | 04:34</t>
  </si>
  <si>
    <t>5 de dezembro | 17:15</t>
  </si>
  <si>
    <t>MEL44128241448LMXDF01</t>
  </si>
  <si>
    <t>https://myaccount.mercadolivre.com.br/shipments/44128241448/detail</t>
  </si>
  <si>
    <t>2000009938109352</t>
  </si>
  <si>
    <t>24 de novembro de 2024 14:12 hs.</t>
  </si>
  <si>
    <t>Elzanira Soares de Oliveira</t>
  </si>
  <si>
    <t>CPF 44372019220</t>
  </si>
  <si>
    <t>Otávio Alexandria Costa 3601, Senador Guiomard - CEP: 69925000, Acre</t>
  </si>
  <si>
    <t>44372019220</t>
  </si>
  <si>
    <t>Otávio Alexandria Costa 3601 / Referencia: próximo a fábrica de refrigerante - CEP 69925000 - Democracia, Senador Guiomard, Acre</t>
  </si>
  <si>
    <t>Senador Guiomard</t>
  </si>
  <si>
    <t>69925000</t>
  </si>
  <si>
    <t>3 de dezembro | 02:55</t>
  </si>
  <si>
    <t>MEL44128183754LMXDF01</t>
  </si>
  <si>
    <t>2000009938020618</t>
  </si>
  <si>
    <t>24 de novembro de 2024 13:57 hs.</t>
  </si>
  <si>
    <t>Rosilene De jesus theodoro</t>
  </si>
  <si>
    <t>CPF 87038030663</t>
  </si>
  <si>
    <t>Rua Guatambu 65 - casa, Belo Horizonte - CEP: 30535380, Minas Gerais</t>
  </si>
  <si>
    <t>87038030663</t>
  </si>
  <si>
    <t>Rua Guatambu 65 / casa - CEP 30535380 - Dom Cabral, Belo Horizonte, Minas Gerais</t>
  </si>
  <si>
    <t>30535380</t>
  </si>
  <si>
    <t>3 de dezembro | 15:33</t>
  </si>
  <si>
    <t>MEL44127946697LMXDF01</t>
  </si>
  <si>
    <t>2000009937756668</t>
  </si>
  <si>
    <t>24 de novembro de 2024 13:21 hs.</t>
  </si>
  <si>
    <t>Carina Peronio Murari</t>
  </si>
  <si>
    <t>CPF 98261649091</t>
  </si>
  <si>
    <t>Rua Germano Basler 115 - 401G, Porto Alegre - CEP: 91240210, Rio Grande do Sul</t>
  </si>
  <si>
    <t>98261649091</t>
  </si>
  <si>
    <t>Rua Germano Basler 115 / 401G Referencia: No condomínio Juscelino kubishek - CEP 91240210 - Jardim Leopoldina, Porto Alegre, Rio Grande do Sul</t>
  </si>
  <si>
    <t>91240210</t>
  </si>
  <si>
    <t>5 de dezembro | 08:08</t>
  </si>
  <si>
    <t>MEL44128034550LMXDF01</t>
  </si>
  <si>
    <t>2000009937341034</t>
  </si>
  <si>
    <t>24 de novembro de 2024 12:28 hs.</t>
  </si>
  <si>
    <t>jucilene souza silva souza silva</t>
  </si>
  <si>
    <t>CPF 69672857691</t>
  </si>
  <si>
    <t>Rua Tobias Barreto 1050, Frutal - CEP: 38202058, Minas Gerais</t>
  </si>
  <si>
    <t>69672857691</t>
  </si>
  <si>
    <t>Rua Tobias Barreto 1050 / CEP 38202058 - Alto Boa Vista, Frutal, Minas Gerais</t>
  </si>
  <si>
    <t>Frutal</t>
  </si>
  <si>
    <t>38202058</t>
  </si>
  <si>
    <t>4 de dezembro | 19:23</t>
  </si>
  <si>
    <t>MEL44127667545LMXDF01</t>
  </si>
  <si>
    <t>2000009937201364</t>
  </si>
  <si>
    <t>24 de novembro de 2024 12:07 hs.</t>
  </si>
  <si>
    <t>Alcemir Bastos Jr</t>
  </si>
  <si>
    <t>CPF 67352952004</t>
  </si>
  <si>
    <t>Avenida Dr. Lauro Sodré 168 - Próx. a Câmara, São Domingos do Capim - CEP: 68635000, Pará</t>
  </si>
  <si>
    <t>67352952004</t>
  </si>
  <si>
    <t>Avenida Dr. Lauro Sodré 168 / Próx. a Câmara - CEP 68635000 - Matriz, São Domingos do Capim, Pará</t>
  </si>
  <si>
    <t>São Domingos do Capim</t>
  </si>
  <si>
    <t>68635000</t>
  </si>
  <si>
    <t>5 de dezembro | 10:55</t>
  </si>
  <si>
    <t>MEL44127612411LMXDF01</t>
  </si>
  <si>
    <t>2000009937000490</t>
  </si>
  <si>
    <t>24 de novembro de 2024 11:37 hs.</t>
  </si>
  <si>
    <t>Michael Cavalcante da Cunha</t>
  </si>
  <si>
    <t>CPF 99357763791</t>
  </si>
  <si>
    <t>Rua Dezenove-D 135, Volta Redonda - CEP: 27262370, Rio de Janeiro</t>
  </si>
  <si>
    <t>99357763791</t>
  </si>
  <si>
    <t>Rua Dezenove-D 135 / Referencia: RUA DO SAAE, ULTIMA CASA - CEP 27262370 - Bela Vista, Volta Redonda, Rio de Janeiro</t>
  </si>
  <si>
    <t>27262370</t>
  </si>
  <si>
    <t>3 de dezembro | 01:27</t>
  </si>
  <si>
    <t>3 de dezembro | 12:05</t>
  </si>
  <si>
    <t>MEL44127719590LMXDF01</t>
  </si>
  <si>
    <t>2000006693504781</t>
  </si>
  <si>
    <t>24 de novembro de 2024 11:00 hs.</t>
  </si>
  <si>
    <t>Luciana de Lima Soares Silva</t>
  </si>
  <si>
    <t>CPF 96227257249</t>
  </si>
  <si>
    <t>Rua Nicola Feltrin 475, São Bernardo do Campo - CEP: 09820790, São Paulo</t>
  </si>
  <si>
    <t>96227257249</t>
  </si>
  <si>
    <t>Rua Nicola Feltrin 475 / Referencia: Rua de Cima da Escola Airton Senna.
Saída km 27 da Rodovia Anchieta - CEP 09820790 - Parque Terra Nova II, São Bernardo do Campo, São Paulo</t>
  </si>
  <si>
    <t>09820790</t>
  </si>
  <si>
    <t>3 de dezembro | 05:19</t>
  </si>
  <si>
    <t>4 de dezembro | 14:34</t>
  </si>
  <si>
    <t>MEL44127624132LMXDF01</t>
  </si>
  <si>
    <t>2000009936707008</t>
  </si>
  <si>
    <t>24 de novembro de 2024 10:52 hs.</t>
  </si>
  <si>
    <t>Luiz Cláudio Rodrigues Da Silva</t>
  </si>
  <si>
    <t>CPF 06749617654</t>
  </si>
  <si>
    <t>Rua Álvaro Alberto 258 - casa 2, Rio de Janeiro - CEP: 23550000, Rio de Janeiro</t>
  </si>
  <si>
    <t>06749617654</t>
  </si>
  <si>
    <t>Rua Álvaro Alberto 258 / casa 2 - CEP 23550000 - Santa Cruz, Rio de Janeiro, Rio de Janeiro</t>
  </si>
  <si>
    <t>23550000</t>
  </si>
  <si>
    <t>3 de dezembro | 00:52</t>
  </si>
  <si>
    <t>3 de dezembro | 12:21</t>
  </si>
  <si>
    <t>MEL44127403593LMXDF01</t>
  </si>
  <si>
    <t>2000006693298927</t>
  </si>
  <si>
    <t>24 de novembro de 2024 09:55 hs.</t>
  </si>
  <si>
    <t>Jose Fernandes Marques Vieira</t>
  </si>
  <si>
    <t>CPF 09181523726</t>
  </si>
  <si>
    <t>Avenida Parigot de Souza 3823 - Apto 14, Toledo - CEP: 85903170, Paraná</t>
  </si>
  <si>
    <t>09181523726</t>
  </si>
  <si>
    <t>Avenida Parigot de Souza 3823 / Apto 14 Referencia: Edifício Ônix - CEP 85903170 - Jardim Santa Maria, Toledo, Paraná</t>
  </si>
  <si>
    <t>Toledo</t>
  </si>
  <si>
    <t>85903170</t>
  </si>
  <si>
    <t>5 de dezembro | 11:57</t>
  </si>
  <si>
    <t>MEL44127475174LMXDF01</t>
  </si>
  <si>
    <t>2000006693294547</t>
  </si>
  <si>
    <t>24 de novembro de 2024 09:53 hs.</t>
  </si>
  <si>
    <t>Stephanie Marie Alix Cecile Helene J Agnes Van Sebroeck</t>
  </si>
  <si>
    <t>CPF 41044596821</t>
  </si>
  <si>
    <t>Rua Doutor Gentil Leite Martins 242 - apto 23 Bloco A, São Paulo - CEP: 04648000, São Paulo</t>
  </si>
  <si>
    <t>41044596821</t>
  </si>
  <si>
    <t>Rua Doutor Gentil Leite Martins 242 / apto 23 Bloco A Referencia: Prédio vermelho e creme no cruzamento das avenidas Vicente Rao e Washington Luís - CEP 04648000 - Vila Nova Caledônia, São Paulo, São Paulo</t>
  </si>
  <si>
    <t>04648000</t>
  </si>
  <si>
    <t>4 de dezembro | 14:22</t>
  </si>
  <si>
    <t>MEL44127469736LMXDF01</t>
  </si>
  <si>
    <t>2000009936148368</t>
  </si>
  <si>
    <t>24 de novembro de 2024 08:48 hs.</t>
  </si>
  <si>
    <t>Edvania Souza</t>
  </si>
  <si>
    <t>CPF 33943827844</t>
  </si>
  <si>
    <t>Rua Nascente do Paulistano 50 - A, São Paulo - CEP: 02812005, São Paulo</t>
  </si>
  <si>
    <t>33943827844</t>
  </si>
  <si>
    <t>Rua Nascente do Paulistano 50 / A Referencia: céu Jardim Paulistano escola - CEP 02812005 - Jardim Paulistano (Zona Norte), São Paulo, São Paulo</t>
  </si>
  <si>
    <t>02812005</t>
  </si>
  <si>
    <t>4 de dezembro | 17:00</t>
  </si>
  <si>
    <t>MEL44127163949LMXDF01</t>
  </si>
  <si>
    <t>2000006693142715</t>
  </si>
  <si>
    <t>24 de novembro de 2024 08:46 hs.</t>
  </si>
  <si>
    <t>Jessica Lohanny da Silva Martins Coelho</t>
  </si>
  <si>
    <t>CPF 02908156148</t>
  </si>
  <si>
    <t>Rua Padre Guerino SN - Frente Salão LUZIANO, São Domingos - CEP: 73860000, Goiás</t>
  </si>
  <si>
    <t>02908156148</t>
  </si>
  <si>
    <t>Rua Padre Guerino SN / Frente Salão LUZIANO Referencia: ANTIGA IGREJA/ Galpão preto/ Academia BULLS FITNESS - CEP 73860000 - Central, Q 42, L 17, São Domingos, Goiás</t>
  </si>
  <si>
    <t>São Domingos</t>
  </si>
  <si>
    <t>73860000</t>
  </si>
  <si>
    <t>3 de dezembro | 00:48</t>
  </si>
  <si>
    <t>5 de dezembro | 15:18</t>
  </si>
  <si>
    <t>MEL44127358124LMXDF01</t>
  </si>
  <si>
    <t>2000009936075736</t>
  </si>
  <si>
    <t>24 de novembro de 2024 08:28 hs.</t>
  </si>
  <si>
    <t>Paulo Mauricio de castro Azeve Paulo Mauricio de castro Azeve</t>
  </si>
  <si>
    <t>CPF 09137470760</t>
  </si>
  <si>
    <t>rua Antônio Casagrande 48 - Casa esquina 5 anda, Marataízes - CEP: 29345000, Espírito Santo</t>
  </si>
  <si>
    <t>09137470760</t>
  </si>
  <si>
    <t>rua Antônio Casagrande 48 / Casa esquina 5 anda Referencia: 1 rua antes da secretária de educação de marataizes - CEP 29345000 - Atlântico, Marataízes, Espírito Santo</t>
  </si>
  <si>
    <t>Marataízes</t>
  </si>
  <si>
    <t>29345000</t>
  </si>
  <si>
    <t>3 de dezembro | 03:45</t>
  </si>
  <si>
    <t>4 de dezembro | 16:32</t>
  </si>
  <si>
    <t>MEL44127138143LMXDF01</t>
  </si>
  <si>
    <t>2000009935941518</t>
  </si>
  <si>
    <t>24 de novembro de 2024 07:16 hs.</t>
  </si>
  <si>
    <t>ellen gonçalves de santana</t>
  </si>
  <si>
    <t>CPF 00949894788</t>
  </si>
  <si>
    <t>Avenida Jaime Poggi 99 - bl 1 ap 611, Rio de Janeiro - CEP: 22775130, Rio de Janeiro</t>
  </si>
  <si>
    <t>00949894788</t>
  </si>
  <si>
    <t>Avenida Jaime Poggi 99 / bl 1 ap 611 - CEP 22775130 - Barra Olímpica, Rio de Janeiro, Rio de Janeiro</t>
  </si>
  <si>
    <t>22775130</t>
  </si>
  <si>
    <t>3 de dezembro | 01:39</t>
  </si>
  <si>
    <t>3 de dezembro | 18:07</t>
  </si>
  <si>
    <t>MEL44127271284LMXDF01</t>
  </si>
  <si>
    <t>2000009935909148</t>
  </si>
  <si>
    <t>24 de novembro de 2024 06:52 hs.</t>
  </si>
  <si>
    <t>Demostenes Medeiros</t>
  </si>
  <si>
    <t>CPF 02698863463</t>
  </si>
  <si>
    <t>Estrada Heroína Lima Vieira Azevedo 80 - Apto 186 torre 1, Macaé - CEP: 27933270, Rio de Janeiro</t>
  </si>
  <si>
    <t>02698863463</t>
  </si>
  <si>
    <t>Estrada Heroína Lima Vieira Azevedo 80 / Apto 186 torre 1 Referencia: Condomínio quintas da glória - CEP 27933270 - Glória, Macaé, Rio de Janeiro</t>
  </si>
  <si>
    <t>27933270</t>
  </si>
  <si>
    <t>3 de dezembro | 00:25</t>
  </si>
  <si>
    <t>3 de dezembro | 10:44</t>
  </si>
  <si>
    <t>MEL44127254798LMXDF01</t>
  </si>
  <si>
    <t>2000009935425318</t>
  </si>
  <si>
    <t>24 de novembro de 2024 01:17 hs.</t>
  </si>
  <si>
    <t>Celio Alves Cardoso</t>
  </si>
  <si>
    <t>CPF 88699366868</t>
  </si>
  <si>
    <t>Rua Goiás 79, Santos - CEP: 11050101, São Paulo</t>
  </si>
  <si>
    <t>88699366868</t>
  </si>
  <si>
    <t>Rua Goiás 79 / CEP 11050101 - Gonzaga, Santos, São Paulo</t>
  </si>
  <si>
    <t>Santos</t>
  </si>
  <si>
    <t>11050101</t>
  </si>
  <si>
    <t>5 de dezembro | 17:02</t>
  </si>
  <si>
    <t>MEL44126865161LMXDF01</t>
  </si>
  <si>
    <t>https://myaccount.mercadolivre.com.br/shipments/44126865161/detail</t>
  </si>
  <si>
    <t>2000006692471721</t>
  </si>
  <si>
    <t>23 de novembro de 2024 23:55 hs.</t>
  </si>
  <si>
    <t>paulo teixeira machado</t>
  </si>
  <si>
    <t>CPF 58614168187</t>
  </si>
  <si>
    <t>Rua 148 196 - apto 801, Goiânia - CEP: 74170110, Goiás</t>
  </si>
  <si>
    <t>58614168187</t>
  </si>
  <si>
    <t>Rua 148 196 / apto 801 - CEP 74170110 - Setor Marista, Goiânia, Goiás</t>
  </si>
  <si>
    <t>74170110</t>
  </si>
  <si>
    <t>5 de dezembro | 11:01</t>
  </si>
  <si>
    <t>MEL44126732839LMXDF01</t>
  </si>
  <si>
    <t>2000006692451075</t>
  </si>
  <si>
    <t>23 de novembro de 2024 23:48 hs.</t>
  </si>
  <si>
    <t>Samuel Teixeira</t>
  </si>
  <si>
    <t>CPF 03132907502</t>
  </si>
  <si>
    <t>Rua veriador José macaria 27 - 255, Rodelas - CEP: 48630000, Bahia</t>
  </si>
  <si>
    <t>03132907502</t>
  </si>
  <si>
    <t>Rua veriador José macaria 27 / 255 Referencia: estadio de futebol - CEP 48630000 - Centro, Rodelas, Bahia</t>
  </si>
  <si>
    <t>Rodelas</t>
  </si>
  <si>
    <t>48630000</t>
  </si>
  <si>
    <t>3 de dezembro | 04:27</t>
  </si>
  <si>
    <t>7 de dezembro | 14:57</t>
  </si>
  <si>
    <t>MEL44126718659LMXDF01</t>
  </si>
  <si>
    <t>2000006692387419</t>
  </si>
  <si>
    <t>23 de novembro de 2024 23:30 hs.</t>
  </si>
  <si>
    <t>Taislany da Silva</t>
  </si>
  <si>
    <t>CPF 14756041736</t>
  </si>
  <si>
    <t>Rua Eunice Sá Nasciment 257 257, Pinheiros - CEP: 29980000, Espírito Santo</t>
  </si>
  <si>
    <t>14756041736</t>
  </si>
  <si>
    <t>Rua Eunice Sá Nasciment 257 / Casa Referencia: Casa - CEP 29980000 - Vila verde, Pinheiros, Espírito Santo</t>
  </si>
  <si>
    <t>4 de dezembro | 12:45</t>
  </si>
  <si>
    <t>MEL44126681267LMXDF01</t>
  </si>
  <si>
    <t>2000009934915910</t>
  </si>
  <si>
    <t>23 de novembro de 2024 23:24 hs.</t>
  </si>
  <si>
    <t>João Victor de Souza Cavalcanti</t>
  </si>
  <si>
    <t>CPF 09361613456</t>
  </si>
  <si>
    <t>Rua Malaquias Gomes Barbosa 108 - Apto 101, 1 andar, São José de Piranhas - CEP: 58940000, Paraíba</t>
  </si>
  <si>
    <t>09361613456</t>
  </si>
  <si>
    <t>Rua Malaquias Gomes Barbosa 108 / Apto 101, 1 andar Referencia: Prédio de Getuliano, na esquina, em frente ao bar de Ravengá. - CEP 58940000 - Centro, São José de Piranhas, Paraíba</t>
  </si>
  <si>
    <t>São José de Piranhas</t>
  </si>
  <si>
    <t>58940000</t>
  </si>
  <si>
    <t>3 de dezembro | 05:53</t>
  </si>
  <si>
    <t>7 de dezembro | 15:44</t>
  </si>
  <si>
    <t>MEL44126667919LMXDF01</t>
  </si>
  <si>
    <t>2000009934912352</t>
  </si>
  <si>
    <t>23 de novembro de 2024 23:21 hs.</t>
  </si>
  <si>
    <t>Acaciane Oliveira Gaomes Santos</t>
  </si>
  <si>
    <t>CPF 13996846711</t>
  </si>
  <si>
    <t>Avenida Lacerda Agostinho 7001 - Bloco 07 AP 206, Macaé - CEP: 27972250, Rio de Janeiro</t>
  </si>
  <si>
    <t>13996846711</t>
  </si>
  <si>
    <t>Avenida Lacerda Agostinho 7001 / Bloco 07 AP 206 - CEP 27972250 - Ajuda de Baixo, Macaé, Rio de Janeiro</t>
  </si>
  <si>
    <t>27972250</t>
  </si>
  <si>
    <t>3 de dezembro | 11:07</t>
  </si>
  <si>
    <t>MEL44126853874LMXDF01</t>
  </si>
  <si>
    <t>2000009934771842</t>
  </si>
  <si>
    <t>23 de novembro de 2024 22:58 hs.</t>
  </si>
  <si>
    <t>santos cecilio cecilio</t>
  </si>
  <si>
    <t>CPF 26129302649</t>
  </si>
  <si>
    <t>Rua Capelinha 23, São João Del Rei - CEP: 36309108, Minas Gerais</t>
  </si>
  <si>
    <t>26129302649</t>
  </si>
  <si>
    <t>Rua Capelinha 23 / CEP 36309108 - São Caetano, São João Del Rei, Minas Gerais</t>
  </si>
  <si>
    <t>São João Del Rei</t>
  </si>
  <si>
    <t>36309108</t>
  </si>
  <si>
    <t>2 de dezembro | 22:17</t>
  </si>
  <si>
    <t>3 de dezembro | 19:20</t>
  </si>
  <si>
    <t>MEL44126804950LMXDF01</t>
  </si>
  <si>
    <t>2000009934746484</t>
  </si>
  <si>
    <t>23 de novembro de 2024 22:50 hs.</t>
  </si>
  <si>
    <t xml:space="preserve">Valeriano Souza Carneiro </t>
  </si>
  <si>
    <t>CPF 20390190578</t>
  </si>
  <si>
    <t>Rua Investigador Bandeira 22 - Casa, Feira de Santana - CEP: 44022002, Bahia</t>
  </si>
  <si>
    <t>20390190578</t>
  </si>
  <si>
    <t>Rua Investigador Bandeira 22 / Casa Referencia: Estádio Joia da Princesa (Portão 03) - CEP 44022002 - Cruzeiro, Feira de Santana, Bahia</t>
  </si>
  <si>
    <t>44022002</t>
  </si>
  <si>
    <t>6 de dezembro | 12:54</t>
  </si>
  <si>
    <t>MEL44126592065LMXDF01</t>
  </si>
  <si>
    <t>2000006691916637</t>
  </si>
  <si>
    <t>23 de novembro de 2024 21:32 hs.</t>
  </si>
  <si>
    <t>Antonia Ivanilde Ferreira de Melo</t>
  </si>
  <si>
    <t>CPF 63620065187</t>
  </si>
  <si>
    <t>Avenida Desembargador Lourival de Almeida 58, Guarapari - CEP: 29200250, Espírito Santo</t>
  </si>
  <si>
    <t>63620065187</t>
  </si>
  <si>
    <t>Avenida Desembargador Lourival de Almeida 58 / Apto 401 Sea window - CEP 29200250 - Centro, Guarapari, Espírito Santo</t>
  </si>
  <si>
    <t>Guarapari</t>
  </si>
  <si>
    <t>29200250</t>
  </si>
  <si>
    <t>4 de dezembro | 14:46</t>
  </si>
  <si>
    <t>MEL44126576674LMXDF01</t>
  </si>
  <si>
    <t>2000006691603107</t>
  </si>
  <si>
    <t>23 de novembro de 2024 20:20 hs.</t>
  </si>
  <si>
    <t>geralda silva</t>
  </si>
  <si>
    <t>CPF 02933681633</t>
  </si>
  <si>
    <t>Rua Santo Expedito 181, Divinópolis - CEP: 35504510, Minas Gerais</t>
  </si>
  <si>
    <t>02933681633</t>
  </si>
  <si>
    <t>Rua Santo Expedito 181 / Referencia: Esquina com Rua Santa Terezinha - CEP 35504510 - Maria Helena, Divinópolis, Minas Gerais</t>
  </si>
  <si>
    <t>Divinópolis</t>
  </si>
  <si>
    <t>35504510</t>
  </si>
  <si>
    <t>4 de dezembro | 14:11</t>
  </si>
  <si>
    <t>MEL44126360018LMXDF01</t>
  </si>
  <si>
    <t>2000009933718170</t>
  </si>
  <si>
    <t>23 de novembro de 2024 20:18 hs.</t>
  </si>
  <si>
    <t>Marlon Girardi</t>
  </si>
  <si>
    <t>CPF 90218884087</t>
  </si>
  <si>
    <t>Avenida Assis Brasil 429 - lado Rosy Modas, Tapes - CEP: 96760000, Rio Grande do Sul</t>
  </si>
  <si>
    <t>90218884087</t>
  </si>
  <si>
    <t>Avenida Assis Brasil 429 / lado Rosy Modas Referencia: Portão branco, lado do Banco Sicredi também. - CEP 96760000 - Centro, Tapes, Rio Grande do Sul</t>
  </si>
  <si>
    <t>Tapes</t>
  </si>
  <si>
    <t>96760000</t>
  </si>
  <si>
    <t>3 de dezembro | 05:43</t>
  </si>
  <si>
    <t>5 de dezembro | 15:01</t>
  </si>
  <si>
    <t>MEL44126160263LMXDF01</t>
  </si>
  <si>
    <t>2000009933137210</t>
  </si>
  <si>
    <t>23 de novembro de 2024 18:57 hs.</t>
  </si>
  <si>
    <t>Angela Wanessa Panissa da Silva</t>
  </si>
  <si>
    <t>CPF 04070491937</t>
  </si>
  <si>
    <t>Avenida Apucarana 3865 - Piso superior, Umuarama - CEP: 87501230, Paraná</t>
  </si>
  <si>
    <t>04070491937</t>
  </si>
  <si>
    <t>Avenida Apucarana 3865 / Piso superior - CEP 87501230 - Zona I, Umuarama, Paraná</t>
  </si>
  <si>
    <t>Umuarama</t>
  </si>
  <si>
    <t>87501230</t>
  </si>
  <si>
    <t>3 de dezembro | 05:59</t>
  </si>
  <si>
    <t>5 de dezembro | 15:10</t>
  </si>
  <si>
    <t>MEL44126111576LMXDF01</t>
  </si>
  <si>
    <t>2000006691203125</t>
  </si>
  <si>
    <t>23 de novembro de 2024 18:47 hs.</t>
  </si>
  <si>
    <t>Lucrecia Davila</t>
  </si>
  <si>
    <t>CPF 49228404000</t>
  </si>
  <si>
    <t>Rua Américo Vespucio 1001 - Apt 403, Porto Alegre - CEP: 90550031, Rio Grande do Sul</t>
  </si>
  <si>
    <t>49228404000</t>
  </si>
  <si>
    <t>Rua Américo Vespucio 1001 / Apt 403 Referencia: Caso ninguém atenda no 403, entregar no 101 - CEP 90550031 - Higienópolis, Porto Alegre, Rio Grande do Sul</t>
  </si>
  <si>
    <t>90550031</t>
  </si>
  <si>
    <t>5 de dezembro | 13:25</t>
  </si>
  <si>
    <t>MEL44125886305LMXDF01</t>
  </si>
  <si>
    <t>2000006691087609</t>
  </si>
  <si>
    <t>23 de novembro de 2024 18:22 hs.</t>
  </si>
  <si>
    <t>suanesouzam suanesouzam</t>
  </si>
  <si>
    <t>CPF 05792909130</t>
  </si>
  <si>
    <t>Avenida Honestino Guimarães 728 - Bahia têxtil, Goiânia - CEP: 74510020, Goiás</t>
  </si>
  <si>
    <t>05792909130</t>
  </si>
  <si>
    <t>Avenida Honestino Guimarães 728 / Bahia têxtil Referencia: Loja Bahia têxtil - CEP 74510020 - Setor Campinas, Goiânia, Goiás</t>
  </si>
  <si>
    <t>74510020</t>
  </si>
  <si>
    <t>5 de dezembro | 11:41</t>
  </si>
  <si>
    <t>MEL44126002116LMXDF01</t>
  </si>
  <si>
    <t>2000009932857766</t>
  </si>
  <si>
    <t>23 de novembro de 2024 18:20 hs.</t>
  </si>
  <si>
    <t>Kalita Lorrayne Pinheiro da Rosa</t>
  </si>
  <si>
    <t>CPF 70340491140</t>
  </si>
  <si>
    <t>Rua dos Tucanos SN, Aparecida de Goiânia - CEP: 74987792, Goiás</t>
  </si>
  <si>
    <t>70340491140</t>
  </si>
  <si>
    <t>Rua dos Tucanos SN / Qd3 lt49 - CEP 74987792 - Setor Ana Rosa, Aparecida de Goiânia, Goiás</t>
  </si>
  <si>
    <t>74987792</t>
  </si>
  <si>
    <t>5 de dezembro | 17:10</t>
  </si>
  <si>
    <t>MEL44125799041LMXDF01</t>
  </si>
  <si>
    <t>2000006690664587</t>
  </si>
  <si>
    <t>23 de novembro de 2024 16:47 hs.</t>
  </si>
  <si>
    <t>david leonardo</t>
  </si>
  <si>
    <t>CPF 14634540665</t>
  </si>
  <si>
    <t>Dorvelino rabelo costa 168 - padaria da lena, Passa Tempo - CEP: 35537000, Minas Gerais</t>
  </si>
  <si>
    <t>14634540665</t>
  </si>
  <si>
    <t>Dorvelino rabelo costa 168 / padaria da lena - CEP 35537000 - idelmano amorim, Passa Tempo, Minas Gerais</t>
  </si>
  <si>
    <t>Passa Tempo</t>
  </si>
  <si>
    <t>35537000</t>
  </si>
  <si>
    <t>4 de dezembro | 12:55</t>
  </si>
  <si>
    <t>MEL44125701926LMXDF01</t>
  </si>
  <si>
    <t>2000006690638359</t>
  </si>
  <si>
    <t>23 de novembro de 2024 16:43 hs.</t>
  </si>
  <si>
    <t>ARISMAR SILVA</t>
  </si>
  <si>
    <t>CPF 65940032672</t>
  </si>
  <si>
    <t>Rua Doutor Sette Câmara 125, Belo Horizonte - CEP: 30380360, Minas Gerais</t>
  </si>
  <si>
    <t>65940032672</t>
  </si>
  <si>
    <t>Rua Doutor Sette Câmara 125 / Ap 503 - CEP 30380360 - Luxemburgo, Belo Horizonte, Minas Gerais</t>
  </si>
  <si>
    <t>30380360</t>
  </si>
  <si>
    <t>5 de dezembro | 08:47</t>
  </si>
  <si>
    <t>MEL44125488689LMXDF01</t>
  </si>
  <si>
    <t>2000009932089034</t>
  </si>
  <si>
    <t>23 de novembro de 2024 16:38 hs.</t>
  </si>
  <si>
    <t>celio silva</t>
  </si>
  <si>
    <t>CPF 15791048866</t>
  </si>
  <si>
    <t>Rua Assad Antônio Nazar 351 - Perto do UPA, Itatiba - CEP: 13257460, São Paulo</t>
  </si>
  <si>
    <t>15791048866</t>
  </si>
  <si>
    <t>Rua Assad Antônio Nazar 351 / Perto do UPA - CEP 13257460 - Jardim Virgínia, Itatiba, São Paulo</t>
  </si>
  <si>
    <t>13257460</t>
  </si>
  <si>
    <t>3 de dezembro | 04:49</t>
  </si>
  <si>
    <t>4 de dezembro | 16:01</t>
  </si>
  <si>
    <t>MEL44125462011LMXDF01</t>
  </si>
  <si>
    <t>2000006690552789</t>
  </si>
  <si>
    <t>23 de novembro de 2024 16:24 hs.</t>
  </si>
  <si>
    <t>Manuela Palhari Rodrigues Bueno da Silva</t>
  </si>
  <si>
    <t>CPF 02791506950</t>
  </si>
  <si>
    <t>Avenida das Andorinhas 491 491, Nova Mutum - CEP: 78450095, Mato Grosso</t>
  </si>
  <si>
    <t>02791506950</t>
  </si>
  <si>
    <t>Rua dos Cedros 353 / w Referencia: clínica inser - CEP 78450086 - Centro, Nova Mutum, Mato Grosso</t>
  </si>
  <si>
    <t>Nova Mutum</t>
  </si>
  <si>
    <t>78450086</t>
  </si>
  <si>
    <t>7 de dezembro | 16:43</t>
  </si>
  <si>
    <t>MEL44125624106LMXDF01</t>
  </si>
  <si>
    <t>2000006690529095</t>
  </si>
  <si>
    <t>23 de novembro de 2024 16:18 hs.</t>
  </si>
  <si>
    <t>Mariana Bernardi</t>
  </si>
  <si>
    <t>CPF 36911520827</t>
  </si>
  <si>
    <t>RUA GUILHERME MAMPRIM 1453, Valinhos - CEP: 13274450, São Paulo</t>
  </si>
  <si>
    <t>36911520827</t>
  </si>
  <si>
    <t>RUA GUILHERME MAMPRIM 1453 / CEP 13274450 - Valinhos, Valinhos, São Paulo</t>
  </si>
  <si>
    <t>Valinhos</t>
  </si>
  <si>
    <t>13274450</t>
  </si>
  <si>
    <t>4 de dezembro | 11:39</t>
  </si>
  <si>
    <t>MEL44125604132LMXDF01</t>
  </si>
  <si>
    <t>https://myaccount.mercadolivre.com.br/shipments/44125604132/detail</t>
  </si>
  <si>
    <t>2000009931974802</t>
  </si>
  <si>
    <t>2000009931965774</t>
  </si>
  <si>
    <t>2000009931895924</t>
  </si>
  <si>
    <t>23 de novembro de 2024 16:10 hs.</t>
  </si>
  <si>
    <t>15797333 FABRICIO ROBERTO MATOS</t>
  </si>
  <si>
    <t>CNPJ 15797333000160</t>
  </si>
  <si>
    <t>Rua Margarida Assis Fonseca 296, Belo Horizonte - CEP: 30855070, Minas Gerais</t>
  </si>
  <si>
    <t>0019860970033</t>
  </si>
  <si>
    <t>15797333000160</t>
  </si>
  <si>
    <t>Rua Margarida Assis Fonseca 296 / CEP 30855070 - Califórnia, Belo Horizonte, Minas Gerais</t>
  </si>
  <si>
    <t>30855070</t>
  </si>
  <si>
    <t>3 de dezembro | 17:00</t>
  </si>
  <si>
    <t>MEL44125382133LMXDF01</t>
  </si>
  <si>
    <t>2000006690483319</t>
  </si>
  <si>
    <t>23 de novembro de 2024 16:08 hs.</t>
  </si>
  <si>
    <t>Rosangela Rêgo</t>
  </si>
  <si>
    <t>CPF 11063708729</t>
  </si>
  <si>
    <t>Rua Bem-Te-Vi 247 - Casa Térreo, Dias d'Ávila - CEP: 42850000, Bahia</t>
  </si>
  <si>
    <t>11063708729</t>
  </si>
  <si>
    <t>Rua Bem-Te-Vi 247 / Casa Térreo - CEP 42850000 - Nova Dias D'Ávila, Dias d'Ávila, Bahia</t>
  </si>
  <si>
    <t>Dias d'Ávila</t>
  </si>
  <si>
    <t>42850000</t>
  </si>
  <si>
    <t>4 de dezembro | 16:40</t>
  </si>
  <si>
    <t>MEL44125376253LMXDF01</t>
  </si>
  <si>
    <t>2000009931815946</t>
  </si>
  <si>
    <t>23 de novembro de 2024 15:59 hs.</t>
  </si>
  <si>
    <t>Eliezer Pereira de Oliveira</t>
  </si>
  <si>
    <t>CPF 42864948885</t>
  </si>
  <si>
    <t>Rua Nossa Senhora da Guia 137 - ponto comercial, Barra do Chapéu - CEP: 18325039, São Paulo</t>
  </si>
  <si>
    <t>42864948885</t>
  </si>
  <si>
    <t>Rua Nossa Senhora da Guia 137 / ponto comercial - CEP 18325039 - Centro, Barra do Chapéu, São Paulo</t>
  </si>
  <si>
    <t>Barra do Chapéu</t>
  </si>
  <si>
    <t>18325039</t>
  </si>
  <si>
    <t>4 de dezembro | 17:28</t>
  </si>
  <si>
    <t>MEL44125543148LMXDF01</t>
  </si>
  <si>
    <t>2000009931452780</t>
  </si>
  <si>
    <t>23 de novembro de 2024 15:08 hs.</t>
  </si>
  <si>
    <t>Lindalva  Martins</t>
  </si>
  <si>
    <t>CPF 74332520610</t>
  </si>
  <si>
    <t>Rua João Antunes França 230 - casa, Sete Lagoas - CEP: 35701171, Minas Gerais</t>
  </si>
  <si>
    <t>74332520610</t>
  </si>
  <si>
    <t>Rua João Antunes França 230 / casa - CEP 35701171 - Vale das Palmeiras, Sete Lagoas, Minas Gerais</t>
  </si>
  <si>
    <t>35701171</t>
  </si>
  <si>
    <t>3 de dezembro | 02:56</t>
  </si>
  <si>
    <t>4 de dezembro | 08:29</t>
  </si>
  <si>
    <t>MEL44125186263LMXDF01</t>
  </si>
  <si>
    <t>2000009931393338</t>
  </si>
  <si>
    <t>23 de novembro de 2024 15:01 hs.</t>
  </si>
  <si>
    <t>Sueli Anizia da Silva Moreira</t>
  </si>
  <si>
    <t>CPF 00977394565</t>
  </si>
  <si>
    <t>Rua Laudelino Alves 128 - sobrado portão cinza, Caetité - CEP: 46400000, Bahia</t>
  </si>
  <si>
    <t>00977394565</t>
  </si>
  <si>
    <t>Rua Laudelino Alves 128 / sobrado portão cinza Referencia: sobrado portão cinza ,após a igreja coração de Maria vira a esquerda - CEP 46400000 - ouvido Teixeira, Caetité, Bahia</t>
  </si>
  <si>
    <t>Caetité</t>
  </si>
  <si>
    <t>46400000</t>
  </si>
  <si>
    <t>6 de dezembro | 17:49</t>
  </si>
  <si>
    <t>MEL44125358866LMXDF01</t>
  </si>
  <si>
    <t>2000009931113276</t>
  </si>
  <si>
    <t>23 de novembro de 2024 14:27 hs.</t>
  </si>
  <si>
    <t>Aparecida Braga</t>
  </si>
  <si>
    <t>CPF 31759247863</t>
  </si>
  <si>
    <t>Rua Nair da Silva Monteiro 88 - Casa, Campinas - CEP: 13052426, São Paulo</t>
  </si>
  <si>
    <t>31759247863</t>
  </si>
  <si>
    <t>Rua Nair da Silva Monteiro 88 / Casa - CEP 13052426 - Loteamento e Arruamento TELESP, Campinas, São Paulo</t>
  </si>
  <si>
    <t>13052426</t>
  </si>
  <si>
    <t>3 de dezembro | 04:52</t>
  </si>
  <si>
    <t>4 de dezembro | 12:28</t>
  </si>
  <si>
    <t>MEL44125040605LMXDF01</t>
  </si>
  <si>
    <t>2000009930899736</t>
  </si>
  <si>
    <t>23 de novembro de 2024 13:56 hs.</t>
  </si>
  <si>
    <t>Ruth Maria de Oliveira</t>
  </si>
  <si>
    <t>CPF 05777796486</t>
  </si>
  <si>
    <t>Rua Vinte e Cinco de Agosto 48, Joaquim Gomes - CEP: 57980000, Alagoas</t>
  </si>
  <si>
    <t>05777796486</t>
  </si>
  <si>
    <t>Rua Vinte e Cinco de Agosto 48 / Referencia: Dick Do Petronio - CEP 57980000 - Centro, Joaquim Gomes, Alagoas</t>
  </si>
  <si>
    <t>Joaquim Gomes</t>
  </si>
  <si>
    <t>57980000</t>
  </si>
  <si>
    <t>5 de dezembro | 13:22</t>
  </si>
  <si>
    <t>MEL44125146002LMXDF01</t>
  </si>
  <si>
    <t>2000009930826978</t>
  </si>
  <si>
    <t>23 de novembro de 2024 13:45 hs.</t>
  </si>
  <si>
    <t>Angela Paes Lourenco Dos Santos</t>
  </si>
  <si>
    <t>CPF 35531654804</t>
  </si>
  <si>
    <t>Rua José Rodrigues de Souza 70, Itaí - CEP: 18730158, São Paulo</t>
  </si>
  <si>
    <t>35531654804</t>
  </si>
  <si>
    <t>Rua José Rodrigues de Souza 70 / CEP 18730158 - Jardim Planalto, Itaí, São Paulo</t>
  </si>
  <si>
    <t>Itaí</t>
  </si>
  <si>
    <t>18730158</t>
  </si>
  <si>
    <t>4 de dezembro | 12:09</t>
  </si>
  <si>
    <t>MEL44125110406LMXDF01</t>
  </si>
  <si>
    <t>2000009930789992</t>
  </si>
  <si>
    <t>23 de novembro de 2024 13:42 hs.</t>
  </si>
  <si>
    <t>Chegou em 1 de dezembro</t>
  </si>
  <si>
    <t>Daiane Teixeira da Silva de Sa</t>
  </si>
  <si>
    <t>CPF 35208162881</t>
  </si>
  <si>
    <t>Rua Tembe 47, Várzea Paulista - CEP: 13225091, São Paulo</t>
  </si>
  <si>
    <t>35208162881</t>
  </si>
  <si>
    <t>Rua Tembe 47 / CEP 13225091 - Vila Tupi, Várzea Paulista, São Paulo</t>
  </si>
  <si>
    <t>13225091</t>
  </si>
  <si>
    <t>30 de novembro | 04:50</t>
  </si>
  <si>
    <t>1 de dezembro | 20:02</t>
  </si>
  <si>
    <t>MEL44124904553LMXDF01</t>
  </si>
  <si>
    <t>2000009930757768</t>
  </si>
  <si>
    <t>23 de novembro de 2024 13:37 hs.</t>
  </si>
  <si>
    <t>Silvana Vieira da Silva Vieira da Silva</t>
  </si>
  <si>
    <t>CPF 02090518928</t>
  </si>
  <si>
    <t>Rua Rio Branco 455 - Sumatra, Lages - CEP: 88509180, Santa Catarina</t>
  </si>
  <si>
    <t>02090518928</t>
  </si>
  <si>
    <t>Rua Rio Branco 455 / Sumatra Referencia: sumatra - CEP 88509180 - São Cristóvão, Lages, Santa Catarina</t>
  </si>
  <si>
    <t>Lages</t>
  </si>
  <si>
    <t>88509180</t>
  </si>
  <si>
    <t>30 de novembro | 05:51</t>
  </si>
  <si>
    <t>4 de dezembro | 14:48</t>
  </si>
  <si>
    <t>MEL44124888865LMXDF01</t>
  </si>
  <si>
    <t>2000006689731305</t>
  </si>
  <si>
    <t>23 de novembro de 2024 13:26 hs.</t>
  </si>
  <si>
    <t>Jessica Dos Santos Machado de Oliveira</t>
  </si>
  <si>
    <t>CPF 13996771797</t>
  </si>
  <si>
    <t>Rua José Manuel da Silva SN SN, Seropédica - CEP: 23893780, Rio de Janeiro</t>
  </si>
  <si>
    <t>13996771797</t>
  </si>
  <si>
    <t>Rua José Manuel da Silva SN / LOTE 7 QUADRA 51 Referencia: NÃO ENTREGAR PARA VIZINHOS. PRÓXIMO A ESCOLA ATÍLIO GREGIO. RUA SEM ASFALTO. PORTÃO CINZA COM IDENTIFICAÇÃO. - CEP 23893780 - São Miguel, Seropédica, Rio de Janeiro</t>
  </si>
  <si>
    <t>Seropédica</t>
  </si>
  <si>
    <t>23893780</t>
  </si>
  <si>
    <t>30 de novembro | 01:28</t>
  </si>
  <si>
    <t>30 de novembro | 16:42</t>
  </si>
  <si>
    <t>MEL44124850021LMXDF01</t>
  </si>
  <si>
    <t>2000006689629963</t>
  </si>
  <si>
    <t>23 de novembro de 2024 13:04 hs.</t>
  </si>
  <si>
    <t>Luane Cunha</t>
  </si>
  <si>
    <t>CPF 73241679268</t>
  </si>
  <si>
    <t>Avenida Serzedelo Corrêa 681, Belém - CEP: 66033770, Pará</t>
  </si>
  <si>
    <t>73241679268</t>
  </si>
  <si>
    <t>Avenida Serzedelo Corrêa 681 / apt 502 Referencia: Em frente a praça Batista Campos - CEP 66033770 - Batista Campos, Belém, Pará</t>
  </si>
  <si>
    <t>Belém</t>
  </si>
  <si>
    <t>66033770</t>
  </si>
  <si>
    <t>30 de novembro | 00:55</t>
  </si>
  <si>
    <t>4 de dezembro | 11:53</t>
  </si>
  <si>
    <t>MEL44124971266LMXDF01</t>
  </si>
  <si>
    <t>2000009930524048</t>
  </si>
  <si>
    <t>2000009930513198</t>
  </si>
  <si>
    <t>2000009930470976</t>
  </si>
  <si>
    <t>23 de novembro de 2024 12:58 hs.</t>
  </si>
  <si>
    <t>00385</t>
  </si>
  <si>
    <t>MLB3861261497</t>
  </si>
  <si>
    <t>Probiótico Para Candidíase Masculino - 60 Cápsulas</t>
  </si>
  <si>
    <t>Jardir Junior</t>
  </si>
  <si>
    <t>CPF 33157291823</t>
  </si>
  <si>
    <t>Rua Armando Pinelli 268 - Ap131 Bloco 5, Diadema - CEP: 09930310, São Paulo</t>
  </si>
  <si>
    <t>33157291823</t>
  </si>
  <si>
    <t>Rua Armando Pinelli 268 / Ap131 Bloco 5 - CEP 09930310 - Taboão, Diadema, São Paulo</t>
  </si>
  <si>
    <t>09930310</t>
  </si>
  <si>
    <t>30 de novembro | 05:00</t>
  </si>
  <si>
    <t>1 de dezembro | 14:26</t>
  </si>
  <si>
    <t>MEL44124950962LMXDF01</t>
  </si>
  <si>
    <t>2000006689458083</t>
  </si>
  <si>
    <t>23 de novembro de 2024 12:26 hs.</t>
  </si>
  <si>
    <t>Maria Luciana Andrade de Paula</t>
  </si>
  <si>
    <t>CPF 70034117415</t>
  </si>
  <si>
    <t>Rua Jornalista Freitas Neto 270 - N 270A, Arapiraca - CEP: 57312014, Alagoas</t>
  </si>
  <si>
    <t>70034117415</t>
  </si>
  <si>
    <t>Rua Jornalista Freitas Neto 270 / N 270A Referencia: Próximo mercado santa esmeralda - CEP 57312014 - Santa Esmeralda, Arapiraca, Alagoas</t>
  </si>
  <si>
    <t>Arapiraca</t>
  </si>
  <si>
    <t>57312014</t>
  </si>
  <si>
    <t>4 de dezembro | 14:42</t>
  </si>
  <si>
    <t>MEL44124842932LMXDF01</t>
  </si>
  <si>
    <t>2000009930095602</t>
  </si>
  <si>
    <t>23 de novembro de 2024 12:09 hs.</t>
  </si>
  <si>
    <t>Carlos Jose Almeida Sequera</t>
  </si>
  <si>
    <t>CPF 80216979978</t>
  </si>
  <si>
    <t>Avenida Brasil 1005 - Ind. Aguas Negras, Ituporanga - CEP: 88400000, Santa Catarina</t>
  </si>
  <si>
    <t>80216979978</t>
  </si>
  <si>
    <t>Avenida Brasil 1005 / Ind. Aguas Negras Referencia: Meu local de trabalho é: Indústria de Papel Águas Negras, a entrega poderá ser feita para a Empresa. - CEP 88400000 - Santo Antonio, Ituporanga, Santa Catarina</t>
  </si>
  <si>
    <t>Ituporanga</t>
  </si>
  <si>
    <t>88400000</t>
  </si>
  <si>
    <t>5 de dezembro | 11:43</t>
  </si>
  <si>
    <t>MEL44124789478LMXDF01</t>
  </si>
  <si>
    <t>2000006689338415</t>
  </si>
  <si>
    <t>23 de novembro de 2024 12:00 hs.</t>
  </si>
  <si>
    <t>Chegou em 2 de dezembro</t>
  </si>
  <si>
    <t>Isilda Maria Dos Santos Bezerra</t>
  </si>
  <si>
    <t>CPF 04055253460</t>
  </si>
  <si>
    <t>Rua Projetada - Conveniência Parada Obrigatória 19, Conde - CEP: 58322000, Paraíba</t>
  </si>
  <si>
    <t>04055253460</t>
  </si>
  <si>
    <t>Rua Projetada - Conveniência Parada Obrigatória 19 / Loja 1 Referencia: No 1º Posto de Combustível entrada da cidade. - CEP 58322000 - Distrito de Jacumã, Conde, Paraíba</t>
  </si>
  <si>
    <t>Conde</t>
  </si>
  <si>
    <t>58322000</t>
  </si>
  <si>
    <t>30 de novembro | 05:44</t>
  </si>
  <si>
    <t>2 de dezembro | 09:09</t>
  </si>
  <si>
    <t>MEL44124757714LMXDF01</t>
  </si>
  <si>
    <t>2000009929925842</t>
  </si>
  <si>
    <t>23 de novembro de 2024 11:48 hs.</t>
  </si>
  <si>
    <t>Janaina Ferreira Goncalves</t>
  </si>
  <si>
    <t>CPF 41442093854</t>
  </si>
  <si>
    <t>Rua  Antônio Ribeiro deCarvalho Sobrinho 1730, Pilar do Sul - CEP: 18185000, São Paulo</t>
  </si>
  <si>
    <t>41442093854</t>
  </si>
  <si>
    <t>Rua  Antônio Ribeiro deCarvalho Sobrinho 1730 / Referencia: Perto do mercado laranja - CEP 18185000 - Jd Cananéia, Pilar do Sul, São Paulo</t>
  </si>
  <si>
    <t>Pilar do Sul</t>
  </si>
  <si>
    <t>18185000</t>
  </si>
  <si>
    <t>1 de dezembro | 12:53</t>
  </si>
  <si>
    <t>MEL44124521709LMXDF01</t>
  </si>
  <si>
    <t>2000006689237025</t>
  </si>
  <si>
    <t>23 de novembro de 2024 11:36 hs.</t>
  </si>
  <si>
    <t>ISRAEL BELLI NUNES</t>
  </si>
  <si>
    <t>CPF 00377410985</t>
  </si>
  <si>
    <t>Rua Francisco Cristofoline 165, Joinville - CEP: 89237430, Santa Catarina</t>
  </si>
  <si>
    <t>00377410985</t>
  </si>
  <si>
    <t>Rua Francisco Cristofoline 165 / Referencia: NUTRI NORTE - CEP 89237430 - Vila Nova, Joinville, Santa Catarina</t>
  </si>
  <si>
    <t>Joinville</t>
  </si>
  <si>
    <t>89237430</t>
  </si>
  <si>
    <t>30 de novembro | 05:48</t>
  </si>
  <si>
    <t>2 de dezembro | 15:20</t>
  </si>
  <si>
    <t>MEL44124484795LMXDF01</t>
  </si>
  <si>
    <t>2000009929613038</t>
  </si>
  <si>
    <t>23 de novembro de 2024 11:03 hs.</t>
  </si>
  <si>
    <t>Rodrigo Almeida</t>
  </si>
  <si>
    <t>CPF 28927639839</t>
  </si>
  <si>
    <t>Avenida Massaichi Kakihara 2111, Capão Bonito - CEP: 18302285, São Paulo</t>
  </si>
  <si>
    <t>28927639839</t>
  </si>
  <si>
    <t>Avenida Massaichi Kakihara 2111 / Casa - CEP 18302285 - Vila São Paulo, Capão Bonito, São Paulo</t>
  </si>
  <si>
    <t>Capão Bonito</t>
  </si>
  <si>
    <t>18302285</t>
  </si>
  <si>
    <t>1 de dezembro | 10:24</t>
  </si>
  <si>
    <t>MEL44124379793LMXDF01</t>
  </si>
  <si>
    <t>2000009929580856</t>
  </si>
  <si>
    <t>23 de novembro de 2024 10:59 hs.</t>
  </si>
  <si>
    <t>Eliane Bueno Baalbaki</t>
  </si>
  <si>
    <t>CPF 03376260907</t>
  </si>
  <si>
    <t>R JOSINO ALVES DO ROCHA LOURES 1267, Palmas - CEP: 85555000, Paraná</t>
  </si>
  <si>
    <t>03376260907</t>
  </si>
  <si>
    <t>R JOSINO ALVES DO ROCHA LOURES 1267 / ANDAR TERRIO - CEP 85555000 - CENTRO, Palmas, Paraná</t>
  </si>
  <si>
    <t>85555000</t>
  </si>
  <si>
    <t>4 de dezembro | 17:52</t>
  </si>
  <si>
    <t>MEL44124366683LMXDF01</t>
  </si>
  <si>
    <t>https://myaccount.mercadolivre.com.br/shipments/44124366683/detail</t>
  </si>
  <si>
    <t>2000009929360156</t>
  </si>
  <si>
    <t>23 de novembro de 2024 10:25 hs.</t>
  </si>
  <si>
    <t>sandra silva</t>
  </si>
  <si>
    <t>CPF 27856972866</t>
  </si>
  <si>
    <t>Rua Fajão 214 - çasa, São Paulo - CEP: 04830120, São Paulo</t>
  </si>
  <si>
    <t>27856972866</t>
  </si>
  <si>
    <t>Rua Fajão 214 / çasa Referencia: na rua sem saída - CEP 04830120 - Jardim Presidente, São Paulo, São Paulo</t>
  </si>
  <si>
    <t>04830120</t>
  </si>
  <si>
    <t>2 de dezembro | 08:35</t>
  </si>
  <si>
    <t>MEL44124460628LMXDF01</t>
  </si>
  <si>
    <t>2000009929221682</t>
  </si>
  <si>
    <t>23 de novembro de 2024 10:06 hs.</t>
  </si>
  <si>
    <t>Rosiclei Bento Alves</t>
  </si>
  <si>
    <t>CPF 05490350954</t>
  </si>
  <si>
    <t>Rua Concórdia 865, Itajaí - CEP: 88309645, Santa Catarina</t>
  </si>
  <si>
    <t>05490350954</t>
  </si>
  <si>
    <t>Rua Concórdia 865 / casa - CEP 88309645 - São Vicente, Itajaí, Santa Catarina</t>
  </si>
  <si>
    <t>Itajaí</t>
  </si>
  <si>
    <t>88309645</t>
  </si>
  <si>
    <t>2 de dezembro | 15:53</t>
  </si>
  <si>
    <t>MEL44124407422LMXDF01</t>
  </si>
  <si>
    <t>2000006688783841</t>
  </si>
  <si>
    <t>23 de novembro de 2024 09:42 hs.</t>
  </si>
  <si>
    <t>Edevandro Francisco da Cruz</t>
  </si>
  <si>
    <t>CPF 36303107885</t>
  </si>
  <si>
    <t>Rua Doutor Mário Ferraz 449, São Paulo - CEP: 01453010, São Paulo</t>
  </si>
  <si>
    <t>36303107885</t>
  </si>
  <si>
    <t>Rua Doutor Mário Ferraz 449 / Referencia: Entregar em um restaurante japonês - CEP 01453010 - Jardim Europa, São Paulo, São Paulo</t>
  </si>
  <si>
    <t>01453010</t>
  </si>
  <si>
    <t>1 de dezembro | 10:55</t>
  </si>
  <si>
    <t>MEL44124147519LMXDF01</t>
  </si>
  <si>
    <t>2000009928543908</t>
  </si>
  <si>
    <t>23 de novembro de 2024 07:17 hs.</t>
  </si>
  <si>
    <t>Luana Dos Santos Silva</t>
  </si>
  <si>
    <t>CPF 13690713706</t>
  </si>
  <si>
    <t>Rua Beija Flor 22 - Casa, Casimiro de Abreu - CEP: 28860000, Rio de Janeiro</t>
  </si>
  <si>
    <t>13690713706</t>
  </si>
  <si>
    <t>Rua Beija Flor 22 / Casa Referencia: proximo ao pesque e leve - CEP 28860000 - Palmital, Casimiro de Abreu, Rio de Janeiro</t>
  </si>
  <si>
    <t>Casimiro de Abreu</t>
  </si>
  <si>
    <t>28860000</t>
  </si>
  <si>
    <t>30 de novembro | 00:21</t>
  </si>
  <si>
    <t>30 de novembro | 13:53</t>
  </si>
  <si>
    <t>MEL44124079990LMXDF01</t>
  </si>
  <si>
    <t>2000009928513438</t>
  </si>
  <si>
    <t>23 de novembro de 2024 06:59 hs.</t>
  </si>
  <si>
    <t>Ritielle Aparecida Medeiros</t>
  </si>
  <si>
    <t>CPF 10089573994</t>
  </si>
  <si>
    <t>Rua Alagoas 37, Cornélio Procópio - CEP: 86300000, Paraná</t>
  </si>
  <si>
    <t>10089573994</t>
  </si>
  <si>
    <t>Rua Alagoas 37 / CEP 86300000 - Cornélio Procópio, Cornélio Procópio, Paraná</t>
  </si>
  <si>
    <t>Cornélio Procópio</t>
  </si>
  <si>
    <t>86300000</t>
  </si>
  <si>
    <t>5 de dezembro | 08:36</t>
  </si>
  <si>
    <t>MEL44124062686LMXDF01</t>
  </si>
  <si>
    <t>https://myaccount.mercadolivre.com.br/shipments/44124062686/detail</t>
  </si>
  <si>
    <t>2000006688364527</t>
  </si>
  <si>
    <t>23 de novembro de 2024 04:20 hs.</t>
  </si>
  <si>
    <t>cristina  ghinato</t>
  </si>
  <si>
    <t>CPF 76774694004</t>
  </si>
  <si>
    <t>Travessa Camerum 45, Porto Alegre - CEP: 91370150, Rio Grande do Sul</t>
  </si>
  <si>
    <t>76774694004</t>
  </si>
  <si>
    <t>Travessa Camerum 45 / Referencia: É uma travessa da Benno Mentz - CEP 91370150 - Vila Ipiranga, Porto Alegre, Rio Grande do Sul</t>
  </si>
  <si>
    <t>91370150</t>
  </si>
  <si>
    <t>5 de dezembro | 10:23</t>
  </si>
  <si>
    <t>MEL44123976738LMXDF01</t>
  </si>
  <si>
    <t>2000009928101332</t>
  </si>
  <si>
    <t>23 de novembro de 2024 01:53 hs.</t>
  </si>
  <si>
    <t>Dartanhan Xavier de Oliveira</t>
  </si>
  <si>
    <t>CPF 03143466600</t>
  </si>
  <si>
    <t>Rua Delegado Ronaldo Jaques 861 - 02, Belo Horizonte - CEP: 30775360, Minas Gerais</t>
  </si>
  <si>
    <t>03143466600</t>
  </si>
  <si>
    <t>Rua Delegado Ronaldo Jaques 861 / 02 Referencia: casa 02... próximo ao hotel Go In - CEP 30775360 - Caiçaras, Belo Horizonte, Minas Gerais</t>
  </si>
  <si>
    <t>30775360</t>
  </si>
  <si>
    <t>30 de novembro | 01:50</t>
  </si>
  <si>
    <t>30 de novembro | 15:52</t>
  </si>
  <si>
    <t>MEL44123667211LMXDF01</t>
  </si>
  <si>
    <t>2000009927347262</t>
  </si>
  <si>
    <t>22 de novembro de 2024 23:01 hs.</t>
  </si>
  <si>
    <t>Herbert Richard Marques</t>
  </si>
  <si>
    <t>CPF 07680518602</t>
  </si>
  <si>
    <t>Rua Francisco Matias Carvalho 405 - São Lucas, Carvalhópolis - CEP: 37760000, Minas Gerais</t>
  </si>
  <si>
    <t>07680518602</t>
  </si>
  <si>
    <t>Rua Francisco Matias Carvalho 405 / São Lucas - CEP 37760000 - são Lucas, Carvalhópolis, Minas Gerais</t>
  </si>
  <si>
    <t>Carvalhópolis</t>
  </si>
  <si>
    <t>37760000</t>
  </si>
  <si>
    <t>30 de novembro | 02:20</t>
  </si>
  <si>
    <t>30 de novembro | 17:12</t>
  </si>
  <si>
    <t>MEL44123342757LMXDF01</t>
  </si>
  <si>
    <t>2000006687586307</t>
  </si>
  <si>
    <t>22 de novembro de 2024 22:37 hs.</t>
  </si>
  <si>
    <t>Jucelem Aparecida Dos Reis Bastos</t>
  </si>
  <si>
    <t>CPF 10010213805</t>
  </si>
  <si>
    <t>Rua Castanheira 186 - Casa, Osasco - CEP: 06184210, São Paulo</t>
  </si>
  <si>
    <t>10010213805</t>
  </si>
  <si>
    <t>Rua Castanheira 186 / Casa Referencia: casa fundos - CEP 06184210 - Cidade das Flores, Osasco, São Paulo</t>
  </si>
  <si>
    <t>06184210</t>
  </si>
  <si>
    <t>30 de novembro | 04:01</t>
  </si>
  <si>
    <t>2 de dezembro | 11:21</t>
  </si>
  <si>
    <t>MEL44123469608LMXDF01</t>
  </si>
  <si>
    <t>2000006687577355</t>
  </si>
  <si>
    <t>22 de novembro de 2024 22:34 hs.</t>
  </si>
  <si>
    <t>maria aparecida silva macil silva macil</t>
  </si>
  <si>
    <t>CPF 20600931803</t>
  </si>
  <si>
    <t>Rua Salvino de Souza Andrade 361 - casa3fundos, Ourinhos - CEP: 19911245, São Paulo</t>
  </si>
  <si>
    <t>20600931803</t>
  </si>
  <si>
    <t>Rua Salvino de Souza Andrade 361 / casa3fundos Referencia: casa3fundos - CEP 19911245 - Vila São Luiz, Ourinhos, São Paulo</t>
  </si>
  <si>
    <t>Ourinhos</t>
  </si>
  <si>
    <t>19911245</t>
  </si>
  <si>
    <t>1 de dezembro | 12:32</t>
  </si>
  <si>
    <t>MEL44123266381LMXDF01</t>
  </si>
  <si>
    <t>2000009926809698</t>
  </si>
  <si>
    <t>22 de novembro de 2024 21:45 hs.</t>
  </si>
  <si>
    <t>Jacqueline Maria Montechi Silva</t>
  </si>
  <si>
    <t>CPF 10008765600</t>
  </si>
  <si>
    <t>Rua Pedro Botelho 233, Coqueiral - CEP: 37235000, Minas Gerais</t>
  </si>
  <si>
    <t>10008765600</t>
  </si>
  <si>
    <t>Rua Pedro Botelho 233 / Referencia: casa verde de grade marron - CEP 37235000 - centro, Coqueiral, Minas Gerais</t>
  </si>
  <si>
    <t>Coqueiral</t>
  </si>
  <si>
    <t>37235000</t>
  </si>
  <si>
    <t>30 de novembro | 17:54</t>
  </si>
  <si>
    <t>MEL44123115409LMXDF01</t>
  </si>
  <si>
    <t>2000009926812734</t>
  </si>
  <si>
    <t>almir gonçalves</t>
  </si>
  <si>
    <t>CPF 00482868937</t>
  </si>
  <si>
    <t>Avenida Parigot de Souza 3941, Toledo - CEP: 85903170, Paraná</t>
  </si>
  <si>
    <t>00482868937</t>
  </si>
  <si>
    <t>Avenida Parigot de Souza 3941 / Quartel Do Corpo De Bombeiros - CEP 85903170 - Jardim Santa Maria, Toledo, Paraná</t>
  </si>
  <si>
    <t>4 de dezembro | 15:56</t>
  </si>
  <si>
    <t>MEL44123306594LMXDF01</t>
  </si>
  <si>
    <t>2000009926446098</t>
  </si>
  <si>
    <t>22 de novembro de 2024 20:56 hs.</t>
  </si>
  <si>
    <t>Jose de Carvalho Junior</t>
  </si>
  <si>
    <t>CPF 14982857830</t>
  </si>
  <si>
    <t>Km 9.5 rua Camilo gatazz travessa 7. N. 203 - Chácara, Araçoiaba da Serra - CEP: 18190000, São Paulo</t>
  </si>
  <si>
    <t>14982857830</t>
  </si>
  <si>
    <t>Km 9.5 rua Camilo gatazz travessa 7. N. 203 / Chácara Referencia: Caseiro - CEP 18190000 - Campo Do Meio, Araçoiaba da Serra, São Paulo</t>
  </si>
  <si>
    <t>Araçoiaba da Serra</t>
  </si>
  <si>
    <t>18190000</t>
  </si>
  <si>
    <t>1 de dezembro | 12:56</t>
  </si>
  <si>
    <t>MEL44122947831LMXDF01</t>
  </si>
  <si>
    <t>2000009926139988</t>
  </si>
  <si>
    <t>22 de novembro de 2024 20:20 hs.</t>
  </si>
  <si>
    <t>Giovanni de Oliveira</t>
  </si>
  <si>
    <t>CPF 68011490672</t>
  </si>
  <si>
    <t>Rua Primeiro de Maio 131, Belo Horizonte - CEP: 31130130, Minas Gerais</t>
  </si>
  <si>
    <t>68011490672</t>
  </si>
  <si>
    <t>Rua Primeiro de Maio 131 / Esquina Com Rua Candido Lúcio - CEP 31130130 - Cachoeirinha, Belo Horizonte, Minas Gerais</t>
  </si>
  <si>
    <t>31130130</t>
  </si>
  <si>
    <t>30 de novembro | 01:22</t>
  </si>
  <si>
    <t>30 de novembro | 18:21</t>
  </si>
  <si>
    <t>MEL44123017204LMXDF01</t>
  </si>
  <si>
    <t>2000006686842237</t>
  </si>
  <si>
    <t>22 de novembro de 2024 20:00 hs.</t>
  </si>
  <si>
    <t>ANTONIO ALVES SANTOS</t>
  </si>
  <si>
    <t>CPF 09053387234</t>
  </si>
  <si>
    <t>Avenida 25 de Agosto 5766, Rolim de Moura - CEP: 76940000, Rondônia</t>
  </si>
  <si>
    <t>09053387234</t>
  </si>
  <si>
    <t>Avenida 25 de Agosto 5766 / Casa - CEP 76940000 - Rolim de Moura, Rolim de Moura, Rondônia</t>
  </si>
  <si>
    <t>30 de novembro | 02:54</t>
  </si>
  <si>
    <t>7 de dezembro | 09:49</t>
  </si>
  <si>
    <t>MEL44122751159LMXDF01</t>
  </si>
  <si>
    <t>2000006686760815</t>
  </si>
  <si>
    <t>22 de novembro de 2024 19:44 hs.</t>
  </si>
  <si>
    <t>Sueli Morais Rodero Perez</t>
  </si>
  <si>
    <t>CPF 06971522869</t>
  </si>
  <si>
    <t>Alameda Espanha 336 - casa, Dracena - CEP: 17911236, São Paulo</t>
  </si>
  <si>
    <t>06971522869</t>
  </si>
  <si>
    <t>Alameda Espanha 336 / casa - CEP 17911236 - Jardim Europa, Dracena, São Paulo</t>
  </si>
  <si>
    <t>Dracena</t>
  </si>
  <si>
    <t>17911236</t>
  </si>
  <si>
    <t>1 de dezembro | 15:40</t>
  </si>
  <si>
    <t>MEL44122694415LMXDF01</t>
  </si>
  <si>
    <t>2000006686583269</t>
  </si>
  <si>
    <t>22 de novembro de 2024 19:08 hs.</t>
  </si>
  <si>
    <t>Luciana Stutz Teixeira Mendonca</t>
  </si>
  <si>
    <t>CPF 08942117732</t>
  </si>
  <si>
    <t>Rua Desembargador Moacyr Braga Land 168, Cachoeiras de Macacu - CEP: 28680120, Rio de Janeiro</t>
  </si>
  <si>
    <t>08942117732</t>
  </si>
  <si>
    <t>Rua Desembargador Moacyr Braga Land 168 / CEP 28680120 - Parque Santa Luzia, Cachoeiras de Macacu, Rio de Janeiro</t>
  </si>
  <si>
    <t>Cachoeiras de Macacu</t>
  </si>
  <si>
    <t>28680120</t>
  </si>
  <si>
    <t>1 de dezembro | 14:50</t>
  </si>
  <si>
    <t>MEL44122560909LMXDF01</t>
  </si>
  <si>
    <t>2000009925567380</t>
  </si>
  <si>
    <t>2000009925576086</t>
  </si>
  <si>
    <t>2000009925578030</t>
  </si>
  <si>
    <t>2000009925554762</t>
  </si>
  <si>
    <t>22 de novembro de 2024 19:06 hs.</t>
  </si>
  <si>
    <t>Debora Dias Prado</t>
  </si>
  <si>
    <t>CPF 34045195823</t>
  </si>
  <si>
    <t>Avenida Antonio José Pereira 199 - casa, Marília - CEP: 17535076, São Paulo</t>
  </si>
  <si>
    <t>34045195823</t>
  </si>
  <si>
    <t>Avenida Antonio José Pereira 199 / casa - CEP 17535076 - Conjunto Habitacional José Pereira Leal (Rosália), Marília, São Paulo</t>
  </si>
  <si>
    <t>Marília</t>
  </si>
  <si>
    <t>17535076</t>
  </si>
  <si>
    <t>1 de dezembro | 11:40</t>
  </si>
  <si>
    <t>MEL44122554935LMXDF01</t>
  </si>
  <si>
    <t>2000009925505032</t>
  </si>
  <si>
    <t>22 de novembro de 2024 19:03 hs.</t>
  </si>
  <si>
    <t>adriana bravo das neves</t>
  </si>
  <si>
    <t>CPF 12143093802</t>
  </si>
  <si>
    <t>AV 19 DE MAIO 781, Bertioga - CEP: 11250734, São Paulo</t>
  </si>
  <si>
    <t>12143093802</t>
  </si>
  <si>
    <t>AV 19 DE MAIO 781 / Ponto de referência: em frete as Tintas Palmares - CEP 11250734 - Albatroz, Bertioga, São Paulo</t>
  </si>
  <si>
    <t>Bertioga</t>
  </si>
  <si>
    <t>11250734</t>
  </si>
  <si>
    <t>3 de dezembro | 17:08</t>
  </si>
  <si>
    <t>MEL44122730226LMXDF01</t>
  </si>
  <si>
    <t>https://myaccount.mercadolivre.com.br/shipments/44122730226/detail</t>
  </si>
  <si>
    <t>2000006686407491</t>
  </si>
  <si>
    <t>22 de novembro de 2024 18:32 hs.</t>
  </si>
  <si>
    <t>Rodrigo Gabriel de Melo</t>
  </si>
  <si>
    <t>CPF 39559805886</t>
  </si>
  <si>
    <t>Avenida Macedo Soares 827, Campos do Jordão - CEP: 12460128, São Paulo</t>
  </si>
  <si>
    <t>39559805886</t>
  </si>
  <si>
    <t>Avenida Macedo Soares 827 / Capivari - CEP 12460128 - Vila Capivari, Campos do Jordão, São Paulo</t>
  </si>
  <si>
    <t>12460128</t>
  </si>
  <si>
    <t>1 de dezembro | 10:37</t>
  </si>
  <si>
    <t>MEL44122626266LMXDF01</t>
  </si>
  <si>
    <t>2000009924994768</t>
  </si>
  <si>
    <t>22 de novembro de 2024 17:57 hs.</t>
  </si>
  <si>
    <t>RIAN SANTOS DE SOUZA</t>
  </si>
  <si>
    <t>CPF 20940649721</t>
  </si>
  <si>
    <t>Avenida Gil Veloso 2262, Vila Velha - CEP: 29101735, Espírito Santo</t>
  </si>
  <si>
    <t>20940649721</t>
  </si>
  <si>
    <t>Avenida Gil Veloso 2262 / Próxima a academia ponto um. - CEP 29101735 - TUxCQ1ZJTGU5YTdl, Itapuã, Vila Velha, Espírito Santo</t>
  </si>
  <si>
    <t>29101735</t>
  </si>
  <si>
    <t>30 de novembro | 00:22</t>
  </si>
  <si>
    <t>2 de dezembro | 10:03</t>
  </si>
  <si>
    <t>MEL44122299333LMXDF01</t>
  </si>
  <si>
    <t>2000009924774232</t>
  </si>
  <si>
    <t>22 de novembro de 2024 17:30 hs.</t>
  </si>
  <si>
    <t>Aline Rodrigues Da Silva</t>
  </si>
  <si>
    <t>CPF 10154381993</t>
  </si>
  <si>
    <t>Avenida Rio Grande do Sul 1019 - casa, Terra Rica - CEP: 87890000, Paraná</t>
  </si>
  <si>
    <t>10154381993</t>
  </si>
  <si>
    <t>Avenida Rio Grande do Sul 1019 / casa - CEP 87890000 - conjunto shimada, Terra Rica, Paraná</t>
  </si>
  <si>
    <t>3 de dezembro | 13:02</t>
  </si>
  <si>
    <t>MEL44122390762LMXDF01</t>
  </si>
  <si>
    <t>2000006685989809</t>
  </si>
  <si>
    <t>22 de novembro de 2024 17:10 hs.</t>
  </si>
  <si>
    <t>rosane schlindwein</t>
  </si>
  <si>
    <t>CPF 70137480997</t>
  </si>
  <si>
    <t>Avenida 2000, Balneário Barra do Sul - CEP: 89247000, Santa Catarina</t>
  </si>
  <si>
    <t>70137480997</t>
  </si>
  <si>
    <t>Avenida 2000 / Casa A Direita Da Segunda Lombada Após O Hotel Do Schico - CEP 89247000 - Avenida São Francisco do sul, Balneário Barra do Sul, Santa Catarina</t>
  </si>
  <si>
    <t>Balneário Barra do Sul</t>
  </si>
  <si>
    <t>89247000</t>
  </si>
  <si>
    <t>1 de dezembro | 16:12</t>
  </si>
  <si>
    <t>MEL44122114491LMXDF01</t>
  </si>
  <si>
    <t>2000009924433146</t>
  </si>
  <si>
    <t>22 de novembro de 2024 16:51 hs.</t>
  </si>
  <si>
    <t>Israel Werneck Terra Junior</t>
  </si>
  <si>
    <t>CPF 06963738742</t>
  </si>
  <si>
    <t>Rua Praia do Marambaia 15 - lote 15 qd 427, Saquarema - CEP: 28992092, Rio de Janeiro</t>
  </si>
  <si>
    <t>06963738742</t>
  </si>
  <si>
    <t>Rua Praia do Marambaia 15 / lote 15 qd 427 Referencia: Condomínio Bradock 1. pode entregar a Sérgio,jaqueline,Gilberto - CEP 28992092 - Vilatur, Saquarema, Rio de Janeiro</t>
  </si>
  <si>
    <t>Saquarema</t>
  </si>
  <si>
    <t>28992092</t>
  </si>
  <si>
    <t>30 de novembro | 15:46</t>
  </si>
  <si>
    <t>MEL44122037313LMXDF01</t>
  </si>
  <si>
    <t>2000009924299170</t>
  </si>
  <si>
    <t>22 de novembro de 2024 16:39 hs.</t>
  </si>
  <si>
    <t>Thiago Ferreira da Silva</t>
  </si>
  <si>
    <t>CPF 44468256826</t>
  </si>
  <si>
    <t>Rua Conselheiro Ribas 293, São Paulo - CEP: 05093060, São Paulo</t>
  </si>
  <si>
    <t>44468256826</t>
  </si>
  <si>
    <t>Rua Conselheiro Ribas 293 / N/A - CEP 05093060 - Vila Anastacio, São Paulo, São Paulo</t>
  </si>
  <si>
    <t>05093060</t>
  </si>
  <si>
    <t>2 de dezembro | 17:36</t>
  </si>
  <si>
    <t>MEL44121974399LMXDF01</t>
  </si>
  <si>
    <t>https://myaccount.mercadolivre.com.br/shipments/44121974399/detail</t>
  </si>
  <si>
    <t>2000006685712265</t>
  </si>
  <si>
    <t>22 de novembro de 2024 16:24 hs.</t>
  </si>
  <si>
    <t>Gerson Cantarino</t>
  </si>
  <si>
    <t>CPF 05589915805</t>
  </si>
  <si>
    <t>PRAÇA RIO BRILHANTE 5, São Paulo - CEP: 02129040, São Paulo</t>
  </si>
  <si>
    <t>05589915805</t>
  </si>
  <si>
    <t>PRAÇA RIO BRILHANTE 5 / CEP 02129040 - VILA MARIA ALTA, São Paulo, São Paulo</t>
  </si>
  <si>
    <t>02129040</t>
  </si>
  <si>
    <t>2 de dezembro | 17:10</t>
  </si>
  <si>
    <t>MEL44122117398LMXDF01</t>
  </si>
  <si>
    <t>https://myaccount.mercadolivre.com.br/shipments/44122117398/detail</t>
  </si>
  <si>
    <t>2000009924145420</t>
  </si>
  <si>
    <t>22 de novembro de 2024 16:19 hs.</t>
  </si>
  <si>
    <t>Marilene ribeiro dos santos Silva</t>
  </si>
  <si>
    <t>CPF 02725116686</t>
  </si>
  <si>
    <t>Avenida Denise Cristina da Rocha 356 - galeria florenca, Ribeirão das Neves - CEP: 33929050, Minas Gerais</t>
  </si>
  <si>
    <t>02725116686</t>
  </si>
  <si>
    <t>Avenida Denise Cristina da Rocha 356 / galeria florenca Referencia: na entrada da galeria tem uma loja de chinelo havaiana - CEP 33929050 - Jardim Florência (Justinópolis), Ribeirão das Neves, Minas Gerais</t>
  </si>
  <si>
    <t>33929050</t>
  </si>
  <si>
    <t>30 de novembro | 15:33</t>
  </si>
  <si>
    <t>MEL44121899961LMXDF01</t>
  </si>
  <si>
    <t>2000009923871926</t>
  </si>
  <si>
    <t>22 de novembro de 2024 15:50 hs.</t>
  </si>
  <si>
    <t>Ilmeire Breder</t>
  </si>
  <si>
    <t>CPF 15396320168</t>
  </si>
  <si>
    <t>Rua Diolindo Agenor Cardoso 44 - casa, Alto Caparaó - CEP: 36979000, Minas Gerais</t>
  </si>
  <si>
    <t>15396320168</t>
  </si>
  <si>
    <t>Rua Diolindo Agenor Cardoso 44 / casa Referencia: próximo ao poliesportivo - CEP 36979000 - Serra Monte, Alto Caparaó, Minas Gerais</t>
  </si>
  <si>
    <t>Alto Caparaó</t>
  </si>
  <si>
    <t>36979000</t>
  </si>
  <si>
    <t>30 de novembro | 03:53</t>
  </si>
  <si>
    <t>2 de dezembro | 16:34</t>
  </si>
  <si>
    <t>MEL44121776671LMXDF01</t>
  </si>
  <si>
    <t>2000006685374353</t>
  </si>
  <si>
    <t>22 de novembro de 2024 15:22 hs.</t>
  </si>
  <si>
    <t>Tassylla Camila</t>
  </si>
  <si>
    <t>CPF 14677916608</t>
  </si>
  <si>
    <t>Rua Adelson Lopes Saboia 80 80, Arantina - CEP: 37360000, Minas Gerais</t>
  </si>
  <si>
    <t>14677916608</t>
  </si>
  <si>
    <t>Temistocles Andrade Landim 143 / Referencia: Enfrente o Campinho de Futebol - CEP 37360000 - Loteamento Osório, Arantina, Minas Gerais</t>
  </si>
  <si>
    <t>Arantina</t>
  </si>
  <si>
    <t>37360000</t>
  </si>
  <si>
    <t>2 de dezembro | 10:19</t>
  </si>
  <si>
    <t>MEL44121654861LMXDF01</t>
  </si>
  <si>
    <t>2000009923533650</t>
  </si>
  <si>
    <t>22 de novembro de 2024 15:12 hs.</t>
  </si>
  <si>
    <t>Davi de Araujo Oliveira</t>
  </si>
  <si>
    <t>CPF 02492192555</t>
  </si>
  <si>
    <t>Rua Magno Valente 275 - Edf Seasons, Apt 801, Salvador - CEP: 41810620, Bahia</t>
  </si>
  <si>
    <t>02492192555</t>
  </si>
  <si>
    <t>Rua Magno Valente 275 / Edf Seasons, Apt 801 Referencia: Edifício Seasons Residence. Apartamento 801 - CEP 41810620 - Pituba, Salvador, Bahia</t>
  </si>
  <si>
    <t>41810620</t>
  </si>
  <si>
    <t>3 de dezembro | 21:48</t>
  </si>
  <si>
    <t>MEL44121612389LMXDF01</t>
  </si>
  <si>
    <t>2000009923299314</t>
  </si>
  <si>
    <t>22 de novembro de 2024 14:47 hs.</t>
  </si>
  <si>
    <t>Simone Maciel Rambo</t>
  </si>
  <si>
    <t>CPF 05895444970</t>
  </si>
  <si>
    <t>Avenida das Araucárias 142 - Loja 16, Fazenda Rio Grande - CEP: 83820071, Paraná</t>
  </si>
  <si>
    <t>05895444970</t>
  </si>
  <si>
    <t>Avenida das Araucárias 142 / Loja 16 - CEP 83820071 - Eucaliptos, Fazenda Rio Grande, Paraná</t>
  </si>
  <si>
    <t>Fazenda Rio Grande</t>
  </si>
  <si>
    <t>83820071</t>
  </si>
  <si>
    <t>1 de dezembro | 13:36</t>
  </si>
  <si>
    <t>MEL44121500435LMXDF01</t>
  </si>
  <si>
    <t>2000009923253714</t>
  </si>
  <si>
    <t>22 de novembro de 2024 14:42 hs.</t>
  </si>
  <si>
    <t>Denise Mallmann</t>
  </si>
  <si>
    <t>CPF 58711295015</t>
  </si>
  <si>
    <t>Rua Júlio de Castilhos 380, Estrela - CEP: 95880000, Rio Grande do Sul</t>
  </si>
  <si>
    <t>58711295015</t>
  </si>
  <si>
    <t>Rua Júlio de Castilhos 380 / Referencia: prefeitura - CEP 95880000 - centro, Estrela, Rio Grande do Sul</t>
  </si>
  <si>
    <t>Estrela</t>
  </si>
  <si>
    <t>95880000</t>
  </si>
  <si>
    <t>MEL44121674904LMXDF01</t>
  </si>
  <si>
    <t>2000009922854448</t>
  </si>
  <si>
    <t>22 de novembro de 2024 13:58 hs.</t>
  </si>
  <si>
    <t>Fernanda Eloisa Silva Dias</t>
  </si>
  <si>
    <t>CPF 09113474103</t>
  </si>
  <si>
    <t>Rua Três de Outubro 688, Sonora - CEP: 79415000, Mato Grosso do Sul</t>
  </si>
  <si>
    <t>09113474103</t>
  </si>
  <si>
    <t>Rua Três de Outubro 688 / CEP 79415000 - União, Sonora, Mato Grosso do Sul</t>
  </si>
  <si>
    <t>Sonora</t>
  </si>
  <si>
    <t>79415000</t>
  </si>
  <si>
    <t>3 de dezembro | 18:25</t>
  </si>
  <si>
    <t>MEL44121285587LMXDF01</t>
  </si>
  <si>
    <t>2000006684856335</t>
  </si>
  <si>
    <t>22 de novembro de 2024 13:56 hs.</t>
  </si>
  <si>
    <t>Roberto Rocha</t>
  </si>
  <si>
    <t>CPF 44379471772</t>
  </si>
  <si>
    <t>Avenida Prefeito Dulcídio Cardoso 1000 - 1000 BL 2 APT 2006, Rio de Janeiro - CEP: 22620311, Rio de Janeiro</t>
  </si>
  <si>
    <t>44379471772</t>
  </si>
  <si>
    <t>Avenida Prefeito Dulcídio Cardoso 1000 / 1000 BL 2 APT 2006 - CEP 22620311 - Barra da Tijuca, Rio de Janeiro, Rio de Janeiro</t>
  </si>
  <si>
    <t>22620311</t>
  </si>
  <si>
    <t>30 de novembro | 02:22</t>
  </si>
  <si>
    <t>30 de novembro | 19:02</t>
  </si>
  <si>
    <t>MEL44121470832LMXDF01</t>
  </si>
  <si>
    <t>2000009922650310</t>
  </si>
  <si>
    <t>22 de novembro de 2024 13:39 hs.</t>
  </si>
  <si>
    <t>Andrea Moreira Monteiro</t>
  </si>
  <si>
    <t>CPF 10706863798</t>
  </si>
  <si>
    <t>Rua Santos Dumont SN - Lote 7 quadra 3, Duque de Caxias - CEP: 25065200, Rio de Janeiro</t>
  </si>
  <si>
    <t>10706863798</t>
  </si>
  <si>
    <t>Rua Santos Dumont SN / Lote 7 quadra 3 Referencia: Ao lado da barraca do Ivan 
Portão verde de garagem - CEP 25065200 - Vila São Luís, Duque de Caxias, Rio de Janeiro</t>
  </si>
  <si>
    <t>25065200</t>
  </si>
  <si>
    <t>29 de novembro | 23:54</t>
  </si>
  <si>
    <t>30 de novembro | 15:31</t>
  </si>
  <si>
    <t>MEL44121191137LMXDF01</t>
  </si>
  <si>
    <t>2000006684675053</t>
  </si>
  <si>
    <t>22 de novembro de 2024 13:24 hs.</t>
  </si>
  <si>
    <t>CARLOS ROBERTO CARLAN</t>
  </si>
  <si>
    <t>CPF 51034794868</t>
  </si>
  <si>
    <t>AVENIDA DOUTOR PEDRO LESSA 2162, Santos - CEP: 11025002, São Paulo</t>
  </si>
  <si>
    <t>51034794868</t>
  </si>
  <si>
    <t>AVENIDA DOUTOR PEDRO LESSA 2162 / MBYTE CURSOS E ASSISTÊNCIA TÉCNICA - CEP 11025002 - Aparecida, Santos, São Paulo</t>
  </si>
  <si>
    <t>11025002</t>
  </si>
  <si>
    <t>3 de dezembro | 15:19</t>
  </si>
  <si>
    <t>MEL44121137085LMXDF01</t>
  </si>
  <si>
    <t>https://myaccount.mercadolivre.com.br/shipments/44121137085/detail</t>
  </si>
  <si>
    <t>2000006684641665</t>
  </si>
  <si>
    <t>22 de novembro de 2024 13:18 hs.</t>
  </si>
  <si>
    <t>Alexandra da Silva</t>
  </si>
  <si>
    <t>CPF 12959094808</t>
  </si>
  <si>
    <t>Avenida Presidente João Goulart 2, Osasco - CEP: 06036048, São Paulo</t>
  </si>
  <si>
    <t>12959094808</t>
  </si>
  <si>
    <t>Avenida Presidente João Goulart 2 / alabama 47 - CEP 06036048 - Umuarama, Osasco, São Paulo</t>
  </si>
  <si>
    <t>06036048</t>
  </si>
  <si>
    <t>1 de dezembro | 12:35</t>
  </si>
  <si>
    <t>MEL44121308164LMXDF01</t>
  </si>
  <si>
    <t>2000006684623589</t>
  </si>
  <si>
    <t>22 de novembro de 2024 13:16 hs.</t>
  </si>
  <si>
    <t>Claudia Camilo Albino</t>
  </si>
  <si>
    <t>CPF 34824879876</t>
  </si>
  <si>
    <t>Rua Manoel Lopes Filho 379 - casa, Charqueada - CEP: 13515256, São Paulo</t>
  </si>
  <si>
    <t>34824879876</t>
  </si>
  <si>
    <t>Rua Manoel Lopes Filho 379 / casa - CEP 13515256 - Parque Residencial Paineiras, Charqueada, São Paulo</t>
  </si>
  <si>
    <t>Charqueada</t>
  </si>
  <si>
    <t>13515256</t>
  </si>
  <si>
    <t>1 de dezembro | 15:36</t>
  </si>
  <si>
    <t>MEL44121100273LMXDF01</t>
  </si>
  <si>
    <t>2000009922295718</t>
  </si>
  <si>
    <t>22 de novembro de 2024 12:59 hs.</t>
  </si>
  <si>
    <t>Jamil Cesar Pereira de Jesus</t>
  </si>
  <si>
    <t>CPF 25434494857</t>
  </si>
  <si>
    <t>Rua Bolívia 683 - ks tapecaria, Ribeirão Preto - CEP: 14075250, São Paulo</t>
  </si>
  <si>
    <t>25434494857</t>
  </si>
  <si>
    <t>Rua Bolívia 683 / ks tapecaria Referencia: rua bolivia683 - CEP 14075250 - Vila Mariana, Ribeirão Preto, São Paulo</t>
  </si>
  <si>
    <t>Ribeirão Preto</t>
  </si>
  <si>
    <t>14075250</t>
  </si>
  <si>
    <t>1 de dezembro | 13:23</t>
  </si>
  <si>
    <t>MEL44121033493LMXDF01</t>
  </si>
  <si>
    <t>2000006684468411</t>
  </si>
  <si>
    <t>22 de novembro de 2024 12:48 hs.</t>
  </si>
  <si>
    <t>Fabiola Bicalho de Souza</t>
  </si>
  <si>
    <t>CPF 80181481634</t>
  </si>
  <si>
    <t>Rua Olímpio Guedes 1290, Montes Claros - CEP: 39403234, Minas Gerais</t>
  </si>
  <si>
    <t>80181481634</t>
  </si>
  <si>
    <t>Rua Olímpio Guedes 1290 / Apto 501 - CEP 39403234 - Morada do Sol, Montes Claros, Minas Gerais</t>
  </si>
  <si>
    <t>39403234</t>
  </si>
  <si>
    <t>30 de novembro | 02:55</t>
  </si>
  <si>
    <t>3 de dezembro | 12:52</t>
  </si>
  <si>
    <t>MEL44120985671LMXDF01</t>
  </si>
  <si>
    <t>2000006684395305</t>
  </si>
  <si>
    <t>22 de novembro de 2024 12:34 hs.</t>
  </si>
  <si>
    <t>Regina Maria Guimaraes</t>
  </si>
  <si>
    <t>CPF 79371043253</t>
  </si>
  <si>
    <t>Rua Roberto Schaff 1035, Santa Rosa - CEP: 98781460, Rio Grande do Sul</t>
  </si>
  <si>
    <t>79371043253</t>
  </si>
  <si>
    <t>Rua Roberto Schaff 1035 / CEP 98781460 - Timbaúva, Santa Rosa, Rio Grande do Sul</t>
  </si>
  <si>
    <t>Santa Rosa</t>
  </si>
  <si>
    <t>98781460</t>
  </si>
  <si>
    <t>MEL44120924143LMXDF01</t>
  </si>
  <si>
    <t>2000009922025706</t>
  </si>
  <si>
    <t>22 de novembro de 2024 12:30 hs.</t>
  </si>
  <si>
    <t>00295</t>
  </si>
  <si>
    <t>MLB4376973492</t>
  </si>
  <si>
    <t>Cápsula Bariátrica - Emagrecedor Bariátrico C/120 Cáps</t>
  </si>
  <si>
    <t>MEL44120910143LMXDF01</t>
  </si>
  <si>
    <t>2000006684322125</t>
  </si>
  <si>
    <t>22 de novembro de 2024 12:22 hs.</t>
  </si>
  <si>
    <t>00376</t>
  </si>
  <si>
    <t>MLB3860231231</t>
  </si>
  <si>
    <t>Probiótico Para Candidíase - 90 Cápsulas</t>
  </si>
  <si>
    <t>Ludmilla Fraissat</t>
  </si>
  <si>
    <t>CPF 77537670110</t>
  </si>
  <si>
    <t>Rua S 5 157 - apto. 801, Goiânia - CEP: 74823460, Goiás</t>
  </si>
  <si>
    <t>77537670110</t>
  </si>
  <si>
    <t>Rua S 5 157 / apto. 801 Referencia: Apto. 801 Ed. Danville
atrás do campo do Goiás,  esquina com a t-62 - CEP 74823460 - Setor Bela Vista, Goiânia, Goiás</t>
  </si>
  <si>
    <t>74823460</t>
  </si>
  <si>
    <t>2 de dezembro | 14:10</t>
  </si>
  <si>
    <t>MEL44120872803LMXDF01</t>
  </si>
  <si>
    <t>2000009921352170</t>
  </si>
  <si>
    <t>22 de novembro de 2024 11:15 hs.</t>
  </si>
  <si>
    <t>Creoniza Aparecida goncalves s Souza</t>
  </si>
  <si>
    <t>CPF 71303375672</t>
  </si>
  <si>
    <t>Rua Antônio Marçal Sampaio 348, Belo Horizonte - CEP: 31660160, Minas Gerais</t>
  </si>
  <si>
    <t>71303375672</t>
  </si>
  <si>
    <t>Rua Antônio Marçal Sampaio 348 / CEP 31660160 - Mantiqueira, Belo Horizonte, Minas Gerais</t>
  </si>
  <si>
    <t>31660160</t>
  </si>
  <si>
    <t>29 de novembro | 01:23</t>
  </si>
  <si>
    <t>29 de novembro | 20:04</t>
  </si>
  <si>
    <t>MEL44120783764LMXDF01</t>
  </si>
  <si>
    <t>2000009921244858</t>
  </si>
  <si>
    <t>22 de novembro de 2024 11:06 hs.</t>
  </si>
  <si>
    <t>Daiana Vieira Magalhaes</t>
  </si>
  <si>
    <t>CPF 05305581141</t>
  </si>
  <si>
    <t>Rua Alfredo Jorel 195 - Apto 15, São Paulo - CEP: 04195020, São Paulo</t>
  </si>
  <si>
    <t>05305581141</t>
  </si>
  <si>
    <t>Rua Alfredo Jorel 195 / Apto 15 - CEP 04195020 - Jardim Celeste, São Paulo, São Paulo</t>
  </si>
  <si>
    <t>04195020</t>
  </si>
  <si>
    <t>29 de novembro | 04:56</t>
  </si>
  <si>
    <t>30 de novembro | 13:47</t>
  </si>
  <si>
    <t>MEL44120738440LMXDF01</t>
  </si>
  <si>
    <t>2000009921073804</t>
  </si>
  <si>
    <t>22 de novembro de 2024 10:48 hs.</t>
  </si>
  <si>
    <t>Danekelly Dos Santos Passos</t>
  </si>
  <si>
    <t>CPF 38818706870</t>
  </si>
  <si>
    <t>Rua Engenheiro Romeu Belluomini 114 - apto 21, São Paulo - CEP: 08420270, São Paulo</t>
  </si>
  <si>
    <t>38818706870</t>
  </si>
  <si>
    <t>Rua Engenheiro Romeu Belluomini 114 / apto 21 - CEP 08420270 - Jardim Helena, São Paulo, São Paulo</t>
  </si>
  <si>
    <t>08420270</t>
  </si>
  <si>
    <t>30 de novembro | 12:59</t>
  </si>
  <si>
    <t>MEL44120468093LMXDF01</t>
  </si>
  <si>
    <t>2000009920877756</t>
  </si>
  <si>
    <t>22 de novembro de 2024 10:24 hs.</t>
  </si>
  <si>
    <t>Ana Paula Santana Costa</t>
  </si>
  <si>
    <t>CPF 07474152509</t>
  </si>
  <si>
    <t>Rua Moacir Marques Da Silva 229 - Casa, São João Batista - CEP: 88240000, Santa Catarina</t>
  </si>
  <si>
    <t>07474152509</t>
  </si>
  <si>
    <t>Rua Moacir Marques da Silva 229 / Casa - CEP 88240000 - São João Batista, São João Batista, Santa Catarina</t>
  </si>
  <si>
    <t>29 de novembro | 05:41</t>
  </si>
  <si>
    <t>2 de dezembro | 15:24</t>
  </si>
  <si>
    <t>MEL44120568318LMXDF01</t>
  </si>
  <si>
    <t>2000009920852898</t>
  </si>
  <si>
    <t>22 de novembro de 2024 10:23 hs.</t>
  </si>
  <si>
    <t>Osvany Pinheiro Salermo</t>
  </si>
  <si>
    <t>CPF 05372882794</t>
  </si>
  <si>
    <t>Rua Aarão Ferreira de Calais 245 - Lote 25, Itaboraí - CEP: 24800758, Rio de Janeiro</t>
  </si>
  <si>
    <t>05372882794</t>
  </si>
  <si>
    <t>Rua Aarão Ferreira de Calais 245 / Lote 25 Referencia: Rua da barbearia do marinho - CEP 24800758 - Areal, Itaboraí, Rio de Janeiro</t>
  </si>
  <si>
    <t>Itaboraí</t>
  </si>
  <si>
    <t>24800758</t>
  </si>
  <si>
    <t>29 de novembro | 00:20</t>
  </si>
  <si>
    <t>29 de novembro | 12:30</t>
  </si>
  <si>
    <t>MEL44120352971LMXDF01</t>
  </si>
  <si>
    <t>2000006683630825</t>
  </si>
  <si>
    <t>22 de novembro de 2024 10:16 hs.</t>
  </si>
  <si>
    <t>Denise de Sousa Pereira</t>
  </si>
  <si>
    <t>CPF 62202130330</t>
  </si>
  <si>
    <t>Rua São José 154 - Perto do antigo casarão, Lago da Pedra - CEP: 65715000, Maranhão</t>
  </si>
  <si>
    <t>62202130330</t>
  </si>
  <si>
    <t>Rua São José 154 / Perto do antigo casarão - CEP 65715000 - Vila santa, Lago da Pedra, Maranhão</t>
  </si>
  <si>
    <t>Lago da Pedra</t>
  </si>
  <si>
    <t>65715000</t>
  </si>
  <si>
    <t>3 de dezembro | 18:05</t>
  </si>
  <si>
    <t>MEL44120339357LMXDF01</t>
  </si>
  <si>
    <t>2000009920758994</t>
  </si>
  <si>
    <t>22 de novembro de 2024 10:08 hs.</t>
  </si>
  <si>
    <t>Elizete Raimunda Trindade Dos Santos</t>
  </si>
  <si>
    <t>CPF 66401127953</t>
  </si>
  <si>
    <t>Rua Professor Rubens Oscar Guelli 107 - sobrado, Curitiba - CEP: 81925185, Paraná</t>
  </si>
  <si>
    <t>66401127953</t>
  </si>
  <si>
    <t>Rua Professor Rubens Oscar Guelli 107 / sobrado Referencia: residência - CEP 81925185 - Sítio Cercado, Curitiba, Paraná</t>
  </si>
  <si>
    <t>81925185</t>
  </si>
  <si>
    <t>30 de novembro | 16:28</t>
  </si>
  <si>
    <t>MEL44120502702LMXDF01</t>
  </si>
  <si>
    <t>2000009920517000</t>
  </si>
  <si>
    <t>22 de novembro de 2024 09:38 hs.</t>
  </si>
  <si>
    <t>Ines Marcia Spinelo</t>
  </si>
  <si>
    <t>CPF 04233448970</t>
  </si>
  <si>
    <t>Rua Carvalho 2284, Quedas do Iguaçu - CEP: 85460000, Paraná</t>
  </si>
  <si>
    <t>04233448970</t>
  </si>
  <si>
    <t>Rua Carvalho 2284 / Casa - CEP 85460000 - Quedas do Iguaçu, Quedas do Iguaçu, Paraná</t>
  </si>
  <si>
    <t>Quedas do Iguaçu</t>
  </si>
  <si>
    <t>85460000</t>
  </si>
  <si>
    <t>29 de novembro | 05:44</t>
  </si>
  <si>
    <t>30 de novembro | 13:18</t>
  </si>
  <si>
    <t>MEL44120188855LMXDF01</t>
  </si>
  <si>
    <t>2000009920520036</t>
  </si>
  <si>
    <t>22 de novembro de 2024 09:37 hs.</t>
  </si>
  <si>
    <t>Chegou em 25 de novembro</t>
  </si>
  <si>
    <t>Aurelia Soares Godoy</t>
  </si>
  <si>
    <t>CPF 02491544989</t>
  </si>
  <si>
    <t>Rua Balduíno Bohrer 715, União da Vitória - CEP: 84600646, Paraná</t>
  </si>
  <si>
    <t>02491544989</t>
  </si>
  <si>
    <t>Rua Balduíno Bohrer 715 / CEP 84600646 - São Basilio Magno, União da Vitória, Paraná</t>
  </si>
  <si>
    <t>União da Vitória</t>
  </si>
  <si>
    <t>84600646</t>
  </si>
  <si>
    <t>23 de novembro | 05:00</t>
  </si>
  <si>
    <t>25 de novembro | 16:17</t>
  </si>
  <si>
    <t>MEL44120382054LMXDF01</t>
  </si>
  <si>
    <t>2000009920452804</t>
  </si>
  <si>
    <t>22 de novembro de 2024 09:28 hs.</t>
  </si>
  <si>
    <t>Glauce Tatiana de Oliveira</t>
  </si>
  <si>
    <t>CPF 06536820690</t>
  </si>
  <si>
    <t>Rua Geraldo Custódio Luma 542, Barbacena - CEP: 36202796, Minas Gerais</t>
  </si>
  <si>
    <t>06536820690</t>
  </si>
  <si>
    <t>Rua Geraldo Custódio Luma 542 / Referencia: Antiga rua J - CEP 36202796 - Nove de Março, Barbacena, Minas Gerais</t>
  </si>
  <si>
    <t>Barbacena</t>
  </si>
  <si>
    <t>36202796</t>
  </si>
  <si>
    <t>29 de novembro | 00:18</t>
  </si>
  <si>
    <t>29 de novembro | 17:38</t>
  </si>
  <si>
    <t>MEL44120157609LMXDF01</t>
  </si>
  <si>
    <t>2000006683366509</t>
  </si>
  <si>
    <t>22 de novembro de 2024 09:21 hs.</t>
  </si>
  <si>
    <t>Maria Aparecida  Barbagallo</t>
  </si>
  <si>
    <t>CPF 99200627820</t>
  </si>
  <si>
    <t>Avenida Luiz Pequini 54, São Bernardo do Campo - CEP: 09780250, São Paulo</t>
  </si>
  <si>
    <t>99200627820</t>
  </si>
  <si>
    <t>Avenida Luiz Pequini 54 / CEP 09780250 - Santa Terezinha, São Bernardo do Campo, São Paulo</t>
  </si>
  <si>
    <t>09780250</t>
  </si>
  <si>
    <t>4 de dezembro | 10:13</t>
  </si>
  <si>
    <t>MEL44120129477LMXDF01</t>
  </si>
  <si>
    <t>https://myaccount.mercadolivre.com.br/shipments/44120129477/detail</t>
  </si>
  <si>
    <t>2000009920320840</t>
  </si>
  <si>
    <t>22 de novembro de 2024 09:09 hs.</t>
  </si>
  <si>
    <t>Luiz Spedite de Lima</t>
  </si>
  <si>
    <t>CPF 19103310825</t>
  </si>
  <si>
    <t>Rua João Manoel Andrade 460, São José do Rio Preto - CEP: 15084310, São Paulo</t>
  </si>
  <si>
    <t>19103310825</t>
  </si>
  <si>
    <t>Rua João Manoel Andrade 460 / Casa - CEP 15084310 - Vila Nossa Senhora do Bonfim, São José do Rio Preto, São Paulo</t>
  </si>
  <si>
    <t>15084310</t>
  </si>
  <si>
    <t>29 de novembro | 04:57</t>
  </si>
  <si>
    <t>30 de novembro | 10:50</t>
  </si>
  <si>
    <t>MEL44120090651LMXDF01</t>
  </si>
  <si>
    <t>2000009920275072</t>
  </si>
  <si>
    <t>22 de novembro de 2024 09:03 hs.</t>
  </si>
  <si>
    <t>Sabrina Correa Ribeiro Da Luz</t>
  </si>
  <si>
    <t>CPF 07467890923</t>
  </si>
  <si>
    <t>Rua Miranda 37 - casa, Vitorino - CEP: 85520000, Paraná</t>
  </si>
  <si>
    <t>07467890923</t>
  </si>
  <si>
    <t>Rua Miranda 37 / casa - CEP 85520000 - azulao, Vitorino, Paraná</t>
  </si>
  <si>
    <t>Vitorino</t>
  </si>
  <si>
    <t>85520000</t>
  </si>
  <si>
    <t>2 de dezembro | 12:40</t>
  </si>
  <si>
    <t>MEL44120264918LMXDF01</t>
  </si>
  <si>
    <t>2000009920103034</t>
  </si>
  <si>
    <t>22 de novembro de 2024 08:38 hs.</t>
  </si>
  <si>
    <t>Ariadne Bracco</t>
  </si>
  <si>
    <t>CPF 88809900120</t>
  </si>
  <si>
    <t>Rua Delegado Júlio Cesar da Fonte Nogueira 169, Campo Grande - CEP: 79037090, Mato Grosso do Sul</t>
  </si>
  <si>
    <t>88809900120</t>
  </si>
  <si>
    <t>Rua Delegado Júlio Cesar da Fonte Nogueira 169 / Ecoparque 1 Casa53 - CEP 79037090 - Jardim Veraneio, Campo Grande, Mato Grosso do Sul</t>
  </si>
  <si>
    <t>79037090</t>
  </si>
  <si>
    <t>29 de novembro | 02:51</t>
  </si>
  <si>
    <t>2 de dezembro | 10:44</t>
  </si>
  <si>
    <t>MEL44119979087LMXDF01</t>
  </si>
  <si>
    <t>2000006683195433</t>
  </si>
  <si>
    <t>22 de novembro de 2024 08:37 hs.</t>
  </si>
  <si>
    <t>Ingrid Dos Santos</t>
  </si>
  <si>
    <t>CPF 13335533909</t>
  </si>
  <si>
    <t>Rua Laura Rebello 142 - 3 andar, Itajaí - CEP: 88317115, Santa Catarina</t>
  </si>
  <si>
    <t>13335533909</t>
  </si>
  <si>
    <t>Rua Laura Rebello 142 / 3 andar Referencia: avisar no WhatsApp não dá de escutar quando chamao pq e no terceiro andar - CEP 88317115 - Espinheiros, Itajaí, Santa Catarina</t>
  </si>
  <si>
    <t>88317115</t>
  </si>
  <si>
    <t>30 de novembro | 15:26</t>
  </si>
  <si>
    <t>MEL44120176944LMXDF01</t>
  </si>
  <si>
    <t>2000006683049041</t>
  </si>
  <si>
    <t>22 de novembro de 2024 07:41 hs.</t>
  </si>
  <si>
    <t>Gislaine Martins de Souza</t>
  </si>
  <si>
    <t>CPF 49767525858</t>
  </si>
  <si>
    <t>Rua José Pelegrine 680 680, Marília - CEP: 17521401, São Paulo</t>
  </si>
  <si>
    <t>49767525858</t>
  </si>
  <si>
    <t>Rua José Pelegrine 680 / CEP 17521401 - Luiz Homero Zaninotto, Marília, São Paulo</t>
  </si>
  <si>
    <t>17521401</t>
  </si>
  <si>
    <t>MEL44119846549LMXDF01</t>
  </si>
  <si>
    <t>2000009919829040</t>
  </si>
  <si>
    <t>22 de novembro de 2024 07:37 hs.</t>
  </si>
  <si>
    <t>Regiane Aparecida Moura da Silva</t>
  </si>
  <si>
    <t>CPF 81993951253</t>
  </si>
  <si>
    <t>Estrada Jucá Mingote SN - COOPERATIVA COOAF, São Jerônimo da Serra - CEP: 86270000, Paraná</t>
  </si>
  <si>
    <t>81993951253</t>
  </si>
  <si>
    <t>Estrada Jucá Mingote SN / COOPERATIVA COOAF Referencia: em frente a cerâmica do paulinho - CEP 86270000 - INDUSTRIAL, São Jerônimo da Serra, Paraná</t>
  </si>
  <si>
    <t>São Jerônimo da Serra</t>
  </si>
  <si>
    <t>86270000</t>
  </si>
  <si>
    <t>2 de dezembro | 17:30</t>
  </si>
  <si>
    <t>MEL44120033656LMXDF01</t>
  </si>
  <si>
    <t>2000009919779126</t>
  </si>
  <si>
    <t>22 de novembro de 2024 07:22 hs.</t>
  </si>
  <si>
    <t>AVENIDA JOÃO RAMALHO 2391, Marília - CEP: 17522363, São Paulo</t>
  </si>
  <si>
    <t>17522363</t>
  </si>
  <si>
    <t>2000009919707990</t>
  </si>
  <si>
    <t>22 de novembro de 2024 07:02 hs.</t>
  </si>
  <si>
    <t>Juliana de Oliveira Rodrigues</t>
  </si>
  <si>
    <t>CPF 19511030841</t>
  </si>
  <si>
    <t>Rua Antônio de Almeida Leite 166, São Carlos - CEP: 13574290, São Paulo</t>
  </si>
  <si>
    <t>19511030841</t>
  </si>
  <si>
    <t>Rua Antônio de Almeida Leite 166 / CEP 13574290 - Vila Prado, São Carlos, São Paulo</t>
  </si>
  <si>
    <t>São Carlos</t>
  </si>
  <si>
    <t>13574290</t>
  </si>
  <si>
    <t>30 de novembro | 13:42</t>
  </si>
  <si>
    <t>MEL44119780983LMXDF01</t>
  </si>
  <si>
    <t>2000009919615754</t>
  </si>
  <si>
    <t>22 de novembro de 2024 06:19 hs.</t>
  </si>
  <si>
    <t>Marcia Cristina Raitz de Lisboa</t>
  </si>
  <si>
    <t>CPF 30028022807</t>
  </si>
  <si>
    <t>RUA FLAMBOYANT 129, Nova Odessa - CEP: 13382458, São Paulo</t>
  </si>
  <si>
    <t>30028022807</t>
  </si>
  <si>
    <t>RUA FLAMBOYANT 129 / Próximo à Praça do Jd. Alvorada - CEP 13382458 - Jardim Da Alvorada, Nova Odessa, São Paulo</t>
  </si>
  <si>
    <t>Nova Odessa</t>
  </si>
  <si>
    <t>13382458</t>
  </si>
  <si>
    <t>2 de dezembro | 16:19</t>
  </si>
  <si>
    <t>MEL44119728813LMXDF01</t>
  </si>
  <si>
    <t>https://myaccount.mercadolivre.com.br/shipments/44119728813/detail</t>
  </si>
  <si>
    <t>2000009919596692</t>
  </si>
  <si>
    <t>22 de novembro de 2024 06:04 hs.</t>
  </si>
  <si>
    <t>Lucineia de Jesus Nali Filete</t>
  </si>
  <si>
    <t>CPF 08793914725</t>
  </si>
  <si>
    <t>Rua José Mareto 502, Conceição do Castelo - CEP: 29370000, Espírito Santo</t>
  </si>
  <si>
    <t>08793914725</t>
  </si>
  <si>
    <t>Rua José Mareto 502 / Referencia: próximo ao cemitério local - CEP 29370000 - nicolau de vargas, Conceição do Castelo, Espírito Santo</t>
  </si>
  <si>
    <t>Conceição do Castelo</t>
  </si>
  <si>
    <t>29370000</t>
  </si>
  <si>
    <t>29 de novembro | 03:48</t>
  </si>
  <si>
    <t>30 de novembro | 12:22</t>
  </si>
  <si>
    <t>MEL44119911354LMXDF01</t>
  </si>
  <si>
    <t>2000006682847219</t>
  </si>
  <si>
    <t>22 de novembro de 2024 04:24 hs.</t>
  </si>
  <si>
    <t>Josimere de Oliveira Pinto</t>
  </si>
  <si>
    <t>CPF 36887529882</t>
  </si>
  <si>
    <t>Rua do Britador 93 - D, (casa D), Mauá - CEP: 09340445, São Paulo</t>
  </si>
  <si>
    <t>36887529882</t>
  </si>
  <si>
    <t>Mauá</t>
  </si>
  <si>
    <t>09340445</t>
  </si>
  <si>
    <t>2000009919082204</t>
  </si>
  <si>
    <t>22 de novembro de 2024 01:12 hs.</t>
  </si>
  <si>
    <t>Letícia Zanatta</t>
  </si>
  <si>
    <t>CPF 11885575998</t>
  </si>
  <si>
    <t>Rodovia rs 030 21520 - Haras MMR, Glorinha - CEP: 94380000, Rio Grande do Sul</t>
  </si>
  <si>
    <t>11885575998</t>
  </si>
  <si>
    <t>Rodovia rs 030 21520 / Haras MMR - CEP 94380000 - Guavirova, Glorinha, Rio Grande do Sul</t>
  </si>
  <si>
    <t>Glorinha</t>
  </si>
  <si>
    <t>94380000</t>
  </si>
  <si>
    <t>1 de dezembro | 13:26</t>
  </si>
  <si>
    <t>MEL44119482011LMXDF01</t>
  </si>
  <si>
    <t>2000009918970988</t>
  </si>
  <si>
    <t>22 de novembro de 2024 00:47 hs.</t>
  </si>
  <si>
    <t>Chegou em 24 de novembro</t>
  </si>
  <si>
    <t>Jessica Felix Garcia</t>
  </si>
  <si>
    <t>CPF 40978151801</t>
  </si>
  <si>
    <t>Rua Francisco Carlos de Oliveira 885, Presidente Prudente - CEP: 19026410, São Paulo</t>
  </si>
  <si>
    <t>40978151801</t>
  </si>
  <si>
    <t>Rua Francisco Carlos de Oliveira 885 / Blocos 18 apartamento 204 - CEP 19026410 - Jardim Maracanã, Presidente Prudente, São Paulo</t>
  </si>
  <si>
    <t>Presidente Prudente</t>
  </si>
  <si>
    <t>19026410</t>
  </si>
  <si>
    <t>23 de novembro | 00:49</t>
  </si>
  <si>
    <t>24 de novembro | 12:31</t>
  </si>
  <si>
    <t>MEL44119436957LMXDF01</t>
  </si>
  <si>
    <t>2000009918498532</t>
  </si>
  <si>
    <t>21 de novembro de 2024 23:26 hs.</t>
  </si>
  <si>
    <t>Neide Marques</t>
  </si>
  <si>
    <t>CPF 29977095809</t>
  </si>
  <si>
    <t>Rua João Robalo 1116 - Michel Porta de Vans, São Paulo - CEP: 05881000, São Paulo</t>
  </si>
  <si>
    <t>29977095809</t>
  </si>
  <si>
    <t>Rua João Robalo 1116 / Michel Porta de Vans Referencia: Casa amarela, portão preto próx ao posto BR - CEP 05881000 - Jardim Soraia, São Paulo, São Paulo</t>
  </si>
  <si>
    <t>05881000</t>
  </si>
  <si>
    <t>7 de dezembro | 12:22</t>
  </si>
  <si>
    <t>ML44119237251135551</t>
  </si>
  <si>
    <t>https://www.loggi.com/rastreador/3762947aef/ML44119237251135551</t>
  </si>
  <si>
    <t>2000009918310842</t>
  </si>
  <si>
    <t>21 de novembro de 2024 23:03 hs.</t>
  </si>
  <si>
    <t xml:space="preserve">vande  thomazzi </t>
  </si>
  <si>
    <t>CPF 89800729968</t>
  </si>
  <si>
    <t>Avenida Rio Grande do Sul 624 - casa, Faxinal dos Guedes - CEP: 89694000, Santa Catarina</t>
  </si>
  <si>
    <t>89800729968</t>
  </si>
  <si>
    <t>Avenida Rio Grande do Sul 624 / casa - CEP 89694000 - centro, Faxinal dos Guedes, Santa Catarina</t>
  </si>
  <si>
    <t>Faxinal dos Guedes</t>
  </si>
  <si>
    <t>89694000</t>
  </si>
  <si>
    <t>2 de dezembro | 12:22</t>
  </si>
  <si>
    <t>MEL44119161377LMXDF01</t>
  </si>
  <si>
    <t>2000009918037536</t>
  </si>
  <si>
    <t>21 de novembro de 2024 22:31 hs.</t>
  </si>
  <si>
    <t>Osmair Pereira</t>
  </si>
  <si>
    <t>CPF 07280391842</t>
  </si>
  <si>
    <t>Avenida Vereador Isaías Prieto 895 - casa, Itu - CEP: 13304780, São Paulo</t>
  </si>
  <si>
    <t>07280391842</t>
  </si>
  <si>
    <t>Avenida Vereador Isaías Prieto 895 / casa - CEP 13304780 - Núcleo Habitacional São Judas Tadeu, Itu, São Paulo</t>
  </si>
  <si>
    <t>Itu</t>
  </si>
  <si>
    <t>13304780</t>
  </si>
  <si>
    <t>30 de novembro | 12:06</t>
  </si>
  <si>
    <t>MEL44119244438LMXDF01</t>
  </si>
  <si>
    <t>2000009917878514</t>
  </si>
  <si>
    <t>21 de novembro de 2024 22:11 hs.</t>
  </si>
  <si>
    <t>Julieta Maria Rodrigues Costa</t>
  </si>
  <si>
    <t>CPF 19226678898</t>
  </si>
  <si>
    <t>Rua Antônio de Andrade 57, São Caetano do Sul - CEP: 09540240, São Paulo</t>
  </si>
  <si>
    <t>19226678898</t>
  </si>
  <si>
    <t>Rua Antônio de Andrade 57 / CEP 09540240 - Cerâmica, São Caetano do Sul, São Paulo</t>
  </si>
  <si>
    <t>São Caetano do Sul</t>
  </si>
  <si>
    <t>09540240</t>
  </si>
  <si>
    <t>29 de novembro | 04:55</t>
  </si>
  <si>
    <t>30 de novembro | 13:21</t>
  </si>
  <si>
    <t>MEL44118974837LMXDF01</t>
  </si>
  <si>
    <t>2000009917444608</t>
  </si>
  <si>
    <t>21 de novembro de 2024 21:26 hs.</t>
  </si>
  <si>
    <t>Reclamação encerrada com reembolso parcial</t>
  </si>
  <si>
    <t>O comprador aceitou o reembolso que você ofereceu e ficou com o produto.</t>
  </si>
  <si>
    <t>Jadir Barbosa Mancilie</t>
  </si>
  <si>
    <t>CPF 73777382000</t>
  </si>
  <si>
    <t>Rua Ametista do Sul 181 - casa, Indaial - CEP: 89085111, Santa Catarina</t>
  </si>
  <si>
    <t>73777382000</t>
  </si>
  <si>
    <t>Rua Ametista do Sul 181 / casa Referencia: penúltima casa do lado esquerdo ,,NR 181,,estrada de chão ,, - CEP 89085111 - Encano do Norte, Indaial, Santa Catarina</t>
  </si>
  <si>
    <t>89085111</t>
  </si>
  <si>
    <t>2 de dezembro | 08:51</t>
  </si>
  <si>
    <t>MEL44118786023LMXDF01</t>
  </si>
  <si>
    <t>2000006681462683</t>
  </si>
  <si>
    <t>21 de novembro de 2024 21:15 hs.</t>
  </si>
  <si>
    <t>Rua Barrinha 156, Belo Horizonte - CEP: 31270070, Minas Gerais</t>
  </si>
  <si>
    <t>Rua Barrinha 156 / Casa 01 Referencia: CASA 01 - CEP 31270070 - Indaiá, Belo Horizonte, Minas Gerais</t>
  </si>
  <si>
    <t>31270070</t>
  </si>
  <si>
    <t>29 de novembro | 18:46</t>
  </si>
  <si>
    <t>MEL44118936546LMXDF01</t>
  </si>
  <si>
    <t>2000006681062963</t>
  </si>
  <si>
    <t>21 de novembro de 2024 20:06 hs.</t>
  </si>
  <si>
    <t>Estrada das Palmeiras 750 / Casa229  Referencia: Condomínio Bosque dos Pássaros. Próximo do Cond Los Álamos. - CEP 06742508 - Los Álamos, Vargem Grande Paulista, São Paulo</t>
  </si>
  <si>
    <t>30 de novembro | 12:38</t>
  </si>
  <si>
    <t>MEL44118641246LMXDF01</t>
  </si>
  <si>
    <t>2000006680879243</t>
  </si>
  <si>
    <t>21 de novembro de 2024 19:33 hs.</t>
  </si>
  <si>
    <t>Maria de Lourdes de Lima Silva Lourdes</t>
  </si>
  <si>
    <t>CPF 03944807405</t>
  </si>
  <si>
    <t>Rua Huelva 19 - casa, São Paulo - CEP: 04918040, São Paulo</t>
  </si>
  <si>
    <t>03944807405</t>
  </si>
  <si>
    <t>Rua Huelva 19 / casa - CEP 04918040 - Jardim São Francisco(Zona Sul), São Paulo, São Paulo</t>
  </si>
  <si>
    <t>04918040</t>
  </si>
  <si>
    <t>2 de dezembro | 11:54</t>
  </si>
  <si>
    <t>ML44118500588135551</t>
  </si>
  <si>
    <t>https://www.loggi.com/rastreador/3762947aef/ML44118500588135551</t>
  </si>
  <si>
    <t>2000009916289554</t>
  </si>
  <si>
    <t>21 de novembro de 2024 19:29 hs.</t>
  </si>
  <si>
    <t>Daniel Henrique</t>
  </si>
  <si>
    <t>CPF 08442671471</t>
  </si>
  <si>
    <t>2 Travessa São Francisco 187 - 1 anda, Arcoverde - CEP: 56515292, Pernambuco</t>
  </si>
  <si>
    <t>08442671471</t>
  </si>
  <si>
    <t>Arcoverde</t>
  </si>
  <si>
    <t>56515292</t>
  </si>
  <si>
    <t>MEL44118274191FMXDF01</t>
  </si>
  <si>
    <t>2000009916104488</t>
  </si>
  <si>
    <t>21 de novembro de 2024 19:07 hs.</t>
  </si>
  <si>
    <t>Inacio Mielevski</t>
  </si>
  <si>
    <t>CPF 03559915945</t>
  </si>
  <si>
    <t>BR-477 SN - RODOVIA 477   KM59, Itaiópolis - CEP: 89340000, Santa Catarina</t>
  </si>
  <si>
    <t>03559915945</t>
  </si>
  <si>
    <t>BR-477 SN / RODOVIA 477   KM59 Referencia: Casa cinza cerca branca 500 metros do posto de combustível sentido Itajaí - CEP 89340000 - Iracema, Itaiópolis, Santa Catarina</t>
  </si>
  <si>
    <t>Itaiópolis</t>
  </si>
  <si>
    <t>89340000</t>
  </si>
  <si>
    <t>3 de dezembro | 17:52</t>
  </si>
  <si>
    <t>MEL44118186201LMXDF01</t>
  </si>
  <si>
    <t>2000006680703551</t>
  </si>
  <si>
    <t>21 de novembro de 2024 19:03 hs.</t>
  </si>
  <si>
    <t>Margareth Valeria da Silva Artico</t>
  </si>
  <si>
    <t>CPF 27805345830</t>
  </si>
  <si>
    <t>Rua Otelo Augusto Ribeiro 940, São Paulo - CEP: 08412000, São Paulo</t>
  </si>
  <si>
    <t>27805345830</t>
  </si>
  <si>
    <t>Rua Otelo Augusto Ribeiro 940 / Apto 32 D bloco b Referencia: No num 940 entrar na rua da casa do norte e no final da rua o meu prédio é no 2 prédio Condomínio Residencial Guaianases. - CEP 08412000 - Guaianazes, São Paulo, São Paulo</t>
  </si>
  <si>
    <t>08412000</t>
  </si>
  <si>
    <t>30 de novembro | 10:41</t>
  </si>
  <si>
    <t>MEL44118176093LMXDF01</t>
  </si>
  <si>
    <t>2000009916078854</t>
  </si>
  <si>
    <t>2000009916078856</t>
  </si>
  <si>
    <t>2000009915336318</t>
  </si>
  <si>
    <t>21 de novembro de 2024 17:43 hs.</t>
  </si>
  <si>
    <t>Catia Regina Momi Melchiori Couto</t>
  </si>
  <si>
    <t>CPF 03383147843</t>
  </si>
  <si>
    <t>Rua Santo Egídio 655, São Paulo - CEP: 02461011, São Paulo</t>
  </si>
  <si>
    <t>03383147843</t>
  </si>
  <si>
    <t>Rua Santo Egídio 655 / apto 34 - CEP 02461011 - Santa Teresinha, São Paulo, São Paulo</t>
  </si>
  <si>
    <t>02461011</t>
  </si>
  <si>
    <t>30 de novembro | 15:17</t>
  </si>
  <si>
    <t>MEL44117837541LMXDF01</t>
  </si>
  <si>
    <t>2000006680232353</t>
  </si>
  <si>
    <t>21 de novembro de 2024 17:40 hs.</t>
  </si>
  <si>
    <t>Sumaya Ferreira da Silva</t>
  </si>
  <si>
    <t>CPF 09858537433</t>
  </si>
  <si>
    <t>Rua Riacho do Sobrado 146, Petrolina - CEP: 56320310, Pernambuco</t>
  </si>
  <si>
    <t>09858537433</t>
  </si>
  <si>
    <t>Rua Riacho do Sobrado 146 / Referencia: Próximo a praça - CEP 56320310 - José e Maria, Petrolina, Pernambuco</t>
  </si>
  <si>
    <t>56320310</t>
  </si>
  <si>
    <t>2 de dezembro | 19:40</t>
  </si>
  <si>
    <t>MEL44118018800LMXDF01</t>
  </si>
  <si>
    <t>2000009915255012</t>
  </si>
  <si>
    <t>21 de novembro de 2024 17:36 hs.</t>
  </si>
  <si>
    <t>Flaviane Fernandes de Carvalho Mello</t>
  </si>
  <si>
    <t>CPF 07375768714</t>
  </si>
  <si>
    <t>Rua Delfim Moreira 63, Arraial do Cabo - CEP: 28930000, Rio de Janeiro</t>
  </si>
  <si>
    <t>07375768714</t>
  </si>
  <si>
    <t>Rua Delfim Moreira 63 / CEP 28930000 - Centro, Arraial do Cabo, Rio de Janeiro</t>
  </si>
  <si>
    <t>Arraial do Cabo</t>
  </si>
  <si>
    <t>28930000</t>
  </si>
  <si>
    <t>29 de novembro | 08:24</t>
  </si>
  <si>
    <t>29 de novembro | 11:35</t>
  </si>
  <si>
    <t>MEL44117801097LMXDF01</t>
  </si>
  <si>
    <t>2000009894926382</t>
  </si>
  <si>
    <t>21 de novembro de 2024 17:07 hs.</t>
  </si>
  <si>
    <t>Ana Paula  Mendes</t>
  </si>
  <si>
    <t>CPF 06933828565</t>
  </si>
  <si>
    <t>Vila Itu 40 - Casa, Salvador - CEP: 40220060, Bahia</t>
  </si>
  <si>
    <t>06933828565</t>
  </si>
  <si>
    <t>Vila Itu 40 / Casa Referencia: Rua enfrente ao mercado o sacolão. Procurar Dilma , Paulinha ou vera - CEP 40220060 - Engenho Velho da Federação, Salvador, Bahia</t>
  </si>
  <si>
    <t>40220060</t>
  </si>
  <si>
    <t>1 de dezembro | 12:10</t>
  </si>
  <si>
    <t>MEL44108832122LMXDF01</t>
  </si>
  <si>
    <t>2000006679823353</t>
  </si>
  <si>
    <t>21 de novembro de 2024 16:31 hs.</t>
  </si>
  <si>
    <t>Elisabete Lucia da Silva Menezes</t>
  </si>
  <si>
    <t>CPF 12900806828</t>
  </si>
  <si>
    <t>Rua Mar Del Plata 1275, São José dos Campos - CEP: 12235340, São Paulo</t>
  </si>
  <si>
    <t>12900806828</t>
  </si>
  <si>
    <t>Rua Mar Del Plata 1275 / Ap 316 - CEP 12235340 - Jardim América, São José dos Campos, São Paulo</t>
  </si>
  <si>
    <t>12235340</t>
  </si>
  <si>
    <t>30 de novembro | 14:11</t>
  </si>
  <si>
    <t>MEL44117700870LMXDF01</t>
  </si>
  <si>
    <t>2000006679426531</t>
  </si>
  <si>
    <t>21 de novembro de 2024 15:29 hs.</t>
  </si>
  <si>
    <t>Beatriz da Cruz Costa</t>
  </si>
  <si>
    <t>CPF 06800579513</t>
  </si>
  <si>
    <t>Rua Antônio Coutinho 235 - Ao lado do do ana texeira, casa 235, Caculé - CEP: 46300000, Bahia</t>
  </si>
  <si>
    <t>06800579513</t>
  </si>
  <si>
    <t>Rua Antônio Coutinho 235 / Ao lado do do ana texeira, casa 235 Referencia: Ao lado do do ana texeira, casa 235 - CEP 46300000 - São Geraldo, Caculé, Bahia</t>
  </si>
  <si>
    <t>Caculé</t>
  </si>
  <si>
    <t>46300000</t>
  </si>
  <si>
    <t>2 de dezembro | 14:57</t>
  </si>
  <si>
    <t>MEL44117205939LMXDF01</t>
  </si>
  <si>
    <t>2000009914013408</t>
  </si>
  <si>
    <t>2000009914018732</t>
  </si>
  <si>
    <t>2000006679346147</t>
  </si>
  <si>
    <t>21 de novembro de 2024 15:17 hs.</t>
  </si>
  <si>
    <t>Abgail Ferreira</t>
  </si>
  <si>
    <t>CPF 35931708847</t>
  </si>
  <si>
    <t>Rua Sueli Martins Alberto Pereira 60 - CDHU, São João de Iracema - CEP: 15315073, São Paulo</t>
  </si>
  <si>
    <t>35931708847</t>
  </si>
  <si>
    <t>Rua Sueli Martins Alberto Pereira 60 / CDHU Referencia: fazer entrega nesse  endereço Rua José Martins número 470 - CEP 15315073 - Conjunto Habitacional Durvalino Cintra Bonfim, São João de Iracema, São Paulo</t>
  </si>
  <si>
    <t>São João de Iracema</t>
  </si>
  <si>
    <t>15315073</t>
  </si>
  <si>
    <t>29 de novembro | 00:48</t>
  </si>
  <si>
    <t>30 de novembro | 11:21</t>
  </si>
  <si>
    <t>MEL44117343942LMXDF01</t>
  </si>
  <si>
    <t>2000009913762758</t>
  </si>
  <si>
    <t>21 de novembro de 2024 15:04 hs.</t>
  </si>
  <si>
    <t>Pamela Regina Favero</t>
  </si>
  <si>
    <t>CPF 33657784896</t>
  </si>
  <si>
    <t>Rua Sergipe 148, Várzea Paulista - CEP: 13225150, São Paulo</t>
  </si>
  <si>
    <t>33657784896</t>
  </si>
  <si>
    <t>Rua Sergipe 148 / CEP 13225150 - Vila Popular, Várzea Paulista, São Paulo</t>
  </si>
  <si>
    <t>13225150</t>
  </si>
  <si>
    <t>30 de novembro | 10:34</t>
  </si>
  <si>
    <t>MEL44117280278LMXDF01</t>
  </si>
  <si>
    <t>2000006679215437</t>
  </si>
  <si>
    <t>21 de novembro de 2024 14:56 hs.</t>
  </si>
  <si>
    <t>Sabrina Aparecida Pereira da Silva</t>
  </si>
  <si>
    <t>CPF 02575220939</t>
  </si>
  <si>
    <t>Rua Marco Polo 16 16, Curitiba - CEP: 82820260, Paraná</t>
  </si>
  <si>
    <t>02575220939</t>
  </si>
  <si>
    <t>Rua Marco Polo 16 / casa 6 Referencia: favor ligar ou mandar mensagem pelo wqts pois a campainha está estragada - CEP 82820260 - Bairro Alto, Curitiba, Paraná</t>
  </si>
  <si>
    <t>82820260</t>
  </si>
  <si>
    <t>29 de novembro | 05:45</t>
  </si>
  <si>
    <t>30 de novembro | 17:43</t>
  </si>
  <si>
    <t>MEL44117048483LMXDF01</t>
  </si>
  <si>
    <t>2000009913662928</t>
  </si>
  <si>
    <t>21 de novembro de 2024 14:54 hs.</t>
  </si>
  <si>
    <t xml:space="preserve">Iracema  Teixeira dos Santos </t>
  </si>
  <si>
    <t>CPF 25980939504</t>
  </si>
  <si>
    <t>Recanto Dos Pássaros SN - 1 andar, Dom Macedo Costa - CEP: 44560000, Bahia</t>
  </si>
  <si>
    <t>25980939504</t>
  </si>
  <si>
    <t>Recanto dos Pássaros SN / 1 andar Referencia: casa branca com varanda - CEP 44560000 - centro, Dom Macedo Costa, Bahia</t>
  </si>
  <si>
    <t>Dom Macedo Costa</t>
  </si>
  <si>
    <t>44560000</t>
  </si>
  <si>
    <t>2 de dezembro | 19:32</t>
  </si>
  <si>
    <t>MEL44117039473LMXDF01</t>
  </si>
  <si>
    <t>2000009913592990</t>
  </si>
  <si>
    <t>21 de novembro de 2024 14:48 hs.</t>
  </si>
  <si>
    <t>Ademir Antonio Zauza</t>
  </si>
  <si>
    <t>CPF 11041781172</t>
  </si>
  <si>
    <t>Rua Vitória 1757, Juara - CEP: 78575000, Mato Grosso</t>
  </si>
  <si>
    <t>11041781172</t>
  </si>
  <si>
    <t>Rua Vitória 1757 / CEP 78575000 - Bairro Alvorada, Juara, Mato Grosso</t>
  </si>
  <si>
    <t>Juara</t>
  </si>
  <si>
    <t>78575000</t>
  </si>
  <si>
    <t>3 de dezembro | 12:29</t>
  </si>
  <si>
    <t>MEL44117202462LMXDF01</t>
  </si>
  <si>
    <t>2000006678340751</t>
  </si>
  <si>
    <t>21 de novembro de 2024 13:40 hs.</t>
  </si>
  <si>
    <t>Solange Alves</t>
  </si>
  <si>
    <t>CPF 06693398812</t>
  </si>
  <si>
    <t>Rua Lourdes Lopes Sanches 300, Guarulhos - CEP: 07190033, São Paulo</t>
  </si>
  <si>
    <t>06693398812</t>
  </si>
  <si>
    <t>Rua Lourdes Lopes Sanches 300 / Bloco 11 - apto E11 Referencia: Condomínio Rio Grande do Sul - CEP 07190033 - Parque Cecap, Guarulhos, São Paulo</t>
  </si>
  <si>
    <t>07190033</t>
  </si>
  <si>
    <t>30 de novembro | 11:16</t>
  </si>
  <si>
    <t>MEL44116856416LMXDF01</t>
  </si>
  <si>
    <t>2000009912831654</t>
  </si>
  <si>
    <t>21 de novembro de 2024 13:39 hs.</t>
  </si>
  <si>
    <t>Ligia Simone Mariano</t>
  </si>
  <si>
    <t>CPF 00756357128</t>
  </si>
  <si>
    <t>Avenida Presidente Arthur Bernardes 211 - Casa 3, Várzea Grande - CEP: 78125100, Mato Grosso</t>
  </si>
  <si>
    <t>00756357128</t>
  </si>
  <si>
    <t>Avenida Presidente Arthur Bernardes 211 / Casa 3 - CEP 78125100 - Centro-Sul, Várzea Grande, Mato Grosso</t>
  </si>
  <si>
    <t>78125100</t>
  </si>
  <si>
    <t>2 de dezembro | 21:43</t>
  </si>
  <si>
    <t>MEL44116848816LMXDF01</t>
  </si>
  <si>
    <t>2000009912777390</t>
  </si>
  <si>
    <t>21 de novembro de 2024 13:37 hs.</t>
  </si>
  <si>
    <t>Roselia Carvalho Costa</t>
  </si>
  <si>
    <t>CPF 07470265309</t>
  </si>
  <si>
    <t>Rua travessa Miranda 45, Presidente Vargas - CEP: 65455000, Maranhão</t>
  </si>
  <si>
    <t>07470265309</t>
  </si>
  <si>
    <t>Rua travessa Miranda 45 / CEP 65455000 - Centro, Presidente Vargas, Maranhão</t>
  </si>
  <si>
    <t>Presidente Vargas</t>
  </si>
  <si>
    <t>65455000</t>
  </si>
  <si>
    <t>4 de dezembro | 14:26</t>
  </si>
  <si>
    <t>MEL44116821672LMXDF01</t>
  </si>
  <si>
    <t>2000009912702758</t>
  </si>
  <si>
    <t>21 de novembro de 2024 13:24 hs.</t>
  </si>
  <si>
    <t>Thais Aparecida De Brito</t>
  </si>
  <si>
    <t>CPF 29507630813</t>
  </si>
  <si>
    <t>Avenida Deputado Virgílio de Carvalho Pinto 364, Bragança Paulista - CEP: 12922160, São Paulo</t>
  </si>
  <si>
    <t>29507630813</t>
  </si>
  <si>
    <t>Avenida Deputado Virgílio de Carvalho Pinto 364 / CEP 12922160 - Cidade Planejada I, Bragança Paulista, São Paulo</t>
  </si>
  <si>
    <t>Bragança Paulista</t>
  </si>
  <si>
    <t>12922160</t>
  </si>
  <si>
    <t>30 de novembro | 12:42</t>
  </si>
  <si>
    <t>MEL44116587191LMXDF01</t>
  </si>
  <si>
    <t>2000006678465433</t>
  </si>
  <si>
    <t>21 de novembro de 2024 13:10 hs.</t>
  </si>
  <si>
    <t>Carolai  Facco</t>
  </si>
  <si>
    <t>CPF 11261907990</t>
  </si>
  <si>
    <t>Rua José Bonifácio 275, Modelo - CEP: 89872000, Santa Catarina</t>
  </si>
  <si>
    <t>11261907990</t>
  </si>
  <si>
    <t>Rua José Bonifácio 275 / CEP 89872000 - centro, Modelo, Santa Catarina</t>
  </si>
  <si>
    <t>Modelo</t>
  </si>
  <si>
    <t>89872000</t>
  </si>
  <si>
    <t>2 de dezembro | 11:59</t>
  </si>
  <si>
    <t>MEL44116716612LMXDF01</t>
  </si>
  <si>
    <t>2000006678368381</t>
  </si>
  <si>
    <t>21 de novembro de 2024 12:52 hs.</t>
  </si>
  <si>
    <t>Winston Martins</t>
  </si>
  <si>
    <t>CPF 48080691649</t>
  </si>
  <si>
    <t>Avenida dos Jardins 1500, Uberlândia - CEP: 38412639, Minas Gerais</t>
  </si>
  <si>
    <t>48080691649</t>
  </si>
  <si>
    <t>Avenida dos Jardins 1500 / ALAMEDA CAROLINAS 20 Referencia: CONDOMINIO JARDINS GENOVA - CEP 38412639 - Nova Uberlândia, Uberlândia, Minas Gerais</t>
  </si>
  <si>
    <t>38412639</t>
  </si>
  <si>
    <t>29 de novembro | 02:48</t>
  </si>
  <si>
    <t>2 de dezembro | 15:17</t>
  </si>
  <si>
    <t>MEL44116636264LMXDF01</t>
  </si>
  <si>
    <t>2000006678257967</t>
  </si>
  <si>
    <t>21 de novembro de 2024 12:40 hs.</t>
  </si>
  <si>
    <t>GLAUCE Magalhães Teixeira</t>
  </si>
  <si>
    <t>CPF 24558563809</t>
  </si>
  <si>
    <t>Rua Severino Mathias de Santana 76 - CASA, Ilhabela - CEP: 11640762, São Paulo</t>
  </si>
  <si>
    <t>24558563809</t>
  </si>
  <si>
    <t>Rua Severino Mathias de Santana 76 / CASA Referencia: CASA RUA SEM SAIDA - CEP 11640762 - Ribeirão (Cambaquara), Ilhabela, São Paulo</t>
  </si>
  <si>
    <t>11640762</t>
  </si>
  <si>
    <t>MEL44116386381LMXDF01</t>
  </si>
  <si>
    <t>2000009912041376</t>
  </si>
  <si>
    <t>21 de novembro de 2024 12:16 hs.</t>
  </si>
  <si>
    <t>Maria Aparecida Cintra</t>
  </si>
  <si>
    <t>CPF 05500799800</t>
  </si>
  <si>
    <t>Avenida Adhemar Pereira de Barros 480 - Casa 8, Franca - CEP: 14402060, São Paulo</t>
  </si>
  <si>
    <t>05500799800</t>
  </si>
  <si>
    <t>Avenida Adhemar Pereira de Barros 480 / Casa 8 - CEP 14402060 - Jardim Riviera, Franca, São Paulo</t>
  </si>
  <si>
    <t>Franca</t>
  </si>
  <si>
    <t>14402060</t>
  </si>
  <si>
    <t>1 de dezembro | 13:50</t>
  </si>
  <si>
    <t>MEL44116284843LMXDF01</t>
  </si>
  <si>
    <t>2000009911883520</t>
  </si>
  <si>
    <t>21 de novembro de 2024 11:59 hs.</t>
  </si>
  <si>
    <t>Sonia Marta Amaral</t>
  </si>
  <si>
    <t>CPF 22371585840</t>
  </si>
  <si>
    <t>Rua José Paulino 603, Campinas - CEP: 13013000, São Paulo</t>
  </si>
  <si>
    <t>22371585840</t>
  </si>
  <si>
    <t>Rua José Paulino 603 / CEP 13013000 - Centro, Campinas, São Paulo</t>
  </si>
  <si>
    <t>13013000</t>
  </si>
  <si>
    <t>3 de dezembro | 16:07</t>
  </si>
  <si>
    <t>MEL44116405218LMXDF01</t>
  </si>
  <si>
    <t>2000009911824124</t>
  </si>
  <si>
    <t>21 de novembro de 2024 11:52 hs.</t>
  </si>
  <si>
    <t>Elias Faria de Oliveira</t>
  </si>
  <si>
    <t>CPF 07426218635</t>
  </si>
  <si>
    <t>RUA GUAPÉ 753, Divinópolis - CEP: 35501251, Minas Gerais</t>
  </si>
  <si>
    <t>07426218635</t>
  </si>
  <si>
    <t>RUA GUAPÉ 753 / CEP 35501251 - São José, Divinópolis, Minas Gerais</t>
  </si>
  <si>
    <t>35501251</t>
  </si>
  <si>
    <t>30 de novembro | 11:09</t>
  </si>
  <si>
    <t>MEL44116176179LMXDF01</t>
  </si>
  <si>
    <t>https://myaccount.mercadolivre.com.br/shipments/44116176179/detail</t>
  </si>
  <si>
    <t>2000006677908819</t>
  </si>
  <si>
    <t>21 de novembro de 2024 11:32 hs.</t>
  </si>
  <si>
    <t>Teresa De Sousa Frazão</t>
  </si>
  <si>
    <t>CPF 77416376300</t>
  </si>
  <si>
    <t>Rua Benedito de Moraes Machado 395, Cosmópolis - CEP: 13157356, São Paulo</t>
  </si>
  <si>
    <t>77416376300</t>
  </si>
  <si>
    <t>Rua Benedito de Moraes Machado 395 / Referencia: próximo ao posto de saúde - CEP 13157356 - Parque Residencial das Andorinhas, Cosmópolis, São Paulo</t>
  </si>
  <si>
    <t>13157356</t>
  </si>
  <si>
    <t>30 de novembro | 13:08</t>
  </si>
  <si>
    <t>MEL44116276058LMXDF01</t>
  </si>
  <si>
    <t>2000009911385714</t>
  </si>
  <si>
    <t>21 de novembro de 2024 11:12 hs.</t>
  </si>
  <si>
    <t>Rita Martins</t>
  </si>
  <si>
    <t>CPF 96717254068</t>
  </si>
  <si>
    <t>bairro 63, Tupanciretã - CEP: 98170000, Rio Grande do Sul</t>
  </si>
  <si>
    <t>96717254068</t>
  </si>
  <si>
    <t>bairro 63 / Referencia: Moro na rua José avero, 63, bairro Elizabeth - CEP 98170000 - Elizabeth, Tupanciretã, Rio Grande do Sul</t>
  </si>
  <si>
    <t>Tupanciretã</t>
  </si>
  <si>
    <t>98170000</t>
  </si>
  <si>
    <t>3 de dezembro | 13:53</t>
  </si>
  <si>
    <t>MEL44116175816LMXDF01</t>
  </si>
  <si>
    <t>2000009911386948</t>
  </si>
  <si>
    <t>21 de novembro de 2024 11:09 hs.</t>
  </si>
  <si>
    <t>Aline Muniz da Silva</t>
  </si>
  <si>
    <t>CPF 94137765120</t>
  </si>
  <si>
    <t>Rua Ademar Vicente Ferreira 920 - apartamento 01, Araguaína - CEP: 77803040, Tocantins</t>
  </si>
  <si>
    <t>94137765120</t>
  </si>
  <si>
    <t>Rua Ademar Vicente Ferreira 920 / apartamento 01 Referencia: o apartamento pertence ao posto tawan . ligar antes no meu número. - CEP 77803040 - Setor Central, Araguaína, Tocantins</t>
  </si>
  <si>
    <t>Araguaína</t>
  </si>
  <si>
    <t>77803040</t>
  </si>
  <si>
    <t>3 de dezembro | 11:16</t>
  </si>
  <si>
    <t>MEL44116171782LMXDF01</t>
  </si>
  <si>
    <t>2000009911264262</t>
  </si>
  <si>
    <t>21 de novembro de 2024 10:56 hs.</t>
  </si>
  <si>
    <t>00241</t>
  </si>
  <si>
    <t>MLB3913162838</t>
  </si>
  <si>
    <t>Vitamina D 10.000ui Pura - 90 Cápsulas - Kit C/2 Unidades</t>
  </si>
  <si>
    <t>mateuc23052003 mateuc23052003</t>
  </si>
  <si>
    <t>CPF 14373649421</t>
  </si>
  <si>
    <t>Aldroaldo Guedes 49, Sertãozinho - CEP: 58268000, Paraíba</t>
  </si>
  <si>
    <t>14373649421</t>
  </si>
  <si>
    <t>Aldroaldo Guedes 49 / CEP 58268000 - Centro, Sertãozinho, Paraíba</t>
  </si>
  <si>
    <t>Sertãozinho</t>
  </si>
  <si>
    <t>58268000</t>
  </si>
  <si>
    <t>3 de dezembro | 12:47</t>
  </si>
  <si>
    <t>MEL44116112920LMXDF01</t>
  </si>
  <si>
    <t>2000006677557733</t>
  </si>
  <si>
    <t>21 de novembro de 2024 10:32 hs.</t>
  </si>
  <si>
    <t>irailde maria de jesus</t>
  </si>
  <si>
    <t>CPF 14722294879</t>
  </si>
  <si>
    <t>ESTRADA DAS TAIPAS 131, São Paulo - CEP: 02991000, São Paulo</t>
  </si>
  <si>
    <t>14722294879</t>
  </si>
  <si>
    <t>ESTRADA DAS TAIPAS 131 / Shalom Distribuidora - CEP 02991000 - Jardim Rincão, São Paulo, São Paulo</t>
  </si>
  <si>
    <t>02991000</t>
  </si>
  <si>
    <t>6 de dezembro | 18:39</t>
  </si>
  <si>
    <t>MEL44116005234LMXDF01</t>
  </si>
  <si>
    <t>https://myaccount.mercadolivre.com.br/shipments/44116005234/detail</t>
  </si>
  <si>
    <t>2000009910955874</t>
  </si>
  <si>
    <t>21 de novembro de 2024 10:25 hs.</t>
  </si>
  <si>
    <t>VANIA NELIZE ROGERIO COSTA</t>
  </si>
  <si>
    <t>CPF 97530522000</t>
  </si>
  <si>
    <t>Rua José Barcellos Garcia 105 - 304, Porto Alegre - CEP: 91250552, Rio Grande do Sul</t>
  </si>
  <si>
    <t>97530522000</t>
  </si>
  <si>
    <t>Rua José Barcellos Garcia 105 / 304 - CEP 91250552 - Rubem Berta, Porto Alegre, Rio Grande do Sul</t>
  </si>
  <si>
    <t>91250552</t>
  </si>
  <si>
    <t>1 de dezembro | 08:27</t>
  </si>
  <si>
    <t>MEL44115779171LMXDF01</t>
  </si>
  <si>
    <t>2000006677426595</t>
  </si>
  <si>
    <t>21 de novembro de 2024 10:08 hs.</t>
  </si>
  <si>
    <t>Roberto Lima</t>
  </si>
  <si>
    <t>CPF 77815424872</t>
  </si>
  <si>
    <t>Rua Maria Ângela 6, Ilhabela - CEP: 11635104, São Paulo</t>
  </si>
  <si>
    <t>77815424872</t>
  </si>
  <si>
    <t>Rua Maria Ângela 6 / SALA 8 Referencia: Ao lado do ILHANORTE Mat Construção - CEP 11635104 - Vila, Ilhabela, São Paulo</t>
  </si>
  <si>
    <t>11635104</t>
  </si>
  <si>
    <t>30 de novembro | 10:37</t>
  </si>
  <si>
    <t>MEL44115901866LMXDF01</t>
  </si>
  <si>
    <t>2000009910794638</t>
  </si>
  <si>
    <t>21 de novembro de 2024 10:07 hs.</t>
  </si>
  <si>
    <t xml:space="preserve">Jennifer Brito de Matos </t>
  </si>
  <si>
    <t>CPF 37174117805</t>
  </si>
  <si>
    <t>Rua Julieta Santana Silva 70 - Casa doportão branco, Jaguaquara - CEP: 45345000, Bahia</t>
  </si>
  <si>
    <t>37174117805</t>
  </si>
  <si>
    <t>Jaguaquara</t>
  </si>
  <si>
    <t>45345000</t>
  </si>
  <si>
    <t>MEL44115891526FMXDF01</t>
  </si>
  <si>
    <t>2000009901519992</t>
  </si>
  <si>
    <t>Maria Jose de Almeida Cirybelly</t>
  </si>
  <si>
    <t>CPF 10206288638</t>
  </si>
  <si>
    <t>Rua Belarminio Campos 161 - Loja, Guidoval - CEP: 36515000, Minas Gerais</t>
  </si>
  <si>
    <t>10206288638</t>
  </si>
  <si>
    <t>Rua Belarminio Campos 161 / Loja - CEP 36515000 - Centro, Guidoval, Minas Gerais</t>
  </si>
  <si>
    <t>Guidoval</t>
  </si>
  <si>
    <t>36515000</t>
  </si>
  <si>
    <t>28 de novembro | 00:22</t>
  </si>
  <si>
    <t>28 de novembro | 15:14</t>
  </si>
  <si>
    <t>MEL44111785558LMXDF01</t>
  </si>
  <si>
    <t>2000009910703626</t>
  </si>
  <si>
    <t>21 de novembro de 2024 09:57 hs.</t>
  </si>
  <si>
    <t>Eliseu Vieira</t>
  </si>
  <si>
    <t>CPF 73939536849</t>
  </si>
  <si>
    <t>AVENIDA ENGENHEIRO FRANCISCO JOSÉ LONGO 485, São José dos Campos - CEP: 12245000, São Paulo</t>
  </si>
  <si>
    <t>73939536849</t>
  </si>
  <si>
    <t>AVENIDA ENGENHEIRO FRANCISCO JOSÉ LONGO 485 / Loja Smartcell - CEP 12245000 - Jardim São Dimas, São José dos Campos, São Paulo</t>
  </si>
  <si>
    <t>12245000</t>
  </si>
  <si>
    <t>28 de novembro | 04:33</t>
  </si>
  <si>
    <t>29 de novembro | 12:40</t>
  </si>
  <si>
    <t>MEL44115657501LMXDF01</t>
  </si>
  <si>
    <t>https://myaccount.mercadolivre.com.br/shipments/44115657501/detail</t>
  </si>
  <si>
    <t>2000009910633820</t>
  </si>
  <si>
    <t>21 de novembro de 2024 09:47 hs.</t>
  </si>
  <si>
    <t>Celia da Costa Baptista</t>
  </si>
  <si>
    <t>CPF 57135231791</t>
  </si>
  <si>
    <t>Rua Cruzeiro do Sul 12 - não tem, São Gonçalo - CEP: 24430620, Rio de Janeiro</t>
  </si>
  <si>
    <t>57135231791</t>
  </si>
  <si>
    <t>Rua Cruzeiro do Sul 12 / .Trav. G - não tem - CEP 24430620 - Gradim, São Gonçalo, Rio de Janeiro</t>
  </si>
  <si>
    <t>São Gonçalo</t>
  </si>
  <si>
    <t>24430620</t>
  </si>
  <si>
    <t>28 de novembro | 11:08</t>
  </si>
  <si>
    <t>MEL44115820164LMXDF01</t>
  </si>
  <si>
    <t>2000009910514466</t>
  </si>
  <si>
    <t>21 de novembro de 2024 09:46 hs.</t>
  </si>
  <si>
    <t>Natacha Palma Carreteiro</t>
  </si>
  <si>
    <t>CPF 27239416801</t>
  </si>
  <si>
    <t>Rua Moliterno 224 - Casa, São Paulo - CEP: 03642030, São Paulo</t>
  </si>
  <si>
    <t>27239416801</t>
  </si>
  <si>
    <t>03642030</t>
  </si>
  <si>
    <t>MEL44115560613FMXDF01</t>
  </si>
  <si>
    <t>2000009910417042</t>
  </si>
  <si>
    <t>21 de novembro de 2024 09:18 hs.</t>
  </si>
  <si>
    <t>Everaldo Dos Santos</t>
  </si>
  <si>
    <t>CPF 77219538987</t>
  </si>
  <si>
    <t>Rua Emanuel Rebelo dos Santos 386 - casa, Balneário Camboriú - CEP: 88332135, Santa Catarina</t>
  </si>
  <si>
    <t>77219538987</t>
  </si>
  <si>
    <t>Rua Emanuel Rebelo dos Santos 386 / casa Referencia: próximo a Marina Camboriú - CEP 88332135 - Barra, Balneário Camboriú, Santa Catarina</t>
  </si>
  <si>
    <t>Balneário Camboriú</t>
  </si>
  <si>
    <t>88332135</t>
  </si>
  <si>
    <t>28 de novembro | 05:25</t>
  </si>
  <si>
    <t>29 de novembro | 15:15</t>
  </si>
  <si>
    <t>MEL44115709262LMXDF01</t>
  </si>
  <si>
    <t>2000009910232478</t>
  </si>
  <si>
    <t>21 de novembro de 2024 08:50 hs.</t>
  </si>
  <si>
    <t>Lindinalva Jesus Dos Santos</t>
  </si>
  <si>
    <t>CPF 02657478565</t>
  </si>
  <si>
    <t>Avenida Carolina Geretto Dall'Acqua 1260, Ibitinga - CEP: 14940160, São Paulo</t>
  </si>
  <si>
    <t>02657478565</t>
  </si>
  <si>
    <t>Avenida Carolina Geretto Dall'Acqua 1260 / CEP 14940160 - Centro, Ibitinga, São Paulo</t>
  </si>
  <si>
    <t>Ibitinga</t>
  </si>
  <si>
    <t>14940160</t>
  </si>
  <si>
    <t>28 de novembro | 04:30</t>
  </si>
  <si>
    <t>29 de novembro | 14:45</t>
  </si>
  <si>
    <t>MEL44115618054LMXDF01</t>
  </si>
  <si>
    <t>2000009910095374</t>
  </si>
  <si>
    <t>21 de novembro de 2024 08:29 hs.</t>
  </si>
  <si>
    <t>Natalia Infantino</t>
  </si>
  <si>
    <t>CPF 01563359138</t>
  </si>
  <si>
    <t>Avenida Archimedes Pereira Lima, 636 507 - Edifício Urbanit., Cuiabá - CEP: 78060901, Mato Grosso</t>
  </si>
  <si>
    <t>01563359138</t>
  </si>
  <si>
    <t>Avenida Archimedes Pereira Lima, 636 507 / Edifício Urbanit. - CEP 78060901 - Jardim Leblon, Cuiabá, Mato Grosso</t>
  </si>
  <si>
    <t>Cuiabá</t>
  </si>
  <si>
    <t>78060901</t>
  </si>
  <si>
    <t>1 de dezembro | 10:29</t>
  </si>
  <si>
    <t>MEL44115360205LMXDF01</t>
  </si>
  <si>
    <t>2000009909795076</t>
  </si>
  <si>
    <t>21 de novembro de 2024 07:19 hs.</t>
  </si>
  <si>
    <t>Marcia Rocha Apolinario</t>
  </si>
  <si>
    <t>CPF 20511371888</t>
  </si>
  <si>
    <t>Rua Duclerc Rovai 43 - Casa, Osasco - CEP: 06126040, São Paulo</t>
  </si>
  <si>
    <t>20511371888</t>
  </si>
  <si>
    <t>Rua Duclerc Rovai 43 / Casa - CEP 06126040 - Santo Antônio, Osasco, São Paulo</t>
  </si>
  <si>
    <t>06126040</t>
  </si>
  <si>
    <t>28 de novembro | 04:46</t>
  </si>
  <si>
    <t>29 de novembro | 12:29</t>
  </si>
  <si>
    <t>MEL44115397556LMXDF01</t>
  </si>
  <si>
    <t>2000009909644518</t>
  </si>
  <si>
    <t>21 de novembro de 2024 06:10 hs.</t>
  </si>
  <si>
    <t>Charles Marcony R. dos Santos Marcony</t>
  </si>
  <si>
    <t>CPF 58391037215</t>
  </si>
  <si>
    <t>Rua Donatila Barbosa de carto com 11 - rua da batalha l 220 - UBS Angélica d carto, Abaetetuba - CEP: 68440000, Pará</t>
  </si>
  <si>
    <t>58391037215</t>
  </si>
  <si>
    <t>Rua Donatila Barbosa de carto com 11 - rua da batalha l 220 / UBS Angélica d carto Referencia: de carrto com posto de saúde em frente a casa 8644 - CEP 68440000 - Angélica, Abaetetuba, Pará</t>
  </si>
  <si>
    <t>Abaetetuba</t>
  </si>
  <si>
    <t>68440000</t>
  </si>
  <si>
    <t>28 de novembro | 05:34</t>
  </si>
  <si>
    <t>30 de novembro | 17:15</t>
  </si>
  <si>
    <t>MEL44115317902LMXDF01</t>
  </si>
  <si>
    <t>2000006676310907</t>
  </si>
  <si>
    <t>21 de novembro de 2024 00:56 hs.</t>
  </si>
  <si>
    <t>Mirian Cardoso</t>
  </si>
  <si>
    <t>CPF 68142420287</t>
  </si>
  <si>
    <t>Rua Edgard Neves 72 - Casa 03, Manaus - CEP: 69073500, Amazonas</t>
  </si>
  <si>
    <t>68142420287</t>
  </si>
  <si>
    <t>Rua Edgard Neves 72 / Casa 03 - CEP 69073500 - Betânia, Manaus, Amazonas</t>
  </si>
  <si>
    <t>69073500</t>
  </si>
  <si>
    <t>30 de novembro | 15:14</t>
  </si>
  <si>
    <t>MEL44115040536LMXDF01</t>
  </si>
  <si>
    <t>2000009908898032</t>
  </si>
  <si>
    <t>21 de novembro de 2024 00:32 hs.</t>
  </si>
  <si>
    <t>Veronica da Silva Castanheira</t>
  </si>
  <si>
    <t>CPF 02726893783</t>
  </si>
  <si>
    <t>Rua Ester 68 - casa, Rio de Janeiro - CEP: 23555051, Rio de Janeiro</t>
  </si>
  <si>
    <t>02726893783</t>
  </si>
  <si>
    <t>Rua Ester 68 / casa Referencia: em frente ao campo juventude - CEP 23555051 - Santa Cruz, Rio de Janeiro, Rio de Janeiro</t>
  </si>
  <si>
    <t>23555051</t>
  </si>
  <si>
    <t>27 de novembro | 23:56</t>
  </si>
  <si>
    <t>28 de novembro | 12:09</t>
  </si>
  <si>
    <t>MEL44114796013LMXDF01</t>
  </si>
  <si>
    <t>2000009908734428</t>
  </si>
  <si>
    <t>21 de novembro de 2024 00:04 hs.</t>
  </si>
  <si>
    <t>Sidnei Teixeira Flores</t>
  </si>
  <si>
    <t>CPF 01928462057</t>
  </si>
  <si>
    <t>Rua Sebastião do Nascimento 1220 - casa 1, Porto Alegre - CEP: 91250750, Rio Grande do Sul</t>
  </si>
  <si>
    <t>01928462057</t>
  </si>
  <si>
    <t>Rua Sebastião do Nascimento 1220 / casa 1 Referencia: entrega para Sidnei ou Juliana - CEP 91250750 - Mário Quintana, Porto Alegre, Rio Grande do Sul</t>
  </si>
  <si>
    <t>91250750</t>
  </si>
  <si>
    <t>30 de novembro | 10:28</t>
  </si>
  <si>
    <t>MEL44114923108LMXDF01</t>
  </si>
  <si>
    <t>2000009908655294</t>
  </si>
  <si>
    <t>20 de novembro de 2024 23:58 hs.</t>
  </si>
  <si>
    <t>Ruberlania Lima de Araujo</t>
  </si>
  <si>
    <t>CPF 38462669812</t>
  </si>
  <si>
    <t>Rua Doutor Adhemar de Barros 587, Porto Feliz - CEP: 18540073, São Paulo</t>
  </si>
  <si>
    <t>38462669812</t>
  </si>
  <si>
    <t>Rua Doutor Adhemar de Barros 587 / CEP 18540073 - Centro, Porto Feliz, São Paulo</t>
  </si>
  <si>
    <t>Porto Feliz</t>
  </si>
  <si>
    <t>18540073</t>
  </si>
  <si>
    <t>29 de novembro | 12:21</t>
  </si>
  <si>
    <t>MEL44114700471LMXDF01</t>
  </si>
  <si>
    <t>2000009908535810</t>
  </si>
  <si>
    <t>20 de novembro de 2024 23:37 hs.</t>
  </si>
  <si>
    <t>Keith Inácio Dias</t>
  </si>
  <si>
    <t>CPF 06061738978</t>
  </si>
  <si>
    <t>Rua Otilio Francisco Macedo 342, Forquilhinha - CEP: 88850000, Santa Catarina</t>
  </si>
  <si>
    <t>06061738978</t>
  </si>
  <si>
    <t>Rua Otilio Francisco Macedo 342 / Casa Referencia: Próximo a igreja - CEP 88850000 - Santa Líbera, Forquilhinha, Santa Catarina</t>
  </si>
  <si>
    <t>Forquilhinha</t>
  </si>
  <si>
    <t>88850000</t>
  </si>
  <si>
    <t>30 de novembro | 10:38</t>
  </si>
  <si>
    <t>MEL44114652075LMXDF01</t>
  </si>
  <si>
    <t>2000009908274092</t>
  </si>
  <si>
    <t>20 de novembro de 2024 23:03 hs.</t>
  </si>
  <si>
    <t>camila rodrigues laveso</t>
  </si>
  <si>
    <t>CPF 32547677806</t>
  </si>
  <si>
    <t>Rua Anos Dourados 46 - casa, Santo André - CEP: 09274130, São Paulo</t>
  </si>
  <si>
    <t>32547677806</t>
  </si>
  <si>
    <t>Rua Anos Dourados 46 / casa - CEP 09274130 - Tamanduateí 8, Santo André, São Paulo</t>
  </si>
  <si>
    <t>09274130</t>
  </si>
  <si>
    <t>29 de novembro | 13:44</t>
  </si>
  <si>
    <t>MEL44114532495LMXDF01</t>
  </si>
  <si>
    <t>2000009907847776</t>
  </si>
  <si>
    <t>20 de novembro de 2024 22:16 hs.</t>
  </si>
  <si>
    <t>Elton Pereira da Cruz</t>
  </si>
  <si>
    <t>CPF 56524862600</t>
  </si>
  <si>
    <t>Avenida Padre Arlindo Vieira 1367, São Paulo - CEP: 04166000, São Paulo</t>
  </si>
  <si>
    <t>56524862600</t>
  </si>
  <si>
    <t>Avenida Padre Arlindo Vieira 1367 / CEP 04166000 - Jardim Vergueiro (Sacomã), São Paulo, São Paulo</t>
  </si>
  <si>
    <t>04166000</t>
  </si>
  <si>
    <t>28 de novembro | 05:38</t>
  </si>
  <si>
    <t>4 de dezembro | 12:46</t>
  </si>
  <si>
    <t>MEL44114367719LMXDF01</t>
  </si>
  <si>
    <t>https://myaccount.mercadolivre.com.br/shipments/44114367719/detail</t>
  </si>
  <si>
    <t>2000009907806378</t>
  </si>
  <si>
    <t>20 de novembro de 2024 22:10 hs.</t>
  </si>
  <si>
    <t>Johnnys Silva dos Santos</t>
  </si>
  <si>
    <t>CPF 07189170570</t>
  </si>
  <si>
    <t>Travessa Roque Leão dos Santos 20, Ipirá - CEP: 44600000, Bahia</t>
  </si>
  <si>
    <t>07189170570</t>
  </si>
  <si>
    <t>Travessa Roque Leão dos Santos 20 / Referencia: prox. ao mercadinho santana - CEP 44600000 - Monte Belo, Ipirá, Bahia</t>
  </si>
  <si>
    <t>Ipirá</t>
  </si>
  <si>
    <t>44600000</t>
  </si>
  <si>
    <t>1 de dezembro | 15:22</t>
  </si>
  <si>
    <t>MEL44114341803LMXDF01</t>
  </si>
  <si>
    <t>2000009907265190</t>
  </si>
  <si>
    <t>20 de novembro de 2024 21:16 hs.</t>
  </si>
  <si>
    <t>Devolvido no dia 5 de dezembro</t>
  </si>
  <si>
    <t>O produto retornou para você porque a entrega foi recusada pela pessoa que realizou a compra.</t>
  </si>
  <si>
    <t>Vanda dos Santos Goncalves</t>
  </si>
  <si>
    <t>CPF 06216937820</t>
  </si>
  <si>
    <t>Rua Manoel Neves dos Santos 156 - apt 31, Santos - CEP: 11087290, São Paulo</t>
  </si>
  <si>
    <t>06216937820</t>
  </si>
  <si>
    <t>11087290</t>
  </si>
  <si>
    <t>MEL44114310712LMXDF01</t>
  </si>
  <si>
    <t>2000009907253346</t>
  </si>
  <si>
    <t>20 de novembro de 2024 21:14 hs.</t>
  </si>
  <si>
    <t>Jordanna Paulino</t>
  </si>
  <si>
    <t>CPF 50854159819</t>
  </si>
  <si>
    <t>Rua Dravidiana 376, Santo André - CEP: 09131040, São Paulo</t>
  </si>
  <si>
    <t>50854159819</t>
  </si>
  <si>
    <t>Rua Dravidiana 376 / Referencia: Casa Vermelha, Enfrente Padaria Chapoleon - CEP 09131040 - Vila Suíça, Santo André, São Paulo</t>
  </si>
  <si>
    <t>09131040</t>
  </si>
  <si>
    <t>29 de novembro | 13:19</t>
  </si>
  <si>
    <t>MEL44114110265LMXDF01</t>
  </si>
  <si>
    <t>2000009907204634</t>
  </si>
  <si>
    <t>20 de novembro de 2024 21:09 hs.</t>
  </si>
  <si>
    <t>Luciana Aparecida Dutra</t>
  </si>
  <si>
    <t>CPF 06394041629</t>
  </si>
  <si>
    <t>Avenida Tiradentes 118 - Apta202, São João Nepomuceno - CEP: 36680156, Minas Gerais</t>
  </si>
  <si>
    <t>06394041629</t>
  </si>
  <si>
    <t>Avenida Tiradentes 118 / Apta202 - CEP 36680156 - Centro, São João Nepomuceno, Minas Gerais</t>
  </si>
  <si>
    <t>São João Nepomuceno</t>
  </si>
  <si>
    <t>36680156</t>
  </si>
  <si>
    <t>28 de novembro | 13:23</t>
  </si>
  <si>
    <t>MEL44114086789LMXDF01</t>
  </si>
  <si>
    <t>2000009907082046</t>
  </si>
  <si>
    <t>20 de novembro de 2024 20:56 hs.</t>
  </si>
  <si>
    <t>Luzia Martins Santana Do Nascimento</t>
  </si>
  <si>
    <t>CPF 27504431800</t>
  </si>
  <si>
    <t>Rua Tapacoás 04 - apartamento 08, São Paulo - CEP: 03273300, São Paulo</t>
  </si>
  <si>
    <t>27504431800</t>
  </si>
  <si>
    <t>03273300</t>
  </si>
  <si>
    <t>2000006675014135</t>
  </si>
  <si>
    <t>20 de novembro de 2024 20:44 hs.</t>
  </si>
  <si>
    <t>Ana Carolina Estevam Figueredo do Prado</t>
  </si>
  <si>
    <t>CPF 39604100858</t>
  </si>
  <si>
    <t>Avenida Oswaldo Gonçalves de Jesus 387 - k11, Araraquara - CEP: 14805396, São Paulo</t>
  </si>
  <si>
    <t>39604100858</t>
  </si>
  <si>
    <t>14805396</t>
  </si>
  <si>
    <t>2000006674996355</t>
  </si>
  <si>
    <t>20 de novembro de 2024 20:41 hs.</t>
  </si>
  <si>
    <t>Fatima Porto de Sa</t>
  </si>
  <si>
    <t>CPF 67125468772</t>
  </si>
  <si>
    <t>Estrada Benvindo de Novaes 1330 - 202, Rio de Janeiro - CEP: 22790382, Rio de Janeiro</t>
  </si>
  <si>
    <t>67125468772</t>
  </si>
  <si>
    <t>Estrada Benvindo de Novaes 1330 / 202 - CEP 22790382 - Recreio dos Bandeirantes, Rio de Janeiro, Rio de Janeiro</t>
  </si>
  <si>
    <t>22790382</t>
  </si>
  <si>
    <t>28 de novembro | 02:09</t>
  </si>
  <si>
    <t>28 de novembro | 18:06</t>
  </si>
  <si>
    <t>MEL44113966599LMXDF01</t>
  </si>
  <si>
    <t>2000009906472108</t>
  </si>
  <si>
    <t>20 de novembro de 2024 19:54 hs.</t>
  </si>
  <si>
    <t>Deidi Aparecida de Oliveira Silva</t>
  </si>
  <si>
    <t>CPF 06434768907</t>
  </si>
  <si>
    <t>Eucalipto 13, Carambeí - CEP: 84145000, Paraná</t>
  </si>
  <si>
    <t>06434768907</t>
  </si>
  <si>
    <t>Eucalipto 13 / Referencia: Última casa do Lado esquerdo (esquina) - CEP 84145000 - AFCB, Carambeí, Paraná</t>
  </si>
  <si>
    <t>Carambeí</t>
  </si>
  <si>
    <t>84145000</t>
  </si>
  <si>
    <t>29 de novembro | 14:40</t>
  </si>
  <si>
    <t>MEL44113957322LMXDF01</t>
  </si>
  <si>
    <t>2000009906028500</t>
  </si>
  <si>
    <t>20 de novembro de 2024 19:09 hs.</t>
  </si>
  <si>
    <t>Erico F Gomes</t>
  </si>
  <si>
    <t>CPF 02299150943</t>
  </si>
  <si>
    <t>Rua Serena 789, Balneário Piçarras - CEP: 88380000, Santa Catarina</t>
  </si>
  <si>
    <t>02299150943</t>
  </si>
  <si>
    <t>Rua Serena 789 / Referencia: Sobrado de tijolo a vista em construção. - CEP 88380000 - Itacolomi, Balneário Piçarras, Santa Catarina</t>
  </si>
  <si>
    <t>Balneário Piçarras</t>
  </si>
  <si>
    <t>88380000</t>
  </si>
  <si>
    <t>29 de novembro | 11:59</t>
  </si>
  <si>
    <t>MEL44113573107LMXDF01</t>
  </si>
  <si>
    <t>2000009905744806</t>
  </si>
  <si>
    <t>20 de novembro de 2024 18:41 hs.</t>
  </si>
  <si>
    <t>wesley batista</t>
  </si>
  <si>
    <t>CPF 05053163901</t>
  </si>
  <si>
    <t>Rua Waldir Giglio Júnior 80 - Borracharia Trevo, Pontal do Paraná - CEP: 83255000, Paraná</t>
  </si>
  <si>
    <t>05053163901</t>
  </si>
  <si>
    <t>Rua Waldir Giglio Júnior 80 / Borracharia Trevo - CEP 83255000 - Praia De Leste, Pontal do Paraná, Paraná</t>
  </si>
  <si>
    <t>Pontal do Paraná</t>
  </si>
  <si>
    <t>83255000</t>
  </si>
  <si>
    <t>28 de novembro | 05:36</t>
  </si>
  <si>
    <t>29 de novembro | 15:07</t>
  </si>
  <si>
    <t>MEL44113453413LMXDF01</t>
  </si>
  <si>
    <t>2000006674276399</t>
  </si>
  <si>
    <t>20 de novembro de 2024 18:40 hs.</t>
  </si>
  <si>
    <t>Elaine Cristina da Silva Dos Santos</t>
  </si>
  <si>
    <t>CPF 02474305521</t>
  </si>
  <si>
    <t>Rua da Grécia 20 - E, Salvador - CEP: 41387160, Bahia</t>
  </si>
  <si>
    <t>02474305521</t>
  </si>
  <si>
    <t>Rua da Grécia 20 / E - CEP 41387160 - Sete de Abril, Salvador, Bahia</t>
  </si>
  <si>
    <t>41387160</t>
  </si>
  <si>
    <t>2 de dezembro | 12:43</t>
  </si>
  <si>
    <t>MEL44113648804LMXDF01</t>
  </si>
  <si>
    <t>2000009905673496</t>
  </si>
  <si>
    <t>20 de novembro de 2024 18:33 hs.</t>
  </si>
  <si>
    <t>Gretiane Farias</t>
  </si>
  <si>
    <t>CPF 85905224234</t>
  </si>
  <si>
    <t>Alameda José do Patrocínio 99, Castanhal - CEP: 68743370, Pará</t>
  </si>
  <si>
    <t>85905224234</t>
  </si>
  <si>
    <t>Alameda José do Patrocínio 99 / CEP 68743370 - Estrela, Castanhal, Pará</t>
  </si>
  <si>
    <t>Castanhal</t>
  </si>
  <si>
    <t>68743370</t>
  </si>
  <si>
    <t>30 de novembro | 10:26</t>
  </si>
  <si>
    <t>MEL44113424315LMXDF01</t>
  </si>
  <si>
    <t>2000006674080001</t>
  </si>
  <si>
    <t>20 de novembro de 2024 18:08 hs.</t>
  </si>
  <si>
    <t xml:space="preserve">Sonia  Hillesheim </t>
  </si>
  <si>
    <t>CPF 03626396983</t>
  </si>
  <si>
    <t>Rua Pedro Lindolfo Schütz 321, Palhoça - CEP: 88135222, Santa Catarina</t>
  </si>
  <si>
    <t>03626396983</t>
  </si>
  <si>
    <t>Rua Pedro Lindolfo Schütz 321 / CEP 88135222 - Aririú, Palhoça, Santa Catarina</t>
  </si>
  <si>
    <t>88135222</t>
  </si>
  <si>
    <t>29 de novembro | 21:26</t>
  </si>
  <si>
    <t>MEL44113320601LMXDF01</t>
  </si>
  <si>
    <t>2000009905286524</t>
  </si>
  <si>
    <t>20 de novembro de 2024 17:51 hs.</t>
  </si>
  <si>
    <t>Cristiane Aparecida  Santos</t>
  </si>
  <si>
    <t>CPF 25417503827</t>
  </si>
  <si>
    <t>Rua Marco Antônio Ribeiro 217 - casa, Assis - CEP: 19803260, São Paulo</t>
  </si>
  <si>
    <t>25417503827</t>
  </si>
  <si>
    <t>Rua Marco Antônio Ribeiro 217 / casa Referencia: casa de esquina perto da escola José Augusto Ribeiro - CEP 19803260 - Vila Nova Florínea, Assis, São Paulo</t>
  </si>
  <si>
    <t>Assis</t>
  </si>
  <si>
    <t>19803260</t>
  </si>
  <si>
    <t>29 de novembro | 15:29</t>
  </si>
  <si>
    <t>MEL44113447836LMXDF01</t>
  </si>
  <si>
    <t>2000009905224472</t>
  </si>
  <si>
    <t>20 de novembro de 2024 17:45 hs.</t>
  </si>
  <si>
    <t>Emiliane Cristina Costa Segura Zanqueta</t>
  </si>
  <si>
    <t>CPF 33179781807</t>
  </si>
  <si>
    <t>Avenida Joaquim de Abreu Sampaio Vidal 80 - floricultura, Santa Adélia - CEP: 15950000, São Paulo</t>
  </si>
  <si>
    <t>33179781807</t>
  </si>
  <si>
    <t>Avenida Joaquim de Abreu Sampaio Vidal 80 / floricultura - CEP 15950000 - jardin Brasil, Santa Adélia, São Paulo</t>
  </si>
  <si>
    <t>Santa Adélia</t>
  </si>
  <si>
    <t>15950000</t>
  </si>
  <si>
    <t>29 de novembro | 16:42</t>
  </si>
  <si>
    <t>MEL44113420752LMXDF01</t>
  </si>
  <si>
    <t>2000009905148692</t>
  </si>
  <si>
    <t>20 de novembro de 2024 17:37 hs.</t>
  </si>
  <si>
    <t>Rosilene Batista Pimentel</t>
  </si>
  <si>
    <t>CPF 04821710650</t>
  </si>
  <si>
    <t>Rua Um 41, Jaboticatubas - CEP: 35830000, Minas Gerais</t>
  </si>
  <si>
    <t>04821710650</t>
  </si>
  <si>
    <t>Rua Um 41 / CEP 35830000 - santo Antônio, Jaboticatubas, Minas Gerais</t>
  </si>
  <si>
    <t>Jaboticatubas</t>
  </si>
  <si>
    <t>35830000</t>
  </si>
  <si>
    <t>28 de novembro | 01:23</t>
  </si>
  <si>
    <t>28 de novembro | 19:02</t>
  </si>
  <si>
    <t>MEL44113387360LMXDF01</t>
  </si>
  <si>
    <t>2000009904836798</t>
  </si>
  <si>
    <t>20 de novembro de 2024 17:07 hs.</t>
  </si>
  <si>
    <t>Rosana  Souza lima</t>
  </si>
  <si>
    <t>CPF 08809332679</t>
  </si>
  <si>
    <t>Rua José Pereira da Silva 40, Jacuí - CEP: 37965000, Minas Gerais</t>
  </si>
  <si>
    <t>08809332679</t>
  </si>
  <si>
    <t>Rua José Pereira da Silva 40 / CEP 37965000 - Santa cruz, Jacuí, Minas Gerais</t>
  </si>
  <si>
    <t>29 de novembro | 16:13</t>
  </si>
  <si>
    <t>MEL44113250678LMXDF01</t>
  </si>
  <si>
    <t>2000009904710274</t>
  </si>
  <si>
    <t>20 de novembro de 2024 16:50 hs.</t>
  </si>
  <si>
    <t>Gisele Monteiro Fialho</t>
  </si>
  <si>
    <t>CPF 11171239602</t>
  </si>
  <si>
    <t>Rua Miguel Gomes De Freitas 9 - casa, Fervedouro - CEP: 36815000, Minas Gerais</t>
  </si>
  <si>
    <t>11171239602</t>
  </si>
  <si>
    <t>Rua Miguel Gomes De Freitas 9 / casa Referencia: casa - CEP 36815000 - centro, Fervedouro, Minas Gerais</t>
  </si>
  <si>
    <t>Fervedouro</t>
  </si>
  <si>
    <t>36815000</t>
  </si>
  <si>
    <t>28 de novembro | 03:53</t>
  </si>
  <si>
    <t>29 de novembro | 09:44</t>
  </si>
  <si>
    <t>MEL44113190542LMXDF01</t>
  </si>
  <si>
    <t>2000006673490679</t>
  </si>
  <si>
    <t>20 de novembro de 2024 16:25 hs.</t>
  </si>
  <si>
    <t>Ana Rita Rodrigues</t>
  </si>
  <si>
    <t>CPF 04267526516</t>
  </si>
  <si>
    <t>Rua Auresino da Silva Leite 251 - casa, Brumado - CEP: 46103408, Bahia</t>
  </si>
  <si>
    <t>04267526516</t>
  </si>
  <si>
    <t>Rua Auresino da Silva Leite 251 / casa - CEP 46103408 - Malhada Branca, Brumado, Bahia</t>
  </si>
  <si>
    <t>Brumado</t>
  </si>
  <si>
    <t>46103408</t>
  </si>
  <si>
    <t>1 de dezembro | 17:08</t>
  </si>
  <si>
    <t>MEL44112883389LMXDF01</t>
  </si>
  <si>
    <t>2000009904398156</t>
  </si>
  <si>
    <t>20 de novembro de 2024 16:18 hs.</t>
  </si>
  <si>
    <t>Roseli S.Teles</t>
  </si>
  <si>
    <t>CPF 10497726874</t>
  </si>
  <si>
    <t>Rua João Vitorello 595, Cotia - CEP: 06714230, São Paulo</t>
  </si>
  <si>
    <t>10497726874</t>
  </si>
  <si>
    <t>Rua João Vitorello 595 / CEP 06714230 - Parque Alexandre, Cotia, São Paulo</t>
  </si>
  <si>
    <t>06714230</t>
  </si>
  <si>
    <t>29 de novembro | 13:21</t>
  </si>
  <si>
    <t>MEL44112852523LMXDF01</t>
  </si>
  <si>
    <t>2000006673417427</t>
  </si>
  <si>
    <t>20 de novembro de 2024 16:13 hs.</t>
  </si>
  <si>
    <t>Maria Aparecida De Lima</t>
  </si>
  <si>
    <t>CPF 12987413866</t>
  </si>
  <si>
    <t>Via Transversal Sul 200, Osasco - CEP: 06045420, São Paulo</t>
  </si>
  <si>
    <t>12987413866</t>
  </si>
  <si>
    <t>Via Transversal Sul 200 / bloco 2 apto 154 - CEP 06045420 - Novo Osasco, Osasco, São Paulo</t>
  </si>
  <si>
    <t>06045420</t>
  </si>
  <si>
    <t>29 de novembro | 13:14</t>
  </si>
  <si>
    <t>MEL44113025038LMXDF01</t>
  </si>
  <si>
    <t>2000009904340894</t>
  </si>
  <si>
    <t>2000009904342516</t>
  </si>
  <si>
    <t>274</t>
  </si>
  <si>
    <t>MLB3485514243</t>
  </si>
  <si>
    <t>Vitamina B12 - 5000mcg - 60 Cápsulas</t>
  </si>
  <si>
    <t>2000009904232964</t>
  </si>
  <si>
    <t>20 de novembro de 2024 16:01 hs.</t>
  </si>
  <si>
    <t>Lecy Carvalho Amaral</t>
  </si>
  <si>
    <t>CPF 26688263149</t>
  </si>
  <si>
    <t>SHIN Trecho 03 Núcleo Rural Jerivá entrada C Ch. 144-X 144, Brasília - CEP: 71536214, Distrito Federal</t>
  </si>
  <si>
    <t>26688263149</t>
  </si>
  <si>
    <t>SHIN Trecho 03 Núcleo Rural Jerivá entrada C Ch. 144-X 144 / CEP 71536214 - Lago Norte, Brasília, Distrito Federal</t>
  </si>
  <si>
    <t>71536214</t>
  </si>
  <si>
    <t>28 de novembro | 00:48</t>
  </si>
  <si>
    <t>30 de novembro | 11:48</t>
  </si>
  <si>
    <t>MEL44112974832LMXDF01</t>
  </si>
  <si>
    <t>2000009904110008</t>
  </si>
  <si>
    <t>20 de novembro de 2024 15:50 hs.</t>
  </si>
  <si>
    <t>Jessica Aparecida Casonatto</t>
  </si>
  <si>
    <t>CPF 31730291864</t>
  </si>
  <si>
    <t>Rua José Cúrcio 106, Campinas - CEP: 13060723, São Paulo</t>
  </si>
  <si>
    <t>31730291864</t>
  </si>
  <si>
    <t>Rua José Cúrcio 106 / CEP 13060723 - Parque Residencial Vila União, Campinas, São Paulo</t>
  </si>
  <si>
    <t>13060723</t>
  </si>
  <si>
    <t>28 de novembro | 04:42</t>
  </si>
  <si>
    <t>29 de novembro | 17:10</t>
  </si>
  <si>
    <t>MEL44112926246LMXDF01</t>
  </si>
  <si>
    <t>2000006673137747</t>
  </si>
  <si>
    <t>20 de novembro de 2024 15:25 hs.</t>
  </si>
  <si>
    <t>Germano Agenlo Favin Neto</t>
  </si>
  <si>
    <t>CPF 02828457044</t>
  </si>
  <si>
    <t>Rua Doutor Barros Cassal 542, Porto Alegre - CEP: 90035030, Rio Grande do Sul</t>
  </si>
  <si>
    <t>02828457044</t>
  </si>
  <si>
    <t>Rua Doutor Barros Cassal 542 / AP 202 Referencia: Tocar interfone no 202 - CEP 90035030 - Floresta, Porto Alegre, Rio Grande do Sul</t>
  </si>
  <si>
    <t>90035030</t>
  </si>
  <si>
    <t>30 de novembro | 11:19</t>
  </si>
  <si>
    <t>MEL44112624189LMXDF01</t>
  </si>
  <si>
    <t>2000009903849232</t>
  </si>
  <si>
    <t>20 de novembro de 2024 15:22 hs.</t>
  </si>
  <si>
    <t xml:space="preserve">Joelma De Almeida Magalhães </t>
  </si>
  <si>
    <t>CPF 78783097520</t>
  </si>
  <si>
    <t>Rua Juracy Trindade 59 - casa, Salvador - CEP: 41230540, Bahia</t>
  </si>
  <si>
    <t>78783097520</t>
  </si>
  <si>
    <t>Rua Juracy Trindade 59 / casa - CEP 41230540 - Jardim Cajazeiras, Salvador, Bahia</t>
  </si>
  <si>
    <t>41230540</t>
  </si>
  <si>
    <t>1 de dezembro | 10:23</t>
  </si>
  <si>
    <t>MEL44112805792LMXDF01</t>
  </si>
  <si>
    <t>2000009903470616</t>
  </si>
  <si>
    <t>20 de novembro de 2024 14:42 hs.</t>
  </si>
  <si>
    <t>Flavio Gama de Oliveira</t>
  </si>
  <si>
    <t>CPF 05642808796</t>
  </si>
  <si>
    <t>Rua 9 QD F LT 19 SN, Mangaratiba - CEP: 23860000, Rio de Janeiro</t>
  </si>
  <si>
    <t>05642808796</t>
  </si>
  <si>
    <t>Rua 9 QD F LT 19 SN / Cond. Fazend Muriqui Referencia: Condominio Fazenda Muriqui - OBS: Deixar na Portaria de entrega de mercadorias -  Flavio ou Dominique - CEP 23860000 - Vila Muriqui, Mangaratiba, Rio de Janeiro</t>
  </si>
  <si>
    <t>Mangaratiba</t>
  </si>
  <si>
    <t>23860000</t>
  </si>
  <si>
    <t>28 de novembro | 01:25</t>
  </si>
  <si>
    <t>29 de novembro | 15:44</t>
  </si>
  <si>
    <t>MEL44112636640LMXDF01</t>
  </si>
  <si>
    <t>2000006672708721</t>
  </si>
  <si>
    <t>20 de novembro de 2024 14:16 hs.</t>
  </si>
  <si>
    <t>Marcia Regina Iunes De Avila E Silva</t>
  </si>
  <si>
    <t>CPF 44406134115</t>
  </si>
  <si>
    <t>Quadra 204 10 - Portinari bl B ap103, Brasília - CEP: 71939540, Distrito Federal</t>
  </si>
  <si>
    <t>44406134115</t>
  </si>
  <si>
    <t>Quadra 204 10 / Portinari bl B ap103 Referencia: Residencial Portinari bloco B ap 103 - CEP 71939540 - Sul (Águas Claras), Brasília, Distrito Federal</t>
  </si>
  <si>
    <t>71939540</t>
  </si>
  <si>
    <t>30 de novembro | 10:35</t>
  </si>
  <si>
    <t>MEL44112524324LMXDF01</t>
  </si>
  <si>
    <t>2000009903154426</t>
  </si>
  <si>
    <t>20 de novembro de 2024 14:10 hs.</t>
  </si>
  <si>
    <t>Dionathan Salvian</t>
  </si>
  <si>
    <t>CPF 03716834165</t>
  </si>
  <si>
    <t>Av Eugênio Bedin 129 - kit 05 res. Zanon, Itaúba - CEP: 78510000, Mato Grosso</t>
  </si>
  <si>
    <t>03716834165</t>
  </si>
  <si>
    <t>Itaúba</t>
  </si>
  <si>
    <t>78510000</t>
  </si>
  <si>
    <t>2000009903120476</t>
  </si>
  <si>
    <t>20 de novembro de 2024 14:06 hs.</t>
  </si>
  <si>
    <t>Beatriz de Arruda Rego</t>
  </si>
  <si>
    <t>CPF 70630865108</t>
  </si>
  <si>
    <t>AV XV DE NOVEMBRO 497, Cuiabá - CEP: 78020301, Mato Grosso</t>
  </si>
  <si>
    <t>70630865108</t>
  </si>
  <si>
    <t>AV XV DE NOVEMBRO 497 / Ponto de referência: em frente ao Ponto de Onibus depo - CEP 78020301 - Porto, Cuiabá, Mato Grosso</t>
  </si>
  <si>
    <t>78020301</t>
  </si>
  <si>
    <t>2 de dezembro | 12:14</t>
  </si>
  <si>
    <t>MEL44112484776LMXDF01</t>
  </si>
  <si>
    <t>https://myaccount.mercadolivre.com.br/shipments/44112484776/detail</t>
  </si>
  <si>
    <t>2000006672566967</t>
  </si>
  <si>
    <t>20 de novembro de 2024 13:50 hs.</t>
  </si>
  <si>
    <t>JOERBSON STANGE</t>
  </si>
  <si>
    <t>CPF 10556185706</t>
  </si>
  <si>
    <t>Avenida Virgílio Simonetti 300, Boa Esperança - CEP: 29845000, Espírito Santo</t>
  </si>
  <si>
    <t>10556185706</t>
  </si>
  <si>
    <t>Avenida Virgílio Simonetti 300 / Muro De Duas Cores - CEP 29845000 - Ilmo covre, Boa Esperança, Espírito Santo</t>
  </si>
  <si>
    <t>Boa Esperança</t>
  </si>
  <si>
    <t>29845000</t>
  </si>
  <si>
    <t>29 de novembro | 16:38</t>
  </si>
  <si>
    <t>MEL44112220453LMXDF01</t>
  </si>
  <si>
    <t>2000006672552013</t>
  </si>
  <si>
    <t>20 de novembro de 2024 13:48 hs.</t>
  </si>
  <si>
    <t>Eliomar Bachefre</t>
  </si>
  <si>
    <t>CPF 05112952601</t>
  </si>
  <si>
    <t>Rua juvenal pereira marques 265 265, Araxá - CEP: 38181465, Minas Gerais</t>
  </si>
  <si>
    <t>05112952601</t>
  </si>
  <si>
    <t>Rua Alberes José Borges 230 / CEP 38181465 - Orozino Teixeira, Araxá, Minas Gerais</t>
  </si>
  <si>
    <t>Araxá</t>
  </si>
  <si>
    <t>38181465</t>
  </si>
  <si>
    <t>2 de dezembro | 15:28</t>
  </si>
  <si>
    <t>MEL44112402112LMXDF01</t>
  </si>
  <si>
    <t>2000009902884774</t>
  </si>
  <si>
    <t>20 de novembro de 2024 13:43 hs.</t>
  </si>
  <si>
    <t>Lorena Beatriz Candida de Paula</t>
  </si>
  <si>
    <t>CPF 04861910102</t>
  </si>
  <si>
    <t>Rua maria garcia castikho SN - 21, Panamá - CEP: 75580000, Goiás</t>
  </si>
  <si>
    <t>04861910102</t>
  </si>
  <si>
    <t>Rua maria garcia castikho SN / 21 Referencia: Portão marrom - CEP 75580000 - Vila biquinha, Panamá, Goiás</t>
  </si>
  <si>
    <t>Panamá</t>
  </si>
  <si>
    <t>75580000</t>
  </si>
  <si>
    <t>2 de dezembro | 17:16</t>
  </si>
  <si>
    <t>MEL44112188885LMXDF01</t>
  </si>
  <si>
    <t>2000009902816912</t>
  </si>
  <si>
    <t>20 de novembro de 2024 13:36 hs.</t>
  </si>
  <si>
    <t xml:space="preserve">Neidjane  Rodrigues Nunes </t>
  </si>
  <si>
    <t>CPF 21492423890</t>
  </si>
  <si>
    <t>Avenida José de Luna Freire 527, Mari - CEP: 58345000, Paraíba</t>
  </si>
  <si>
    <t>21492423890</t>
  </si>
  <si>
    <t>Avenida José de Luna Freire 527 / Referencia: Na Lanchonete da Tua Rô. - CEP 58345000 - centro, Mari, Paraíba</t>
  </si>
  <si>
    <t>Mari</t>
  </si>
  <si>
    <t>58345000</t>
  </si>
  <si>
    <t>2 de dezembro | 13:15</t>
  </si>
  <si>
    <t>MEL44112157421LMXDF01</t>
  </si>
  <si>
    <t>2000009902566636</t>
  </si>
  <si>
    <t>20 de novembro de 2024 13:12 hs.</t>
  </si>
  <si>
    <t>Andre Luiz Sodre Alves</t>
  </si>
  <si>
    <t>CPF 22684616884</t>
  </si>
  <si>
    <t>Avenida Laudo Natel 152 - Loja 8, Serra Negra - CEP: 13930000, São Paulo</t>
  </si>
  <si>
    <t>22684616884</t>
  </si>
  <si>
    <t>Avenida Laudo Natel 152 / Loja 8 Referencia: Lateral das lojas André cabeleireiro - CEP 13930000 - Centro, Serra Negra, São Paulo</t>
  </si>
  <si>
    <t>Serra Negra</t>
  </si>
  <si>
    <t>13930000</t>
  </si>
  <si>
    <t>29 de novembro | 10:29</t>
  </si>
  <si>
    <t>MEL44112047161LMXDF01</t>
  </si>
  <si>
    <t>2000006672336149</t>
  </si>
  <si>
    <t>fabio Figueiredo</t>
  </si>
  <si>
    <t>CPF 19696281897</t>
  </si>
  <si>
    <t>Rua Backer 414, São Paulo - CEP: 01541000, São Paulo</t>
  </si>
  <si>
    <t>19696281897</t>
  </si>
  <si>
    <t>Rua Backer 414 / Ap 133 - CEP 01541000 - Cambuci, São Paulo, São Paulo</t>
  </si>
  <si>
    <t>01541000</t>
  </si>
  <si>
    <t>MEL44112051025LMXDF01</t>
  </si>
  <si>
    <t>2000006672330609</t>
  </si>
  <si>
    <t>20 de novembro de 2024 13:11 hs.</t>
  </si>
  <si>
    <t>REGIANE A DA SILVA</t>
  </si>
  <si>
    <t>CPF 33456634811</t>
  </si>
  <si>
    <t>Rua Joaquim Gregório Rato 139, São Paulo - CEP: 04844020, São Paulo</t>
  </si>
  <si>
    <t>33456634811</t>
  </si>
  <si>
    <t>Rua Joaquim Gregório Rato 139 / A - CEP 04844020 - Jardim Edda, São Paulo, São Paulo</t>
  </si>
  <si>
    <t>04844020</t>
  </si>
  <si>
    <t>29 de novembro | 13:15</t>
  </si>
  <si>
    <t>MEL44112244106LMXDF01</t>
  </si>
  <si>
    <t>2000009902553748</t>
  </si>
  <si>
    <t>Antonia Januario da Silva</t>
  </si>
  <si>
    <t>CPF 66259274815</t>
  </si>
  <si>
    <t>Rua Tales de Mileto 180 - 1 andar apto 02, São Paulo - CEP: 03693020, São Paulo</t>
  </si>
  <si>
    <t>66259274815</t>
  </si>
  <si>
    <t>Rua Tales de Mileto 180 / 1 andar apto 02 Referencia: Paralela a AV Águia de Haia Esquina com AV Esperantina - CEP 03693020 - Jardim Coimbra, São Paulo, São Paulo</t>
  </si>
  <si>
    <t>03693020</t>
  </si>
  <si>
    <t>29 de novembro | 10:00</t>
  </si>
  <si>
    <t>MEL44112241422LMXDF01</t>
  </si>
  <si>
    <t>2000006672321165</t>
  </si>
  <si>
    <t>20 de novembro de 2024 13:09 hs.</t>
  </si>
  <si>
    <t>Giseli Garcia pereira</t>
  </si>
  <si>
    <t>CPF 04831042994</t>
  </si>
  <si>
    <t>Rua Rio Amazonas 218, Carambeí - CEP: 84145000, Paraná</t>
  </si>
  <si>
    <t>04831042994</t>
  </si>
  <si>
    <t>Rua Rio Amazonas 218 / CEP 84145000 - Boqueirão, Carambeí, Paraná</t>
  </si>
  <si>
    <t>29 de novembro | 09:40</t>
  </si>
  <si>
    <t>MEL44112233676LMXDF01</t>
  </si>
  <si>
    <t>2000009902548820</t>
  </si>
  <si>
    <t>2000009902550576</t>
  </si>
  <si>
    <t>2000009902489834</t>
  </si>
  <si>
    <t>20 de novembro de 2024 13:04 hs.</t>
  </si>
  <si>
    <t>Luciana Silva</t>
  </si>
  <si>
    <t>CPF 26574968810</t>
  </si>
  <si>
    <t>Rua Liberdade 762, Santos - CEP: 11025032, São Paulo</t>
  </si>
  <si>
    <t>26574968810</t>
  </si>
  <si>
    <t>Rua Liberdade 762 / Casa Referencia: Próximo Canal 6 - CEP 11025032 - Aparecida, Santos, São Paulo</t>
  </si>
  <si>
    <t>11025032</t>
  </si>
  <si>
    <t>28 de novembro | 04:53</t>
  </si>
  <si>
    <t>29 de novembro | 11:00</t>
  </si>
  <si>
    <t>MEL44112213740LMXDF01</t>
  </si>
  <si>
    <t>2000006672225001</t>
  </si>
  <si>
    <t>20 de novembro de 2024 12:53 hs.</t>
  </si>
  <si>
    <t>ronaldo ridolfi</t>
  </si>
  <si>
    <t>CPF 84173815620</t>
  </si>
  <si>
    <t>Rua Vereador Dgeney Diniz de Melo 145 - Apartamento 3, Poços de Caldas - CEP: 37706131, Minas Gerais</t>
  </si>
  <si>
    <t>84173815620</t>
  </si>
  <si>
    <t>Rua Vereador Dgeney Diniz de Melo 145 / Apartamento 3 Referencia: Predio amarelo - CEP 37706131 - Jardim Bandeirantes, Poços de Caldas, Minas Gerais</t>
  </si>
  <si>
    <t>Poços de Caldas</t>
  </si>
  <si>
    <t>37706131</t>
  </si>
  <si>
    <t>28 de novembro | 02:53</t>
  </si>
  <si>
    <t>29 de novembro | 11:15</t>
  </si>
  <si>
    <t>MEL44112164400LMXDF01</t>
  </si>
  <si>
    <t>2000009897975944</t>
  </si>
  <si>
    <t>20 de novembro de 2024 12:51 hs.</t>
  </si>
  <si>
    <t>Adriana Soares Cota Rodrigues</t>
  </si>
  <si>
    <t>CPF 34802494858</t>
  </si>
  <si>
    <t>Rua José de Carvalho Soares 355 - casa Referencia: rua atras da padaria do Soró, Guaratinguetá - CEP: 12507220, São Paulo</t>
  </si>
  <si>
    <t>34802494858</t>
  </si>
  <si>
    <t>Rua José de Carvalho Soares 355 / casa Referencia: rua atras da padaria do Soró - CEP 12507220 - Jardim Santa Luzia, Guaratinguetá, São Paulo</t>
  </si>
  <si>
    <t>Guaratinguetá</t>
  </si>
  <si>
    <t>12507220</t>
  </si>
  <si>
    <t>29 de novembro | 11:08</t>
  </si>
  <si>
    <t>MEL44110011861LMXDF01</t>
  </si>
  <si>
    <t>2000006671988783</t>
  </si>
  <si>
    <t>20 de novembro de 2024 12:15 hs.</t>
  </si>
  <si>
    <t>Martha Lourenco Vieira</t>
  </si>
  <si>
    <t>CPF 76022064600</t>
  </si>
  <si>
    <t>Rua Minduri 400 - 400 Ap 101 - 101, Belo Horizonte - CEP: 31080270, Minas Gerais</t>
  </si>
  <si>
    <t>76022064600</t>
  </si>
  <si>
    <t>Rua Minduri 400 / 400 Ap 101 - 101 Referencia: 101 - CEP 31080270 - Santa Inês, Belo Horizonte, Minas Gerais</t>
  </si>
  <si>
    <t>31080270</t>
  </si>
  <si>
    <t>28 de novembro | 15:23</t>
  </si>
  <si>
    <t>MEL44111995190LMXDF01</t>
  </si>
  <si>
    <t>2000009901639070</t>
  </si>
  <si>
    <t>20 de novembro de 2024 11:36 hs.</t>
  </si>
  <si>
    <t>Jair Victor</t>
  </si>
  <si>
    <t>CPF 78365481987</t>
  </si>
  <si>
    <t>Rua Antenor Geniseli Filho 90 - casa, Cordeirópolis - CEP: 13494226, São Paulo</t>
  </si>
  <si>
    <t>78365481987</t>
  </si>
  <si>
    <t>Rua Antenor Geniseli Filho 90 / casa Referencia: pracinha jardim Andrade - CEP 13494226 - distrito industrial Flamínio levy, Cordeirópolis, São Paulo</t>
  </si>
  <si>
    <t>Cordeirópolis</t>
  </si>
  <si>
    <t>13494226</t>
  </si>
  <si>
    <t>29 de novembro | 12:39</t>
  </si>
  <si>
    <t>MEL44111831656LMXDF01</t>
  </si>
  <si>
    <t>2000006671738701</t>
  </si>
  <si>
    <t>20 de novembro de 2024 11:30 hs.</t>
  </si>
  <si>
    <t>CASSIANO BERNARDES DA SILVEIRA</t>
  </si>
  <si>
    <t>CPF 05758454656</t>
  </si>
  <si>
    <t>Rua Correggio 77 - 81, São Paulo - CEP: 05630020, São Paulo</t>
  </si>
  <si>
    <t>05758454656</t>
  </si>
  <si>
    <t>Rua Correggio 77 / 81 - CEP 05630020 - Vila Suzana, São Paulo, São Paulo</t>
  </si>
  <si>
    <t>05630020</t>
  </si>
  <si>
    <t>29 de novembro | 14:44</t>
  </si>
  <si>
    <t>MEL44111609709LMXDF01</t>
  </si>
  <si>
    <t>2000009901544696</t>
  </si>
  <si>
    <t>20 de novembro de 2024 11:25 hs.</t>
  </si>
  <si>
    <t xml:space="preserve">Gicelia De Jesus Santos Ramos </t>
  </si>
  <si>
    <t>CPF 02668490596</t>
  </si>
  <si>
    <t>Povoado rancho 275 - Casa, Pacatuba - CEP: 49970000, Sergipe</t>
  </si>
  <si>
    <t>02668490596</t>
  </si>
  <si>
    <t>Povoado rancho 275 / Casa - CEP 49970000 - Zona rural, Pacatuba, Sergipe</t>
  </si>
  <si>
    <t>Pacatuba</t>
  </si>
  <si>
    <t>49970000</t>
  </si>
  <si>
    <t>2 de dezembro | 12:06</t>
  </si>
  <si>
    <t>MEL44111789464LMXDF01</t>
  </si>
  <si>
    <t>2000009901299392</t>
  </si>
  <si>
    <t>20 de novembro de 2024 11:00 hs.</t>
  </si>
  <si>
    <t>Marcia Alves da Nobrega</t>
  </si>
  <si>
    <t>CPF 64766209249</t>
  </si>
  <si>
    <t>Rua Jelcyr Canelas Porto 254 - sobrado, São Gonçalo - CEP: 24736010, Rio de Janeiro</t>
  </si>
  <si>
    <t>64766209249</t>
  </si>
  <si>
    <t>Rua Jelcyr Canelas Porto 254 / sobrado - CEP 24736010 - Pacheco, São Gonçalo, Rio de Janeiro</t>
  </si>
  <si>
    <t>24736010</t>
  </si>
  <si>
    <t>28 de novembro | 17:25</t>
  </si>
  <si>
    <t>MEL44111489119LMXDF01</t>
  </si>
  <si>
    <t>2000009901222182</t>
  </si>
  <si>
    <t>20 de novembro de 2024 10:50 hs.</t>
  </si>
  <si>
    <t>Dion Leno Dos Santos</t>
  </si>
  <si>
    <t>CPF 07064972956</t>
  </si>
  <si>
    <t>Rua Lauro Müller 27 - AG pneus, Rio do Sul - CEP: 89165451, Santa Catarina</t>
  </si>
  <si>
    <t>07064972956</t>
  </si>
  <si>
    <t>Rua Lauro Müller 27 / AG pneus - CEP 89165451 - Budag, Rio do Sul, Santa Catarina</t>
  </si>
  <si>
    <t>Rio do Sul</t>
  </si>
  <si>
    <t>89165451</t>
  </si>
  <si>
    <t>2 de dezembro | 14:30</t>
  </si>
  <si>
    <t>MEL44111645684LMXDF01</t>
  </si>
  <si>
    <t>2000006671202375</t>
  </si>
  <si>
    <t>20 de novembro de 2024 09:46 hs.</t>
  </si>
  <si>
    <t>EDUARDO Ihemis</t>
  </si>
  <si>
    <t>CPF 15457947823</t>
  </si>
  <si>
    <t>RUA PROFESSOR JOÃO LUIZ DE CAMPOS 354, Jundiaí - CEP: 13202451, São Paulo</t>
  </si>
  <si>
    <t>15457947823</t>
  </si>
  <si>
    <t>RUA PROFESSOR JOÃO LUIZ DE CAMPOS 354 / Esquina com Gaspari Sobrinho, 26A - CEP 13202451 - Vila Vianelo, Jundiaí, São Paulo</t>
  </si>
  <si>
    <t>13202451</t>
  </si>
  <si>
    <t>5 de dezembro | 09:13</t>
  </si>
  <si>
    <t>MEL44111392932LMXDF01</t>
  </si>
  <si>
    <t>https://myaccount.mercadolivre.com.br/shipments/44111392932/detail</t>
  </si>
  <si>
    <t>2000006671107885</t>
  </si>
  <si>
    <t>20 de novembro de 2024 09:21 hs.</t>
  </si>
  <si>
    <t>Ralenes Oselame</t>
  </si>
  <si>
    <t>CPF 94530572587</t>
  </si>
  <si>
    <t>Rua São Paulo 298 298, Barreiras - CEP: 47810668, Bahia</t>
  </si>
  <si>
    <t>94530572587</t>
  </si>
  <si>
    <t>Rua Turmalina 528 / Casa Sobrado - CEP 47811075 - Bela Vista, Barreiras, Bahia</t>
  </si>
  <si>
    <t>Barreiras</t>
  </si>
  <si>
    <t>47811075</t>
  </si>
  <si>
    <t>3 de dezembro | 09:38</t>
  </si>
  <si>
    <t>MEL44111120617LMXDF01</t>
  </si>
  <si>
    <t>2000009900503236</t>
  </si>
  <si>
    <t>raivery antonio adami adami</t>
  </si>
  <si>
    <t>CPF 01556771878</t>
  </si>
  <si>
    <t>Rua Jorge Pimentel 625, Bauru - CEP: 17047010, São Paulo</t>
  </si>
  <si>
    <t>01556771878</t>
  </si>
  <si>
    <t>Rua Jorge Pimentel 625 / CEP 17047010 - Vila Engler, Bauru, São Paulo</t>
  </si>
  <si>
    <t>17047010</t>
  </si>
  <si>
    <t>29 de novembro | 13:52</t>
  </si>
  <si>
    <t>MEL44111314242LMXDF01</t>
  </si>
  <si>
    <t>2000009900514634</t>
  </si>
  <si>
    <t>Eunice Lucia</t>
  </si>
  <si>
    <t>CPF 04101983666</t>
  </si>
  <si>
    <t>Avenida Vasco da Gama 570, Coronel Fabriciano - CEP: 35171290, Minas Gerais</t>
  </si>
  <si>
    <t>04101983666</t>
  </si>
  <si>
    <t>Avenida Vasco da Gama 570 / CEP 35171290 - Mangueiras, Coronel Fabriciano, Minas Gerais</t>
  </si>
  <si>
    <t>Coronel Fabriciano</t>
  </si>
  <si>
    <t>35171290</t>
  </si>
  <si>
    <t>29 de novembro | 09:27</t>
  </si>
  <si>
    <t>MEL44111120913LMXDF01</t>
  </si>
  <si>
    <t>2000006671027329</t>
  </si>
  <si>
    <t>20 de novembro de 2024 08:59 hs.</t>
  </si>
  <si>
    <t>Valter Carvalho</t>
  </si>
  <si>
    <t>CPF 10371905800</t>
  </si>
  <si>
    <t>Avenida Miguel Yunes 485 - Torre 1 - Apto 143, São Paulo - CEP: 04444000, São Paulo</t>
  </si>
  <si>
    <t>10371905800</t>
  </si>
  <si>
    <t>Avenida Miguel Yunes 485 / Torre 1 - Apto 143 - CEP 04444000 - Usina Piratininga, São Paulo, São Paulo</t>
  </si>
  <si>
    <t>04444000</t>
  </si>
  <si>
    <t>29 de novembro | 15:34</t>
  </si>
  <si>
    <t>MEL44111251512LMXDF01</t>
  </si>
  <si>
    <t>2000006671015835</t>
  </si>
  <si>
    <t>20 de novembro de 2024 08:55 hs.</t>
  </si>
  <si>
    <t>Matheus Contiliani Dos Santos</t>
  </si>
  <si>
    <t>CPF 46620292879</t>
  </si>
  <si>
    <t>Rua Moacyr Nogueira do Valle 20 - casa 20 ou 11, Serrana - CEP: 14150000, São Paulo</t>
  </si>
  <si>
    <t>46620292879</t>
  </si>
  <si>
    <t>Rua Moacyr Nogueira do Valle 20 / casa 20 ou 11 Referencia: Pode entregar no 20 ou no 11. - CEP 14150000 - Jd. Boa Esperança II, Serrana, São Paulo</t>
  </si>
  <si>
    <t>Serrana</t>
  </si>
  <si>
    <t>14150000</t>
  </si>
  <si>
    <t>29 de novembro | 14:57</t>
  </si>
  <si>
    <t>MEL44111047563LMXDF01</t>
  </si>
  <si>
    <t>2000009900360210</t>
  </si>
  <si>
    <t>2000009900358630</t>
  </si>
  <si>
    <t>2000009900052744</t>
  </si>
  <si>
    <t>20 de novembro de 2024 07:49 hs.</t>
  </si>
  <si>
    <t>Marcela Oliveira</t>
  </si>
  <si>
    <t>CPF 04675744486</t>
  </si>
  <si>
    <t>Rua Santa Cecília 50, Teotônio Vilela - CEP: 57266128, Alagoas</t>
  </si>
  <si>
    <t>04675744486</t>
  </si>
  <si>
    <t>Rua Santa Cecília 50 / Referencia: próximo a escola Jesus Bom Pastor.  próximo ao restaurante Menestrel - CEP 57266128 - São Miguel, Teotônio Vilela, Alagoas</t>
  </si>
  <si>
    <t>Teotônio Vilela</t>
  </si>
  <si>
    <t>57266128</t>
  </si>
  <si>
    <t>2 de dezembro | 14:41</t>
  </si>
  <si>
    <t>MEL44110902207LMXDF01</t>
  </si>
  <si>
    <t>2000009899972868</t>
  </si>
  <si>
    <t>20 de novembro de 2024 07:23 hs.</t>
  </si>
  <si>
    <t>Chegou em 27 de novembro</t>
  </si>
  <si>
    <t>Joana Nogueira Altino de Barros</t>
  </si>
  <si>
    <t>CPF 03297065788</t>
  </si>
  <si>
    <t>José Pereira de Carvalho 6 - Em frente o depósito de carvão da Nelza, Califórnia da Barra - CEP: 27163000, Rio de Janeiro</t>
  </si>
  <si>
    <t>03297065788</t>
  </si>
  <si>
    <t>José Pereira de Carvalho 6 / Em frente o depósito de carvão da Nelza - CEP 27163000 - Califórnia da Barra, Califórnia da Barra, Rio de Janeiro</t>
  </si>
  <si>
    <t>Califórnia da Barra</t>
  </si>
  <si>
    <t>27163000</t>
  </si>
  <si>
    <t>27 de novembro | 01:13</t>
  </si>
  <si>
    <t>27 de novembro | 12:24</t>
  </si>
  <si>
    <t>MEL44111056198LMXDF01</t>
  </si>
  <si>
    <t>2000009899947194</t>
  </si>
  <si>
    <t>20 de novembro de 2024 07:15 hs.</t>
  </si>
  <si>
    <t>CARLA PEREIRA QUINTÃO</t>
  </si>
  <si>
    <t>CPF 08358687702</t>
  </si>
  <si>
    <t>Avenida Acidalia Vieira Knust 21, Ibitirama - CEP: 29540000, Espírito Santo</t>
  </si>
  <si>
    <t>08358687702</t>
  </si>
  <si>
    <t>Avenida Acidalia Vieira Knust 21 / CEP 29540000 - SANTA BÁRBARA, Ibitirama, Espírito Santo</t>
  </si>
  <si>
    <t>Ibitirama</t>
  </si>
  <si>
    <t>29540000</t>
  </si>
  <si>
    <t>27 de novembro | 03:48</t>
  </si>
  <si>
    <t>28 de novembro | 16:13</t>
  </si>
  <si>
    <t>MEL44111045664LMXDF01</t>
  </si>
  <si>
    <t>2000006670475413</t>
  </si>
  <si>
    <t>20 de novembro de 2024 02:14 hs.</t>
  </si>
  <si>
    <t>viviane ferreira</t>
  </si>
  <si>
    <t>CPF 03306466484</t>
  </si>
  <si>
    <t>Rua Expedicionário José Viana da Silva 162 162, Palmeira dos Índios - CEP: 57603100, Alagoas</t>
  </si>
  <si>
    <t>03306466484</t>
  </si>
  <si>
    <t>Rua Expedicionário José Viana da Silva 162 / Juca Sampaio Referencia: Juca Sampaio - CEP 57603100 - Juca Sampaio, Palmeira dos Índios, Alagoas</t>
  </si>
  <si>
    <t>Palmeira dos Índios</t>
  </si>
  <si>
    <t>57603100</t>
  </si>
  <si>
    <t>27 de novembro | 04:47</t>
  </si>
  <si>
    <t>MEL44110601157LMXDF01</t>
  </si>
  <si>
    <t>2000009899412482</t>
  </si>
  <si>
    <t>2000009899420016</t>
  </si>
  <si>
    <t>2000009899022378</t>
  </si>
  <si>
    <t>20 de novembro de 2024 00:40 hs.</t>
  </si>
  <si>
    <t>Jose Roberto Botta</t>
  </si>
  <si>
    <t>CPF 21274003806</t>
  </si>
  <si>
    <t>Rua Martins Fontes 268 - Apto 508, São Paulo - CEP: 01050000, São Paulo</t>
  </si>
  <si>
    <t>21274003806</t>
  </si>
  <si>
    <t>01050000</t>
  </si>
  <si>
    <t>MEL44110445085FMXDF01</t>
  </si>
  <si>
    <t>2000006670160837</t>
  </si>
  <si>
    <t>20 de novembro de 2024 00:27 hs.</t>
  </si>
  <si>
    <t>Mariana Do Amaral</t>
  </si>
  <si>
    <t>CPF 08511914951</t>
  </si>
  <si>
    <t>Rua José Quirino 202, Itajaí - CEP: 88305060, Santa Catarina</t>
  </si>
  <si>
    <t>08511914951</t>
  </si>
  <si>
    <t>Rua José Quirino 202 / Referencia: Pode entregar até às 21 hrs - CEP 88305060 - São João, Itajaí, Santa Catarina</t>
  </si>
  <si>
    <t>88305060</t>
  </si>
  <si>
    <t>27 de novembro | 05:42</t>
  </si>
  <si>
    <t>28 de novembro | 15:22</t>
  </si>
  <si>
    <t>MEL44110610932LMXDF01</t>
  </si>
  <si>
    <t>2000006669661637</t>
  </si>
  <si>
    <t>19 de novembro de 2024 22:41 hs.</t>
  </si>
  <si>
    <t>Devolução em mediação com o Mercado Livre</t>
  </si>
  <si>
    <t>Intervimos para ajudar. Vamos te escrever antes de quarta-feira, 18 de dezembro.</t>
  </si>
  <si>
    <t>Ana Paula Fernandes Dos Santos</t>
  </si>
  <si>
    <t>CPF 08664326630</t>
  </si>
  <si>
    <t>Rua Geraldo Emílio Colares 53 - casa A, Betim - CEP: 32604128, Minas Gerais</t>
  </si>
  <si>
    <t>08664326630</t>
  </si>
  <si>
    <t>2000009898121174</t>
  </si>
  <si>
    <t>19 de novembro de 2024 22:34 hs.</t>
  </si>
  <si>
    <t>Devolução para revisar até segunda-feira</t>
  </si>
  <si>
    <t>Se você não nos avisar dentro do prazo como o produto chegou, vamos entender que você o recebeu conforme o esperado.</t>
  </si>
  <si>
    <t>Priscila da Silva Soares</t>
  </si>
  <si>
    <t>CPF 10791784738</t>
  </si>
  <si>
    <t>Rua Luiz Teixeira 240 - casa, Nova Iguaçu - CEP: 26277830, Rio de Janeiro</t>
  </si>
  <si>
    <t>10791784738</t>
  </si>
  <si>
    <t>11 de dezembro | 02:25</t>
  </si>
  <si>
    <t>11 de dezembro | 16:24</t>
  </si>
  <si>
    <t>MEL44175397734LMXDR01</t>
  </si>
  <si>
    <t>2000009897937258</t>
  </si>
  <si>
    <t>19 de novembro de 2024 22:14 hs.</t>
  </si>
  <si>
    <t>Jovana Treu</t>
  </si>
  <si>
    <t>CPF 28754673879</t>
  </si>
  <si>
    <t>Avenida Senador Pinheiro Machado 839 - Ap 92, Santos - CEP: 11075003, São Paulo</t>
  </si>
  <si>
    <t>28754673879</t>
  </si>
  <si>
    <t>Avenida Senador Pinheiro Machado 839 / Ap 92 Referencia: Edifico Louvre bem no canal 01 - CEP 11075003 - Campo Grande, Santos, São Paulo</t>
  </si>
  <si>
    <t>11075003</t>
  </si>
  <si>
    <t>28 de novembro | 09:57</t>
  </si>
  <si>
    <t>MEL44110186822LMXDF01</t>
  </si>
  <si>
    <t>2000006669445141</t>
  </si>
  <si>
    <t>19 de novembro de 2024 22:01 hs.</t>
  </si>
  <si>
    <t>Aline da silva martins</t>
  </si>
  <si>
    <t>CPF 78941300282</t>
  </si>
  <si>
    <t>Rua Chaves 34 - apartamento 203, Belém - CEP: 66620060, Pará</t>
  </si>
  <si>
    <t>78941300282</t>
  </si>
  <si>
    <t>Rua Chaves 34 / apartamento 203 - CEP 66620060 - Marambaia, Belém, Pará</t>
  </si>
  <si>
    <t>66620060</t>
  </si>
  <si>
    <t>27 de novembro | 02:57</t>
  </si>
  <si>
    <t>1 de dezembro | 08:19</t>
  </si>
  <si>
    <t>MEL44110137258LMXDF01</t>
  </si>
  <si>
    <t>2000006669331411</t>
  </si>
  <si>
    <t>19 de novembro de 2024 21:42 hs.</t>
  </si>
  <si>
    <t>Maria Das Merces Oliveira Maia</t>
  </si>
  <si>
    <t>CPF 48008699191</t>
  </si>
  <si>
    <t>Rua 01 92 - Q.R, L09A, Porangatu - CEP: 76550000, Goiás</t>
  </si>
  <si>
    <t>48008699191</t>
  </si>
  <si>
    <t>Rua 01 92 / Q.R, L09A - CEP 76550000 - vila operária, Porangatu, Goiás</t>
  </si>
  <si>
    <t>Porangatu</t>
  </si>
  <si>
    <t>76550000</t>
  </si>
  <si>
    <t>27 de novembro | 00:52</t>
  </si>
  <si>
    <t>29 de novembro | 17:51</t>
  </si>
  <si>
    <t>MEL44109861873LMXDF01</t>
  </si>
  <si>
    <t>2000006669301419</t>
  </si>
  <si>
    <t>19 de novembro de 2024 21:36 hs.</t>
  </si>
  <si>
    <t>claudia regina</t>
  </si>
  <si>
    <t>CPF 76849422987</t>
  </si>
  <si>
    <t>Rua Luciano Salkovski 51 - sobrado, Curitiba - CEP: 81850670, Paraná</t>
  </si>
  <si>
    <t>76849422987</t>
  </si>
  <si>
    <t>Rua Luciano Salkovski 51 / sobrado Referencia: referência ponto final do ônibus Santa Inês - CEP 81850670 - Alto Boqueirão, Curitiba, Paraná</t>
  </si>
  <si>
    <t>81850670</t>
  </si>
  <si>
    <t>27 de novembro | 05:50</t>
  </si>
  <si>
    <t>28 de novembro | 18:27</t>
  </si>
  <si>
    <t>MEL44109840395LMXDF01</t>
  </si>
  <si>
    <t>2000006669294547</t>
  </si>
  <si>
    <t>19 de novembro de 2024 21:35 hs.</t>
  </si>
  <si>
    <t xml:space="preserve">Maxcione  Marreiros </t>
  </si>
  <si>
    <t>CPF 77528328391</t>
  </si>
  <si>
    <t>Rua da Malvina SN - Prox .posto de Taxi, Bacabeira - CEP: 65143000, Maranhão</t>
  </si>
  <si>
    <t>77528328391</t>
  </si>
  <si>
    <t>Rua da Malvina SN / Prox .posto de Taxi Referencia: Rua da faixa - CEP 65143000 - Centro, Bacabeira, Maranhão</t>
  </si>
  <si>
    <t>Bacabeira</t>
  </si>
  <si>
    <t>65143000</t>
  </si>
  <si>
    <t>27 de novembro | 05:55</t>
  </si>
  <si>
    <t>1 de dezembro | 12:48</t>
  </si>
  <si>
    <t>MEL44110032972LMXDF01</t>
  </si>
  <si>
    <t>2000009897480588</t>
  </si>
  <si>
    <t>19 de novembro de 2024 21:27 hs.</t>
  </si>
  <si>
    <t>Sivonei Tereza Bueno</t>
  </si>
  <si>
    <t>CPF 93483724249</t>
  </si>
  <si>
    <t>Rua Valneir Nunes 4516, Urupá - CEP: 76929000, Rondônia</t>
  </si>
  <si>
    <t>93483724249</t>
  </si>
  <si>
    <t>Rua Valneir Nunes 4516 / CEP 76929000 - alto alegre, Urupá, Rondônia</t>
  </si>
  <si>
    <t>Urupá</t>
  </si>
  <si>
    <t>76929000</t>
  </si>
  <si>
    <t>27 de novembro | 02:55</t>
  </si>
  <si>
    <t>MEL44109789629LMXDF01</t>
  </si>
  <si>
    <t>2000006669214043</t>
  </si>
  <si>
    <t>19 de novembro de 2024 21:21 hs.</t>
  </si>
  <si>
    <t>alexdelimabrandao alexdelimabrandao</t>
  </si>
  <si>
    <t>CPF 00545870186</t>
  </si>
  <si>
    <t>Qd 204 LT 9 bl b AP 503 Ed Millenium 503, Brasília - CEP: 71939540, Distrito Federal</t>
  </si>
  <si>
    <t>00545870186</t>
  </si>
  <si>
    <t>Qd 204 LT 9 bl b AP 503 Ed Millenium 503 / LT 9 bl b AP 503 - CEP 71939540 - Sul (Águas Claras), Brasília, Distrito Federal</t>
  </si>
  <si>
    <t>29 de novembro | 08:55</t>
  </si>
  <si>
    <t>MEL44109778649LMXDF01</t>
  </si>
  <si>
    <t>2000009897319698</t>
  </si>
  <si>
    <t>19 de novembro de 2024 21:08 hs.</t>
  </si>
  <si>
    <t>Barbara Luzia Viana Araujo</t>
  </si>
  <si>
    <t>CPF 00929374380</t>
  </si>
  <si>
    <t>Avenida Santa Cecília 2700, Eusébio - CEP: 61770570, Ceará</t>
  </si>
  <si>
    <t>00929374380</t>
  </si>
  <si>
    <t>Avenida Santa Cecília 2700 / CASA 18 VILA UMBRIA - CEP 61770570 - Guaribas, Eusébio, Ceará</t>
  </si>
  <si>
    <t>Eusébio</t>
  </si>
  <si>
    <t>61770570</t>
  </si>
  <si>
    <t>1 de dezembro | 11:49</t>
  </si>
  <si>
    <t>MEL44109726335LMXDF01</t>
  </si>
  <si>
    <t>2000009896621332</t>
  </si>
  <si>
    <t>19 de novembro de 2024 19:55 hs.</t>
  </si>
  <si>
    <t>Vanessa Ribeiro da Silva</t>
  </si>
  <si>
    <t>CPF 06146906506</t>
  </si>
  <si>
    <t>Quarta iJ 37 - mercado, Casa Nova - CEP: 47300000, Bahia</t>
  </si>
  <si>
    <t>06146906506</t>
  </si>
  <si>
    <t>Quarta iJ 37 / mercado Referencia: Rua da delegacia, próximo a praça do Luizinho - CEP 47300000 - centro, Casa Nova, Bahia</t>
  </si>
  <si>
    <t>27 de novembro | 02:53</t>
  </si>
  <si>
    <t>30 de novembro | 21:07</t>
  </si>
  <si>
    <t>MEL44109609532LMXDF01</t>
  </si>
  <si>
    <t>2000009896579098</t>
  </si>
  <si>
    <t>19 de novembro de 2024 19:50 hs.</t>
  </si>
  <si>
    <t>glaucia rodrigues</t>
  </si>
  <si>
    <t>CPF 28532296882</t>
  </si>
  <si>
    <t>Rua Joaquim Leal 218, São Paulo - CEP: 08031590, São Paulo</t>
  </si>
  <si>
    <t>28532296882</t>
  </si>
  <si>
    <t>Rua Joaquim Leal 218 / CEP 08031590 - Vila Curuçá, São Paulo, São Paulo</t>
  </si>
  <si>
    <t>08031590</t>
  </si>
  <si>
    <t>28 de novembro | 13:34</t>
  </si>
  <si>
    <t>MEL44109588652LMXDF01</t>
  </si>
  <si>
    <t>2000009896405136</t>
  </si>
  <si>
    <t>19 de novembro de 2024 19:34 hs.</t>
  </si>
  <si>
    <t>Andressa Carolina</t>
  </si>
  <si>
    <t>CPF 10725952490</t>
  </si>
  <si>
    <t>R zeferino benedito de souza 8, João Câmara - CEP: 59550000, Rio Grande do Norte</t>
  </si>
  <si>
    <t>10725952490</t>
  </si>
  <si>
    <t>R zeferino benedito de souza 8 / Referencia: Sim - CEP 59550000 - Bela vista, João Câmara, Rio Grande do Norte</t>
  </si>
  <si>
    <t>João Câmara</t>
  </si>
  <si>
    <t>Rio Grande do Norte</t>
  </si>
  <si>
    <t>59550000</t>
  </si>
  <si>
    <t>1 de dezembro | 09:45</t>
  </si>
  <si>
    <t>MEL44109318025LMXDF01</t>
  </si>
  <si>
    <t>2000009896360472</t>
  </si>
  <si>
    <t>19 de novembro de 2024 19:32 hs.</t>
  </si>
  <si>
    <t>Elder Gonçalves</t>
  </si>
  <si>
    <t>CPF 00098384147</t>
  </si>
  <si>
    <t>Travessa Água Férrea 8 - Travessa em frente o hotel Araguaia, Goiás - CEP: 76600000, Goiás</t>
  </si>
  <si>
    <t>00098384147</t>
  </si>
  <si>
    <t>Travessa Água Férrea 8 / Travessa em frente o hotel Araguaia Referencia: Travessa em frente o hotel Araguaia - CEP 76600000 - Centro, Goiás, Goiás</t>
  </si>
  <si>
    <t>76600000</t>
  </si>
  <si>
    <t>29 de novembro | 15:39</t>
  </si>
  <si>
    <t>MEL44109297023LMXDF01</t>
  </si>
  <si>
    <t>2000009896342584</t>
  </si>
  <si>
    <t>19 de novembro de 2024 19:28 hs.</t>
  </si>
  <si>
    <t>Tiago Leite  Machado</t>
  </si>
  <si>
    <t>CPF 07851179971</t>
  </si>
  <si>
    <t>Rua Evaldo Mozarti da Rocha 570, Lidianópolis - CEP: 86865000, Paraná</t>
  </si>
  <si>
    <t>07851179971</t>
  </si>
  <si>
    <t>Rua Evaldo Mozarti da Rocha 570 / Casa - CEP 86865000 - Centro, Lidianópolis, Paraná</t>
  </si>
  <si>
    <t>Lidianópolis</t>
  </si>
  <si>
    <t>86865000</t>
  </si>
  <si>
    <t>27 de novembro | 05:41</t>
  </si>
  <si>
    <t>29 de novembro | 17:11</t>
  </si>
  <si>
    <t>MEL44109484704LMXDF01</t>
  </si>
  <si>
    <t>2000009895309106</t>
  </si>
  <si>
    <t>19 de novembro de 2024 17:37 hs.</t>
  </si>
  <si>
    <t>Tiago Augusto Julio</t>
  </si>
  <si>
    <t>CPF 11061905640</t>
  </si>
  <si>
    <t>Rua Rubi Bairro Vila Lourdes 83, Mário Campos - CEP: 32470000, Minas Gerais</t>
  </si>
  <si>
    <t>11061905640</t>
  </si>
  <si>
    <t>Rua Rubi Bairro Vila Lourdes 83 / casa - CEP 32470000 - Mário Campos, Mário Campos, Minas Gerais</t>
  </si>
  <si>
    <t>Mário Campos</t>
  </si>
  <si>
    <t>32470000</t>
  </si>
  <si>
    <t>27 de novembro | 01:54</t>
  </si>
  <si>
    <t>28 de novembro | 14:21</t>
  </si>
  <si>
    <t>MEL44109018926LMXDF01</t>
  </si>
  <si>
    <t>2000006667938259</t>
  </si>
  <si>
    <t>19 de novembro de 2024 17:36 hs.</t>
  </si>
  <si>
    <t>Maria Susi Dos Santos Barbosa</t>
  </si>
  <si>
    <t>CPF 95924329291</t>
  </si>
  <si>
    <t>Avenida Jucelino Kubstchek 5393 5393, Cacoal - CEP: 76969053, Rondônia</t>
  </si>
  <si>
    <t>95924329291</t>
  </si>
  <si>
    <t>Avenida Jucelino Kubstchek 5393 / casa Referencia: próximo a escola nossa senhora do carmo - CEP 76969053 - Riozinho, Cacoal, Rondônia</t>
  </si>
  <si>
    <t>Cacoal</t>
  </si>
  <si>
    <t>76969053</t>
  </si>
  <si>
    <t>27 de novembro | 02:58</t>
  </si>
  <si>
    <t>2 de dezembro | 11:42</t>
  </si>
  <si>
    <t>MEL44109018166LMXDF01</t>
  </si>
  <si>
    <t>2000006667752621</t>
  </si>
  <si>
    <t>19 de novembro de 2024 17:06 hs.</t>
  </si>
  <si>
    <t>Rua Turmalina 528 - Casa Sobrado, Barreiras - CEP: 47811075, Bahia</t>
  </si>
  <si>
    <t>2000006667745473</t>
  </si>
  <si>
    <t>19 de novembro de 2024 17:03 hs.</t>
  </si>
  <si>
    <t>Cleidson Alves Lemos</t>
  </si>
  <si>
    <t>CPF 02717188541</t>
  </si>
  <si>
    <t>Avenida AVENIDA SADY TEIXEIRA LISBOA 373 - casa, Itanhém - CEP: 45970000, Bahia</t>
  </si>
  <si>
    <t>02717188541</t>
  </si>
  <si>
    <t>Avenida AVENIDA SADY TEIXEIRA LISBOA 373 / casa Referencia: caso não tenha ninguém em casa, entregar na mercearia opção - CEP 45970000 - são João, Itanhém, Bahia</t>
  </si>
  <si>
    <t>Itanhém</t>
  </si>
  <si>
    <t>45970000</t>
  </si>
  <si>
    <t>27 de novembro | 05:49</t>
  </si>
  <si>
    <t>29 de novembro | 09:30</t>
  </si>
  <si>
    <t>MEL44108872776LMXDF01</t>
  </si>
  <si>
    <t>2000009894655732</t>
  </si>
  <si>
    <t>19 de novembro de 2024 16:30 hs.</t>
  </si>
  <si>
    <t>2000006667325227</t>
  </si>
  <si>
    <t>19 de novembro de 2024 15:58 hs.</t>
  </si>
  <si>
    <t>Poliane Simalha de Araújo Losila</t>
  </si>
  <si>
    <t>CPF 33629442803</t>
  </si>
  <si>
    <t>Rua Capitão João Antônio 1030 - 007B, Bauru - CEP: 17013033, São Paulo</t>
  </si>
  <si>
    <t>33629442803</t>
  </si>
  <si>
    <t>Rua Capitão João Antônio 1030 / 007B Referencia: Ed. Jardins de Higienópolis - CEP 17013033 - Vila Santo Antônio, Bauru, São Paulo</t>
  </si>
  <si>
    <t>17013033</t>
  </si>
  <si>
    <t>28 de novembro | 12:29</t>
  </si>
  <si>
    <t>MEL44108546712LMXDF01</t>
  </si>
  <si>
    <t>2000009893508940</t>
  </si>
  <si>
    <t>19 de novembro de 2024 14:37 hs.</t>
  </si>
  <si>
    <t>Caio Henrique de Rosa Buzato</t>
  </si>
  <si>
    <t>CPF 40790172860</t>
  </si>
  <si>
    <t>Rua Francisco Bertoloto 50, Vargem Grande do Sul - CEP: 13880000, São Paulo</t>
  </si>
  <si>
    <t>40790172860</t>
  </si>
  <si>
    <t>Rua Francisco Bertoloto 50 / CEP 13880000 - Jardim santo Expedito, Vargem Grande do Sul, São Paulo</t>
  </si>
  <si>
    <t>Vargem Grande do Sul</t>
  </si>
  <si>
    <t>13880000</t>
  </si>
  <si>
    <t>28 de novembro | 10:29</t>
  </si>
  <si>
    <t>MEL44108153980LMXDF01</t>
  </si>
  <si>
    <t>2000009892737612</t>
  </si>
  <si>
    <t>19 de novembro de 2024 13:25 hs.</t>
  </si>
  <si>
    <t>Antonio Dos Reis Muniz</t>
  </si>
  <si>
    <t>CPF 79227384553</t>
  </si>
  <si>
    <t>Rua da rodagem 36, São Roque do Paraguaçu - CEP: 44428000, Bahia</t>
  </si>
  <si>
    <t>79227384553</t>
  </si>
  <si>
    <t>Rua da rodagem 36 / CEP 44428000 - São Roque, São Roque do Paraguaçu, Bahia</t>
  </si>
  <si>
    <t>São Roque do Paraguaçu</t>
  </si>
  <si>
    <t>44428000</t>
  </si>
  <si>
    <t>27 de novembro | 04:50</t>
  </si>
  <si>
    <t>30 de novembro | 17:33</t>
  </si>
  <si>
    <t>MEL44107608263LMXDF01</t>
  </si>
  <si>
    <t>2000009892703200</t>
  </si>
  <si>
    <t>19 de novembro de 2024 13:21 hs.</t>
  </si>
  <si>
    <t>Elaine Cristina Estevan Cavallini</t>
  </si>
  <si>
    <t>CPF 26057797850</t>
  </si>
  <si>
    <t>Rua Cônego Araújo Marcondes 126 - Casa 4, São Paulo - CEP: 02550080, São Paulo</t>
  </si>
  <si>
    <t>26057797850</t>
  </si>
  <si>
    <t>02550080</t>
  </si>
  <si>
    <t>2000009892690760</t>
  </si>
  <si>
    <t>19 de novembro de 2024 13:20 hs.</t>
  </si>
  <si>
    <t>Jaqueline Alves Medeiros Soares</t>
  </si>
  <si>
    <t>CPF 37792484840</t>
  </si>
  <si>
    <t>Rua Joana Cherobina 84, Sumaré - CEP: 13173424, São Paulo</t>
  </si>
  <si>
    <t>37792484840</t>
  </si>
  <si>
    <t>Rua Joana Cherobina 84 / CEP 13173424 - Residencial Bordon, Sumaré, São Paulo</t>
  </si>
  <si>
    <t>Sumaré</t>
  </si>
  <si>
    <t>13173424</t>
  </si>
  <si>
    <t>28 de novembro | 15:11</t>
  </si>
  <si>
    <t>MEL44107579723LMXDF01</t>
  </si>
  <si>
    <t>2000006666207609</t>
  </si>
  <si>
    <t>19 de novembro de 2024 13:07 hs.</t>
  </si>
  <si>
    <t>Max de Jesus Morais da Silva</t>
  </si>
  <si>
    <t>CPF 01268315214</t>
  </si>
  <si>
    <t>Rua 25 De Agosto 5225 - Casa, Americano - CEP: 68792000, Pará</t>
  </si>
  <si>
    <t>01268315214</t>
  </si>
  <si>
    <t>Rua 25 De Agosto 5225 / Casa - CEP 68792000 - Americano, Americano, Pará</t>
  </si>
  <si>
    <t>Americano</t>
  </si>
  <si>
    <t>68792000</t>
  </si>
  <si>
    <t>27 de novembro | 05:54</t>
  </si>
  <si>
    <t>29 de novembro | 11:53</t>
  </si>
  <si>
    <t>MEL44107713752LMXDF01</t>
  </si>
  <si>
    <t>2000006666086509</t>
  </si>
  <si>
    <t>19 de novembro de 2024 12:48 hs.</t>
  </si>
  <si>
    <t>Beatriz Ds</t>
  </si>
  <si>
    <t>CPF 06968455390</t>
  </si>
  <si>
    <t>Rua Alfredo Ferreira Vale 382, Tauá - CEP: 63660000, Ceará</t>
  </si>
  <si>
    <t>06968455390</t>
  </si>
  <si>
    <t>Rua Alfredo Ferreira Vale 382 / CEP 63660000 - Tauá, Tauá, Ceará</t>
  </si>
  <si>
    <t>Tauá</t>
  </si>
  <si>
    <t>63660000</t>
  </si>
  <si>
    <t>1 de dezembro | 16:55</t>
  </si>
  <si>
    <t>MEL44107624898LMXDF01</t>
  </si>
  <si>
    <t>2000009891966110</t>
  </si>
  <si>
    <t>19 de novembro de 2024 12:11 hs.</t>
  </si>
  <si>
    <t>Sara Roberta</t>
  </si>
  <si>
    <t>CPF 14331882608</t>
  </si>
  <si>
    <t>Rua Piauí 155, Vespasiano - CEP: 33200614, Minas Gerais</t>
  </si>
  <si>
    <t>14331882608</t>
  </si>
  <si>
    <t>Rua Piauí 155 / CEP 33200614 - Célvia, Vespasiano, Minas Gerais</t>
  </si>
  <si>
    <t>Vespasiano</t>
  </si>
  <si>
    <t>33200614</t>
  </si>
  <si>
    <t>27 de novembro | 01:21</t>
  </si>
  <si>
    <t>27 de novembro | 17:18</t>
  </si>
  <si>
    <t>MEL44107441720LMXDF01</t>
  </si>
  <si>
    <t>2000009891844854</t>
  </si>
  <si>
    <t>19 de novembro de 2024 11:58 hs.</t>
  </si>
  <si>
    <t>Izabella Carine Lopes Filgueiras</t>
  </si>
  <si>
    <t>CPF 84182156587</t>
  </si>
  <si>
    <t>Rua Graúna 200 - Casa 02, Porto Seguro - CEP: 45810000, Bahia</t>
  </si>
  <si>
    <t>84182156587</t>
  </si>
  <si>
    <t>Rua Graúna 200 / Casa 02 Referencia: Rua da Embasa - CEP 45810000 - Paraíso dos Pataxós, Porto Seguro, Bahia</t>
  </si>
  <si>
    <t>Porto Seguro</t>
  </si>
  <si>
    <t>45810000</t>
  </si>
  <si>
    <t>30 de novembro | 13:48</t>
  </si>
  <si>
    <t>MEL44107192889LMXDF01</t>
  </si>
  <si>
    <t>2000009891700034</t>
  </si>
  <si>
    <t>19 de novembro de 2024 11:43 hs.</t>
  </si>
  <si>
    <t>Alessandra Donizeti Custodio Miessa</t>
  </si>
  <si>
    <t>CPF 16000053819</t>
  </si>
  <si>
    <t>Rua Paulo César Cardoso 26, Sertãozinho - CEP: 14177141, São Paulo</t>
  </si>
  <si>
    <t>16000053819</t>
  </si>
  <si>
    <t>Rua Paulo César Cardoso 26 / Referencia: sobrado ,proximo depósito de gás - CEP 14177141 - Jardim Diamante, Sertãozinho, São Paulo</t>
  </si>
  <si>
    <t>14177141</t>
  </si>
  <si>
    <t>28 de novembro | 13:47</t>
  </si>
  <si>
    <t>MEL44107120489LMXDF01</t>
  </si>
  <si>
    <t>2000009891666964</t>
  </si>
  <si>
    <t>19 de novembro de 2024 11:41 hs.</t>
  </si>
  <si>
    <t>Udo Fendrich</t>
  </si>
  <si>
    <t>CPF 29304954991</t>
  </si>
  <si>
    <t>Rua Aviador Harry Bolmann 227, São Bento do Sul - CEP: 89280058, Santa Catarina</t>
  </si>
  <si>
    <t>29304954991</t>
  </si>
  <si>
    <t>Rua Aviador Harry Bolmann 227 / CEP 89280058 - Centro, São Bento do Sul, Santa Catarina</t>
  </si>
  <si>
    <t>São Bento do Sul</t>
  </si>
  <si>
    <t>89280058</t>
  </si>
  <si>
    <t>29 de novembro | 14:29</t>
  </si>
  <si>
    <t>MEL44107109927LMXDF01</t>
  </si>
  <si>
    <t>2000006660680803</t>
  </si>
  <si>
    <t>19 de novembro de 2024 11:36 hs.</t>
  </si>
  <si>
    <t>Willian Henrique Borges</t>
  </si>
  <si>
    <t>CPF 43491152852</t>
  </si>
  <si>
    <t>av Minas gerais quadra J3 lote 9A SN - casa, São Simão - CEP: 75890000, Goiás</t>
  </si>
  <si>
    <t>43491152852</t>
  </si>
  <si>
    <t>São Simão</t>
  </si>
  <si>
    <t>75890000</t>
  </si>
  <si>
    <t>MEL44107089987FMXDF01</t>
  </si>
  <si>
    <t>2000009891542270</t>
  </si>
  <si>
    <t>19 de novembro de 2024 11:28 hs.</t>
  </si>
  <si>
    <t>Nilzamar Fraga Silva</t>
  </si>
  <si>
    <t>CPF 14560976104</t>
  </si>
  <si>
    <t>sq17 q11 33, Cidade Ocidental - CEP: 72880682, Goiás</t>
  </si>
  <si>
    <t>14560976104</t>
  </si>
  <si>
    <t>sq17 q11 33 / Referencia: Em Feente O Portao Da Escol - CEP 72880682 - centro, Cidade Ocidental, Goiás</t>
  </si>
  <si>
    <t>Cidade Ocidental</t>
  </si>
  <si>
    <t>72880682</t>
  </si>
  <si>
    <t>28 de novembro | 17:02</t>
  </si>
  <si>
    <t>MEL44107242732LMXDF01</t>
  </si>
  <si>
    <t>2000009891522016</t>
  </si>
  <si>
    <t>19 de novembro de 2024 11:26 hs.</t>
  </si>
  <si>
    <t>Mina Fiszman</t>
  </si>
  <si>
    <t>CPF 38284014734</t>
  </si>
  <si>
    <t>Rua Figueiredo Magalhães 455 - Apartamento 802, Rio de Janeiro - CEP: 22031011, Rio de Janeiro</t>
  </si>
  <si>
    <t>38284014734</t>
  </si>
  <si>
    <t>Rua Figueiredo Magalhães 455 / Apartamento 802 Referencia: Apto 802 - CEP 22031011 - Copacabana, Rio de Janeiro, Rio de Janeiro</t>
  </si>
  <si>
    <t>22031011</t>
  </si>
  <si>
    <t>27 de novembro | 02:18</t>
  </si>
  <si>
    <t>27 de novembro | 18:24</t>
  </si>
  <si>
    <t>MEL44107037969LMXDF01</t>
  </si>
  <si>
    <t>2000006665478891</t>
  </si>
  <si>
    <t>19 de novembro de 2024 11:12 hs.</t>
  </si>
  <si>
    <t>Sandra Regina Marcon Leite</t>
  </si>
  <si>
    <t>CPF 05120639828</t>
  </si>
  <si>
    <t>Rua Adelino Rosa de Jesus 270 - portão cinza, Paulínia - CEP: 13142078, São Paulo</t>
  </si>
  <si>
    <t>05120639828</t>
  </si>
  <si>
    <t>Rua Adelino Rosa de Jesus 270 / portão cinza - CEP 13142078 - Parque Bom Retiro, Paulínia, São Paulo</t>
  </si>
  <si>
    <t>Paulínia</t>
  </si>
  <si>
    <t>13142078</t>
  </si>
  <si>
    <t>28 de novembro | 11:55</t>
  </si>
  <si>
    <t>MEL44106961555LMXDF01</t>
  </si>
  <si>
    <t>2000006665443545</t>
  </si>
  <si>
    <t>19 de novembro de 2024 11:05 hs.</t>
  </si>
  <si>
    <t>Kleber Vieira Ribeiro</t>
  </si>
  <si>
    <t>CPF 01687635161</t>
  </si>
  <si>
    <t>Rua José A de Carvalho 3746, Aparecida do Taboado - CEP: 79570000, Mato Grosso do Sul</t>
  </si>
  <si>
    <t>01687635161</t>
  </si>
  <si>
    <t>Rua José A de Carvalho 3746 / CEP 79570000 - Chácara Boa Vista, Aparecida do Taboado, Mato Grosso do Sul</t>
  </si>
  <si>
    <t>Aparecida do Taboado</t>
  </si>
  <si>
    <t>79570000</t>
  </si>
  <si>
    <t>28 de novembro | 13:54</t>
  </si>
  <si>
    <t>MEL44107128126LMXDF01</t>
  </si>
  <si>
    <t>2000006647021645</t>
  </si>
  <si>
    <t>19 de novembro de 2024 10:33 hs.</t>
  </si>
  <si>
    <t>Celia Lima da Silva</t>
  </si>
  <si>
    <t>CPF 00810802201</t>
  </si>
  <si>
    <t>Rua Alberto Kramer 873 - casa de esquina, Curitiba - CEP: 81150170, Paraná</t>
  </si>
  <si>
    <t>00810802201</t>
  </si>
  <si>
    <t>Rua Alberto Kramer 873 / casa de esquina - CEP 81150170 - Capão Raso, Curitiba, Paraná</t>
  </si>
  <si>
    <t>81150170</t>
  </si>
  <si>
    <t>28 de novembro | 19:00</t>
  </si>
  <si>
    <t>MEL44106780617LMXDF01</t>
  </si>
  <si>
    <t>2000006665053467</t>
  </si>
  <si>
    <t>19 de novembro de 2024 09:58 hs.</t>
  </si>
  <si>
    <t>CILENE CRISTINA DA COSTA DIAS</t>
  </si>
  <si>
    <t>CPF 08036283824</t>
  </si>
  <si>
    <t>Lielge nascimento 1196 - próximo a piscina, Panorama - CEP: 17980000, São Paulo</t>
  </si>
  <si>
    <t>08036283824</t>
  </si>
  <si>
    <t>Lielge nascimento 1196 / próximo a piscina Referencia: pode deixar no vizinho,se ninguém atender - CEP 17980000 - Jardim Bela vista ll, Panorama, São Paulo</t>
  </si>
  <si>
    <t>Panorama</t>
  </si>
  <si>
    <t>17980000</t>
  </si>
  <si>
    <t>28 de novembro | 16:50</t>
  </si>
  <si>
    <t>MEL44106826006LMXDF01</t>
  </si>
  <si>
    <t>2000009731939530</t>
  </si>
  <si>
    <t>19 de novembro de 2024 09:06 hs.</t>
  </si>
  <si>
    <t>Carla Jaqueline Do Nascimento</t>
  </si>
  <si>
    <t>CPF 06305567921</t>
  </si>
  <si>
    <t>Avenida São Sebastião SN - Casa, Santa Helena - CEP: 85892000, Paraná</t>
  </si>
  <si>
    <t>06305567921</t>
  </si>
  <si>
    <t>Avenida São Sebastião SN / Casa Referencia: Casa Branca, de material, sem pintura  por enquanto. - CEP 85892000 - Moreninha, Santa Helena, Paraná</t>
  </si>
  <si>
    <t>Santa Helena</t>
  </si>
  <si>
    <t>85892000</t>
  </si>
  <si>
    <t>29 de novembro | 15:13</t>
  </si>
  <si>
    <t>MEL44036846916LMXDF01</t>
  </si>
  <si>
    <t>2000009890212780</t>
  </si>
  <si>
    <t>19 de novembro de 2024 09:02 hs.</t>
  </si>
  <si>
    <t>00326</t>
  </si>
  <si>
    <t>MLB3638865237</t>
  </si>
  <si>
    <t>Berberina Hcl 500mg | Autêntico C/60 Cápsulas</t>
  </si>
  <si>
    <t>Marcia Glece Nascimento Fontes</t>
  </si>
  <si>
    <t>CPF 69447624553</t>
  </si>
  <si>
    <t>Rua 14 36 - Quadra j Village 1, Maceió - CEP: 57073036, Alagoas</t>
  </si>
  <si>
    <t>69447624553</t>
  </si>
  <si>
    <t>Rua 14 36 / Quadra j Village 1 Referencia: rua enfrente ao colégio Helvia Valéria. - CEP 57073036 - Cidade Universitária, Maceió, Alagoas</t>
  </si>
  <si>
    <t>57073036</t>
  </si>
  <si>
    <t>1 de dezembro | 10:58</t>
  </si>
  <si>
    <t>MEL44106423017LMXDF01</t>
  </si>
  <si>
    <t>2000006664665119</t>
  </si>
  <si>
    <t>19 de novembro de 2024 08:30 hs.</t>
  </si>
  <si>
    <t>PATRICIA DE SOUZA RAMOS</t>
  </si>
  <si>
    <t>CPF 13133463810</t>
  </si>
  <si>
    <t>RUA SENADOR FLAQUER 334, Santo André - CEP: 09010160, São Paulo</t>
  </si>
  <si>
    <t>13133463810</t>
  </si>
  <si>
    <t>RUA SENADOR FLAQUER 334 / Referencia Papagaio Verde Santo Andre - CEP 09010160 - Centro, Santo André, São Paulo</t>
  </si>
  <si>
    <t>09010160</t>
  </si>
  <si>
    <t>29 de novembro | 16:24</t>
  </si>
  <si>
    <t>MEL44106517142LMXDF01</t>
  </si>
  <si>
    <t>https://myaccount.mercadolivre.com.br/shipments/44106517142/detail</t>
  </si>
  <si>
    <t>2000009890005266</t>
  </si>
  <si>
    <t>2000009889997950</t>
  </si>
  <si>
    <t>2000009889964268</t>
  </si>
  <si>
    <t>19 de novembro de 2024 08:23 hs.</t>
  </si>
  <si>
    <t>Dyesska Sousa</t>
  </si>
  <si>
    <t>CPF 04986800108</t>
  </si>
  <si>
    <t>Quadra QN 12B Conjunto 9 2 - Bloco D, Apt 103, Brasília - CEP: 71881609, Distrito Federal</t>
  </si>
  <si>
    <t>04986800108</t>
  </si>
  <si>
    <t>Quadra QN 12B Conjunto 9 2 / Bloco D, Apt 103 - CEP 71881609 - Riacho Fundo II, Brasília, Distrito Federal</t>
  </si>
  <si>
    <t>71881609</t>
  </si>
  <si>
    <t>28 de novembro | 17:07</t>
  </si>
  <si>
    <t>MEL44106297305LMXDF01</t>
  </si>
  <si>
    <t>2000009849701846</t>
  </si>
  <si>
    <t>19 de novembro de 2024 08:20 hs.</t>
  </si>
  <si>
    <t>Marcia Moreira Martins de Araujo</t>
  </si>
  <si>
    <t>CPF 04095075988</t>
  </si>
  <si>
    <t>Avenida Doutor Jesuíno Marcondes Machado 2407, Campinas - CEP: 13090723, São Paulo</t>
  </si>
  <si>
    <t>04095075988</t>
  </si>
  <si>
    <t>Avenida Doutor Jesuíno Marcondes Machado 2407 / Sala 3 - CEP 13090723 - Chácara da Barra, Campinas, São Paulo</t>
  </si>
  <si>
    <t>13090723</t>
  </si>
  <si>
    <t>28 de novembro | 10:52</t>
  </si>
  <si>
    <t>MEL44089612839LMXDF01</t>
  </si>
  <si>
    <t>2000009889633612</t>
  </si>
  <si>
    <t>19 de novembro de 2024 07:10 hs.</t>
  </si>
  <si>
    <t>Elisangela Dos Santos Silva</t>
  </si>
  <si>
    <t>CPF 09458657598</t>
  </si>
  <si>
    <t>ilha da banca 16 - casa, Jaguaripe - CEP: 44480000, Bahia</t>
  </si>
  <si>
    <t>09458657598</t>
  </si>
  <si>
    <t>ilha da banca 16 / casa Referencia: mercado da economia - CEP 44480000 - ilha da banca, Jaguaripe, Bahia</t>
  </si>
  <si>
    <t>Jaguaripe</t>
  </si>
  <si>
    <t>44480000</t>
  </si>
  <si>
    <t>30 de novembro | 22:04</t>
  </si>
  <si>
    <t>MEL44106140657LMXDF01</t>
  </si>
  <si>
    <t>2000009887718096</t>
  </si>
  <si>
    <t>19 de novembro de 2024 00:19 hs.</t>
  </si>
  <si>
    <t>Bruna Luiza Meireles Ayres da Silva</t>
  </si>
  <si>
    <t>CPF 02718047186</t>
  </si>
  <si>
    <t>Rua Luiz Gonzaga 18 - Qd7, Alto Paraíso de Goiás - CEP: 73770000, Goiás</t>
  </si>
  <si>
    <t>02718047186</t>
  </si>
  <si>
    <t>Rua Luiz Gonzaga 18 / Qd7 Referencia: Casa Branca de esquina - CEP 73770000 - Monte Sinai, Alto Paraíso de Goiás, Goiás</t>
  </si>
  <si>
    <t>Alto Paraíso de Goiás</t>
  </si>
  <si>
    <t>73770000</t>
  </si>
  <si>
    <t>29 de novembro | 11:38</t>
  </si>
  <si>
    <t>MEL44105604806LMXDF01</t>
  </si>
  <si>
    <t>2000009886790204</t>
  </si>
  <si>
    <t>18 de novembro de 2024 23:03 hs.</t>
  </si>
  <si>
    <t>Felipe Ferreira</t>
  </si>
  <si>
    <t>CPF 26537760810</t>
  </si>
  <si>
    <t>Rua Hermínio Xavier Leme 109, Boituva - CEP: 18550332, São Paulo</t>
  </si>
  <si>
    <t>26537760810</t>
  </si>
  <si>
    <t>Rua Hermínio Xavier Leme 109 / CEP 18550332 - Residencial de Lorenzi, Boituva, São Paulo</t>
  </si>
  <si>
    <t>Boituva</t>
  </si>
  <si>
    <t>18550332</t>
  </si>
  <si>
    <t>28 de novembro | 13:13</t>
  </si>
  <si>
    <t>MEL44105049517LMXDF01</t>
  </si>
  <si>
    <t>2000009886413052</t>
  </si>
  <si>
    <t>18 de novembro de 2024 22:32 hs.</t>
  </si>
  <si>
    <t>jose carlos lima</t>
  </si>
  <si>
    <t>CPF 37711873115</t>
  </si>
  <si>
    <t>Rua Alan Kardec 50, Nerópolis - CEP: 75460000, Goiás</t>
  </si>
  <si>
    <t>37711873115</t>
  </si>
  <si>
    <t>Rua Alan Kardec 50 / CEP 75460000 - Nerópolis, Nerópolis, Goiás</t>
  </si>
  <si>
    <t>Nerópolis</t>
  </si>
  <si>
    <t>75460000</t>
  </si>
  <si>
    <t>29 de novembro | 17:46</t>
  </si>
  <si>
    <t>MEL44104912035LMXDF01</t>
  </si>
  <si>
    <t>2000009785586654</t>
  </si>
  <si>
    <t>18 de novembro de 2024 22:24 hs.</t>
  </si>
  <si>
    <t>Eliezer Silva Pais</t>
  </si>
  <si>
    <t>CPF 52628159287</t>
  </si>
  <si>
    <t>avenida Governador Jorge Teixeira 2811 - advocacia Tiago Lima, Monte Negro - CEP: 76888000, Rondônia</t>
  </si>
  <si>
    <t>52628159287</t>
  </si>
  <si>
    <t>avenida Governador Jorge Teixeira 2811 / advocacia Tiago Lima Referencia: advocacia Tiago Lima - CEP 76888000 - setor 02, Monte Negro, Rondônia</t>
  </si>
  <si>
    <t>Monte Negro</t>
  </si>
  <si>
    <t>76888000</t>
  </si>
  <si>
    <t>27 de novembro | 02:54</t>
  </si>
  <si>
    <t>4 de dezembro | 13:02</t>
  </si>
  <si>
    <t>MEL44060958328LMXDF01</t>
  </si>
  <si>
    <t>2000009885787696</t>
  </si>
  <si>
    <t>18 de novembro de 2024 21:47 hs.</t>
  </si>
  <si>
    <t>Caroline Cunha Leao</t>
  </si>
  <si>
    <t>CPF 14299645707</t>
  </si>
  <si>
    <t>Avenida Valdemar Rodrigues 273 - ao lado da casa azul, São Gonçalo - CEP: 24752330, Rio de Janeiro</t>
  </si>
  <si>
    <t>14299645707</t>
  </si>
  <si>
    <t>Avenida Valdemar Rodrigues 273 / ao lado da casa azul Referencia: Caroline cunha leão - CEP 24752330 - Ipiíba, São Gonçalo, Rio de Janeiro</t>
  </si>
  <si>
    <t>24752330</t>
  </si>
  <si>
    <t>27 de novembro | 00:21</t>
  </si>
  <si>
    <t>27 de novembro | 12:45</t>
  </si>
  <si>
    <t>MEL44104666123LMXDF01</t>
  </si>
  <si>
    <t>2000006661646527</t>
  </si>
  <si>
    <t>18 de novembro de 2024 21:45 hs.</t>
  </si>
  <si>
    <t>Marcio Antonio De Barros</t>
  </si>
  <si>
    <t>CPF 19719117800</t>
  </si>
  <si>
    <t>Avenida Dom João VI 1218 - casa 1, Diadema - CEP: 09940150, São Paulo</t>
  </si>
  <si>
    <t>19719117800</t>
  </si>
  <si>
    <t>Avenida Dom João VI 1218 / casa 1 Referencia: procurar dona Maria ou seu José - CEP 09940150 - Taboão, Diadema, São Paulo</t>
  </si>
  <si>
    <t>09940150</t>
  </si>
  <si>
    <t>28 de novembro | 16:03</t>
  </si>
  <si>
    <t>MEL44104853498LMXDF01</t>
  </si>
  <si>
    <t>2000006661640295</t>
  </si>
  <si>
    <t>18 de novembro de 2024 21:43 hs.</t>
  </si>
  <si>
    <t>CECILIO FILHO</t>
  </si>
  <si>
    <t>CPF 85892705560</t>
  </si>
  <si>
    <t>Rua Teixeira Barros 505 - 1104 Pau Brasil, Salvador - CEP: 40279080, Bahia</t>
  </si>
  <si>
    <t>85892705560</t>
  </si>
  <si>
    <t>Rua Teixeira Barros 505 / 1104 Pau Brasil - CEP 40279080 - Brotas, Salvador, Bahia</t>
  </si>
  <si>
    <t>40279080</t>
  </si>
  <si>
    <t>30 de novembro | 15:13</t>
  </si>
  <si>
    <t>MEL44104841616LMXDF01</t>
  </si>
  <si>
    <t>2000009885578258</t>
  </si>
  <si>
    <t>18 de novembro de 2024 21:34 hs.</t>
  </si>
  <si>
    <t>Mayra da Conceicao Braga</t>
  </si>
  <si>
    <t>CPF 04328320505</t>
  </si>
  <si>
    <t>Rua Antônio Félix Martins SN - 60, Camaçari - CEP: 42810043, Bahia</t>
  </si>
  <si>
    <t>04328320505</t>
  </si>
  <si>
    <t>42810043</t>
  </si>
  <si>
    <t>MEL44104573937FMXDF01</t>
  </si>
  <si>
    <t>2000006661317967</t>
  </si>
  <si>
    <t>18 de novembro de 2024 21:06 hs.</t>
  </si>
  <si>
    <t>Vanderlei  Bispo</t>
  </si>
  <si>
    <t>CPF 18130891832</t>
  </si>
  <si>
    <t>Rua Serra de Parima 673 - na casa, Itapevi - CEP: 06656050, São Paulo</t>
  </si>
  <si>
    <t>18130891832</t>
  </si>
  <si>
    <t>Rua Serra de Parima 673 / na casa - CEP 06656050 - Jardim Bela Vista, Itapevi, São Paulo</t>
  </si>
  <si>
    <t>06656050</t>
  </si>
  <si>
    <t>28 de novembro | 18:21</t>
  </si>
  <si>
    <t>MEL44104635188LMXDF01</t>
  </si>
  <si>
    <t>2000006661256057</t>
  </si>
  <si>
    <t>18 de novembro de 2024 20:59 hs.</t>
  </si>
  <si>
    <t>Valdirene Aparecida Domingues</t>
  </si>
  <si>
    <t>CPF 34434490850</t>
  </si>
  <si>
    <t>Rua César Manoel de Arruda 80, Itapetininga - CEP: 18214752, São Paulo</t>
  </si>
  <si>
    <t>34434490850</t>
  </si>
  <si>
    <t>Rua César Manoel de Arruda 80 / casa - CEP 18214752 - Loteamento Gramado I, Itapetininga, São Paulo</t>
  </si>
  <si>
    <t>Itapetininga</t>
  </si>
  <si>
    <t>18214752</t>
  </si>
  <si>
    <t>28 de novembro | 12:45</t>
  </si>
  <si>
    <t>MEL44104595790LMXDF01</t>
  </si>
  <si>
    <t>2000006661213519</t>
  </si>
  <si>
    <t>18 de novembro de 2024 20:55 hs.</t>
  </si>
  <si>
    <t>00345</t>
  </si>
  <si>
    <t>MLB3765973081</t>
  </si>
  <si>
    <t>Pantofar Turbinado Premium Kit 3 Frascos C/60 Cáps</t>
  </si>
  <si>
    <t>Ricardo Aguiar Martinelli</t>
  </si>
  <si>
    <t>CPF 38835786819</t>
  </si>
  <si>
    <t>Rua José Carlos Bonfim 175, Araçatuba - CEP: 16012763, São Paulo</t>
  </si>
  <si>
    <t>38835786819</t>
  </si>
  <si>
    <t>Rua José Carlos Bonfim 175 / Conjunto 1 - CEP 16012763 - Água Branca II, Araçatuba, São Paulo</t>
  </si>
  <si>
    <t>Araçatuba</t>
  </si>
  <si>
    <t>16012763</t>
  </si>
  <si>
    <t>28 de novembro | 13:30</t>
  </si>
  <si>
    <t>MEL44104374169LMXDF01</t>
  </si>
  <si>
    <t>2000009884797146</t>
  </si>
  <si>
    <t>18 de novembro de 2024 20:32 hs.</t>
  </si>
  <si>
    <t>Jose Wilson Buarque de Barros</t>
  </si>
  <si>
    <t>CPF 23326735472</t>
  </si>
  <si>
    <t>Rua Antônio Gervário de Souza 444 - RUA ANTONIO GERVASIO DE SOUZA, Amaraji - CEP: 55515000, Pernambuco</t>
  </si>
  <si>
    <t>23326735472</t>
  </si>
  <si>
    <t>Rua Antônio Gervário de Souza 444 / RUA ANTONIO GERVASIO DE SOUZA - CEP 55515000 - centro, Amaraji, Pernambuco</t>
  </si>
  <si>
    <t>Amaraji</t>
  </si>
  <si>
    <t>55515000</t>
  </si>
  <si>
    <t>5 de dezembro | 21:08</t>
  </si>
  <si>
    <t>ML44104256171135551</t>
  </si>
  <si>
    <t>https://www.loggi.com/rastreador/3762947aef/ML44104256171135551</t>
  </si>
  <si>
    <t>2000009884715902</t>
  </si>
  <si>
    <t>18 de novembro de 2024 20:27 hs.</t>
  </si>
  <si>
    <t>luana celerino correia silva</t>
  </si>
  <si>
    <t>CPF 05524525131</t>
  </si>
  <si>
    <t>Avenida Adélino Américo de Azevedo SN - Lt 15 e 16, Porangatu - CEP: 76550000, Goiás</t>
  </si>
  <si>
    <t>05524525131</t>
  </si>
  <si>
    <t>Avenida Adélino Américo de Azevedo SN / Lt 15 e 16 Referencia: RAÇÕES CENTRO OESTE frente Shopping do Pescador - CEP 76550000 - centro, Porangatu, Goiás</t>
  </si>
  <si>
    <t>29 de novembro | 14:22</t>
  </si>
  <si>
    <t>MEL44104422068LMXDF01</t>
  </si>
  <si>
    <t>2000009884575624</t>
  </si>
  <si>
    <t>18 de novembro de 2024 20:16 hs.</t>
  </si>
  <si>
    <t>Rafael Marmo</t>
  </si>
  <si>
    <t>CPF 01069170801</t>
  </si>
  <si>
    <t>Rua Vancouver 940 - Cond Interlagos Sul, Embu Guaçu - CEP: 06905440, São Paulo</t>
  </si>
  <si>
    <t>01069170801</t>
  </si>
  <si>
    <t>Rua Vancouver 940 / Cond Interlagos Sul - CEP 06905440 - Fazenda da Ilha, Embu Guaçu, São Paulo</t>
  </si>
  <si>
    <t>Embu Guaçu</t>
  </si>
  <si>
    <t>06905440</t>
  </si>
  <si>
    <t>28 de novembro | 09:48</t>
  </si>
  <si>
    <t>MEL44104363498LMXDF01</t>
  </si>
  <si>
    <t>2000006660240755</t>
  </si>
  <si>
    <t>18 de novembro de 2024 18:54 hs.</t>
  </si>
  <si>
    <t>Tatiana Aparecida Gotardo Capobiango</t>
  </si>
  <si>
    <t>CPF 05886557679</t>
  </si>
  <si>
    <t>Rua Piauí 96 - fundos, Eugenópolis - CEP: 36855000, Minas Gerais</t>
  </si>
  <si>
    <t>05886557679</t>
  </si>
  <si>
    <t>Rua Piauí 96 / fundos Referencia: perto igreja assembléia - CEP 36855000 - de lurdes, Eugenópolis, Minas Gerais</t>
  </si>
  <si>
    <t>Eugenópolis</t>
  </si>
  <si>
    <t>36855000</t>
  </si>
  <si>
    <t>27 de novembro | 03:52</t>
  </si>
  <si>
    <t>28 de novembro | 14:11</t>
  </si>
  <si>
    <t>MEL44103742825LMXDF01</t>
  </si>
  <si>
    <t>2000009883549456</t>
  </si>
  <si>
    <t>2000009883551366</t>
  </si>
  <si>
    <t>2000006660185661</t>
  </si>
  <si>
    <t>18 de novembro de 2024 18:46 hs.</t>
  </si>
  <si>
    <t>Mona Mohamad Fares Rabah</t>
  </si>
  <si>
    <t>CPF 22510934864</t>
  </si>
  <si>
    <t>Avenida General Cavalcanti De Albuquerque 935, São Paulo - CEP: 05638010, São Paulo</t>
  </si>
  <si>
    <t>22510934864</t>
  </si>
  <si>
    <t>Avenida General Cavalcanti de Albuquerque 935 / CEP 05638010 - Jardim Londrina, São Paulo, São Paulo</t>
  </si>
  <si>
    <t>05638010</t>
  </si>
  <si>
    <t>27 de novembro | 05:22</t>
  </si>
  <si>
    <t>28 de novembro | 15:32</t>
  </si>
  <si>
    <t>MEL44103704889LMXDF01</t>
  </si>
  <si>
    <t>2000009883114178</t>
  </si>
  <si>
    <t>18 de novembro de 2024 18:16 hs.</t>
  </si>
  <si>
    <t>Welliton Teixeira Ferraz</t>
  </si>
  <si>
    <t>CPF 71134726139</t>
  </si>
  <si>
    <t>Rua Amadeus SN - Qd 4 Lt 17 casa-2, Goiânia - CEP: 74481715, Goiás</t>
  </si>
  <si>
    <t>71134726139</t>
  </si>
  <si>
    <t>Rua Amadeus SN / Qd 4 Lt 17 casa-2 Referencia: Casa 2 - CEP 74481715 - Residencial Mansões Paraíso, Goiânia, Goiás</t>
  </si>
  <si>
    <t>74481715</t>
  </si>
  <si>
    <t>29 de novembro | 10:53</t>
  </si>
  <si>
    <t>MEL44103552113LMXDF01</t>
  </si>
  <si>
    <t>2000009882973748</t>
  </si>
  <si>
    <t>18 de novembro de 2024 18:06 hs.</t>
  </si>
  <si>
    <t>Josué Mattos</t>
  </si>
  <si>
    <t>CPF 97564303700</t>
  </si>
  <si>
    <t>Estrada Santa Maura 150, Rio de Janeiro - CEP: 22780170, Rio de Janeiro</t>
  </si>
  <si>
    <t>97564303700</t>
  </si>
  <si>
    <t>Estrada Santa Maura 150 / BL 14 apto 102 - CEP 22780170 - Jacarepaguá, Rio de Janeiro, Rio de Janeiro</t>
  </si>
  <si>
    <t>22780170</t>
  </si>
  <si>
    <t>27 de novembro | 20:10</t>
  </si>
  <si>
    <t>MEL44103697456LMXDF01</t>
  </si>
  <si>
    <t>2000006659767885</t>
  </si>
  <si>
    <t>18 de novembro de 2024 17:52 hs.</t>
  </si>
  <si>
    <t>Rozeni Barbosa DOS SANTOS Barbosa</t>
  </si>
  <si>
    <t>CPF 06476787640</t>
  </si>
  <si>
    <t>Rua David Fernandes 244 244, Pirassununga - CEP: 13631226, São Paulo</t>
  </si>
  <si>
    <t>06476787640</t>
  </si>
  <si>
    <t>Rua David Fernandes 244 / casa - CEP 13631226 - Jardim Pavesi, Pirassununga, São Paulo</t>
  </si>
  <si>
    <t>Pirassununga</t>
  </si>
  <si>
    <t>13631226</t>
  </si>
  <si>
    <t>28 de novembro | 16:15</t>
  </si>
  <si>
    <t>MEL44103621206LMXDF01</t>
  </si>
  <si>
    <t>2000006659186311</t>
  </si>
  <si>
    <t>18 de novembro de 2024 16:40 hs.</t>
  </si>
  <si>
    <t>Marinalva De Lima Santos</t>
  </si>
  <si>
    <t>CPF 12165426600</t>
  </si>
  <si>
    <t>leonina anna de jesus 44, Conceição do Rio Verde - CEP: 37430000, Minas Gerais</t>
  </si>
  <si>
    <t>12165426600</t>
  </si>
  <si>
    <t>leonina anna de jesus 44 / CEP 37430000 - vale do ype, Conceição do Rio Verde, Minas Gerais</t>
  </si>
  <si>
    <t>Conceição do Rio Verde</t>
  </si>
  <si>
    <t>37430000</t>
  </si>
  <si>
    <t>27 de novembro | 02:20</t>
  </si>
  <si>
    <t>28 de novembro | 10:37</t>
  </si>
  <si>
    <t>MEL44103039829LMXDF01</t>
  </si>
  <si>
    <t>2000006659153307</t>
  </si>
  <si>
    <t>18 de novembro de 2024 16:35 hs.</t>
  </si>
  <si>
    <t>Joanita F Da Costa</t>
  </si>
  <si>
    <t>CPF 63061155953</t>
  </si>
  <si>
    <t>Rua Valdomiro Toborda Rocha 200 - casa, Reserva - CEP: 84320000, Paraná</t>
  </si>
  <si>
    <t>63061155953</t>
  </si>
  <si>
    <t>Rua Valdomiro Toborda Rocha 200 / casa Referencia: Em frente ao Posto de Saude Cruzeiro - CEP 84320000 - Sao Jose, Reserva, Paraná</t>
  </si>
  <si>
    <t>Reserva</t>
  </si>
  <si>
    <t>84320000</t>
  </si>
  <si>
    <t>28 de novembro | 18:07</t>
  </si>
  <si>
    <t>MEL44103013259LMXDF01</t>
  </si>
  <si>
    <t>2000009881519384</t>
  </si>
  <si>
    <t>18 de novembro de 2024 16:09 hs.</t>
  </si>
  <si>
    <t>brigitta julia lang</t>
  </si>
  <si>
    <t>CPF 41338995804</t>
  </si>
  <si>
    <t>Rua General Olímpio Mourão Filho 30, Rio de Janeiro - CEP: 22610020, Rio de Janeiro</t>
  </si>
  <si>
    <t>41338995804</t>
  </si>
  <si>
    <t>Rua General Olímpio Mourão Filho 30 / Apt. 1203 - CEP 22610020 - São Conrado, Rio de Janeiro, Rio de Janeiro</t>
  </si>
  <si>
    <t>22610020</t>
  </si>
  <si>
    <t>27 de novembro | 16:14</t>
  </si>
  <si>
    <t>MEL44103061412LMXDF01</t>
  </si>
  <si>
    <t>2000009881162290</t>
  </si>
  <si>
    <t>18 de novembro de 2024 15:39 hs.</t>
  </si>
  <si>
    <t>lys paulo Frizzera</t>
  </si>
  <si>
    <t>CPF 79857620787</t>
  </si>
  <si>
    <t>Rua Itapoã 17, Serra - CEP: 29165821, Espírito Santo</t>
  </si>
  <si>
    <t>79857620787</t>
  </si>
  <si>
    <t>Rua Itapoã 17 / Casa - Proximo Ao Material De Construção Pirâmide - CEP 29165821 - Valparaíso, Serra, Espírito Santo</t>
  </si>
  <si>
    <t>29165821</t>
  </si>
  <si>
    <t>27 de novembro | 00:25</t>
  </si>
  <si>
    <t>27 de novembro | 16:11</t>
  </si>
  <si>
    <t>MEL44102896268LMXDF01</t>
  </si>
  <si>
    <t>2000009880352772</t>
  </si>
  <si>
    <t>18 de novembro de 2024 14:39 hs.</t>
  </si>
  <si>
    <t>Jose Alfonso Maffezzolli</t>
  </si>
  <si>
    <t>CPF 41655877968</t>
  </si>
  <si>
    <t>Rua Topázio 553 - esquina, Bombinhas - CEP: 88215000, Santa Catarina</t>
  </si>
  <si>
    <t>41655877968</t>
  </si>
  <si>
    <t>Rua Topázio 553 / esquina Referencia: casa 2 pisos amarela - CEP 88215000 - mariscal, Bombinhas, Santa Catarina</t>
  </si>
  <si>
    <t>Bombinhas</t>
  </si>
  <si>
    <t>88215000</t>
  </si>
  <si>
    <t>MEL44102344367LMXDF01</t>
  </si>
  <si>
    <t>2000009880134270</t>
  </si>
  <si>
    <t>18 de novembro de 2024 14:19 hs.</t>
  </si>
  <si>
    <t>Vlademir Demetrio</t>
  </si>
  <si>
    <t>CPF 99586860400</t>
  </si>
  <si>
    <t>Rua Engenheiro Jorge Oliva 421, São Paulo - CEP: 04362060, São Paulo</t>
  </si>
  <si>
    <t>99586860400</t>
  </si>
  <si>
    <t>Rua Engenheiro Jorge Oliva 421 / apartamento 71 - CEP 04362060 - Vila Mascote, São Paulo, São Paulo</t>
  </si>
  <si>
    <t>04362060</t>
  </si>
  <si>
    <t>27 de novembro | 05:53</t>
  </si>
  <si>
    <t>28 de novembro | 16:27</t>
  </si>
  <si>
    <t>MEL44102246221LMXDF01</t>
  </si>
  <si>
    <t>2000009879966970</t>
  </si>
  <si>
    <t>18 de novembro de 2024 14:06 hs.</t>
  </si>
  <si>
    <t>Eliane Cristina Almeida</t>
  </si>
  <si>
    <t>CPF 03011729948</t>
  </si>
  <si>
    <t>Rua Doutor Leoberto Leal 155 - SAIS, Indaial - CEP: 89080166, Santa Catarina</t>
  </si>
  <si>
    <t>03011729948</t>
  </si>
  <si>
    <t>Rua Doutor Leoberto Leal 155 / SAIS - CEP 89080166 - Tapajós, Indaial, Santa Catarina</t>
  </si>
  <si>
    <t>89080166</t>
  </si>
  <si>
    <t>28 de novembro | 16:01</t>
  </si>
  <si>
    <t>MEL44102176885LMXDF01</t>
  </si>
  <si>
    <t>2000006657687023</t>
  </si>
  <si>
    <t>18 de novembro de 2024 13:39 hs.</t>
  </si>
  <si>
    <t>Leonel Cardoso</t>
  </si>
  <si>
    <t>CPF 01712867075</t>
  </si>
  <si>
    <t>Rua José Sérgio 237 - Esquina, Araranguá - CEP: 88911390, Santa Catarina</t>
  </si>
  <si>
    <t>01712867075</t>
  </si>
  <si>
    <t>Rua José Sérgio 237 / Esquina - CEP 88911390 - Morro dos Conventos, Araranguá, Santa Catarina</t>
  </si>
  <si>
    <t>Araranguá</t>
  </si>
  <si>
    <t>88911390</t>
  </si>
  <si>
    <t>29 de novembro | 12:32</t>
  </si>
  <si>
    <t>MEL44102031639LMXDF01</t>
  </si>
  <si>
    <t>2000009879602506</t>
  </si>
  <si>
    <t>18 de novembro de 2024 13:35 hs.</t>
  </si>
  <si>
    <t>Vera Lucia Vieira da Costa Mello</t>
  </si>
  <si>
    <t>CPF 49958755734</t>
  </si>
  <si>
    <t>Rua Antonio Lopes de Mello 210 - casa, Paty do Alferes - CEP: 26950000, Rio de Janeiro</t>
  </si>
  <si>
    <t>49958755734</t>
  </si>
  <si>
    <t>Rua Antonio Lopes de Mello 210 / casa Referencia: Perto da Casa de Oração de Coqueiros. - CEP 26950000 - Coqueiros, Paty do Alferes, Rio de Janeiro</t>
  </si>
  <si>
    <t>Paty do Alferes</t>
  </si>
  <si>
    <t>26950000</t>
  </si>
  <si>
    <t>27 de novembro | 00:51</t>
  </si>
  <si>
    <t>27 de novembro | 15:05</t>
  </si>
  <si>
    <t>MEL44102210228LMXDF01</t>
  </si>
  <si>
    <t>2000009879549636</t>
  </si>
  <si>
    <t>18 de novembro de 2024 13:32 hs.</t>
  </si>
  <si>
    <t>Marlucia Pereira De Araujo</t>
  </si>
  <si>
    <t>CPF 29596107844</t>
  </si>
  <si>
    <t>rua Lucas de Alkimin 155 - do lado do Bradesco, Varzelândia - CEP: 39450000, Minas Gerais</t>
  </si>
  <si>
    <t>29596107844</t>
  </si>
  <si>
    <t>rua Lucas de Alkimin 155 / do lado do Bradesco Referencia: lado do banco do Bradesco - CEP 39450000 - centro, Varzelândia, Minas Gerais</t>
  </si>
  <si>
    <t>Varzelândia</t>
  </si>
  <si>
    <t>39450000</t>
  </si>
  <si>
    <t>27 de novembro | 02:59</t>
  </si>
  <si>
    <t>28 de novembro | 13:02</t>
  </si>
  <si>
    <t>MEL44101999013LMXDF01</t>
  </si>
  <si>
    <t>2000009879302594</t>
  </si>
  <si>
    <t>18 de novembro de 2024 13:09 hs.</t>
  </si>
  <si>
    <t>Josiane Alves De Sousa</t>
  </si>
  <si>
    <t>CPF 02655909143</t>
  </si>
  <si>
    <t>Quadra ARNO 43 Alameda 12 21 - quadra 407 norte, Palmas - CEP: 77001546, Tocantins</t>
  </si>
  <si>
    <t>02655909143</t>
  </si>
  <si>
    <t>Quadra ARNO 43 Alameda 12 21 / quadra 407 norte Referencia: Entregar Somente Para Elma ou para Késsia. - CEP 77001546 - Plano Diretor Norte, Palmas, Tocantins</t>
  </si>
  <si>
    <t>77001546</t>
  </si>
  <si>
    <t>1 de dezembro | 11:17</t>
  </si>
  <si>
    <t>MEL44101884767LMXDF01</t>
  </si>
  <si>
    <t>2000009878914158</t>
  </si>
  <si>
    <t>18 de novembro de 2024 12:35 hs.</t>
  </si>
  <si>
    <t>Marli Helena Purchatti</t>
  </si>
  <si>
    <t>CPF 07972110808</t>
  </si>
  <si>
    <t>Rua Silvio de Souza 243, Sumaré - CEP: 13181734, São Paulo</t>
  </si>
  <si>
    <t>07972110808</t>
  </si>
  <si>
    <t>Rua Silvio de Souza 243 / CEP 13181734 - Parque Bandeirantes I (Nova Veneza), Sumaré, São Paulo</t>
  </si>
  <si>
    <t>13181734</t>
  </si>
  <si>
    <t>28 de novembro | 13:44</t>
  </si>
  <si>
    <t>MEL44101712415LMXDF01</t>
  </si>
  <si>
    <t>2000006657167795</t>
  </si>
  <si>
    <t>18 de novembro de 2024 12:26 hs.</t>
  </si>
  <si>
    <t xml:space="preserve">Marta Käch </t>
  </si>
  <si>
    <t>CPF 00750038802</t>
  </si>
  <si>
    <t>Rua Professor Ricardo Buss 370 370, Joinville - CEP: 89221420, Santa Catarina</t>
  </si>
  <si>
    <t>00750038802</t>
  </si>
  <si>
    <t>Rua Professor Ricardo Buss 370 / Casa Referencia: Final da Rua Assis Brasil - CEP 89221420 - Saguaçu, Joinville, Santa Catarina</t>
  </si>
  <si>
    <t>89221420</t>
  </si>
  <si>
    <t>29 de novembro | 14:52</t>
  </si>
  <si>
    <t>MEL44101668617LMXDF01</t>
  </si>
  <si>
    <t>2000009878763850</t>
  </si>
  <si>
    <t>18 de novembro de 2024 12:23 hs.</t>
  </si>
  <si>
    <t>Luquetemberg Dos Santos</t>
  </si>
  <si>
    <t>CPF 94041504600</t>
  </si>
  <si>
    <t>Rua São Francisco 389, Santa Bárbara - CEP: 35960000, Minas Gerais</t>
  </si>
  <si>
    <t>94041504600</t>
  </si>
  <si>
    <t>Rua São Francisco 389 / Casa - CEP 35960000 - Santa Bárbara, Santa Bárbara, Minas Gerais</t>
  </si>
  <si>
    <t>28 de novembro | 09:10</t>
  </si>
  <si>
    <t>MEL44101850906LMXDF01</t>
  </si>
  <si>
    <t>2000009878701794</t>
  </si>
  <si>
    <t>18 de novembro de 2024 12:17 hs.</t>
  </si>
  <si>
    <t>Robson Liberato Cardoso</t>
  </si>
  <si>
    <t>CPF 10000387770</t>
  </si>
  <si>
    <t>Rua Murundu 1157 - Casa de Frente, Rio de Janeiro - CEP: 21775210, Rio de Janeiro</t>
  </si>
  <si>
    <t>10000387770</t>
  </si>
  <si>
    <t>Rua Murundu 1157 / Casa de Frente Referencia: . Fachada de piso madeirado. Casa de frente de rua principal. Em frente ao Cemitério Murundu. Fácil acesso - CEP 21775210 - Padre Miguel, Rio de Janeiro, Rio de Janeiro</t>
  </si>
  <si>
    <t>21775210</t>
  </si>
  <si>
    <t>27 de novembro | 08:53</t>
  </si>
  <si>
    <t>MEL44101821362LMXDF01</t>
  </si>
  <si>
    <t>2000009878679868</t>
  </si>
  <si>
    <t>18 de novembro de 2024 12:16 hs.</t>
  </si>
  <si>
    <t>Roney de Oliveira Campos</t>
  </si>
  <si>
    <t>CPF 11403145725</t>
  </si>
  <si>
    <t>Rua Engenheiro Francisco Marcos I. de Souza 629, Indaiatuba - CEP: 13346340, São Paulo</t>
  </si>
  <si>
    <t>11403145725</t>
  </si>
  <si>
    <t>Rua Engenheiro Francisco Marcos I. de Souza 629 / CEP 13346340 - Jardim Juscelino Kubitschek, Indaiatuba, São Paulo</t>
  </si>
  <si>
    <t>13346340</t>
  </si>
  <si>
    <t>27 de novembro | 05:37</t>
  </si>
  <si>
    <t>28 de novembro | 12:03</t>
  </si>
  <si>
    <t>MEL44101813254LMXDF01</t>
  </si>
  <si>
    <t>2000006656851033</t>
  </si>
  <si>
    <t>18 de novembro de 2024 11:36 hs.</t>
  </si>
  <si>
    <t>Adriano Rodrigues Tobias</t>
  </si>
  <si>
    <t>CPF 04495064959</t>
  </si>
  <si>
    <t>Rua Osvaldo Cruz 215 - Casa, Guaíra - CEP: 85980000, Paraná</t>
  </si>
  <si>
    <t>04495064959</t>
  </si>
  <si>
    <t>Rua Osvaldo Cruz 215 / Casa - CEP 85980000 - Centro, Guaíra, Paraná</t>
  </si>
  <si>
    <t>85980000</t>
  </si>
  <si>
    <t>29 de novembro | 13:02</t>
  </si>
  <si>
    <t>MEL44101630058LMXDF01</t>
  </si>
  <si>
    <t>2000006656798277</t>
  </si>
  <si>
    <t>18 de novembro de 2024 11:29 hs.</t>
  </si>
  <si>
    <t>PAULO  FERREIRA</t>
  </si>
  <si>
    <t>CPF 81431589772</t>
  </si>
  <si>
    <t>Avenida do Turismo 14370 14370, Manaus - CEP: 69041010, Amazonas</t>
  </si>
  <si>
    <t>81431589772</t>
  </si>
  <si>
    <t>Avenida do Turismo 14370 / CASA 538 - CD NASCEN Referencia: CONDOMINIO NASCENTE DO TARUMÃ - CEP 69041010 - Tarumã, Manaus, Amazonas</t>
  </si>
  <si>
    <t>69041010</t>
  </si>
  <si>
    <t>29 de novembro | 14:08</t>
  </si>
  <si>
    <t>MEL44101396847LMXDF01</t>
  </si>
  <si>
    <t>2000009878152410</t>
  </si>
  <si>
    <t>18 de novembro de 2024 11:23 hs.</t>
  </si>
  <si>
    <t>Lucas Eduardo Balardin</t>
  </si>
  <si>
    <t>CPF 10214597989</t>
  </si>
  <si>
    <t>Rua Maurício Cardoso 609, Belmonte - CEP: 89925000, Santa Catarina</t>
  </si>
  <si>
    <t>10214597989</t>
  </si>
  <si>
    <t>Rua Maurício Cardoso 609 / Referencia: casa roxa entre bar e igreja - CEP 89925000 - centro, Belmonte, Santa Catarina</t>
  </si>
  <si>
    <t>Belmonte</t>
  </si>
  <si>
    <t>89925000</t>
  </si>
  <si>
    <t>29 de novembro | 19:18</t>
  </si>
  <si>
    <t>MEL44101571896LMXDF01</t>
  </si>
  <si>
    <t>2000009877927614</t>
  </si>
  <si>
    <t>18 de novembro de 2024 11:02 hs.</t>
  </si>
  <si>
    <t>Lourdes Maria Rangel de Sa Baeta Neves</t>
  </si>
  <si>
    <t>CPF 73521566749</t>
  </si>
  <si>
    <t>Rua Ruth de Oliveira Ferreira 66 - casa, Niterói - CEP: 24365278, Rio de Janeiro</t>
  </si>
  <si>
    <t>73521566749</t>
  </si>
  <si>
    <t>Rua Ruth de Oliveira Ferreira 66 / casa Referencia: casa, qdo não estiver em casa pode deixar no nr 43 com Lucinha - CEP 24365278 - São Francisco, Niterói, Rio de Janeiro</t>
  </si>
  <si>
    <t>Niterói</t>
  </si>
  <si>
    <t>24365278</t>
  </si>
  <si>
    <t>27 de novembro | 15:03</t>
  </si>
  <si>
    <t>MEL44101473566LMXDF01</t>
  </si>
  <si>
    <t>2000006656304445</t>
  </si>
  <si>
    <t>18 de novembro de 2024 09:59 hs.</t>
  </si>
  <si>
    <t>Flavia A</t>
  </si>
  <si>
    <t>CPF 25909295870</t>
  </si>
  <si>
    <t>Rua Ivaí 277, São Paulo - CEP: 03080010, São Paulo</t>
  </si>
  <si>
    <t>25909295870</t>
  </si>
  <si>
    <t>Rua Ivaí 277 / apto 503 Referencia: travessa da celso garcia - CEP 03080010 - Tatuapé, São Paulo, São Paulo</t>
  </si>
  <si>
    <t>03080010</t>
  </si>
  <si>
    <t>28 de novembro | 10:22</t>
  </si>
  <si>
    <t>MEL44101213914LMXDF01</t>
  </si>
  <si>
    <t>2000009877367980</t>
  </si>
  <si>
    <t>2000009877382930</t>
  </si>
  <si>
    <t>2000006656243705</t>
  </si>
  <si>
    <t>18 de novembro de 2024 09:50 hs.</t>
  </si>
  <si>
    <t>Kamila De Freitas</t>
  </si>
  <si>
    <t>CPF 01396816046</t>
  </si>
  <si>
    <t>Rua Riachuelo 150 - apto 203, Santa Maria - CEP: 97050010, Rio Grande do Sul</t>
  </si>
  <si>
    <t>01396816046</t>
  </si>
  <si>
    <t>Rua Riachuelo 150 / apto 303 Referencia: em frente ao peti mia - CEP 97050010 - Centro, Santa Maria, Rio Grande do Sul</t>
  </si>
  <si>
    <t>Santa Maria</t>
  </si>
  <si>
    <t>97050010</t>
  </si>
  <si>
    <t>29 de novembro | 16:14</t>
  </si>
  <si>
    <t>MEL44100986129LMXDF01</t>
  </si>
  <si>
    <t>2000009876888510</t>
  </si>
  <si>
    <t>18 de novembro de 2024 08:47 hs.</t>
  </si>
  <si>
    <t>Marcia Soares Dos Santos</t>
  </si>
  <si>
    <t>CPF 25474179871</t>
  </si>
  <si>
    <t>AVENIDA VISCONDE DE NOVA GRANADA 1061, Leme - CEP: 13617400, São Paulo</t>
  </si>
  <si>
    <t>25474179871</t>
  </si>
  <si>
    <t>AVENIDA VISCONDE DE NOVA GRANADA 1061 / BRCAO BARRACAO - CEP 13617400 - Jardim Sao Francisco, Leme, São Paulo</t>
  </si>
  <si>
    <t>13617400</t>
  </si>
  <si>
    <t>28 de novembro | 15:38</t>
  </si>
  <si>
    <t>MEL44100968326LMXDF01</t>
  </si>
  <si>
    <t>https://myaccount.mercadolivre.com.br/shipments/44100968326/detail</t>
  </si>
  <si>
    <t>2000009876752116</t>
  </si>
  <si>
    <t>18 de novembro de 2024 08:18 hs.</t>
  </si>
  <si>
    <t>Alex Oliveira da Mata</t>
  </si>
  <si>
    <t>CPF 46026179801</t>
  </si>
  <si>
    <t>Rua Arlíndo Augusto Rodrigues 86 - Centro, Lutécia - CEP: 19750017, São Paulo</t>
  </si>
  <si>
    <t>46026179801</t>
  </si>
  <si>
    <t>Lutécia</t>
  </si>
  <si>
    <t>19750017</t>
  </si>
  <si>
    <t>2000009876496858</t>
  </si>
  <si>
    <t>18 de novembro de 2024 07:07 hs.</t>
  </si>
  <si>
    <t>Chegou em 22 de novembro</t>
  </si>
  <si>
    <t>Luciene Luiz de Araujo</t>
  </si>
  <si>
    <t>CPF 28885089828</t>
  </si>
  <si>
    <t>Avenida Inajá-Guaçu 730 - casa 02, São Paulo - CEP: 08240530, São Paulo</t>
  </si>
  <si>
    <t>28885089828</t>
  </si>
  <si>
    <t>Avenida Inajá-Guaçu 730 / casa 02 Referencia: condomínio - CEP 08240530 - Vila Progresso (Zona Leste), São Paulo, São Paulo</t>
  </si>
  <si>
    <t>08240530</t>
  </si>
  <si>
    <t>20 de novembro | 05:40</t>
  </si>
  <si>
    <t>22 de novembro | 14:14</t>
  </si>
  <si>
    <t>MEL44100577413LMXDF01</t>
  </si>
  <si>
    <t>2000009876475778</t>
  </si>
  <si>
    <t>18 de novembro de 2024 07:00 hs.</t>
  </si>
  <si>
    <t>Chegou em 23 de novembro</t>
  </si>
  <si>
    <t>Helia Hoffmann</t>
  </si>
  <si>
    <t>CPF 73224030968</t>
  </si>
  <si>
    <t>Rua Daniel Guimarães 105 - casa, Lapa - CEP: 83752254, Paraná</t>
  </si>
  <si>
    <t>73224030968</t>
  </si>
  <si>
    <t>Rua Daniel Guimarães 105 / casa Referencia: casa - CEP 83752254 - Boqueirão, Lapa, Paraná</t>
  </si>
  <si>
    <t>Lapa</t>
  </si>
  <si>
    <t>83752254</t>
  </si>
  <si>
    <t>22 de novembro | 05:25</t>
  </si>
  <si>
    <t>23 de novembro | 16:07</t>
  </si>
  <si>
    <t>MEL44100765508LMXDF01</t>
  </si>
  <si>
    <t>2000006655754599</t>
  </si>
  <si>
    <t>18 de novembro de 2024 06:49 hs.</t>
  </si>
  <si>
    <t>Indiamara Riboli de Gasperi</t>
  </si>
  <si>
    <t>CPF 80749216034</t>
  </si>
  <si>
    <t>BR 386 Km 299 SN - Os Pias Gringo, Pouso Novo - CEP: 95945000, Rio Grande do Sul</t>
  </si>
  <si>
    <t>80749216034</t>
  </si>
  <si>
    <t>BR 386 Km 299 SN / Os Pias Gringo Referencia: churrascaria Os Pias Do Gringo ao Lado Posto - CEP 95945000 - BR, Pouso Novo, Rio Grande do Sul</t>
  </si>
  <si>
    <t>Pouso Novo</t>
  </si>
  <si>
    <t>95945000</t>
  </si>
  <si>
    <t>20 de novembro | 05:36</t>
  </si>
  <si>
    <t>22 de novembro | 15:29</t>
  </si>
  <si>
    <t>MEL44100558365LMXDF01</t>
  </si>
  <si>
    <t>2000009876357566</t>
  </si>
  <si>
    <t>18 de novembro de 2024 06:01 hs.</t>
  </si>
  <si>
    <t>Keliane Rosa Siqueira</t>
  </si>
  <si>
    <t>CPF 00511403143</t>
  </si>
  <si>
    <t>Rua 6 44 - Qd 17 Lt 06, Rio Verde - CEP: 75907040, Goiás</t>
  </si>
  <si>
    <t>00511403143</t>
  </si>
  <si>
    <t>Rua 6 44 / Qd 17 Lt 06 Referencia: Ao lado de um sobrado branco, próximo ao posto de gasolina - CEP 75907040 - Vila Promissão, Rio Verde, Goiás</t>
  </si>
  <si>
    <t>75907040</t>
  </si>
  <si>
    <t>22 de novembro | 05:36</t>
  </si>
  <si>
    <t>25 de novembro | 10:56</t>
  </si>
  <si>
    <t>MEL44100711708LMXDF01</t>
  </si>
  <si>
    <t>2000006645107731</t>
  </si>
  <si>
    <t>18 de novembro de 2024 05:28 hs.</t>
  </si>
  <si>
    <t>Fernando Jose Varanda Costa</t>
  </si>
  <si>
    <t>CPF 08741469844</t>
  </si>
  <si>
    <t>Rua das Rosas 11, Niterói - CEP: 24348120, Rio de Janeiro</t>
  </si>
  <si>
    <t>08741469844</t>
  </si>
  <si>
    <t>Rua das Rosas 11 / Casa - CEP 24348120 - Itacoatiara, Niterói, Rio de Janeiro</t>
  </si>
  <si>
    <t>24348120</t>
  </si>
  <si>
    <t>22 de novembro | 00:23</t>
  </si>
  <si>
    <t>22 de novembro | 11:54</t>
  </si>
  <si>
    <t>MEL44100493191LMXDF01</t>
  </si>
  <si>
    <t>2000009875400948</t>
  </si>
  <si>
    <t>18 de novembro de 2024 01:09 hs.</t>
  </si>
  <si>
    <t>Chegou em 26 de novembro</t>
  </si>
  <si>
    <t>Rhaylla Caroline Silva Medina</t>
  </si>
  <si>
    <t>CPF 13884278770</t>
  </si>
  <si>
    <t>RUA SARGENTO WALDIR SILVA, QUADRA 284, Maricá - CEP: 24934105, Rio de Janeiro</t>
  </si>
  <si>
    <t>13884278770</t>
  </si>
  <si>
    <t>RUA SARGENTO WALDIR SILVA, QUADRA 284 / Quadra 284, Lote 4, Loja 2 - CEP 24934105 - Jardim Atlântico Central (itaipuaçu), Maricá, Rio de Janeiro</t>
  </si>
  <si>
    <t>24934105</t>
  </si>
  <si>
    <t>26 de novembro | 10:48</t>
  </si>
  <si>
    <t>MEL44100151283LMXDF01</t>
  </si>
  <si>
    <t>https://myaccount.mercadolivre.com.br/shipments/44100151283/detail</t>
  </si>
  <si>
    <t>2000009875084478</t>
  </si>
  <si>
    <t>18 de novembro de 2024 00:23 hs.</t>
  </si>
  <si>
    <t>32344623 AUGUSTO SILVA PIRES</t>
  </si>
  <si>
    <t>CNPJ 32344623000178</t>
  </si>
  <si>
    <t>Rua Albino Fernandes 628, Salvador - CEP: 41218770, Bahia</t>
  </si>
  <si>
    <t>202090340</t>
  </si>
  <si>
    <t>32344623000178</t>
  </si>
  <si>
    <t>Rua Albino Fernandes 628 / novo horizonte Referencia: condominio vivver novo horizonte, bloco 2 ap 102 - CEP 41218770 - Novo Horizonte, Salvador, Bahia</t>
  </si>
  <si>
    <t>41218770</t>
  </si>
  <si>
    <t>20 de novembro | 00:52</t>
  </si>
  <si>
    <t>22 de novembro | 11:32</t>
  </si>
  <si>
    <t>MEL44100028511LMXDF01</t>
  </si>
  <si>
    <t>2000006654447567</t>
  </si>
  <si>
    <t>17 de novembro de 2024 23:28 hs.</t>
  </si>
  <si>
    <t>Sueli Silva de Godoy</t>
  </si>
  <si>
    <t>CPF 16632425852</t>
  </si>
  <si>
    <t>Rua José Pedro D'Oro 208, São Paulo - CEP: 02880010, São Paulo</t>
  </si>
  <si>
    <t>16632425852</t>
  </si>
  <si>
    <t>Rua José Pedro D'Oro 208 / Casa - CEP 02880010 - Vila Francos, São Paulo, São Paulo</t>
  </si>
  <si>
    <t>02880010</t>
  </si>
  <si>
    <t>22 de novembro | 04:45</t>
  </si>
  <si>
    <t>23 de novembro | 11:45</t>
  </si>
  <si>
    <t>MEL44099849757LMXDF01</t>
  </si>
  <si>
    <t>2000009874179286</t>
  </si>
  <si>
    <t>17 de novembro de 2024 22:45 hs.</t>
  </si>
  <si>
    <t>Arthur Magno</t>
  </si>
  <si>
    <t>CPF 40211875880</t>
  </si>
  <si>
    <t>Alameda São Boaventura 419, Niterói - CEP: 24130005, Rio de Janeiro</t>
  </si>
  <si>
    <t>40211875880</t>
  </si>
  <si>
    <t>Alameda São Boaventura 419 / Referencia: Ponto de referência: em frente a loja saara
Deixar na portaria com André de Carvalho - CEP 24130005 - Fonseca, Niterói, Rio de Janeiro</t>
  </si>
  <si>
    <t>24130005</t>
  </si>
  <si>
    <t>22 de novembro | 11:37</t>
  </si>
  <si>
    <t>MEL44099876688LMXDF01</t>
  </si>
  <si>
    <t>2000009873441040</t>
  </si>
  <si>
    <t>17 de novembro de 2024 21:35 hs.</t>
  </si>
  <si>
    <t>Sara de Oliveira</t>
  </si>
  <si>
    <t>CPF 70488343151</t>
  </si>
  <si>
    <t>Rua Wilson de Oliveira SN - Portão marrom, Porteirão - CEP: 75603000, Goiás</t>
  </si>
  <si>
    <t>70488343151</t>
  </si>
  <si>
    <t>Rua Wilson de Oliveira SN / Portão marrom Referencia: Enfrente a um Depósito de gás portão marrom escuromuro claro com duas listra branca Quadra30 lote05 - CEP 75603000 - Comendador Manoel Antônio Dias, Porteirão, Goiás</t>
  </si>
  <si>
    <t>Porteirão</t>
  </si>
  <si>
    <t>75603000</t>
  </si>
  <si>
    <t>25 de novembro | 11:23</t>
  </si>
  <si>
    <t>MEL44099588484LMXDF01</t>
  </si>
  <si>
    <t>2000006653477097</t>
  </si>
  <si>
    <t>17 de novembro de 2024 21:07 hs.</t>
  </si>
  <si>
    <t>Francisco de Paula Anacleto</t>
  </si>
  <si>
    <t>CPF 96543981172</t>
  </si>
  <si>
    <t>Rua das Américas 451, Reserva do Cabaçal - CEP: 78265000, Mato Grosso</t>
  </si>
  <si>
    <t>96543981172</t>
  </si>
  <si>
    <t>Rua das Américas 451 / CEP 78265000 - Cidade Alta, Reserva do Cabaçal, Mato Grosso</t>
  </si>
  <si>
    <t>Reserva do Cabaçal</t>
  </si>
  <si>
    <t>78265000</t>
  </si>
  <si>
    <t>20 de novembro | 04:55</t>
  </si>
  <si>
    <t>9 de dezembro | 08:19</t>
  </si>
  <si>
    <t>00240277033932</t>
  </si>
  <si>
    <t>https://ssw.inf.br/app/meli/00240277033932</t>
  </si>
  <si>
    <t>2000009873082380</t>
  </si>
  <si>
    <t>17 de novembro de 2024 21:00 hs.</t>
  </si>
  <si>
    <t>Marie Mance</t>
  </si>
  <si>
    <t>CPF 06507008990</t>
  </si>
  <si>
    <t>Rua Professor Coelho e Souza 52 - c, Ponta Grossa - CEP: 84061020, Paraná</t>
  </si>
  <si>
    <t>06507008990</t>
  </si>
  <si>
    <t>Rua Professor Coelho e Souza 52 / c - CEP 84061020 - Contorno, Ponta Grossa, Paraná</t>
  </si>
  <si>
    <t>84061020</t>
  </si>
  <si>
    <t>22 de novembro | 05:24</t>
  </si>
  <si>
    <t>23 de novembro | 14:09</t>
  </si>
  <si>
    <t>MEL44099247115LMXDF01</t>
  </si>
  <si>
    <t>2000006653311333</t>
  </si>
  <si>
    <t>17 de novembro de 2024 20:43 hs.</t>
  </si>
  <si>
    <t>Fatima Aparecida Maria da Costa</t>
  </si>
  <si>
    <t>CPF 83361243149</t>
  </si>
  <si>
    <t>Avenida Brasil 715, Anápolis - CEP: 75080240, Goiás</t>
  </si>
  <si>
    <t>83361243149</t>
  </si>
  <si>
    <t>Avenida Brasil 715 / 715 cidade Jardim - CEP 75080240 - Cidade Jardim, Anápolis, Goiás</t>
  </si>
  <si>
    <t>Anápolis</t>
  </si>
  <si>
    <t>75080240</t>
  </si>
  <si>
    <t>22 de novembro | 14:25</t>
  </si>
  <si>
    <t>MEL44099367226LMXDF01</t>
  </si>
  <si>
    <t>2000006652858559</t>
  </si>
  <si>
    <t>17 de novembro de 2024 19:33 hs.</t>
  </si>
  <si>
    <t>Talmiran Soares Meneses</t>
  </si>
  <si>
    <t>CPF 19159668172</t>
  </si>
  <si>
    <t>Rua José Bonifácio 607, Xambioá - CEP: 77880000, Tocantins</t>
  </si>
  <si>
    <t>19159668172</t>
  </si>
  <si>
    <t>Rua José Bonifácio 607 / CEP 77880000 - centro, Xambioá, Tocantins</t>
  </si>
  <si>
    <t>Xambioá</t>
  </si>
  <si>
    <t>77880000</t>
  </si>
  <si>
    <t>20 de novembro | 04:42</t>
  </si>
  <si>
    <t>25 de novembro | 13:53</t>
  </si>
  <si>
    <t>MEL44099088722LMXDF01</t>
  </si>
  <si>
    <t>2000006652572461</t>
  </si>
  <si>
    <t>17 de novembro de 2024 18:48 hs.</t>
  </si>
  <si>
    <t>00251</t>
  </si>
  <si>
    <t>MLB4031624572</t>
  </si>
  <si>
    <t>Pantofar Plus Com Biotina E Ácido Fólico -  C/60 Cápsulas</t>
  </si>
  <si>
    <t>Juliana Dos Santos Franco</t>
  </si>
  <si>
    <t>CPF 81539304000</t>
  </si>
  <si>
    <t>Rua Califórnia 458, Canoas - CEP: 92323000, Rio Grande do Sul</t>
  </si>
  <si>
    <t>81539304000</t>
  </si>
  <si>
    <t>Rua Califórnia 458 / Lot Central Parque - CEP 92323000 - Mato Grande, Canoas, Rio Grande do Sul</t>
  </si>
  <si>
    <t>92323000</t>
  </si>
  <si>
    <t>22 de novembro | 12:59</t>
  </si>
  <si>
    <t>MEL44098714131LMXDF01</t>
  </si>
  <si>
    <t>2000009871030498</t>
  </si>
  <si>
    <t>17 de novembro de 2024 17:35 hs.</t>
  </si>
  <si>
    <t>Chegou em 21 de novembro</t>
  </si>
  <si>
    <t>Bianca  Ferreira</t>
  </si>
  <si>
    <t>CPF 13755956799</t>
  </si>
  <si>
    <t>Rua Euclides da Cunha 374 - Em cima Colombo tato, Serra - CEP: 29165310, Espírito Santo</t>
  </si>
  <si>
    <t>13755956799</t>
  </si>
  <si>
    <t>Rua Euclides da Cunha 374 / Em cima Colombo tato Referencia: Em cima do Colombo tatoo - CEP 29165310 - Parque Residencial Laranjeiras, Serra, Espírito Santo</t>
  </si>
  <si>
    <t>29165310</t>
  </si>
  <si>
    <t>20 de novembro | 00:21</t>
  </si>
  <si>
    <t>21 de novembro | 14:59</t>
  </si>
  <si>
    <t>MEL44098626622LMXDF01</t>
  </si>
  <si>
    <t>2000009870975544</t>
  </si>
  <si>
    <t>17 de novembro de 2024 17:29 hs.</t>
  </si>
  <si>
    <t>ANA ARACI FERREIRA DE MELLO</t>
  </si>
  <si>
    <t>CPF 38546850097</t>
  </si>
  <si>
    <t>Avenida da Convenção 750 - SUCATA, Júlio de Castilhos - CEP: 98130000, Rio Grande do Sul</t>
  </si>
  <si>
    <t>38546850097</t>
  </si>
  <si>
    <t>Avenida da Convenção 750 / SUCATA Referencia: SUCATA DO PAULINHO - CEP 98130000 - UNIÃO, Júlio de Castilhos, Rio Grande do Sul</t>
  </si>
  <si>
    <t>Júlio de Castilhos</t>
  </si>
  <si>
    <t>98130000</t>
  </si>
  <si>
    <t>26 de novembro | 12:16</t>
  </si>
  <si>
    <t>MEL44098414477LMXDF01</t>
  </si>
  <si>
    <t>2000009870934890</t>
  </si>
  <si>
    <t>17 de novembro de 2024 17:24 hs.</t>
  </si>
  <si>
    <t>joão santos</t>
  </si>
  <si>
    <t>CPF 66254639734</t>
  </si>
  <si>
    <t>Avenida das Américas 10501 - PDC-350 - CASA, Rio de Janeiro - CEP: 22793082, Rio de Janeiro</t>
  </si>
  <si>
    <t>66254639734</t>
  </si>
  <si>
    <t>Avenida das Américas 10501 / PDC-350 - CASA Referencia: A casa fica no interior do Condomínio Mansões - o endereço interno é Rua Prefeito Dulcídio Cardoso, nº 350 (PDC-350) - CEP 22793082 - Barra da Tijuca, Rio de Janeiro, Rio de Janeiro</t>
  </si>
  <si>
    <t>22793082</t>
  </si>
  <si>
    <t>22 de novembro | 02:17</t>
  </si>
  <si>
    <t>22 de novembro | 17:57</t>
  </si>
  <si>
    <t>MEL44098395875LMXDF01</t>
  </si>
  <si>
    <t>2000009870914688</t>
  </si>
  <si>
    <t>17 de novembro de 2024 17:22 hs.</t>
  </si>
  <si>
    <t>Barbara Nogueira</t>
  </si>
  <si>
    <t>CPF 11365734706</t>
  </si>
  <si>
    <t>Rua Zumbi 55 - final da Rua, Magé - CEP: 25900222, Rio de Janeiro</t>
  </si>
  <si>
    <t>11365734706</t>
  </si>
  <si>
    <t>Rua Zumbi 55 / final da Rua - CEP 25900222 - Flexeiras, Magé, Rio de Janeiro</t>
  </si>
  <si>
    <t>25900222</t>
  </si>
  <si>
    <t>22 de novembro | 12:45</t>
  </si>
  <si>
    <t>MEL44098581752LMXDF01</t>
  </si>
  <si>
    <t>2000006652041999</t>
  </si>
  <si>
    <t>17 de novembro de 2024 17:21 hs.</t>
  </si>
  <si>
    <t>Nubia de Fatima Januario</t>
  </si>
  <si>
    <t>CPF 39892230892</t>
  </si>
  <si>
    <t>Rua Benedito Leme Vieira 46 - Casa, Salto de Pirapora - CEP: 18162008, São Paulo</t>
  </si>
  <si>
    <t>39892230892</t>
  </si>
  <si>
    <t>Rua Benedito Leme Vieira 46 / Casa - CEP 18162008 - Jardim Ana Guilherme, Salto de Pirapora, São Paulo</t>
  </si>
  <si>
    <t>Salto de Pirapora</t>
  </si>
  <si>
    <t>18162008</t>
  </si>
  <si>
    <t>23 de novembro | 12:26</t>
  </si>
  <si>
    <t>MEL44098383211LMXDF01</t>
  </si>
  <si>
    <t>2000009870910576</t>
  </si>
  <si>
    <t>2000009870899448</t>
  </si>
  <si>
    <t>2000006651849691</t>
  </si>
  <si>
    <t>17 de novembro de 2024 16:49 hs.</t>
  </si>
  <si>
    <t>Chegou em 20 de novembro</t>
  </si>
  <si>
    <t>joyce kellen Ferreira</t>
  </si>
  <si>
    <t>CPF 16156251782</t>
  </si>
  <si>
    <t>Rua dos Trevos 10, Rio das Ostras - CEP: 28899476, Rio de Janeiro</t>
  </si>
  <si>
    <t>16156251782</t>
  </si>
  <si>
    <t>Rua dos Trevos 10 / travessa 3 - casa 10 Referencia: Rua dos Trevos Travessa 3 Última Casa Da Travessa - CEP 28899476 - Residencial Praia Âncora, Rio das Ostras, Rio de Janeiro</t>
  </si>
  <si>
    <t>28899476</t>
  </si>
  <si>
    <t>20 de novembro | 00:20</t>
  </si>
  <si>
    <t>20 de novembro | 12:29</t>
  </si>
  <si>
    <t>MEL44098457766LMXDF01</t>
  </si>
  <si>
    <t>2000006651781243</t>
  </si>
  <si>
    <t>17 de novembro de 2024 16:39 hs.</t>
  </si>
  <si>
    <t>Pamela Culere</t>
  </si>
  <si>
    <t>CPF 46922108850</t>
  </si>
  <si>
    <t>Avenida Alfredo Branco de Queiroz 258 - loja, Novo Horizonte - CEP: 14965242, São Paulo</t>
  </si>
  <si>
    <t>46922108850</t>
  </si>
  <si>
    <t>Avenida Alfredo Branco de Queiroz 258 / loja - CEP 14965242 - Jardim Guanabara, Novo Horizonte, São Paulo</t>
  </si>
  <si>
    <t>Novo Horizonte</t>
  </si>
  <si>
    <t>14965242</t>
  </si>
  <si>
    <t>21 de novembro | 13:28</t>
  </si>
  <si>
    <t>MEL44098224165LMXDF01</t>
  </si>
  <si>
    <t>2000009870326222</t>
  </si>
  <si>
    <t>17 de novembro de 2024 16:20 hs.</t>
  </si>
  <si>
    <t>Etelvira Clea monteiro heckert</t>
  </si>
  <si>
    <t>CPF 03678292747</t>
  </si>
  <si>
    <t>Rua Albertino Quadro Gama 26, Nova Friburgo - CEP: 28633400, Rio de Janeiro</t>
  </si>
  <si>
    <t>03678292747</t>
  </si>
  <si>
    <t>Rua Albertino Quadro Gama 26 / Ao lado da loterica em Conselheiro Paulino - CEP 28633400 - Nova Friburgo, Nova Friburgo, Rio de Janeiro</t>
  </si>
  <si>
    <t>28633400</t>
  </si>
  <si>
    <t>20 de novembro | 01:20</t>
  </si>
  <si>
    <t>21 de novembro | 14:12</t>
  </si>
  <si>
    <t>MEL44098151163LMXDF01</t>
  </si>
  <si>
    <t>https://myaccount.mercadolivre.com.br/shipments/44098151163/detail</t>
  </si>
  <si>
    <t>2000006651545887</t>
  </si>
  <si>
    <t>17 de novembro de 2024 16:00 hs.</t>
  </si>
  <si>
    <t>00291</t>
  </si>
  <si>
    <t>MLB4312567832</t>
  </si>
  <si>
    <t>Polypodium Leucotomos 400 Mg - Protetor Solar Oral C/60 Caps</t>
  </si>
  <si>
    <t>FLAVIA ROSANE  DE MENDONÇA LUIS</t>
  </si>
  <si>
    <t>CPF 00875209157</t>
  </si>
  <si>
    <t>Rua João Paranhos 245 - ATRAS DA IBN, Várzea Grande - CEP: 78115640, Mato Grosso</t>
  </si>
  <si>
    <t>00875209157</t>
  </si>
  <si>
    <t>Rua João Paranhos 245 / ATRAS DA IBN Referencia: ENTREGAR PARA MINHA MAE LEDI INALDA - CEP 78115640 - Ponte Nova, Várzea Grande, Mato Grosso</t>
  </si>
  <si>
    <t>78115640</t>
  </si>
  <si>
    <t>23 de novembro | 18:52</t>
  </si>
  <si>
    <t>MEL44098077307LMXDF01</t>
  </si>
  <si>
    <t>2000006651327357</t>
  </si>
  <si>
    <t>17 de novembro de 2024 15:26 hs.</t>
  </si>
  <si>
    <t>Maria Cristina Oliveira</t>
  </si>
  <si>
    <t>CPF 16056557839</t>
  </si>
  <si>
    <t>Estrada do Cuiabá 779, Itaquaquecetuba - CEP: 08588460, São Paulo</t>
  </si>
  <si>
    <t>16056557839</t>
  </si>
  <si>
    <t>Estrada do Cuiabá 779 / CEP 08588460 - Jardim Caiubi, Itaquaquecetuba, São Paulo</t>
  </si>
  <si>
    <t>Itaquaquecetuba</t>
  </si>
  <si>
    <t>08588460</t>
  </si>
  <si>
    <t>21 de novembro | 13:32</t>
  </si>
  <si>
    <t>MEL44097941267LMXDF01</t>
  </si>
  <si>
    <t>2000009869099564</t>
  </si>
  <si>
    <t>17 de novembro de 2024 14:08 hs.</t>
  </si>
  <si>
    <t>Marcus Vinicius Amorim Bitencourt</t>
  </si>
  <si>
    <t>CPF 42805993861</t>
  </si>
  <si>
    <t>Avenida Matheus Bartol Gonzales 293, Marcondésia - CEP: 14733000, São Paulo</t>
  </si>
  <si>
    <t>42805993861</t>
  </si>
  <si>
    <t>Avenida Matheus Bartol Gonzales 293 / Avenida - CEP 14733000 - Marcondésia, Marcondésia, São Paulo</t>
  </si>
  <si>
    <t>Marcondésia</t>
  </si>
  <si>
    <t>14733000</t>
  </si>
  <si>
    <t>21 de novembro | 15:24</t>
  </si>
  <si>
    <t>MEL44097668823LMXDF01</t>
  </si>
  <si>
    <t>2000009869003730</t>
  </si>
  <si>
    <t>17 de novembro de 2024 13:58 hs.</t>
  </si>
  <si>
    <t>ana lara quatroqui</t>
  </si>
  <si>
    <t>CPF 33138131867</t>
  </si>
  <si>
    <t>Rua Dom Fernando 20, Jacareí - CEP: 12310011, São Paulo</t>
  </si>
  <si>
    <t>33138131867</t>
  </si>
  <si>
    <t>Rua Dom Fernando 20 / Referencia: Pq dos Príncipes - CEP 12310011 - Parque dos Príncipes, Jacareí, São Paulo</t>
  </si>
  <si>
    <t>Jacareí</t>
  </si>
  <si>
    <t>12310011</t>
  </si>
  <si>
    <t>21 de novembro | 12:21</t>
  </si>
  <si>
    <t>MEL44097631489LMXDF01</t>
  </si>
  <si>
    <t>2000009868488408</t>
  </si>
  <si>
    <t>17 de novembro de 2024 12:55 hs.</t>
  </si>
  <si>
    <t>Iara Valquiria  Anselmo De Souza</t>
  </si>
  <si>
    <t>CPF 00301691517</t>
  </si>
  <si>
    <t>Rua Aureliano Barbosa 502 - lado casa Jeane, Jequié - CEP: 45201633, Bahia</t>
  </si>
  <si>
    <t>00301691517</t>
  </si>
  <si>
    <t>Rua Aureliano Barbosa 502 / lado casa Jeane - CEP 45201633 - Kennedy, Jequié, Bahia</t>
  </si>
  <si>
    <t>45201633</t>
  </si>
  <si>
    <t>23 de novembro | 13:15</t>
  </si>
  <si>
    <t>MEL44097416633LMXDF01</t>
  </si>
  <si>
    <t>2000006650399003</t>
  </si>
  <si>
    <t>17 de novembro de 2024 12:37 hs.</t>
  </si>
  <si>
    <t>Jessica Ayres de Pontes Silva</t>
  </si>
  <si>
    <t>CPF 40577369806</t>
  </si>
  <si>
    <t>Rua Gregório Ramos dos Santos 725 - Hortifruti, Sorocaba - CEP: 18078000, São Paulo</t>
  </si>
  <si>
    <t>40577369806</t>
  </si>
  <si>
    <t>Rua Gregório Ramos dos Santos 725 / Hortifruti - CEP 18078000 - Jardim Santa Cecília, Sorocaba, São Paulo</t>
  </si>
  <si>
    <t>18078000</t>
  </si>
  <si>
    <t>20 de novembro | 04:46</t>
  </si>
  <si>
    <t>22 de novembro | 14:33</t>
  </si>
  <si>
    <t>MEL44097552214LMXDF01</t>
  </si>
  <si>
    <t>2000009868172042</t>
  </si>
  <si>
    <t>17 de novembro de 2024 12:15 hs.</t>
  </si>
  <si>
    <t xml:space="preserve">Maria Silva </t>
  </si>
  <si>
    <t>CPF 20396164897</t>
  </si>
  <si>
    <t>Rua Dos Bolivianos 341, São Paulo - CEP: 03873100, São Paulo</t>
  </si>
  <si>
    <t>20396164897</t>
  </si>
  <si>
    <t>Rua dos Bolivianos 341 / CEP 03873100 - Vila Rio Branco, São Paulo, São Paulo</t>
  </si>
  <si>
    <t>03873100</t>
  </si>
  <si>
    <t>22 de novembro | 18:03</t>
  </si>
  <si>
    <t>MEL44097285345LMXDF01</t>
  </si>
  <si>
    <t>2000009868101452</t>
  </si>
  <si>
    <t>17 de novembro de 2024 12:08 hs.</t>
  </si>
  <si>
    <t>silvanagodoyleao silvanagodoyleao</t>
  </si>
  <si>
    <t>CPF 32932414844</t>
  </si>
  <si>
    <t>Rua Angélicas 165 - Casa, Holambra - CEP: 13827014, São Paulo</t>
  </si>
  <si>
    <t>32932414844</t>
  </si>
  <si>
    <t>Rua Angélicas 165 / Casa - CEP 13827014 - Morada das flores, Holambra, São Paulo</t>
  </si>
  <si>
    <t>Holambra</t>
  </si>
  <si>
    <t>13827014</t>
  </si>
  <si>
    <t>21 de novembro | 16:16</t>
  </si>
  <si>
    <t>MEL44097460694LMXDF01</t>
  </si>
  <si>
    <t>2000009868049204</t>
  </si>
  <si>
    <t>17 de novembro de 2024 12:04 hs.</t>
  </si>
  <si>
    <t>Wellington Dos Santos Mendes</t>
  </si>
  <si>
    <t>CPF 03724110707</t>
  </si>
  <si>
    <t>Alameda São Boaventura 925 - Lan house e gráfica, Niterói - CEP: 24130001, Rio de Janeiro</t>
  </si>
  <si>
    <t>03724110707</t>
  </si>
  <si>
    <t>Alameda São Boaventura 925 / Lan house e gráfica Referencia: Entre a loja de doces e a lanchonete, comercial de frente para a Alameda, não abrimos nos feriados. - CEP 24130001 - Fonseca, Niterói, Rio de Janeiro</t>
  </si>
  <si>
    <t>24130001</t>
  </si>
  <si>
    <t>20 de novembro | 00:25</t>
  </si>
  <si>
    <t>21 de novembro | 15:39</t>
  </si>
  <si>
    <t>MEL44097242235LMXDF01</t>
  </si>
  <si>
    <t>2000009867984410</t>
  </si>
  <si>
    <t>17 de novembro de 2024 11:52 hs.</t>
  </si>
  <si>
    <t>Creudes de Jesus Silva de Franca</t>
  </si>
  <si>
    <t>CPF 10088527670</t>
  </si>
  <si>
    <t>Beco Beija Flor 19, Belo Horizonte - CEP: 30666720, Minas Gerais</t>
  </si>
  <si>
    <t>10088527670</t>
  </si>
  <si>
    <t>30666720</t>
  </si>
  <si>
    <t>MEL44097211821FMXDF01</t>
  </si>
  <si>
    <t>2000009867844062</t>
  </si>
  <si>
    <t>17 de novembro de 2024 11:32 hs.</t>
  </si>
  <si>
    <t>Rozana Cristina Simoes Andrade</t>
  </si>
  <si>
    <t>CPF 29437433801</t>
  </si>
  <si>
    <t>Rua D 8 - quadra 5 bloco 4, Luís Eduardo Magalhães - CEP: 47861408, Bahia</t>
  </si>
  <si>
    <t>29437433801</t>
  </si>
  <si>
    <t>Rua D 8 / quadra 5 bloco 4 Referencia: Sol do cerrado,grade azul na escada - CEP 47861408 - Jardim das Oliveiras, Luís Eduardo Magalhães, Bahia</t>
  </si>
  <si>
    <t>Luís Eduardo Magalhães</t>
  </si>
  <si>
    <t>47861408</t>
  </si>
  <si>
    <t>24 de novembro | 12:09</t>
  </si>
  <si>
    <t>MEL44097151923LMXDF01</t>
  </si>
  <si>
    <t>2000009867731696</t>
  </si>
  <si>
    <t>17 de novembro de 2024 11:19 hs.</t>
  </si>
  <si>
    <t>Jackson Castro Munhoz</t>
  </si>
  <si>
    <t>CPF 29704445857</t>
  </si>
  <si>
    <t>Rua Otávio de Almeida Coelho 185 - Próximo escritório, Tabatinga - CEP: 14914272, São Paulo</t>
  </si>
  <si>
    <t>29704445857</t>
  </si>
  <si>
    <t>Rua Otávio de Almeida Coelho 185 / Próximo escritório Referencia: próximo do escritório do Maria Luiza - CEP 14914272 - Jardim Maria Luiza I, Tabatinga, São Paulo</t>
  </si>
  <si>
    <t>Tabatinga</t>
  </si>
  <si>
    <t>14914272</t>
  </si>
  <si>
    <t>22 de novembro | 04:46</t>
  </si>
  <si>
    <t>23 de novembro | 14:53</t>
  </si>
  <si>
    <t>MEL44097307454LMXDF01</t>
  </si>
  <si>
    <t>2000009867715332</t>
  </si>
  <si>
    <t>17 de novembro de 2024 11:18 hs.</t>
  </si>
  <si>
    <t>Roberta Cristina Fernando Macedo Dos Santos</t>
  </si>
  <si>
    <t>CPF 11759166766</t>
  </si>
  <si>
    <t>Rua Getúlio Vargas 52, Rio de Janeiro - CEP: 21721290, Rio de Janeiro</t>
  </si>
  <si>
    <t>11759166766</t>
  </si>
  <si>
    <t>Rua Getúlio Vargas 52 / CEP 21721290 - Padre Miguel, Rio de Janeiro, Rio de Janeiro</t>
  </si>
  <si>
    <t>21721290</t>
  </si>
  <si>
    <t>20 de novembro | 00:51</t>
  </si>
  <si>
    <t>20 de novembro | 18:32</t>
  </si>
  <si>
    <t>MEL44097299232LMXDF01</t>
  </si>
  <si>
    <t>2000006649818969</t>
  </si>
  <si>
    <t>17 de novembro de 2024 10:24 hs.</t>
  </si>
  <si>
    <t>Patricia Batalha</t>
  </si>
  <si>
    <t>CPF 64726703234</t>
  </si>
  <si>
    <t>Passagem Miramar 332, Belém - CEP: 66117340, Pará</t>
  </si>
  <si>
    <t>64726703234</t>
  </si>
  <si>
    <t>Passagem Miramar 332 / CEP 66117340 - Barreiro, Belém, Pará</t>
  </si>
  <si>
    <t>66117340</t>
  </si>
  <si>
    <t>22 de novembro | 05:37</t>
  </si>
  <si>
    <t>25 de novembro | 17:34</t>
  </si>
  <si>
    <t>MEL44096960387LMXDF01</t>
  </si>
  <si>
    <t>2000009867323628</t>
  </si>
  <si>
    <t>17 de novembro de 2024 10:15 hs.</t>
  </si>
  <si>
    <t>Susana Dos Santos Oliveira</t>
  </si>
  <si>
    <t>CPF 04337125540</t>
  </si>
  <si>
    <t>Rua Cláudio Artaria 221, São Paulo - CEP: 04849302, São Paulo</t>
  </si>
  <si>
    <t>04337125540</t>
  </si>
  <si>
    <t>Rua Cláudio Artaria 221 / casa Referencia: próximo ao colégio das férias - CEP 04849302 - Chácara Gaivotas, São Paulo, São Paulo</t>
  </si>
  <si>
    <t>04849302</t>
  </si>
  <si>
    <t>20 de novembro | 02:54</t>
  </si>
  <si>
    <t>22 de novembro | 11:05</t>
  </si>
  <si>
    <t>ML44096941217135551</t>
  </si>
  <si>
    <t>https://www.loggi.com/rastreador/3762947aef/ML44096941217135551</t>
  </si>
  <si>
    <t>2000009867303690</t>
  </si>
  <si>
    <t>17 de novembro de 2024 10:11 hs.</t>
  </si>
  <si>
    <t>Maria Do Carmo Batista Costa Silva</t>
  </si>
  <si>
    <t>CPF 29336006843</t>
  </si>
  <si>
    <t>Rua General José de Oliveira Ramos 179, São Paulo - CEP: 04855330, São Paulo</t>
  </si>
  <si>
    <t>29336006843</t>
  </si>
  <si>
    <t>Rua General José de Oliveira Ramos 179 / Referencia: UBS Jardim Três Corações - CEP 04855330 - Jardim Três Corações, São Paulo, São Paulo</t>
  </si>
  <si>
    <t>04855330</t>
  </si>
  <si>
    <t>20 de novembro | 02:55</t>
  </si>
  <si>
    <t>22 de novembro | 20:45</t>
  </si>
  <si>
    <t>ML44096930741135551</t>
  </si>
  <si>
    <t>https://www.loggi.com/rastreador/3762947aef/ML44096930741135551</t>
  </si>
  <si>
    <t>2000009867240964</t>
  </si>
  <si>
    <t>17 de novembro de 2024 10:05 hs.</t>
  </si>
  <si>
    <t xml:space="preserve">Leila  Araújo </t>
  </si>
  <si>
    <t>CPF 62246421330</t>
  </si>
  <si>
    <t>Rua Três de Maio 1212, Pelotas - CEP: 96010620, Rio Grande do Sul</t>
  </si>
  <si>
    <t>62246421330</t>
  </si>
  <si>
    <t>Rua Três de Maio 1212 / Ap. 302 Referencia: Pode deixar na portaria, obrigada. - CEP 96010620 - Centro, Pelotas, Rio Grande do Sul</t>
  </si>
  <si>
    <t>96010620</t>
  </si>
  <si>
    <t>22 de novembro | 12:13</t>
  </si>
  <si>
    <t>MEL44097097052LMXDF01</t>
  </si>
  <si>
    <t>2000006649705349</t>
  </si>
  <si>
    <t>17 de novembro de 2024 09:44 hs.</t>
  </si>
  <si>
    <t>SANDREANI  FARIAS</t>
  </si>
  <si>
    <t>CPF 86929550434</t>
  </si>
  <si>
    <t>Avenida Frei Caneca 410 - Ao lado do CMA, Garanhuns - CEP: 55295515, Pernambuco</t>
  </si>
  <si>
    <t>86929550434</t>
  </si>
  <si>
    <t>Avenida Frei Caneca 410 / Ao lado do CMA - CEP 55295515 - Heliópolis, Garanhuns, Pernambuco</t>
  </si>
  <si>
    <t>Garanhuns</t>
  </si>
  <si>
    <t>55295515</t>
  </si>
  <si>
    <t>24 de novembro | 13:35</t>
  </si>
  <si>
    <t>MEL44096875099LMXDF01</t>
  </si>
  <si>
    <t>2000009867129608</t>
  </si>
  <si>
    <t>17 de novembro de 2024 09:34 hs.</t>
  </si>
  <si>
    <t>nanynharibeiro nanynharibeiro</t>
  </si>
  <si>
    <t>CPF 24587360848</t>
  </si>
  <si>
    <t>Rua Antônio Reinaldo Gonçalves 733, Praia Grande - CEP: 11707120, São Paulo</t>
  </si>
  <si>
    <t>24587360848</t>
  </si>
  <si>
    <t>Rua Antônio Reinaldo Gonçalves 733 / CEP 11707120 - Caiçara, Praia Grande, São Paulo</t>
  </si>
  <si>
    <t>11707120</t>
  </si>
  <si>
    <t>24 de novembro | 10:45</t>
  </si>
  <si>
    <t>MEL44097050898LMXDF01</t>
  </si>
  <si>
    <t>2000009866863946</t>
  </si>
  <si>
    <t>17 de novembro de 2024 08:15 hs.</t>
  </si>
  <si>
    <t xml:space="preserve">Elizabeth  Fernandes </t>
  </si>
  <si>
    <t>CPF 96176210704</t>
  </si>
  <si>
    <t>Rua Acre 100 - Apto 202 BLOCO 13, Teresópolis - CEP: 25957005, Rio de Janeiro</t>
  </si>
  <si>
    <t>96176210704</t>
  </si>
  <si>
    <t>Rua Acre 100 / Apto 202 BLOCO 13 Referencia: os. Entregar na portaria  do condomínio ( SERRA DAS ARARAS ) N. 100 - CEP 25957005 - Araras, Teresópolis, Rio de Janeiro</t>
  </si>
  <si>
    <t>Teresópolis</t>
  </si>
  <si>
    <t>25957005</t>
  </si>
  <si>
    <t>22 de novembro | 00:50</t>
  </si>
  <si>
    <t>MEL44096743603LMXDF01</t>
  </si>
  <si>
    <t>2000009866847092</t>
  </si>
  <si>
    <t>17 de novembro de 2024 08:04 hs.</t>
  </si>
  <si>
    <t>Talia Borba</t>
  </si>
  <si>
    <t>CPF 05769872802</t>
  </si>
  <si>
    <t>Rua Piza Sobrinho 10 - CASA DE ESQUINA, Coroados - CEP: 16260000, São Paulo</t>
  </si>
  <si>
    <t>05769872802</t>
  </si>
  <si>
    <t>Rua Piza Sobrinho 10 / CASA DE ESQUINA - CEP 16260000 - Coroados, Coroados, São Paulo</t>
  </si>
  <si>
    <t>Coroados</t>
  </si>
  <si>
    <t>16260000</t>
  </si>
  <si>
    <t>22 de novembro | 11:58</t>
  </si>
  <si>
    <t>MEL44096731823LMXDF01</t>
  </si>
  <si>
    <t>2000009866838622</t>
  </si>
  <si>
    <t>17 de novembro de 2024 07:58 hs.</t>
  </si>
  <si>
    <t>Lilian Amorim da Silva Dorta</t>
  </si>
  <si>
    <t>CPF 22160602833</t>
  </si>
  <si>
    <t>Rua Antônio Martins 23, Morungaba - CEP: 13265540, São Paulo</t>
  </si>
  <si>
    <t>22160602833</t>
  </si>
  <si>
    <t>Rua Antônio Martins 23 / CEP 13265540 - Brumado, Morungaba, São Paulo</t>
  </si>
  <si>
    <t>Morungaba</t>
  </si>
  <si>
    <t>13265540</t>
  </si>
  <si>
    <t>22 de novembro | 04:48</t>
  </si>
  <si>
    <t>23 de novembro | 13:33</t>
  </si>
  <si>
    <t>MEL44096726247LMXDF01</t>
  </si>
  <si>
    <t>2000009866686740</t>
  </si>
  <si>
    <t>17 de novembro de 2024 06:13 hs.</t>
  </si>
  <si>
    <t>Cristiane de Oliveira Forte</t>
  </si>
  <si>
    <t>CPF 37831537864</t>
  </si>
  <si>
    <t>Rua Yvorne 41, São Paulo - CEP: 02442010, São Paulo</t>
  </si>
  <si>
    <t>37831537864</t>
  </si>
  <si>
    <t>Rua Yvorne 41 / 26 Bl D - CEP 02442010 - Lauzane Paulista, São Paulo, São Paulo</t>
  </si>
  <si>
    <t>02442010</t>
  </si>
  <si>
    <t>22 de novembro | 12:10</t>
  </si>
  <si>
    <t>MEL44096854890LMXDF01</t>
  </si>
  <si>
    <t>2000009866404642</t>
  </si>
  <si>
    <t>17 de novembro de 2024 03:11 hs.</t>
  </si>
  <si>
    <t>cleber Santos</t>
  </si>
  <si>
    <t>CPF 05058965917</t>
  </si>
  <si>
    <t>Rua Alvino Voigt 695 - casa, Canoinhas - CEP: 89466250, Santa Catarina</t>
  </si>
  <si>
    <t>05058965917</t>
  </si>
  <si>
    <t>Rua Alvino Voigt 695 / casa - CEP 89466250 - Campo da Água Verde, Canoinhas, Santa Catarina</t>
  </si>
  <si>
    <t>Canoinhas</t>
  </si>
  <si>
    <t>89466250</t>
  </si>
  <si>
    <t>22 de novembro | 05:32</t>
  </si>
  <si>
    <t>23 de novembro | 14:03</t>
  </si>
  <si>
    <t>MEL44096749580LMXDF01</t>
  </si>
  <si>
    <t>2000009866212540</t>
  </si>
  <si>
    <t>17 de novembro de 2024 02:25 hs.</t>
  </si>
  <si>
    <t>Pabula Doimo</t>
  </si>
  <si>
    <t>CPF 25565901812</t>
  </si>
  <si>
    <t>Avenida Dona Luiza Hubner Breda 284, Santa Gertrudes - CEP: 13513210, São Paulo</t>
  </si>
  <si>
    <t>25565901812</t>
  </si>
  <si>
    <t>Avenida Dona Luiza Hubner Breda 284 / CEP 13513210 - Jardim Bom Sucesso II, Santa Gertrudes, São Paulo</t>
  </si>
  <si>
    <t>Santa Gertrudes</t>
  </si>
  <si>
    <t>13513210</t>
  </si>
  <si>
    <t>20 de novembro | 05:35</t>
  </si>
  <si>
    <t>MEL44096485791LMXDF01</t>
  </si>
  <si>
    <t>2000009865899590</t>
  </si>
  <si>
    <t>17 de novembro de 2024 01:16 hs.</t>
  </si>
  <si>
    <t>Deyvid Maximo</t>
  </si>
  <si>
    <t>CPF 15219371762</t>
  </si>
  <si>
    <t>Rua Doutor Luiz Antonio Garcia da Silveira 56, Piraí - CEP: 27175000, Rio de Janeiro</t>
  </si>
  <si>
    <t>15219371762</t>
  </si>
  <si>
    <t>Rua Doutor Luiz Antonio Garcia da Silveira 56 / CEP 27175000 - centro pirai, Piraí, Rio de Janeiro</t>
  </si>
  <si>
    <t>Piraí</t>
  </si>
  <si>
    <t>27175000</t>
  </si>
  <si>
    <t>20 de novembro | 01:23</t>
  </si>
  <si>
    <t>20 de novembro | 10:50</t>
  </si>
  <si>
    <t>MEL44096570022LMXDF01</t>
  </si>
  <si>
    <t>2000006648679443</t>
  </si>
  <si>
    <t>17 de novembro de 2024 00:28 hs.</t>
  </si>
  <si>
    <t>Aparecida De Jesus Rocha Cida</t>
  </si>
  <si>
    <t>CPF 68560362649</t>
  </si>
  <si>
    <t>Rua Taiwan 72, Belo Horizonte - CEP: 30662523, Minas Gerais</t>
  </si>
  <si>
    <t>68560362649</t>
  </si>
  <si>
    <t>Rua Taiwan 72 / Referencia: rua catumbi 232 ibirite mg - CEP 30662523 - Itaipu (Barreiro), Belo Horizonte, Minas Gerais</t>
  </si>
  <si>
    <t>30662523</t>
  </si>
  <si>
    <t>22 de novembro | 01:52</t>
  </si>
  <si>
    <t>22 de novembro | 17:15</t>
  </si>
  <si>
    <t>MEL44096471332LMXDF01</t>
  </si>
  <si>
    <t>2000009865548950</t>
  </si>
  <si>
    <t>17 de novembro de 2024 00:13 hs.</t>
  </si>
  <si>
    <t>Pedro Henrique Lopes dos Santos</t>
  </si>
  <si>
    <t>CPF 30081077882</t>
  </si>
  <si>
    <t>Rua César Tupinambá Roselino 305 - apto 13, Ribeirão Preto - CEP: 14026230, São Paulo</t>
  </si>
  <si>
    <t>30081077882</t>
  </si>
  <si>
    <t>Rua César Tupinambá Roselino 305 / apto 13 - CEP 14026230 - Vila Ana Maria, Ribeirão Preto, São Paulo</t>
  </si>
  <si>
    <t>14026230</t>
  </si>
  <si>
    <t>22 de novembro | 04:03</t>
  </si>
  <si>
    <t>23 de novembro | 11:27</t>
  </si>
  <si>
    <t>MEL44096239881LMXDF01</t>
  </si>
  <si>
    <t>2000009865076682</t>
  </si>
  <si>
    <t>16 de novembro de 2024 23:03 hs.</t>
  </si>
  <si>
    <t>Ana Paula Gomes Dos Reis</t>
  </si>
  <si>
    <t>CPF 04964678679</t>
  </si>
  <si>
    <t>Rua Padre Evaristo 192, Pará de Minas - CEP: 35660422, Minas Gerais</t>
  </si>
  <si>
    <t>04964678679</t>
  </si>
  <si>
    <t>Rua Padre Evaristo 192 / A Referencia: Nossa Senhora Das Graças O Bairro - CEP 35660422 - Vila Sinhô, Pará de Minas, Minas Gerais</t>
  </si>
  <si>
    <t>35660422</t>
  </si>
  <si>
    <t>22 de novembro | 15:45</t>
  </si>
  <si>
    <t>MEL44096055153LMXDF01</t>
  </si>
  <si>
    <t>2000006648244409</t>
  </si>
  <si>
    <t>16 de novembro de 2024 22:55 hs.</t>
  </si>
  <si>
    <t>CLOVIS FRANCISCO MENDES</t>
  </si>
  <si>
    <t>CPF 23685689991</t>
  </si>
  <si>
    <t>Av Gil Abreu E Sousa 1770, Londrina - CEP: 86058100, Paraná</t>
  </si>
  <si>
    <t>23685689991</t>
  </si>
  <si>
    <t>Av Gil Abreu E Sousa 1770 / Casa 65 Cond. Acácia Imperial Referencia: Cond. Acácia Imperial Ao Lado Escola St James - CEP 86058100 - Esperança, Londrina, Paraná</t>
  </si>
  <si>
    <t>86058100</t>
  </si>
  <si>
    <t>25 de novembro | 13:23</t>
  </si>
  <si>
    <t>MEL44096032085LMXDF01</t>
  </si>
  <si>
    <t>2000009864981694</t>
  </si>
  <si>
    <t>16 de novembro de 2024 22:54 hs.</t>
  </si>
  <si>
    <t>Lucas Eduardo Ribeiro Nogueira</t>
  </si>
  <si>
    <t>CPF 12466170647</t>
  </si>
  <si>
    <t>Rua Pastor Mamélio Ferreira 147 - apt 101 bloco 6, Belo Horizonte - CEP: 30525460, Minas Gerais</t>
  </si>
  <si>
    <t>12466170647</t>
  </si>
  <si>
    <t>Rua Pastor Mamélio Ferreira 147 / apt 101 bloco 6 - CEP 30525460 - Camargos, Belo Horizonte, Minas Gerais</t>
  </si>
  <si>
    <t>30525460</t>
  </si>
  <si>
    <t>20 de novembro | 01:51</t>
  </si>
  <si>
    <t>21 de novembro | 11:08</t>
  </si>
  <si>
    <t>MEL44096024227LMXDF01</t>
  </si>
  <si>
    <t>2000009864800016</t>
  </si>
  <si>
    <t>16 de novembro de 2024 22:27 hs.</t>
  </si>
  <si>
    <t>Venda concretizada</t>
  </si>
  <si>
    <t>Concretizamos a venda porque já se passaram 28 dias desde a data da compra.</t>
  </si>
  <si>
    <t>Daiane Amorim</t>
  </si>
  <si>
    <t>CPF 05254972262</t>
  </si>
  <si>
    <t>Rua Antônio Walfredo 725 - PanificadoraféemDeus, Mojuí Dos Campos - CEP: 68129000, Pará</t>
  </si>
  <si>
    <t>05254972262</t>
  </si>
  <si>
    <t>rua Antônio Walfredo 725 / PanificadoraféemDeus Referencia: Panificadora Fé em Deus em frente a escola Raimunda Queiroz - CEP 68129000 - Cidade alta 1, Mojuí dos Campos, Pará</t>
  </si>
  <si>
    <t>Mojuí dos Campos</t>
  </si>
  <si>
    <t>68129000</t>
  </si>
  <si>
    <t>12108801040352</t>
  </si>
  <si>
    <t>https://www.jadlog.com.br/trackingml.jsp?pedido=12108801040352</t>
  </si>
  <si>
    <t>2000009864772036</t>
  </si>
  <si>
    <t>16 de novembro de 2024 22:25 hs.</t>
  </si>
  <si>
    <t>Benicia Maciel Braga</t>
  </si>
  <si>
    <t>CPF 05259972376</t>
  </si>
  <si>
    <t>Rua pompilio de Santana Braga SN, Fartura do Piauí - CEP: 64788000, Piauí</t>
  </si>
  <si>
    <t>05259972376</t>
  </si>
  <si>
    <t>Rua pompilio de Santana Braga SN / Referencia: casa da frente verde, portões  tabaco do lado do salão Raica modas. - CEP 64788000 - São José, Fartura do Piauí, Piauí</t>
  </si>
  <si>
    <t>Fartura do Piauí</t>
  </si>
  <si>
    <t>64788000</t>
  </si>
  <si>
    <t>22 de novembro | 02:48</t>
  </si>
  <si>
    <t>25 de novembro | 20:04</t>
  </si>
  <si>
    <t>MEL44096126590LMXDF01</t>
  </si>
  <si>
    <t>2000009864459992</t>
  </si>
  <si>
    <t>16 de novembro de 2024 21:47 hs.</t>
  </si>
  <si>
    <t>Alvaro Vasconcellos de Miranda Junior</t>
  </si>
  <si>
    <t>CPF 01124152024</t>
  </si>
  <si>
    <t>Rua Guadalajara 472 - barbearia, Porto Alegre - CEP: 91215290, Rio Grande do Sul</t>
  </si>
  <si>
    <t>01124152024</t>
  </si>
  <si>
    <t>Rua Guadalajara 472 / barbearia Referencia: Leandro Paiva está autorizado a receber encomendas , caso ALVARO não esteja no momento. - CEP 91215290 - Jardim Sabará, Porto Alegre, Rio Grande do Sul</t>
  </si>
  <si>
    <t>91215290</t>
  </si>
  <si>
    <t>25 de novembro | 10:14</t>
  </si>
  <si>
    <t>MEL44096012748LMXDF01</t>
  </si>
  <si>
    <t>2000009864442450</t>
  </si>
  <si>
    <t>16 de novembro de 2024 21:42 hs.</t>
  </si>
  <si>
    <t>Rita Rodrigues</t>
  </si>
  <si>
    <t>CPF 10681304740</t>
  </si>
  <si>
    <t>Rua Americana 42, Rio de Janeiro - CEP: 20785020, Rio de Janeiro</t>
  </si>
  <si>
    <t>10681304740</t>
  </si>
  <si>
    <t>Rua Americana 42 / Frente Referencia: Rua Do Colégio Paulo Freire. Chamar Carolina - CEP 20785020 - Cachambi, Rio de Janeiro, Rio de Janeiro</t>
  </si>
  <si>
    <t>20785020</t>
  </si>
  <si>
    <t>21 de novembro | 23:26</t>
  </si>
  <si>
    <t>22 de novembro | 14:12</t>
  </si>
  <si>
    <t>MEL44095997102LMXDF01</t>
  </si>
  <si>
    <t>2000006647571273</t>
  </si>
  <si>
    <t>16 de novembro de 2024 20:47 hs.</t>
  </si>
  <si>
    <t>Bruna Neri Pereira</t>
  </si>
  <si>
    <t>CPF 35851061880</t>
  </si>
  <si>
    <t>Rua Waldomiro Corrêa da Silva 85 - apto 23, Ribeirão Preto - CEP: 14021581, São Paulo</t>
  </si>
  <si>
    <t>35851061880</t>
  </si>
  <si>
    <t>Rua Waldomiro Corrêa da Silva 85 / apto 23 - CEP 14021581 - Jardim Botânico, Ribeirão Preto, São Paulo</t>
  </si>
  <si>
    <t>14021581</t>
  </si>
  <si>
    <t>23 de novembro | 15:37</t>
  </si>
  <si>
    <t>MEL44095610665LMXDF01</t>
  </si>
  <si>
    <t>2000009863963632</t>
  </si>
  <si>
    <t>2000009863982054</t>
  </si>
  <si>
    <t>2000006646646723</t>
  </si>
  <si>
    <t>16 de novembro de 2024 18:03 hs.</t>
  </si>
  <si>
    <t>Fabiano Righi</t>
  </si>
  <si>
    <t>CPF 00368641023</t>
  </si>
  <si>
    <t>Rua José Rossini 94, Bento Gonçalves - CEP: 95702510, Rio Grande do Sul</t>
  </si>
  <si>
    <t>00368641023</t>
  </si>
  <si>
    <t>Rua José Rossini 94 / CEP 95702510 - Santa Helena, Bento Gonçalves, Rio Grande do Sul</t>
  </si>
  <si>
    <t>Bento Gonçalves</t>
  </si>
  <si>
    <t>95702510</t>
  </si>
  <si>
    <t>19 de novembro | 04:40</t>
  </si>
  <si>
    <t>21 de novembro | 16:20</t>
  </si>
  <si>
    <t>MEL44095214934LMXDF01</t>
  </si>
  <si>
    <t>2000006646482247</t>
  </si>
  <si>
    <t>16 de novembro de 2024 17:34 hs.</t>
  </si>
  <si>
    <t>Jaqueline Francisca Luciano</t>
  </si>
  <si>
    <t>CPF 05418218735</t>
  </si>
  <si>
    <t>R EDGAR LINHARES 450, Balneário Camboriú - CEP: 88336210, Santa Catarina</t>
  </si>
  <si>
    <t>05418218735</t>
  </si>
  <si>
    <t>R EDGAR LINHARES 450 / GALPAO500 - CEP 88336210 - Nova Esperanca, Balneário Camboriú, Santa Catarina</t>
  </si>
  <si>
    <t>88336210</t>
  </si>
  <si>
    <t>21 de novembro | 17:26</t>
  </si>
  <si>
    <t>MEL44095106918LMXDF01</t>
  </si>
  <si>
    <t>https://myaccount.mercadolivre.com.br/shipments/44095106918/detail</t>
  </si>
  <si>
    <t>2000009861919186</t>
  </si>
  <si>
    <t>16 de novembro de 2024 16:56 hs.</t>
  </si>
  <si>
    <t>Veronica da Silva Ferreira</t>
  </si>
  <si>
    <t>CPF 93918631591</t>
  </si>
  <si>
    <t>Rua Direta de Nova Brasília 70 - e, Salvador - CEP: 41350010, Bahia</t>
  </si>
  <si>
    <t>93918631591</t>
  </si>
  <si>
    <t>Rua Direta de Nova Brasília 70 / e - CEP 41350010 - Nova Brasília, Salvador, Bahia</t>
  </si>
  <si>
    <t>41350010</t>
  </si>
  <si>
    <t>19 de novembro | 00:54</t>
  </si>
  <si>
    <t>20 de novembro | 19:20</t>
  </si>
  <si>
    <t>MEL44094770019LMXDF01</t>
  </si>
  <si>
    <t>2000006646074529</t>
  </si>
  <si>
    <t>16 de novembro de 2024 16:26 hs.</t>
  </si>
  <si>
    <t>draanitabarros.ab draanitabarros.ab</t>
  </si>
  <si>
    <t>CPF 89743253815</t>
  </si>
  <si>
    <t>Rua Japurá 55 - 121, São Paulo - CEP: 01319030, São Paulo</t>
  </si>
  <si>
    <t>89743253815</t>
  </si>
  <si>
    <t>Rua Japurá 55 / 121 Referencia: Esse Endereço Fica Próximo A Câmara Municipal de São Paulo Capital - CEP 01319030 - Bela Vista, São Paulo, São Paulo</t>
  </si>
  <si>
    <t>01319030</t>
  </si>
  <si>
    <t>19 de novembro | 04:53</t>
  </si>
  <si>
    <t>20 de novembro | 13:45</t>
  </si>
  <si>
    <t>MEL44094645449LMXDF01</t>
  </si>
  <si>
    <t>2000009861302462</t>
  </si>
  <si>
    <t>16 de novembro de 2024 15:49 hs.</t>
  </si>
  <si>
    <t>Chegou em 19 de novembro</t>
  </si>
  <si>
    <t>Elisiane Trindade</t>
  </si>
  <si>
    <t>CPF 64926753049</t>
  </si>
  <si>
    <t>Rua Sá Ferreira 152 - 902, Rio de Janeiro - CEP: 22071101, Rio de Janeiro</t>
  </si>
  <si>
    <t>64926753049</t>
  </si>
  <si>
    <t>Rua Sá Ferreira 152 / 902 - CEP 22071101 - Copacabana, Rio de Janeiro, Rio de Janeiro</t>
  </si>
  <si>
    <t>22071101</t>
  </si>
  <si>
    <t>19 de novembro | 01:41</t>
  </si>
  <si>
    <t>19 de novembro | 11:14</t>
  </si>
  <si>
    <t>MEL44094507031LMXDF01</t>
  </si>
  <si>
    <t>2000009861188146</t>
  </si>
  <si>
    <t>16 de novembro de 2024 15:36 hs.</t>
  </si>
  <si>
    <t>19 de novembro | 04:51</t>
  </si>
  <si>
    <t>22 de novembro | 11:24</t>
  </si>
  <si>
    <t>MEL44094457725LMXDF01</t>
  </si>
  <si>
    <t>2000009860632938</t>
  </si>
  <si>
    <t>16 de novembro de 2024 14:40 hs.</t>
  </si>
  <si>
    <t>Janete Mascarin</t>
  </si>
  <si>
    <t>CPF 65585208004</t>
  </si>
  <si>
    <t>Rua Carlos Brasil do Amaral Cattani 488 - casa, Santo Ângelo - CEP: 98807350, Rio Grande do Sul</t>
  </si>
  <si>
    <t>65585208004</t>
  </si>
  <si>
    <t>Rua Carlos Brasil do Amaral Cattani 488 / casa - CEP 98807350 - Esperança, Santo Ângelo, Rio Grande do Sul</t>
  </si>
  <si>
    <t>Santo Ângelo</t>
  </si>
  <si>
    <t>98807350</t>
  </si>
  <si>
    <t>21 de novembro | 15:17</t>
  </si>
  <si>
    <t>MEL44094424130LMXDF01</t>
  </si>
  <si>
    <t>2000009860374008</t>
  </si>
  <si>
    <t>16 de novembro de 2024 14:11 hs.</t>
  </si>
  <si>
    <t>Adriana Regina Goncalves</t>
  </si>
  <si>
    <t>CPF 84934697934</t>
  </si>
  <si>
    <t>Rua Guilherme Afonso Martins 240, Piraquara - CEP: 83305440, Paraná</t>
  </si>
  <si>
    <t>84934697934</t>
  </si>
  <si>
    <t>Rua Guilherme Afonso Martins 240 / CEP 83305440 - Vila São Cristóvão, Piraquara, Paraná</t>
  </si>
  <si>
    <t>Piraquara</t>
  </si>
  <si>
    <t>83305440</t>
  </si>
  <si>
    <t>19 de novembro | 05:56</t>
  </si>
  <si>
    <t>20 de novembro | 10:44</t>
  </si>
  <si>
    <t>MEL44094322124LMXDF01</t>
  </si>
  <si>
    <t>2000009860225782</t>
  </si>
  <si>
    <t>16 de novembro de 2024 13:55 hs.</t>
  </si>
  <si>
    <t>Vitoria Caroline Alves Dos Santos</t>
  </si>
  <si>
    <t>CPF 47048391847</t>
  </si>
  <si>
    <t>Avenida Barão de Mauá 2588, Mauá - CEP: 09340440, São Paulo</t>
  </si>
  <si>
    <t>47048391847</t>
  </si>
  <si>
    <t>Avenida Barão de Mauá 2588 / Loja - CEP 09340440 - Jardim Maringá, Mauá, São Paulo</t>
  </si>
  <si>
    <t>09340440</t>
  </si>
  <si>
    <t>19 de novembro | 04:52</t>
  </si>
  <si>
    <t>21 de novembro | 15:25</t>
  </si>
  <si>
    <t>MEL44094259612LMXDF01</t>
  </si>
  <si>
    <t>https://myaccount.mercadolivre.com.br/shipments/44094259612/detail</t>
  </si>
  <si>
    <t>2000009860194292</t>
  </si>
  <si>
    <t>16 de novembro de 2024 13:49 hs.</t>
  </si>
  <si>
    <t>Roseli da Silva Neves</t>
  </si>
  <si>
    <t>CPF 76823873949</t>
  </si>
  <si>
    <t>Rua Malmo 67, Almirante Tamandaré - CEP: 83507652, Paraná</t>
  </si>
  <si>
    <t>76823873949</t>
  </si>
  <si>
    <t>Rua Malmo 67 / Casa - CEP 83507652 - Lamenha Grande, Almirante Tamandaré, Paraná</t>
  </si>
  <si>
    <t>Almirante Tamandaré</t>
  </si>
  <si>
    <t>83507652</t>
  </si>
  <si>
    <t>20 de novembro | 12:52</t>
  </si>
  <si>
    <t>MEL44094042907LMXDF01</t>
  </si>
  <si>
    <t>2000009859928448</t>
  </si>
  <si>
    <t>16 de novembro de 2024 13:21 hs.</t>
  </si>
  <si>
    <t>Mateus Fernandes Ribeiro</t>
  </si>
  <si>
    <t>CPF 14377646656</t>
  </si>
  <si>
    <t>Geraldo Penha Mendonça 201, Antunes - CEP: 35698000, Minas Gerais</t>
  </si>
  <si>
    <t>14377646656</t>
  </si>
  <si>
    <t>Geraldo Penha Mendonça 201 / Referencia: RUA DO MERCADO MAIS - CEP 35698000 - Jose Severino, Antunes, Minas Gerais</t>
  </si>
  <si>
    <t>Antunes</t>
  </si>
  <si>
    <t>35698000</t>
  </si>
  <si>
    <t>19 de novembro | 01:48</t>
  </si>
  <si>
    <t>20 de novembro | 12:20</t>
  </si>
  <si>
    <t>MEL44094125242LMXDF01</t>
  </si>
  <si>
    <t>2000009859908360</t>
  </si>
  <si>
    <t>16 de novembro de 2024 13:18 hs.</t>
  </si>
  <si>
    <t>Giba Monteiro</t>
  </si>
  <si>
    <t>CPF 98744593872</t>
  </si>
  <si>
    <t>Rua Itaguassú 711 - CASA 1, São Bernardo do Campo - CEP: 09617010, São Paulo</t>
  </si>
  <si>
    <t>98744593872</t>
  </si>
  <si>
    <t>Rua Itaguassú 711 / CASA 1 Referencia: perto da av lions e av Vivalde.  Todas as Sextas feiras tem feira livre na rua. - CEP 09617010 - Rudge Ramos, São Bernardo do Campo, São Paulo</t>
  </si>
  <si>
    <t>09617010</t>
  </si>
  <si>
    <t>19 de novembro | 04:55</t>
  </si>
  <si>
    <t>20 de novembro | 12:30</t>
  </si>
  <si>
    <t>MEL44093919885LMXDF01</t>
  </si>
  <si>
    <t>2000009859789212</t>
  </si>
  <si>
    <t>16 de novembro de 2024 13:06 hs.</t>
  </si>
  <si>
    <t>José Neto</t>
  </si>
  <si>
    <t>CPF 70077915143</t>
  </si>
  <si>
    <t>Rua SR 6 SN, Goiânia - CEP: 74393470, Goiás</t>
  </si>
  <si>
    <t>70077915143</t>
  </si>
  <si>
    <t>Rua SR 6 SN / Quadra 10 Lote 17B - SR 6  QUADRA 10  LOTE 17B - CEP 74393470 - Parque Santa Rita, Goiânia, Goiás</t>
  </si>
  <si>
    <t>74393470</t>
  </si>
  <si>
    <t>19 de novembro | 02:51</t>
  </si>
  <si>
    <t>21 de novembro | 16:52</t>
  </si>
  <si>
    <t>MEL44093874411LMXDF01</t>
  </si>
  <si>
    <t>2000006644827755</t>
  </si>
  <si>
    <t>16 de novembro de 2024 12:51 hs.</t>
  </si>
  <si>
    <t>Marco Aurelio Marinho Alves</t>
  </si>
  <si>
    <t>CPF 01031047719</t>
  </si>
  <si>
    <t>Rua Gago Coutinho 73 - apartamento 603, Rio de Janeiro - CEP: 22221070, Rio de Janeiro</t>
  </si>
  <si>
    <t>01031047719</t>
  </si>
  <si>
    <t>Rua Gago Coutinho 73 / apartamento 603 - CEP 22221070 - Laranjeiras, Rio de Janeiro, Rio de Janeiro</t>
  </si>
  <si>
    <t>22221070</t>
  </si>
  <si>
    <t>19 de novembro | 14:18</t>
  </si>
  <si>
    <t>MEL44093819273LMXDF01</t>
  </si>
  <si>
    <t>2000006644615053</t>
  </si>
  <si>
    <t>16 de novembro de 2024 12:12 hs.</t>
  </si>
  <si>
    <t>lucineide bispo da silva bispo</t>
  </si>
  <si>
    <t>CPF 08840098666</t>
  </si>
  <si>
    <t>Avenida Levindo Damásio 519 - casa, Sete Lagoas - CEP: 35701376, Minas Gerais</t>
  </si>
  <si>
    <t>08840098666</t>
  </si>
  <si>
    <t>Avenida Levindo Damásio 519 / casa - CEP 35701376 - Montreal, Sete Lagoas, Minas Gerais</t>
  </si>
  <si>
    <t>35701376</t>
  </si>
  <si>
    <t>20 de novembro | 10:52</t>
  </si>
  <si>
    <t>MEL44093865478LMXDF01</t>
  </si>
  <si>
    <t>2000009859186880</t>
  </si>
  <si>
    <t>16 de novembro de 2024 11:57 hs.</t>
  </si>
  <si>
    <t>Vilma Aparecida Silva</t>
  </si>
  <si>
    <t>CPF 16096478824</t>
  </si>
  <si>
    <t>Rua Paim 211 - apto 1110, São Paulo - CEP: 01306010, São Paulo</t>
  </si>
  <si>
    <t>16096478824</t>
  </si>
  <si>
    <t>Rua Paim 211 / apto 1110 - CEP 01306010 - Bela Vista, São Paulo, São Paulo</t>
  </si>
  <si>
    <t>01306010</t>
  </si>
  <si>
    <t>MEL44093610991LMXDF01</t>
  </si>
  <si>
    <t>2000009859185562</t>
  </si>
  <si>
    <t>Regiane Silva Vieira</t>
  </si>
  <si>
    <t>CPF 01471698360</t>
  </si>
  <si>
    <t>Rua Umiri 715 - quadra 202 lote 08, Goiânia - CEP: 74835590, Goiás</t>
  </si>
  <si>
    <t>01471698360</t>
  </si>
  <si>
    <t>Rua Umiri 715 / quadra 202 lote 08 - CEP 74835590 - Parque Amazônia, Goiânia, Goiás</t>
  </si>
  <si>
    <t>74835590</t>
  </si>
  <si>
    <t>21 de novembro | 09:08</t>
  </si>
  <si>
    <t>MEL44093614613LMXDF01</t>
  </si>
  <si>
    <t>2000009859186346</t>
  </si>
  <si>
    <t>16 de novembro de 2024 11:56 hs.</t>
  </si>
  <si>
    <t>Gleides Andrade Souza</t>
  </si>
  <si>
    <t>CPF 27516043826</t>
  </si>
  <si>
    <t>Quadra 5 20 - casamento, Planaltina - CEP: 73754105, Goiás</t>
  </si>
  <si>
    <t>27516043826</t>
  </si>
  <si>
    <t>Quadra 5 20 / casamento Referencia: final  do colégio professora Júlia Silva Oliveira - CEP 73754105 - Itapuã II, Planaltina, Goiás</t>
  </si>
  <si>
    <t>Planaltina</t>
  </si>
  <si>
    <t>73754105</t>
  </si>
  <si>
    <t>19 de novembro | 00:55</t>
  </si>
  <si>
    <t>23 de novembro | 09:35</t>
  </si>
  <si>
    <t>MEL44093608227LMXDF01</t>
  </si>
  <si>
    <t>2000009859140046</t>
  </si>
  <si>
    <t>16 de novembro de 2024 11:50 hs.</t>
  </si>
  <si>
    <t>edson garcia</t>
  </si>
  <si>
    <t>CPF 78860130697</t>
  </si>
  <si>
    <t>RUA ANTÔNIO JOSÉ BASTOS 130, São Paulo - CEP: 05775120, São Paulo</t>
  </si>
  <si>
    <t>78860130697</t>
  </si>
  <si>
    <t>RUA ANTÔNIO JOSÉ BASTOS 130 / Sel Sat Eletrônica - CEP 05775120 - PARQUE REGINA, São Paulo, São Paulo</t>
  </si>
  <si>
    <t>05775120</t>
  </si>
  <si>
    <t>19 de novembro | 05:41</t>
  </si>
  <si>
    <t>22 de novembro | 14:31</t>
  </si>
  <si>
    <t>MEL44093586457LMXDF01</t>
  </si>
  <si>
    <t>https://myaccount.mercadolivre.com.br/shipments/44093586457/detail</t>
  </si>
  <si>
    <t>2000009858995342</t>
  </si>
  <si>
    <t>16 de novembro de 2024 11:36 hs.</t>
  </si>
  <si>
    <t>Josielmo Dos Santos Lima</t>
  </si>
  <si>
    <t>CPF 08004186548</t>
  </si>
  <si>
    <t>centro de abastecimento CDL 5, São Domingos - CEP: 48895000, Bahia</t>
  </si>
  <si>
    <t>08004186548</t>
  </si>
  <si>
    <t>centro de abastecimento CDL 5 / CEP 48895000 - centro, São Domingos, Bahia</t>
  </si>
  <si>
    <t>48895000</t>
  </si>
  <si>
    <t>19 de novembro | 04:50</t>
  </si>
  <si>
    <t>22 de novembro | 19:09</t>
  </si>
  <si>
    <t>MEL44093725288LMXDF01</t>
  </si>
  <si>
    <t>2000009858757632</t>
  </si>
  <si>
    <t>16 de novembro de 2024 11:07 hs.</t>
  </si>
  <si>
    <t>Giulliana Garcia Cavalcanti</t>
  </si>
  <si>
    <t>CPF 26013281858</t>
  </si>
  <si>
    <t>Rua Coronel Fawcett 426 - a, São Paulo - CEP: 04167030, São Paulo</t>
  </si>
  <si>
    <t>26013281858</t>
  </si>
  <si>
    <t>Rua Coronel Fawcett 426 / a - CEP 04167030 - Vila Moraes, São Paulo, São Paulo</t>
  </si>
  <si>
    <t>04167030</t>
  </si>
  <si>
    <t>20 de novembro | 13:12</t>
  </si>
  <si>
    <t>MEL44093626096LMXDF01</t>
  </si>
  <si>
    <t>2000009858710070</t>
  </si>
  <si>
    <t>16 de novembro de 2024 11:00 hs.</t>
  </si>
  <si>
    <t>Devolução a caminho. Chegará entre 2 e 3 de dezembro</t>
  </si>
  <si>
    <t>Retornará para você porque não encontramos ninguém no endereço de compra durante as tentativas de entrega.</t>
  </si>
  <si>
    <t>Eros Eduardo Piovesana</t>
  </si>
  <si>
    <t>CPF 17880638806</t>
  </si>
  <si>
    <t>RUA COMENDADOR FRANCO 290, Itatiba - CEP: 13250240, São Paulo</t>
  </si>
  <si>
    <t>17880638806</t>
  </si>
  <si>
    <t>Avenida das Américas 13685 / Loja J2, 129 Referencia: Farmácia De Manipulação Fórmula Da Terra - A4 Office - CEP 22790701 - Recreio dos Bandeirantes, Rio de Janeiro, Rio de Janeiro</t>
  </si>
  <si>
    <t>13250240</t>
  </si>
  <si>
    <t>MEL44093403293LMXDF01</t>
  </si>
  <si>
    <t>https://myaccount.mercadolivre.com.br/shipments/44093403293/detail</t>
  </si>
  <si>
    <t>2000006644181459</t>
  </si>
  <si>
    <t>16 de novembro de 2024 10:47 hs.</t>
  </si>
  <si>
    <t>Paola Baron Melara</t>
  </si>
  <si>
    <t>CPF 40794541801</t>
  </si>
  <si>
    <t>Rua Tomás Ribeiro 353, Campinas - CEP: 13088039, São Paulo</t>
  </si>
  <si>
    <t>40794541801</t>
  </si>
  <si>
    <t>Rua Tomás Ribeiro 353 / Referencia: Portão preto e muro bege grande, para quem desce é a segunda casa do segundo quarteirão do lado direito da rua. - CEP 13088039 - Vila Nogueira, Campinas, São Paulo</t>
  </si>
  <si>
    <t>13088039</t>
  </si>
  <si>
    <t>19 de novembro | 04:56</t>
  </si>
  <si>
    <t>20 de novembro | 13:56</t>
  </si>
  <si>
    <t>MEL44093558626LMXDF01</t>
  </si>
  <si>
    <t>2000009858450238</t>
  </si>
  <si>
    <t>16 de novembro de 2024 10:27 hs.</t>
  </si>
  <si>
    <t>Osmar Pessotti</t>
  </si>
  <si>
    <t>CPF 51130980944</t>
  </si>
  <si>
    <t>Rua Tabelião Venâncio Santiago 170, João Pessoa - CEP: 58039040, Paraíba</t>
  </si>
  <si>
    <t>51130980944</t>
  </si>
  <si>
    <t>Rua Tabelião Venâncio Santiago 170 / AP 401 Referencia: Residencial Mont Tremblant - CEP 58039040 - Tambaú, João Pessoa, Paraíba</t>
  </si>
  <si>
    <t>58039040</t>
  </si>
  <si>
    <t>23 de novembro | 15:56</t>
  </si>
  <si>
    <t>MEL44093289341LMXDF01</t>
  </si>
  <si>
    <t>2000009858277206</t>
  </si>
  <si>
    <t>16 de novembro de 2024 09:59 hs.</t>
  </si>
  <si>
    <t>Lucelmo Jose Silva</t>
  </si>
  <si>
    <t>CPF 06481585430</t>
  </si>
  <si>
    <t>Rua Durvalino Pereira Inácio 156, Iperó - CEP: 18560000, São Paulo</t>
  </si>
  <si>
    <t>06481585430</t>
  </si>
  <si>
    <t>Rua Durvalino Pereira Inácio 156 / Referencia: quatro ruas a baixo da praça da aramar - CEP 18560000 - jardim Santa Cruz, Iperó, São Paulo</t>
  </si>
  <si>
    <t>Iperó</t>
  </si>
  <si>
    <t>18560000</t>
  </si>
  <si>
    <t>20 de novembro | 16:32</t>
  </si>
  <si>
    <t>MEL44093412978LMXDF01</t>
  </si>
  <si>
    <t>2000009858156858</t>
  </si>
  <si>
    <t>16 de novembro de 2024 09:38 hs.</t>
  </si>
  <si>
    <t>Jose Mauricio Mota</t>
  </si>
  <si>
    <t>CPF 81067860991</t>
  </si>
  <si>
    <t>Celso Garcia 85 - casa, Cruzeiro do Oeste - CEP: 87400000, Paraná</t>
  </si>
  <si>
    <t>81067860991</t>
  </si>
  <si>
    <t>Celso Garcia 85 / casa Referencia: próximo a igreja assembléia - CEP 87400000 - Jardim Brasil, Cruzeiro do Oeste, Paraná</t>
  </si>
  <si>
    <t>Cruzeiro do Oeste</t>
  </si>
  <si>
    <t>87400000</t>
  </si>
  <si>
    <t>21 de novembro | 17:41</t>
  </si>
  <si>
    <t>MEL44093162217LMXDF01</t>
  </si>
  <si>
    <t>2000009858108750</t>
  </si>
  <si>
    <t>16 de novembro de 2024 09:29 hs.</t>
  </si>
  <si>
    <t>Laurenice Dos Santos De Oliveira</t>
  </si>
  <si>
    <t>CPF 12146202807</t>
  </si>
  <si>
    <t>Alameda Dois 1109 - casa, São Vicente - CEP: 11348300, São Paulo</t>
  </si>
  <si>
    <t>12146202807</t>
  </si>
  <si>
    <t>Alameda Dois 1109 / casa Referencia: casa - CEP 11348300 - Parque Continental, São Vicente, São Paulo</t>
  </si>
  <si>
    <t>11348300</t>
  </si>
  <si>
    <t>20 de novembro | 18:05</t>
  </si>
  <si>
    <t>MEL44093335612LMXDF01</t>
  </si>
  <si>
    <t>2000009857966486</t>
  </si>
  <si>
    <t>16 de novembro de 2024 09:00 hs.</t>
  </si>
  <si>
    <t>Felipe Faustino</t>
  </si>
  <si>
    <t>CPF 40005741831</t>
  </si>
  <si>
    <t>Rua Paulo Arms 106, São Paulo - CEP: 08042580, São Paulo</t>
  </si>
  <si>
    <t>40005741831</t>
  </si>
  <si>
    <t>Rua Paulo Arms 106 / Casa das mangueiras - Esquina  faxada para avenida - CEP 08042580 - Cidade Nova São Miguel, São Paulo, São Paulo</t>
  </si>
  <si>
    <t>08042580</t>
  </si>
  <si>
    <t>21 de novembro | 16:39</t>
  </si>
  <si>
    <t>MEL44093269446LMXDF01</t>
  </si>
  <si>
    <t>https://myaccount.mercadolivre.com.br/shipments/44093269446/detail</t>
  </si>
  <si>
    <t>2000009857849568</t>
  </si>
  <si>
    <t>16 de novembro de 2024 08:31 hs.</t>
  </si>
  <si>
    <t>Daniel Silva Guimarães</t>
  </si>
  <si>
    <t>CPF 14664952783</t>
  </si>
  <si>
    <t>Rua México 10, Serra - CEP: 29173833, Espírito Santo</t>
  </si>
  <si>
    <t>14664952783</t>
  </si>
  <si>
    <t>Rua México 10 / Quadra 27 - CEP 29173833 - Portal de Jacaraípe, Serra, Espírito Santo</t>
  </si>
  <si>
    <t>29173833</t>
  </si>
  <si>
    <t>18 de novembro | 22:58</t>
  </si>
  <si>
    <t>19 de novembro | 15:43</t>
  </si>
  <si>
    <t>MEL44093023183LMXDF01</t>
  </si>
  <si>
    <t>2000009857838252</t>
  </si>
  <si>
    <t>16 de novembro de 2024 08:25 hs.</t>
  </si>
  <si>
    <t>EDILSON FORTES PESSOA</t>
  </si>
  <si>
    <t>CPF 55618944634</t>
  </si>
  <si>
    <t>Rua Walt Disney 11, Ipatinga - CEP: 35162418, Minas Gerais</t>
  </si>
  <si>
    <t>55618944634</t>
  </si>
  <si>
    <t>Rua Walt Disney 11 / EY. - 201 Referencia: 201 - CEP 35162418 - Cidade Nobre, Ipatinga, Minas Gerais</t>
  </si>
  <si>
    <t>Ipatinga</t>
  </si>
  <si>
    <t>35162418</t>
  </si>
  <si>
    <t>20 de novembro | 10:57</t>
  </si>
  <si>
    <t>MEL44093208474LMXDF01</t>
  </si>
  <si>
    <t>2000009857781098</t>
  </si>
  <si>
    <t>16 de novembro de 2024 08:13 hs.</t>
  </si>
  <si>
    <t>Ademilde Pereira Dias</t>
  </si>
  <si>
    <t>CPF 48334715072</t>
  </si>
  <si>
    <t>Rua Marco Polo 505, Porto Alegre - CEP: 91350280, Rio Grande do Sul</t>
  </si>
  <si>
    <t>48334715072</t>
  </si>
  <si>
    <t>Rua Marco Polo 505 / 410 Referencia: Próximo à Av do Forte - CEP 91350280 - Cristo Redentor, Porto Alegre, Rio Grande do Sul</t>
  </si>
  <si>
    <t>91350280</t>
  </si>
  <si>
    <t>21 de novembro | 08:23</t>
  </si>
  <si>
    <t>MEL44093182204LMXDF01</t>
  </si>
  <si>
    <t>2000006643683671</t>
  </si>
  <si>
    <t>16 de novembro de 2024 08:02 hs.</t>
  </si>
  <si>
    <t>Maria Do Socorro Pivatto</t>
  </si>
  <si>
    <t>CPF 58220810963</t>
  </si>
  <si>
    <t>Rua Eunápio Leite Rafael 53, Pilar do Sul - CEP: 18185000, São Paulo</t>
  </si>
  <si>
    <t>58220810963</t>
  </si>
  <si>
    <t>Rua Eunápio Leite Rafael 53 / Referencia: chácara - CEP 18185000 - reunidas, Pilar do Sul, São Paulo</t>
  </si>
  <si>
    <t>20 de novembro | 12:23</t>
  </si>
  <si>
    <t>MEL44092977119LMXDF01</t>
  </si>
  <si>
    <t>2000009857541992</t>
  </si>
  <si>
    <t>16 de novembro de 2024 06:17 hs.</t>
  </si>
  <si>
    <t>Júlia Rego Dourado</t>
  </si>
  <si>
    <t>CPF 05715673550</t>
  </si>
  <si>
    <t>Daniel buari SN - casa, Santa Maria da Vitória - CEP: 47640000, Bahia</t>
  </si>
  <si>
    <t>05715673550</t>
  </si>
  <si>
    <t>Daniel buari SN / casa Referencia: na rua da Mara do acarajé - CEP 47640000 - mancanbira, Santa Maria da Vitória, Bahia</t>
  </si>
  <si>
    <t>Santa Maria da Vitória</t>
  </si>
  <si>
    <t>47640000</t>
  </si>
  <si>
    <t>22 de novembro | 14:22</t>
  </si>
  <si>
    <t>MEL44092876159LMXDF01</t>
  </si>
  <si>
    <t>2000009857553462</t>
  </si>
  <si>
    <t>michele dos santos</t>
  </si>
  <si>
    <t>CPF 30748981861</t>
  </si>
  <si>
    <t>Rua Alagoas 1111 - correio, Parapuã - CEP: 17730000, São Paulo</t>
  </si>
  <si>
    <t>30748981861</t>
  </si>
  <si>
    <t>Rua Alagoas 1111 / correio - CEP 17730000 - agência dos correios, Parapuã, São Paulo</t>
  </si>
  <si>
    <t>Parapuã</t>
  </si>
  <si>
    <t>17730000</t>
  </si>
  <si>
    <t>22 de novembro | 20:15</t>
  </si>
  <si>
    <t>MEL44092875837LMXDF01</t>
  </si>
  <si>
    <t>2000006643472575</t>
  </si>
  <si>
    <t>16 de novembro de 2024 04:19 hs.</t>
  </si>
  <si>
    <t>Roman Bruno Soley</t>
  </si>
  <si>
    <t>CPF 03341919120</t>
  </si>
  <si>
    <t>Avenida Vicente Machado 2678 - APARTAMENTO 128, Curitiba - CEP: 80440020, Paraná</t>
  </si>
  <si>
    <t>03341919120</t>
  </si>
  <si>
    <t>Avenida Vicente Machado 2678 / APARTAMENTO 128 Referencia: Condomínio Arco-íris ao do Instituto dos olhos. Deixar na portaria. - CEP 80440020 - Campina do Siqueira, Curitiba, Paraná</t>
  </si>
  <si>
    <t>80440020</t>
  </si>
  <si>
    <t>20 de novembro | 19:41</t>
  </si>
  <si>
    <t>MEL44092807161LMXDF01</t>
  </si>
  <si>
    <t>2000009857371338</t>
  </si>
  <si>
    <t>16 de novembro de 2024 04:06 hs.</t>
  </si>
  <si>
    <t>MERCADO ACOUGUE E PADARIA REAL LTDA</t>
  </si>
  <si>
    <t>CNPJ 48510191000168</t>
  </si>
  <si>
    <t>Rodovia BR-470 8651 - bar e whiskeria tere, Blumenau - CEP: 89070200, Santa Catarina</t>
  </si>
  <si>
    <t>262228700</t>
  </si>
  <si>
    <t>48510191000168</t>
  </si>
  <si>
    <t>Rodovia BR-470 8651 / bar e whiskeria tere Referencia: No bar e whiskeria da Tere um pouco à frente da Zeus do Brasil no lado oposto da mesma. - CEP 89070200 - Badenfurt, Blumenau, Santa Catarina</t>
  </si>
  <si>
    <t>Blumenau</t>
  </si>
  <si>
    <t>89070200</t>
  </si>
  <si>
    <t>20 de novembro | 16:57</t>
  </si>
  <si>
    <t>MEL44092990356LMXDF01</t>
  </si>
  <si>
    <t>2000009856933676</t>
  </si>
  <si>
    <t>16 de novembro de 2024 01:57 hs.</t>
  </si>
  <si>
    <t>21 de novembro | 15:35</t>
  </si>
  <si>
    <t>MEL44092823620LMXDF01</t>
  </si>
  <si>
    <t>2000009855965004</t>
  </si>
  <si>
    <t>15 de novembro de 2024 23:24 hs.</t>
  </si>
  <si>
    <t>Breno Ramos Martins Pacheco</t>
  </si>
  <si>
    <t>CPF 98671219100</t>
  </si>
  <si>
    <t>Rua C151 SN - Qd 403 Lt19, Goiânia - CEP: 74275100, Goiás</t>
  </si>
  <si>
    <t>98671219100</t>
  </si>
  <si>
    <t>Rua C151 SN / Qd 403 Lt19 Referencia: próximo a Av t63, casa de portão cinza e de grade muro claro com placa de salão de beleza no muro ao lado de um prédio  dekitnet - CEP 74275100 - Jardim América, Goiânia, Goiás</t>
  </si>
  <si>
    <t>74275100</t>
  </si>
  <si>
    <t>21 de novembro | 10:15</t>
  </si>
  <si>
    <t>MEL44092241521LMXDF01</t>
  </si>
  <si>
    <t>2000009855837950</t>
  </si>
  <si>
    <t>15 de novembro de 2024 23:10 hs.</t>
  </si>
  <si>
    <t>Diego Felipe de Souza Oliveira</t>
  </si>
  <si>
    <t>CPF 03589424206</t>
  </si>
  <si>
    <t>Rua dom pedro 1 11 - Atrás da eluz moveis, Nova Esperança do Piriá - CEP: 68618000, Pará</t>
  </si>
  <si>
    <t>03589424206</t>
  </si>
  <si>
    <t>Rua dom pedro 1 11 / Atrás da eluz moveis Referencia: Casa verde atrás da loja eluz móveis. - CEP 68618000 - Centro, Nova Esperança do Piriá, Pará</t>
  </si>
  <si>
    <t>Nova Esperança do Piriá</t>
  </si>
  <si>
    <t>68618000</t>
  </si>
  <si>
    <t>23 de novembro | 18:32</t>
  </si>
  <si>
    <t>MEL44092392974LMXDF01</t>
  </si>
  <si>
    <t>2000009855839846</t>
  </si>
  <si>
    <t>Carla Farias de Medina Barros</t>
  </si>
  <si>
    <t>CPF 03391025433</t>
  </si>
  <si>
    <t>Conj. Cely Loureiro Rua D Qd-D 17, Maceió - CEP: 57084414, Alagoas</t>
  </si>
  <si>
    <t>03391025433</t>
  </si>
  <si>
    <t>Conj. Cely Loureiro Rua D Qd-D 17 / Bairro: Benedito Bentes - CEP 57084414 - Benedito Bentes, Maceió, Alagoas</t>
  </si>
  <si>
    <t>57084414</t>
  </si>
  <si>
    <t>23 de novembro | 10:41</t>
  </si>
  <si>
    <t>MEL44092392888LMXDF01</t>
  </si>
  <si>
    <t>2000009855815116</t>
  </si>
  <si>
    <t>15 de novembro de 2024 23:05 hs.</t>
  </si>
  <si>
    <t>2000006642247419</t>
  </si>
  <si>
    <t>15 de novembro de 2024 22:48 hs.</t>
  </si>
  <si>
    <t>Eliseo Silverio</t>
  </si>
  <si>
    <t>CPF 11258142848</t>
  </si>
  <si>
    <t>Rua União 665 - cs 43 condomínio., Poá - CEP: 08555680, São Paulo</t>
  </si>
  <si>
    <t>11258142848</t>
  </si>
  <si>
    <t>Rua União 665 / cs 43 condomínio. Referencia: Condomínio Morada das Águas tem portaria. Porteiro Sr. Carlos poderá receber. - CEP 08555680 - Jardim América, Poá, São Paulo</t>
  </si>
  <si>
    <t>Poá</t>
  </si>
  <si>
    <t>08555680</t>
  </si>
  <si>
    <t>20 de novembro | 14:33</t>
  </si>
  <si>
    <t>MEL44092320128LMXDF01</t>
  </si>
  <si>
    <t>2000009855503298</t>
  </si>
  <si>
    <t>15 de novembro de 2024 22:29 hs.</t>
  </si>
  <si>
    <t>Elio Soares Ribeiro</t>
  </si>
  <si>
    <t>CPF 77589378615</t>
  </si>
  <si>
    <t>Alameda Zaira Celestino Pinheiro 310, Montes Claros - CEP: 39404174, Minas Gerais</t>
  </si>
  <si>
    <t>77589378615</t>
  </si>
  <si>
    <t>Alameda Zaira Celestino Pinheiro 310 / CEP 39404174 - Jaraguá, Montes Claros, Minas Gerais</t>
  </si>
  <si>
    <t>39404174</t>
  </si>
  <si>
    <t>20 de novembro | 13:43</t>
  </si>
  <si>
    <t>MEL44092255452LMXDF01</t>
  </si>
  <si>
    <t>2000006642071215</t>
  </si>
  <si>
    <t>15 de novembro de 2024 22:18 hs.</t>
  </si>
  <si>
    <t>Alessandra Bulian</t>
  </si>
  <si>
    <t>CPF 74532197287</t>
  </si>
  <si>
    <t>Rua Carajás 2915, Cabixi - CEP: 76994000, Rondônia</t>
  </si>
  <si>
    <t>74532197287</t>
  </si>
  <si>
    <t>Rua Carajás 2915 / Referencia: IGREJA BATISTA PENTECOSTAL RENOVADA - CEP 76994000 - CENTRO, Cabixi, Rondônia</t>
  </si>
  <si>
    <t>Cabixi</t>
  </si>
  <si>
    <t>76994000</t>
  </si>
  <si>
    <t>24 de novembro | 12:18</t>
  </si>
  <si>
    <t>MEL44092020491LMXDF01</t>
  </si>
  <si>
    <t>2000009855424266</t>
  </si>
  <si>
    <t>2000009855416878</t>
  </si>
  <si>
    <t>2000009855153692</t>
  </si>
  <si>
    <t>15 de novembro de 2024 21:51 hs.</t>
  </si>
  <si>
    <t>Rogeria Assuncao Nascimento Moreno</t>
  </si>
  <si>
    <t>CPF 03158457598</t>
  </si>
  <si>
    <t>Rua Álvaro Ernesto Martins da Silva 178 - Rua da Pax Renascer, Camamu - CEP: 45445000, Bahia</t>
  </si>
  <si>
    <t>03158457598</t>
  </si>
  <si>
    <t>Rua Álvaro Ernesto Martins da Silva 178 / Rua da Pax Renascer  Referencia: Na rua da Pax Renascer (ao lado do depósito de gás de Sargento Joab) - CEP 45445000 - Centro, Camamu, Bahia</t>
  </si>
  <si>
    <t>Camamu</t>
  </si>
  <si>
    <t>45445000</t>
  </si>
  <si>
    <t>22 de novembro | 14:01</t>
  </si>
  <si>
    <t>MEL44092112726LMXDF01</t>
  </si>
  <si>
    <t>2000009855144214</t>
  </si>
  <si>
    <t>15 de novembro de 2024 21:46 hs.</t>
  </si>
  <si>
    <t>Lilian Rodrigues Souza Lopes</t>
  </si>
  <si>
    <t>CPF 90021916187</t>
  </si>
  <si>
    <t>Rua 12 237, Formosa - CEP: 73805120, Goiás</t>
  </si>
  <si>
    <t>90021916187</t>
  </si>
  <si>
    <t>Rua 12 237 / CEP 73805120 - Setor Primavera, Formosa, Goiás</t>
  </si>
  <si>
    <t>Formosa</t>
  </si>
  <si>
    <t>73805120</t>
  </si>
  <si>
    <t>21 de novembro | 16:19</t>
  </si>
  <si>
    <t>MEL44092101206LMXDF01</t>
  </si>
  <si>
    <t>2000006641687973</t>
  </si>
  <si>
    <t>15 de novembro de 2024 21:12 hs.</t>
  </si>
  <si>
    <t>Marcos Aurelio Corvini</t>
  </si>
  <si>
    <t>CPF 16068883825</t>
  </si>
  <si>
    <t>Rua Regina Cabalau Mendonça 440 440, Suzano - CEP: 08675460, São Paulo</t>
  </si>
  <si>
    <t>16068883825</t>
  </si>
  <si>
    <t>Rua Regina Cabalau Mendonça 440 / Referencia: Apto 13A - CEP 08675460 - Jardim São Luís, Suzano, São Paulo</t>
  </si>
  <si>
    <t>08675460</t>
  </si>
  <si>
    <t>20 de novembro | 10:42</t>
  </si>
  <si>
    <t>MEL44091969286LMXDF01</t>
  </si>
  <si>
    <t>2000006641663205</t>
  </si>
  <si>
    <t>15 de novembro de 2024 21:08 hs.</t>
  </si>
  <si>
    <t>Dilamar Dos Santos Ferraz</t>
  </si>
  <si>
    <t>CPF 60764287087</t>
  </si>
  <si>
    <t>Rua Casemiro de Abreu 42, Santa Maria - CEP: 97045120, Rio Grande do Sul</t>
  </si>
  <si>
    <t>60764287087</t>
  </si>
  <si>
    <t>Rua Casemiro de Abreu 42 / Tem Interfone - CEP 97045120 - Nossa Senhora do Perpétuo Socorro, Santa Maria, Rio Grande do Sul</t>
  </si>
  <si>
    <t>97045120</t>
  </si>
  <si>
    <t>22 de novembro | 14:50</t>
  </si>
  <si>
    <t>MEL44091759255LMXDF01</t>
  </si>
  <si>
    <t>2000009854778678</t>
  </si>
  <si>
    <t>2000009854780552</t>
  </si>
  <si>
    <t>2000009854620824</t>
  </si>
  <si>
    <t>15 de novembro de 2024 20:51 hs.</t>
  </si>
  <si>
    <t>Maria da Conceicao Sousa Vieira</t>
  </si>
  <si>
    <t>CPF 02313701301</t>
  </si>
  <si>
    <t>Rua 01 15 - próximo ao bar do, Campestre do Maranhão - CEP: 65968000, Maranhão</t>
  </si>
  <si>
    <t>02313701301</t>
  </si>
  <si>
    <t>Rua 01 15 / próximo ao bar do Referencia: vizinha - CEP 65968000 - Vila comunitária, Campestre do Maranhão, Maranhão</t>
  </si>
  <si>
    <t>Campestre do Maranhão</t>
  </si>
  <si>
    <t>65968000</t>
  </si>
  <si>
    <t>9 de dezembro | 07:13</t>
  </si>
  <si>
    <t>ML44091694835135551</t>
  </si>
  <si>
    <t>https://www.loggi.com/rastreador/3762947aef/ML44091694835135551</t>
  </si>
  <si>
    <t>2000009854131458</t>
  </si>
  <si>
    <t>15 de novembro de 2024 20:00 hs.</t>
  </si>
  <si>
    <t>Ricardo Correa Botelho</t>
  </si>
  <si>
    <t>CPF 50879103787</t>
  </si>
  <si>
    <t>Rua Valentim Boucas 82 - Casa, Rio de Janeiro - CEP: 22775790, Rio de Janeiro</t>
  </si>
  <si>
    <t>50879103787</t>
  </si>
  <si>
    <t>Rua Valentim Boucas 82 / Casa Referencia: casa - CEP 22775790 - Cidade de Deus, Rio de Janeiro, Rio de Janeiro</t>
  </si>
  <si>
    <t>22775790</t>
  </si>
  <si>
    <t>19 de novembro | 11:12</t>
  </si>
  <si>
    <t>MEL44091688018LMXDF01</t>
  </si>
  <si>
    <t>2000006641189089</t>
  </si>
  <si>
    <t>15 de novembro de 2024 19:49 hs.</t>
  </si>
  <si>
    <t xml:space="preserve">Rivânia  Martins </t>
  </si>
  <si>
    <t>CPF 66606160200</t>
  </si>
  <si>
    <t>Rua Adelino Moreira da Rocha SN - loja, Paracuru - CEP: 62680000, Ceará</t>
  </si>
  <si>
    <t>66606160200</t>
  </si>
  <si>
    <t>Rua Adelino Moreira da Rocha SN / loja Referencia: Loja tem de 10 na praça do Gazeza - CEP 62680000 - Paracuru, Paracuru, Ceará</t>
  </si>
  <si>
    <t>Paracuru</t>
  </si>
  <si>
    <t>62680000</t>
  </si>
  <si>
    <t>24 de novembro | 10:28</t>
  </si>
  <si>
    <t>MEL44091644284LMXDF01</t>
  </si>
  <si>
    <t>2000009853953360</t>
  </si>
  <si>
    <t>15 de novembro de 2024 19:41 hs.</t>
  </si>
  <si>
    <t>Rita Cassia</t>
  </si>
  <si>
    <t>CPF 46336907600</t>
  </si>
  <si>
    <t>Rua Araxá 219, Planura - CEP: 38220000, Minas Gerais</t>
  </si>
  <si>
    <t>46336907600</t>
  </si>
  <si>
    <t>Rua Araxá 219 / CEP 38220000 - centro, Planura, Minas Gerais</t>
  </si>
  <si>
    <t>Planura</t>
  </si>
  <si>
    <t>38220000</t>
  </si>
  <si>
    <t>20 de novembro | 15:51</t>
  </si>
  <si>
    <t>MEL44091613602LMXDF01</t>
  </si>
  <si>
    <t>2000009844414218</t>
  </si>
  <si>
    <t>15 de novembro de 2024 19:28 hs.</t>
  </si>
  <si>
    <t>Eurides Neres Manco</t>
  </si>
  <si>
    <t>CPF 05619646700</t>
  </si>
  <si>
    <t>Estrada Olegário Dias 49 - A, Queimados - CEP: 26311250, Rio de Janeiro</t>
  </si>
  <si>
    <t>05619646700</t>
  </si>
  <si>
    <t>Estrada Olegário Dias 49 / A Referencia: pedra branca na Dutra - CEP 26311250 - Valdariosa, Queimados, Rio de Janeiro</t>
  </si>
  <si>
    <t>Queimados</t>
  </si>
  <si>
    <t>26311250</t>
  </si>
  <si>
    <t>19 de novembro | 01:14</t>
  </si>
  <si>
    <t>19 de novembro | 10:37</t>
  </si>
  <si>
    <t>MEL44087481992LMXDF01</t>
  </si>
  <si>
    <t>2000009853621582</t>
  </si>
  <si>
    <t>15 de novembro de 2024 19:07 hs.</t>
  </si>
  <si>
    <t>Fernando Antonio de Paiva Ayres</t>
  </si>
  <si>
    <t>CPF 96261820678</t>
  </si>
  <si>
    <t>Rua Rio Grande do Sul 68, São Gonçalo do Sapucaí - CEP: 37490000, Minas Gerais</t>
  </si>
  <si>
    <t>96261820678</t>
  </si>
  <si>
    <t>Rua Rio Grande do Sul 68 / CEP 37490000 - Santa Rita, São Gonçalo do Sapucaí, Minas Gerais</t>
  </si>
  <si>
    <t>São Gonçalo do Sapucaí</t>
  </si>
  <si>
    <t>37490000</t>
  </si>
  <si>
    <t>21 de novembro | 16:12</t>
  </si>
  <si>
    <t>MEL44091280685LMXDF01</t>
  </si>
  <si>
    <t>2000006640850619</t>
  </si>
  <si>
    <t>15 de novembro de 2024 18:55 hs.</t>
  </si>
  <si>
    <t>Vanessa Do Rocio Amaral</t>
  </si>
  <si>
    <t>CPF 08811828937</t>
  </si>
  <si>
    <t>Rua União da Vitória 413, Piraquara - CEP: 83314170, Paraná</t>
  </si>
  <si>
    <t>08811828937</t>
  </si>
  <si>
    <t>Rua União da Vitória 413 / CEP 83314170 - Guarituba, Piraquara, Paraná</t>
  </si>
  <si>
    <t>83314170</t>
  </si>
  <si>
    <t>20 de novembro | 09:37</t>
  </si>
  <si>
    <t>MEL44091424740LMXDF01</t>
  </si>
  <si>
    <t>2000009852888704</t>
  </si>
  <si>
    <t>15 de novembro de 2024 17:49 hs.</t>
  </si>
  <si>
    <t>Marinalva Rodrigues Dos Santos Ramos</t>
  </si>
  <si>
    <t>CPF 08200826864</t>
  </si>
  <si>
    <t>Rua Caraguatatuba 166 - casa amarela, Vargem Grande Paulista - CEP: 06741688, São Paulo</t>
  </si>
  <si>
    <t>08200826864</t>
  </si>
  <si>
    <t>Rua Caraguatatuba 166 / casa amarela - CEP 06741688 - Parque do Agreste, Vargem Grande Paulista, São Paulo</t>
  </si>
  <si>
    <t>06741688</t>
  </si>
  <si>
    <t>20 de novembro | 15:41</t>
  </si>
  <si>
    <t>MEL44091164634LMXDF01</t>
  </si>
  <si>
    <t>2000009852394562</t>
  </si>
  <si>
    <t>15 de novembro de 2024 16:57 hs.</t>
  </si>
  <si>
    <t>Francisco Valdemir Araujo Vasconcelos</t>
  </si>
  <si>
    <t>CPF 04238684389</t>
  </si>
  <si>
    <t>Rua Nicolau Peixoto 768 - casa, Bela Cruz - CEP: 62570000, Ceará</t>
  </si>
  <si>
    <t>04238684389</t>
  </si>
  <si>
    <t>Rua Nicolau Peixoto 768 / casa - CEP 62570000 - centro, Bela Cruz, Ceará</t>
  </si>
  <si>
    <t>Bela Cruz</t>
  </si>
  <si>
    <t>62570000</t>
  </si>
  <si>
    <t>21 de novembro | 09:11</t>
  </si>
  <si>
    <t>MEL44090952400LMXDF01</t>
  </si>
  <si>
    <t>2000006640137835</t>
  </si>
  <si>
    <t>Venda não entregue. Liberamos o seu dinheiro.</t>
  </si>
  <si>
    <t>Você pode vê-lo na sua conta Mercado Pago.</t>
  </si>
  <si>
    <t>Carlos Daniel da Silva Rocha</t>
  </si>
  <si>
    <t>CPF 07746451560</t>
  </si>
  <si>
    <t>Rua Dezoito de Outubro 52 - casa 1, São Bernardo do Campo - CEP: 09784495, São Paulo</t>
  </si>
  <si>
    <t>07746451560</t>
  </si>
  <si>
    <t>09784495</t>
  </si>
  <si>
    <t>20 de novembro | 12:40</t>
  </si>
  <si>
    <t>MEL44090755557LMXDF01</t>
  </si>
  <si>
    <t>2000009851789546</t>
  </si>
  <si>
    <t>15 de novembro de 2024 15:58 hs.</t>
  </si>
  <si>
    <t>Denise da Silveira Santos</t>
  </si>
  <si>
    <t>CPF 39330631835</t>
  </si>
  <si>
    <t>Rua Octávio Marianni 98 - casa, Ribeirão Bonito - CEP: 13588006, São Paulo</t>
  </si>
  <si>
    <t>39330631835</t>
  </si>
  <si>
    <t>Rua Octávio Marianni 98 / casa - CEP 13588006 - Centro (Guarapiranga), Ribeirão Bonito, São Paulo</t>
  </si>
  <si>
    <t>Ribeirão Bonito</t>
  </si>
  <si>
    <t>13588006</t>
  </si>
  <si>
    <t>20 de novembro | 19:23</t>
  </si>
  <si>
    <t>MEL44090699394LMXDF01</t>
  </si>
  <si>
    <t>2000006639570879</t>
  </si>
  <si>
    <t>15 de novembro de 2024 15:30 hs.</t>
  </si>
  <si>
    <t>Nane Alves</t>
  </si>
  <si>
    <t>CPF 35040212844</t>
  </si>
  <si>
    <t>Rua Rafael de Oliveira 56 - apartamento 2, São Paulo - CEP: 02407050, São Paulo</t>
  </si>
  <si>
    <t>35040212844</t>
  </si>
  <si>
    <t>Rua Rafael de Oliveira 56 / apartamento 2 - CEP 02407050 - Água Fria, São Paulo, São Paulo</t>
  </si>
  <si>
    <t>02407050</t>
  </si>
  <si>
    <t>20 de novembro | 15:04</t>
  </si>
  <si>
    <t>MEL44090382713LMXDF01</t>
  </si>
  <si>
    <t>2000009851494322</t>
  </si>
  <si>
    <t>15 de novembro de 2024 15:27 hs.</t>
  </si>
  <si>
    <t>MIKAEL ALEXANDRE</t>
  </si>
  <si>
    <t>CPF 07352125469</t>
  </si>
  <si>
    <t>Rua Brigadeiro Torres 315, Fortaleza - CEP: 60520465, Ceará</t>
  </si>
  <si>
    <t>07352125469</t>
  </si>
  <si>
    <t>Rua Brigadeiro Torres 315 / CEP 60520465 - Jóquei Clube, Fortaleza, Ceará</t>
  </si>
  <si>
    <t>60520465</t>
  </si>
  <si>
    <t>20 de novembro | 18:11</t>
  </si>
  <si>
    <t>MEL44090370951LMXDF01</t>
  </si>
  <si>
    <t>2000009851397272</t>
  </si>
  <si>
    <t>15 de novembro de 2024 15:19 hs.</t>
  </si>
  <si>
    <t>jader luiz da silva</t>
  </si>
  <si>
    <t>CPF 05245578611</t>
  </si>
  <si>
    <t>Avenida Pedro Paulo de Souza 1235, Goiânia - CEP: 74663520, Goiás</t>
  </si>
  <si>
    <t>05245578611</t>
  </si>
  <si>
    <t>Avenida Pedro Paulo de Souza 1235 / ap 01 bl D Happy Day Referencia: Condominio Hppy days - CEP 74663520 - Goiânia 2, Goiânia, Goiás</t>
  </si>
  <si>
    <t>74663520</t>
  </si>
  <si>
    <t>21 de novembro | 08:50</t>
  </si>
  <si>
    <t>MEL44090532256LMXDF01</t>
  </si>
  <si>
    <t>2000006639459463</t>
  </si>
  <si>
    <t>15 de novembro de 2024 15:13 hs.</t>
  </si>
  <si>
    <t>Nafir Kedima Lima Souza</t>
  </si>
  <si>
    <t>CPF 38429417818</t>
  </si>
  <si>
    <t>Avenida Dona Helena Pereira de Moraes 290 - Apt 103, São Paulo - CEP: 05707400, São Paulo</t>
  </si>
  <si>
    <t>38429417818</t>
  </si>
  <si>
    <t>Avenida Dona Helena Pereira de Moraes 290 / Apt 103 Referencia: Edificio landscape - CEP 05707400 - Parque do Morumbi, São Paulo, São Paulo</t>
  </si>
  <si>
    <t>05707400</t>
  </si>
  <si>
    <t>20 de novembro | 12:49</t>
  </si>
  <si>
    <t>MEL44090307745LMXDF01</t>
  </si>
  <si>
    <t>2000009851147484</t>
  </si>
  <si>
    <t>15 de novembro de 2024 14:56 hs.</t>
  </si>
  <si>
    <t>Gabriela Larissa da Silva Costa</t>
  </si>
  <si>
    <t>CPF 13151120601</t>
  </si>
  <si>
    <t>Rua Lagoa Santa 45, João Monlevade - CEP: 35930381, Minas Gerais</t>
  </si>
  <si>
    <t>13151120601</t>
  </si>
  <si>
    <t>Rua Lagoa Santa 45 / CEP 35930381 - Laranjeiras, João Monlevade, Minas Gerais</t>
  </si>
  <si>
    <t>João Monlevade</t>
  </si>
  <si>
    <t>35930381</t>
  </si>
  <si>
    <t>19 de novembro | 01:27</t>
  </si>
  <si>
    <t>20 de novembro | 08:12</t>
  </si>
  <si>
    <t>MEL44090229203LMXDF01</t>
  </si>
  <si>
    <t>2000009851081974</t>
  </si>
  <si>
    <t>15 de novembro de 2024 14:49 hs.</t>
  </si>
  <si>
    <t>Moacir Emiliano De Moraes</t>
  </si>
  <si>
    <t>CPF 92950418953</t>
  </si>
  <si>
    <t>Rua Avelino Bueno 182, Campo Mourão - CEP: 87309560, Paraná</t>
  </si>
  <si>
    <t>92950418953</t>
  </si>
  <si>
    <t>Rua Avelino Bueno 182 / Perto da associação dos bancarios - CEP 87309560 - Jardim Santa Cruz, Campo Mourão, Paraná</t>
  </si>
  <si>
    <t>Campo Mourão</t>
  </si>
  <si>
    <t>87309560</t>
  </si>
  <si>
    <t>25 de novembro | 11:31</t>
  </si>
  <si>
    <t>MEL44090203625LMXDF01</t>
  </si>
  <si>
    <t>2000006638987339</t>
  </si>
  <si>
    <t>15 de novembro de 2024 14:02 hs.</t>
  </si>
  <si>
    <t>Magno Rodrigues</t>
  </si>
  <si>
    <t>CPF 04862165605</t>
  </si>
  <si>
    <t>Rua Casimiro Martins dos Santos 63, Patrocínio - CEP: 38740162, Minas Gerais</t>
  </si>
  <si>
    <t>04862165605</t>
  </si>
  <si>
    <t>Rua Casimiro Martins dos Santos 63 / Referencia: A baixo da esquina da Rua Casimiro Martins dos Santos com Rua Gustavo Machado. - CEP 38740162 - São Vicente, Patrocínio, Minas Gerais</t>
  </si>
  <si>
    <t>Patrocínio</t>
  </si>
  <si>
    <t>38740162</t>
  </si>
  <si>
    <t>21 de novembro | 11:23</t>
  </si>
  <si>
    <t>MEL44089995307LMXDF01</t>
  </si>
  <si>
    <t>2000009850387346</t>
  </si>
  <si>
    <t>15 de novembro de 2024 13:42 hs.</t>
  </si>
  <si>
    <t>Diva Cristina Caetano Lopes</t>
  </si>
  <si>
    <t>CPF 16000648847</t>
  </si>
  <si>
    <t>Padre Izidoro Guilmin 92, São João Batista do Glória - CEP: 37920000, Minas Gerais</t>
  </si>
  <si>
    <t>16000648847</t>
  </si>
  <si>
    <t>Padre Izidoro Guilmin 92 / CEP 37920000 - João Limirio, São João Batista do Glória, Minas Gerais</t>
  </si>
  <si>
    <t>São João Batista do Glória</t>
  </si>
  <si>
    <t>37920000</t>
  </si>
  <si>
    <t>20 de novembro | 15:00</t>
  </si>
  <si>
    <t>MEL44089902771LMXDF01</t>
  </si>
  <si>
    <t>2000009850286740</t>
  </si>
  <si>
    <t>15 de novembro de 2024 13:34 hs.</t>
  </si>
  <si>
    <t>Selma da Silva Bento</t>
  </si>
  <si>
    <t>CPF 77363817200</t>
  </si>
  <si>
    <t>Avenida Francisco Vieira Souza, 2255 2255 - correios, Tarilândia - CEP: 76897890, Rondônia</t>
  </si>
  <si>
    <t>77363817200</t>
  </si>
  <si>
    <t>Avenida Francisco Vieira Souza, 2255 2255 / correios Referencia: nos correios - CEP 76897890 - centro, Tarilândia, Rondônia</t>
  </si>
  <si>
    <t>Tarilândia</t>
  </si>
  <si>
    <t>76897890</t>
  </si>
  <si>
    <t>00240265563850</t>
  </si>
  <si>
    <t>https://ssw.inf.br/app/meli/00240265563850</t>
  </si>
  <si>
    <t>2000006638486601</t>
  </si>
  <si>
    <t>15 de novembro de 2024 12:47 hs.</t>
  </si>
  <si>
    <t>Augusto Sopran</t>
  </si>
  <si>
    <t>CPF 17567184826</t>
  </si>
  <si>
    <t>Rua Quintino Bocaiúva 385 385, Biguaçu - CEP: 88161072, Santa Catarina</t>
  </si>
  <si>
    <t>17567184826</t>
  </si>
  <si>
    <t>RUA  GREGÓRIO FLOR 1253 / SALA 03 - CEP 88161780 - Rio Caveiras, Biguaçu, Santa Catarina</t>
  </si>
  <si>
    <t>Biguaçu</t>
  </si>
  <si>
    <t>88161780</t>
  </si>
  <si>
    <t>25 de novembro | 17:02</t>
  </si>
  <si>
    <t>MEL44089849712LMXDF01</t>
  </si>
  <si>
    <t>https://myaccount.mercadolivre.com.br/shipments/44089849712/detail</t>
  </si>
  <si>
    <t>2000009849651086</t>
  </si>
  <si>
    <t>15 de novembro de 2024 12:31 hs.</t>
  </si>
  <si>
    <t>Maria Anésia Souza</t>
  </si>
  <si>
    <t>CPF 24960612851</t>
  </si>
  <si>
    <t>Quadra 08 casa 6 - Casa, Santa Rita de Cássia - CEP: 47150000, Bahia</t>
  </si>
  <si>
    <t>24960612851</t>
  </si>
  <si>
    <t>Quadra 08 casa 6 / Casa Referencia: Em frente a praça da escola Isidoro Aragão 
whatzap 11 974776457 - CEP 47150000 - BNH, Santa Rita de Cássia, Bahia</t>
  </si>
  <si>
    <t>Santa Rita de Cássia</t>
  </si>
  <si>
    <t>47150000</t>
  </si>
  <si>
    <t>25 de novembro | 11:33</t>
  </si>
  <si>
    <t>MEL44089781888LMXDF01</t>
  </si>
  <si>
    <t>2000009849318850</t>
  </si>
  <si>
    <t>15 de novembro de 2024 11:59 hs.</t>
  </si>
  <si>
    <t>Rosangela Aparecida Justo Ramos</t>
  </si>
  <si>
    <t>CPF 05956892641</t>
  </si>
  <si>
    <t>Rua Quinze 124 - casa, Ribeirão das Neves - CEP: 33836034, Minas Gerais</t>
  </si>
  <si>
    <t>05956892641</t>
  </si>
  <si>
    <t>Rua Quinze 124 / casa Referencia: portão vermelho - CEP 33836034 - San Marino, Ribeirão das Neves, Minas Gerais</t>
  </si>
  <si>
    <t>33836034</t>
  </si>
  <si>
    <t>19 de novembro | 15:14</t>
  </si>
  <si>
    <t>MEL44089445931LMXDF01</t>
  </si>
  <si>
    <t>2000006637803163</t>
  </si>
  <si>
    <t>15 de novembro de 2024 10:54 hs.</t>
  </si>
  <si>
    <t>Samuel Marcelino da Costa</t>
  </si>
  <si>
    <t>CPF 01176302175</t>
  </si>
  <si>
    <t>Rua Cruzeiro do Norte SN, Goiânia - CEP: 74683730, Goiás</t>
  </si>
  <si>
    <t>01176302175</t>
  </si>
  <si>
    <t>Rua Cruzeiro do Norte SN / Qd.03 Lt. 08 - St. V - CEP 74683730 - Vila Santa Cruz, Goiânia, Goiás</t>
  </si>
  <si>
    <t>74683730</t>
  </si>
  <si>
    <t>21 de novembro | 12:35</t>
  </si>
  <si>
    <t>MEL44089178767LMXDF01</t>
  </si>
  <si>
    <t>2000009848608350</t>
  </si>
  <si>
    <t>15 de novembro de 2024 10:44 hs.</t>
  </si>
  <si>
    <t>Pablo Enrique</t>
  </si>
  <si>
    <t>CPF 11613534450</t>
  </si>
  <si>
    <t>Rua Boa Esperança 335 - Casa, Paulista - CEP: 53425580, Pernambuco</t>
  </si>
  <si>
    <t>11613534450</t>
  </si>
  <si>
    <t>Rua Boa Esperança 335 / Casa Referencia: Próximo ao colégio aquarela - CEP 53425580 - Nossa Senhora da Conceição, Paulista, Pernambuco</t>
  </si>
  <si>
    <t>Paulista</t>
  </si>
  <si>
    <t>53425580</t>
  </si>
  <si>
    <t>20 de novembro | 17:33</t>
  </si>
  <si>
    <t>MEL44089332926LMXDF01</t>
  </si>
  <si>
    <t>2000009848420198</t>
  </si>
  <si>
    <t>15 de novembro de 2024 10:21 hs.</t>
  </si>
  <si>
    <t>cristina knychala</t>
  </si>
  <si>
    <t>CPF 06810868666</t>
  </si>
  <si>
    <t>Rua Indianópolis 1860, Uberlândia - CEP: 38400474, Minas Gerais</t>
  </si>
  <si>
    <t>06810868666</t>
  </si>
  <si>
    <t>Rua Indianópolis 1860 / Referencia: me contatar via whatsapp - CEP 38400474 - Osvaldo Rezende, Uberlândia, Minas Gerais</t>
  </si>
  <si>
    <t>38400474</t>
  </si>
  <si>
    <t>21 de novembro | 10:19</t>
  </si>
  <si>
    <t>MEL44089052987LMXDF01</t>
  </si>
  <si>
    <t>2000009848381254</t>
  </si>
  <si>
    <t>15 de novembro de 2024 10:20 hs.</t>
  </si>
  <si>
    <t>Katia Mantelli</t>
  </si>
  <si>
    <t>CPF 64192318091</t>
  </si>
  <si>
    <t>Rua Frederico Trarbach 332 - prédio smec, Vale Verde - CEP: 95833000, Rio Grande do Sul</t>
  </si>
  <si>
    <t>64192318091</t>
  </si>
  <si>
    <t>Rua Frederico Trarbach 332 / prédio smec Referencia: prédio da secretaria da educação - CEP 95833000 - centro, Vale Verde, Rio Grande do Sul</t>
  </si>
  <si>
    <t>Vale Verde</t>
  </si>
  <si>
    <t>95833000</t>
  </si>
  <si>
    <t>21 de novembro | 13:39</t>
  </si>
  <si>
    <t>MEL44089043305LMXDF01</t>
  </si>
  <si>
    <t>2000009848226834</t>
  </si>
  <si>
    <t>15 de novembro de 2024 09:57 hs.</t>
  </si>
  <si>
    <t>Marta Maria da Silva Marchiotti</t>
  </si>
  <si>
    <t>CPF 04025902958</t>
  </si>
  <si>
    <t>Rua Arara 1686 - Casa, Maringá - CEP: 87075691, Paraná</t>
  </si>
  <si>
    <t>04025902958</t>
  </si>
  <si>
    <t>Rua Arara 1686 / Casa Referencia: casa - CEP 87075691 - Parque Hortência, Maringá, Paraná</t>
  </si>
  <si>
    <t>Maringá</t>
  </si>
  <si>
    <t>87075691</t>
  </si>
  <si>
    <t>21 de novembro | 09:23</t>
  </si>
  <si>
    <t>MEL44089166038LMXDF01</t>
  </si>
  <si>
    <t>2000009848143724</t>
  </si>
  <si>
    <t>15 de novembro de 2024 09:47 hs.</t>
  </si>
  <si>
    <t>Fatima Silva</t>
  </si>
  <si>
    <t>CPF 67370420400</t>
  </si>
  <si>
    <t>Rua Antônio Calazans 5, Areia Branca - CEP: 59655000, Rio Grande do Norte</t>
  </si>
  <si>
    <t>67370420400</t>
  </si>
  <si>
    <t>Rua Antônio Calazans 5 / fatima cabelos - CEP 59655000 - santo cristo, Areia Branca, Rio Grande do Norte</t>
  </si>
  <si>
    <t>Areia Branca</t>
  </si>
  <si>
    <t>59655000</t>
  </si>
  <si>
    <t>21 de novembro | 14:40</t>
  </si>
  <si>
    <t>MEL44089131924LMXDF01</t>
  </si>
  <si>
    <t>2000006637431007</t>
  </si>
  <si>
    <t>15 de novembro de 2024 09:38 hs.</t>
  </si>
  <si>
    <t>Clebervan da Silva Morais</t>
  </si>
  <si>
    <t>CPF 38570173253</t>
  </si>
  <si>
    <t>Rua Luiz Brasil 2538, Porto Velho - CEP: 76829364, Rondônia</t>
  </si>
  <si>
    <t>38570173253</t>
  </si>
  <si>
    <t>Rua Luiz Brasil 2538 / CEP 76829364 - Juscelino Kubitschek, Porto Velho, Rondônia</t>
  </si>
  <si>
    <t>76829364</t>
  </si>
  <si>
    <t>23 de novembro | 11:54</t>
  </si>
  <si>
    <t>MEL44088905393LMXDF01</t>
  </si>
  <si>
    <t>2000009847963456</t>
  </si>
  <si>
    <t>15 de novembro de 2024 09:21 hs.</t>
  </si>
  <si>
    <t>Marta Shimura Satozak Amaral</t>
  </si>
  <si>
    <t>CPF 10995140880</t>
  </si>
  <si>
    <t>Rua João Pedrino 145 - salão, São Carlos - CEP: 13575866, São Paulo</t>
  </si>
  <si>
    <t>10995140880</t>
  </si>
  <si>
    <t>Rua João Pedrino 145 / salão Referencia: Porta sempre fechada, mas estamos trabalhando - CEP 13575866 - Romeu Santini, São Carlos, São Paulo</t>
  </si>
  <si>
    <t>13575866</t>
  </si>
  <si>
    <t>21 de novembro | 15:27</t>
  </si>
  <si>
    <t>MEL44088857089LMXDF01</t>
  </si>
  <si>
    <t>2000009847767608</t>
  </si>
  <si>
    <t>15 de novembro de 2024 08:44 hs.</t>
  </si>
  <si>
    <t>Leandro Costa Hora</t>
  </si>
  <si>
    <t>CPF 42859589880</t>
  </si>
  <si>
    <t>Rua Job Corrêa 498 - Franco da Rocha Jardim Bandeirantes, Franco da Rocha - CEP: 07830310, São Paulo</t>
  </si>
  <si>
    <t>42859589880</t>
  </si>
  <si>
    <t>Rua Job Corrêa 498 / Franco da Rocha Jardim Bandeirantes - CEP 07830310 - Bandeirantes, Franco da Rocha, São Paulo</t>
  </si>
  <si>
    <t>Franco da Rocha</t>
  </si>
  <si>
    <t>07830310</t>
  </si>
  <si>
    <t>20 de novembro | 11:43</t>
  </si>
  <si>
    <t>MEL44088960308LMXDF01</t>
  </si>
  <si>
    <t>2000006637155883</t>
  </si>
  <si>
    <t>15 de novembro de 2024 08:04 hs.</t>
  </si>
  <si>
    <t>Abiran Pereira Barros</t>
  </si>
  <si>
    <t>CPF 84704543153</t>
  </si>
  <si>
    <t>Quadra ARSO 52 Alameda 14 SN, Palmas - CEP: 77016078, Tocantins</t>
  </si>
  <si>
    <t>84704543153</t>
  </si>
  <si>
    <t>Quadra ARSO 52 Alameda 14 SN / Referencia: Lote 4D, QI 02 - CEP 77016078 - Plano Diretor Sul, Palmas, Tocantins</t>
  </si>
  <si>
    <t>77016078</t>
  </si>
  <si>
    <t>23 de novembro | 10:43</t>
  </si>
  <si>
    <t>MEL44088876664LMXDF01</t>
  </si>
  <si>
    <t>2000009847527192</t>
  </si>
  <si>
    <t>15 de novembro de 2024 07:44 hs.</t>
  </si>
  <si>
    <t>anete tosin</t>
  </si>
  <si>
    <t>CPF 58874429053</t>
  </si>
  <si>
    <t>Avenida Presidente Vargas 317, Garibaldi - CEP: 95720000, Rio Grande do Sul</t>
  </si>
  <si>
    <t>58874429053</t>
  </si>
  <si>
    <t>Avenida Presidente Vargas 317 / CEP 95720000 - Garibaldi, Garibaldi, Rio Grande do Sul</t>
  </si>
  <si>
    <t>Garibaldi</t>
  </si>
  <si>
    <t>95720000</t>
  </si>
  <si>
    <t>21 de novembro | 14:13</t>
  </si>
  <si>
    <t>MEL44088647901LMXDF01</t>
  </si>
  <si>
    <t>2000009847247968</t>
  </si>
  <si>
    <t>15 de novembro de 2024 05:25 hs.</t>
  </si>
  <si>
    <t>Wirlei Roberto Lesnik Junior</t>
  </si>
  <si>
    <t>CPF 97235563087</t>
  </si>
  <si>
    <t>BR 101 KM 351 SEM NUMERO SN - Hotel Guerra, Jaguaruna - CEP: 88715000, Santa Catarina</t>
  </si>
  <si>
    <t>97235563087</t>
  </si>
  <si>
    <t>Jaguaruna</t>
  </si>
  <si>
    <t>88715000</t>
  </si>
  <si>
    <t>MEL44088514929LMXDF01</t>
  </si>
  <si>
    <t>2000006636444117</t>
  </si>
  <si>
    <t>15 de novembro de 2024 00:56 hs.</t>
  </si>
  <si>
    <t>Daniella Cardozo Rodrigues</t>
  </si>
  <si>
    <t>CPF 02269793005</t>
  </si>
  <si>
    <t>Estrada velha de Alexandra SN, Alexandra - CEP: 83250000, Paraná</t>
  </si>
  <si>
    <t>02269793005</t>
  </si>
  <si>
    <t>Alexandra</t>
  </si>
  <si>
    <t>83250000</t>
  </si>
  <si>
    <t>MEL44088207297FMXDF01</t>
  </si>
  <si>
    <t>2000006636309415</t>
  </si>
  <si>
    <t>15 de novembro de 2024 00:14 hs.</t>
  </si>
  <si>
    <t>cristdrago cristdrago</t>
  </si>
  <si>
    <t>CPF 62128124034</t>
  </si>
  <si>
    <t>Rua Casemiro de Abreu 1549, Porto Alegre - CEP: 90420001, Rio Grande do Sul</t>
  </si>
  <si>
    <t>62128124034</t>
  </si>
  <si>
    <t>Rua Casemiro de Abreu 1549 / 402 - CEP 90420001 - Bela Vista, Porto Alegre, Rio Grande do Sul</t>
  </si>
  <si>
    <t>90420001</t>
  </si>
  <si>
    <t>29 de novembro | 08:25</t>
  </si>
  <si>
    <t>MEL44088315312LMXDF01</t>
  </si>
  <si>
    <t>2000009846241844</t>
  </si>
  <si>
    <t>15 de novembro de 2024 00:00 hs.</t>
  </si>
  <si>
    <t>José Ailton Silva Silva</t>
  </si>
  <si>
    <t>CPF 12353029892</t>
  </si>
  <si>
    <t>Rua Francisco Travertino 423 - 2500, Leme - CEP: 13617754, São Paulo</t>
  </si>
  <si>
    <t>12353029892</t>
  </si>
  <si>
    <t>Rua Francisco Travertino 423 / 2500 - CEP 13617754 - Jardim Residencial Quáglia, Leme, São Paulo</t>
  </si>
  <si>
    <t>13617754</t>
  </si>
  <si>
    <t>28 de novembro | 15:10</t>
  </si>
  <si>
    <t>MEL44088284332LMXDF01</t>
  </si>
  <si>
    <t>2000009846127880</t>
  </si>
  <si>
    <t>14 de novembro de 2024 23:42 hs.</t>
  </si>
  <si>
    <t>Lenira Barbosa Padilha</t>
  </si>
  <si>
    <t>CPF 07795730728</t>
  </si>
  <si>
    <t>Rua Genecy Martins Braga 709, Guapimirim - CEP: 25943575, Rio de Janeiro</t>
  </si>
  <si>
    <t>07795730728</t>
  </si>
  <si>
    <t>Rua Genecy Martins Braga 709 / CEP 25943575 - Parada Modelo, Guapimirim, Rio de Janeiro</t>
  </si>
  <si>
    <t>Guapimirim</t>
  </si>
  <si>
    <t>25943575</t>
  </si>
  <si>
    <t>27 de novembro | 13:01</t>
  </si>
  <si>
    <t>MEL44088042127LMXDF01</t>
  </si>
  <si>
    <t>2000009845572002</t>
  </si>
  <si>
    <t>14 de novembro de 2024 22:21 hs.</t>
  </si>
  <si>
    <t>Jose Douglas de Melo Vilaboim</t>
  </si>
  <si>
    <t>CPF 10316249530</t>
  </si>
  <si>
    <t>Rua teodolo de Albuquerque 34 - FrenteElbinhoadesivo, Sento Sé - CEP: 47350000, Bahia</t>
  </si>
  <si>
    <t>10316249530</t>
  </si>
  <si>
    <t>Sento Sé</t>
  </si>
  <si>
    <t>47350000</t>
  </si>
  <si>
    <t>MEL44087997660FMXDF01</t>
  </si>
  <si>
    <t>2000006635813437</t>
  </si>
  <si>
    <t>14 de novembro de 2024 22:16 hs.</t>
  </si>
  <si>
    <t>diego de souza antiqueira</t>
  </si>
  <si>
    <t>CPF 38925879816</t>
  </si>
  <si>
    <t>Avenida São Miguel 1907, São Paulo - CEP: 03619100, São Paulo</t>
  </si>
  <si>
    <t>38925879816</t>
  </si>
  <si>
    <t>Avenida São Miguel 1907 / CEP 03619100 - Vila Marieta, São Paulo, São Paulo</t>
  </si>
  <si>
    <t>03619100</t>
  </si>
  <si>
    <t>MEL44087785893LMXDF01</t>
  </si>
  <si>
    <t>https://myaccount.mercadolivre.com.br/shipments/44087785893/detail</t>
  </si>
  <si>
    <t>2000009845539476</t>
  </si>
  <si>
    <t>00321</t>
  </si>
  <si>
    <t>MLB3633486477</t>
  </si>
  <si>
    <t>Maca Peruana | Mais Disposição Libido 60 Caps - 600mg</t>
  </si>
  <si>
    <t>2000009845549230</t>
  </si>
  <si>
    <t>2000009845266484</t>
  </si>
  <si>
    <t>14 de novembro de 2024 21:40 hs.</t>
  </si>
  <si>
    <t>Elaine de Fatima Gomes</t>
  </si>
  <si>
    <t>CPF 03430195667</t>
  </si>
  <si>
    <t>Rua Francisco Sáles de Oliveira 70 - casa, São Pedro da União - CEP: 37855000, Minas Gerais</t>
  </si>
  <si>
    <t>03430195667</t>
  </si>
  <si>
    <t>Rua Francisco Sáles de Oliveira 70 / casa - CEP 37855000 - Centro, São Pedro da União, Minas Gerais</t>
  </si>
  <si>
    <t>São Pedro da União</t>
  </si>
  <si>
    <t>37855000</t>
  </si>
  <si>
    <t>28 de novembro | 17:42</t>
  </si>
  <si>
    <t>MEL44087662765LMXDF01</t>
  </si>
  <si>
    <t>2000009844923064</t>
  </si>
  <si>
    <t>14 de novembro de 2024 21:01 hs.</t>
  </si>
  <si>
    <t>Erica Costa</t>
  </si>
  <si>
    <t>CPF 17516901725</t>
  </si>
  <si>
    <t>Rua Aracua 209 - Rua da creche, Belford Roxo - CEP: 26115250, Rio de Janeiro</t>
  </si>
  <si>
    <t>17516901725</t>
  </si>
  <si>
    <t>Rua Aracua 209 / Rua da creche - CEP 26115250 - Hiterland, Belford Roxo, Rio de Janeiro</t>
  </si>
  <si>
    <t>Belford Roxo</t>
  </si>
  <si>
    <t>26115250</t>
  </si>
  <si>
    <t>27 de novembro | 01:15</t>
  </si>
  <si>
    <t>27 de novembro | 11:00</t>
  </si>
  <si>
    <t>MEL44087515159LMXDF01</t>
  </si>
  <si>
    <t>2000006635377447</t>
  </si>
  <si>
    <t>14 de novembro de 2024 20:50 hs.</t>
  </si>
  <si>
    <t>Mona Liza Mendes Dos Santos</t>
  </si>
  <si>
    <t>CPF 80272215520</t>
  </si>
  <si>
    <t>Rua Presidente Vargas 336 - casa, Santana - CEP: 47700000, Bahia</t>
  </si>
  <si>
    <t>80272215520</t>
  </si>
  <si>
    <t>Rua Presidente Vargas 336 / casa Referencia: enfrente ao bar de Du Pescoção - CEP 47700000 - Centro, Santana, Bahia</t>
  </si>
  <si>
    <t>Santana</t>
  </si>
  <si>
    <t>47700000</t>
  </si>
  <si>
    <t>30 de novembro | 21:31</t>
  </si>
  <si>
    <t>MEL44087480655LMXDF01</t>
  </si>
  <si>
    <t>2000009844588798</t>
  </si>
  <si>
    <t>14 de novembro de 2024 20:19 hs.</t>
  </si>
  <si>
    <t>Joelma Muniz de Oliveira</t>
  </si>
  <si>
    <t>CPF 06715064806</t>
  </si>
  <si>
    <t>Avenida Salgado Filho 3938 - Bloco 24apto 83, Guarulhos - CEP: 07115000, São Paulo</t>
  </si>
  <si>
    <t>06715064806</t>
  </si>
  <si>
    <t>Avenida Salgado Filho 3938 / Bloco 24apto 83 - CEP 07115000 - Centro, Guarulhos, São Paulo</t>
  </si>
  <si>
    <t>07115000</t>
  </si>
  <si>
    <t>28 de novembro | 14:02</t>
  </si>
  <si>
    <t>MEL44087366795LMXDF01</t>
  </si>
  <si>
    <t>2000006635199523</t>
  </si>
  <si>
    <t>14 de novembro de 2024 20:15 hs.</t>
  </si>
  <si>
    <t>Cida Silva</t>
  </si>
  <si>
    <t>CPF 02815367750</t>
  </si>
  <si>
    <t>Rua Jorge Figueiredo 67 - Condominio Ama 400, Rio de Janeiro - CEP: 22750120, Rio de Janeiro</t>
  </si>
  <si>
    <t>02815367750</t>
  </si>
  <si>
    <t>Rua Jorge Figueiredo 67 / Condominio Ama 400 Referencia: siga estr. Da Uruçanga,  400 - CEP 22750120 - Anil, Rio de Janeiro, Rio de Janeiro</t>
  </si>
  <si>
    <t>22750120</t>
  </si>
  <si>
    <t>27 de novembro | 01:34</t>
  </si>
  <si>
    <t>27 de novembro | 17:52</t>
  </si>
  <si>
    <t>MEL44087349281LMXDF01</t>
  </si>
  <si>
    <t>2000009844503560</t>
  </si>
  <si>
    <t>14 de novembro de 2024 20:10 hs.</t>
  </si>
  <si>
    <t xml:space="preserve">Donato Baptista  Junior </t>
  </si>
  <si>
    <t>CPF 81577966872</t>
  </si>
  <si>
    <t>Rua Rubens Arruda 847 - quadra 8, Bauru - CEP: 17014300, São Paulo</t>
  </si>
  <si>
    <t>81577966872</t>
  </si>
  <si>
    <t>Rua Rubens Arruda 847 / quadra 8 - CEP 17014300 - Jardim Estoril, Bauru, São Paulo</t>
  </si>
  <si>
    <t>17014300</t>
  </si>
  <si>
    <t>MEL44087333625LMXDF01</t>
  </si>
  <si>
    <t>2000006635175909</t>
  </si>
  <si>
    <t>14 de novembro de 2024 20:09 hs.</t>
  </si>
  <si>
    <t>Reginaldo Ferreira de Queiroz</t>
  </si>
  <si>
    <t>CPF 02722127172</t>
  </si>
  <si>
    <t>Rua Quiri 1360, Quedas do Iguaçu - CEP: 85460000, Paraná</t>
  </si>
  <si>
    <t>02722127172</t>
  </si>
  <si>
    <t>Rua Quiri 1360 / AP 51 - CEP 85460000 - Centro, Quedas do Iguaçu, Paraná</t>
  </si>
  <si>
    <t>MEL44087524194LMXDF01</t>
  </si>
  <si>
    <t>2000006635038589</t>
  </si>
  <si>
    <t>14 de novembro de 2024 19:41 hs.</t>
  </si>
  <si>
    <t>Larissa Moreira Calheiros</t>
  </si>
  <si>
    <t>CPF 13499056747</t>
  </si>
  <si>
    <t>Rua Alecrim 08 - Casa verde, 2Andares, Vila Velha - CEP: 29104455, Espírito Santo</t>
  </si>
  <si>
    <t>13499056747</t>
  </si>
  <si>
    <t>Rua Alecrim 08 / Casa verde, 2Andares Referencia: Tem dois números 8 na rua, precisa se atentar a casa verde com placa de salgados. - CEP 29104455 - Jardim Asteca, Vila Velha, Espírito Santo</t>
  </si>
  <si>
    <t>29104455</t>
  </si>
  <si>
    <t>27 de novembro | 18:20</t>
  </si>
  <si>
    <t>MEL44087228999LMXDF01</t>
  </si>
  <si>
    <t>2000009844229282</t>
  </si>
  <si>
    <t>14 de novembro de 2024 19:36 hs.</t>
  </si>
  <si>
    <t>Fabeline Rodrigues Pereira Santos</t>
  </si>
  <si>
    <t>CPF 36778351861</t>
  </si>
  <si>
    <t>Rua Manuel Aguiar do Nascimento 245 - Casa da frente Beto, Guarujá - CEP: 11436070, São Paulo</t>
  </si>
  <si>
    <t>36778351861</t>
  </si>
  <si>
    <t>Rua Manuel Aguiar do Nascimento 245 / Casa da frente Beto Referencia: Casa do Beto - CEP 11436070 - Vila Zilda, Guarujá, São Paulo</t>
  </si>
  <si>
    <t>11436070</t>
  </si>
  <si>
    <t>28 de novembro | 17:10</t>
  </si>
  <si>
    <t>MEL44087401316LMXDF01</t>
  </si>
  <si>
    <t>2000009844058478</t>
  </si>
  <si>
    <t>14 de novembro de 2024 19:13 hs.</t>
  </si>
  <si>
    <t>Henrique Tito Pereira</t>
  </si>
  <si>
    <t>CPF 01164718754</t>
  </si>
  <si>
    <t>Rua do Alagoano 238, Rio de Janeiro - CEP: 23097060, Rio de Janeiro</t>
  </si>
  <si>
    <t>01164718754</t>
  </si>
  <si>
    <t>Rua do Alagoano 238 / CEP 23097060 - Campo Grande, Rio de Janeiro, Rio de Janeiro</t>
  </si>
  <si>
    <t>23097060</t>
  </si>
  <si>
    <t>27 de novembro | 09:19</t>
  </si>
  <si>
    <t>MEL44087119453LMXDF01</t>
  </si>
  <si>
    <t>2000006634746561</t>
  </si>
  <si>
    <t>14 de novembro de 2024 18:43 hs.</t>
  </si>
  <si>
    <t>Alessandra da Silva</t>
  </si>
  <si>
    <t>CPF 05749780708</t>
  </si>
  <si>
    <t>Rua José Poleti 32 - 5, Nova Friburgo - CEP: 28635567, Rio de Janeiro</t>
  </si>
  <si>
    <t>05749780708</t>
  </si>
  <si>
    <t>Rua José Poleti 32 / 5 - CEP 28635567 - Rui Sanglard, Nova Friburgo, Rio de Janeiro</t>
  </si>
  <si>
    <t>28635567</t>
  </si>
  <si>
    <t>28 de novembro | 14:13</t>
  </si>
  <si>
    <t>MEL44087005585LMXDF01</t>
  </si>
  <si>
    <t>2000009843793340</t>
  </si>
  <si>
    <t>14 de novembro de 2024 18:42 hs.</t>
  </si>
  <si>
    <t>Vilmara da Silva Oliveira</t>
  </si>
  <si>
    <t>CPF 17193541706</t>
  </si>
  <si>
    <t>rua Francisco campelo 36 - vizinha do seu alceu, Boa Ventura - CEP: 28340000, Rio de Janeiro</t>
  </si>
  <si>
    <t>17193541706</t>
  </si>
  <si>
    <t>rua Francisco campelo 36 / vizinha do seu alceu - CEP 28340000 - boa ventura, Boa Ventura, Rio de Janeiro</t>
  </si>
  <si>
    <t>Boa Ventura</t>
  </si>
  <si>
    <t>28340000</t>
  </si>
  <si>
    <t>27 de novembro | 00:26</t>
  </si>
  <si>
    <t>27 de novembro | 12:35</t>
  </si>
  <si>
    <t>MEL44087006065LMXDF01</t>
  </si>
  <si>
    <t>2000006634674105</t>
  </si>
  <si>
    <t>14 de novembro de 2024 18:28 hs.</t>
  </si>
  <si>
    <t>Marcos Leite</t>
  </si>
  <si>
    <t>CPF 01315725550</t>
  </si>
  <si>
    <t>Rua Pau Sul SN - C170GranvileResidenc, Camaçari - CEP: 42821830, Bahia</t>
  </si>
  <si>
    <t>01315725550</t>
  </si>
  <si>
    <t>Rua Pau Sul SN / C170GranvileResidenc - CEP 42821830 - Boa União (Abrantes), Camaçari, Bahia</t>
  </si>
  <si>
    <t>42821830</t>
  </si>
  <si>
    <t>30 de novembro | 14:37</t>
  </si>
  <si>
    <t>MEL44086950687LMXDF01</t>
  </si>
  <si>
    <t>2000009843223014</t>
  </si>
  <si>
    <t>14 de novembro de 2024 17:33 hs.</t>
  </si>
  <si>
    <t>jane Carvalho</t>
  </si>
  <si>
    <t>CPF 11459782666</t>
  </si>
  <si>
    <t>x 60 - beco, Carandaí - CEP: 36280356, Minas Gerais</t>
  </si>
  <si>
    <t>11459782666</t>
  </si>
  <si>
    <t>x 60 / beco - CEP 36280356 - Barro Preto, Carandaí, Minas Gerais</t>
  </si>
  <si>
    <t>Carandaí</t>
  </si>
  <si>
    <t>36280356</t>
  </si>
  <si>
    <t>29 de novembro | 15:58</t>
  </si>
  <si>
    <t>MEL44086936822LMXDF01</t>
  </si>
  <si>
    <t>2000009842933390</t>
  </si>
  <si>
    <t>14 de novembro de 2024 17:00 hs.</t>
  </si>
  <si>
    <t>Flavia Soares</t>
  </si>
  <si>
    <t>CPF 11170949878</t>
  </si>
  <si>
    <t>Avenida Ouro Preto 1490, Francisco Morato - CEP: 07985300, São Paulo</t>
  </si>
  <si>
    <t>11170949878</t>
  </si>
  <si>
    <t>Avenida Ouro Preto 1490 / CEP 07985300 - Jardim Alegria, Francisco Morato, São Paulo</t>
  </si>
  <si>
    <t>07985300</t>
  </si>
  <si>
    <t>28 de novembro | 12:48</t>
  </si>
  <si>
    <t>MEL44086801700LMXDF01</t>
  </si>
  <si>
    <t>2000009842744550</t>
  </si>
  <si>
    <t>14 de novembro de 2024 16:38 hs.</t>
  </si>
  <si>
    <t>marynna ehieh rezende bibiano</t>
  </si>
  <si>
    <t>CPF 33957869862</t>
  </si>
  <si>
    <t>Avenida Professor João Fiúsa 2440, Ribeirão Preto - CEP: 14024260, São Paulo</t>
  </si>
  <si>
    <t>33957869862</t>
  </si>
  <si>
    <t>Avenida Professor João Fiúsa 2440 / procuradoria - CEP 14024260 - Jardim Canadá, Ribeirão Preto, São Paulo</t>
  </si>
  <si>
    <t>14024260</t>
  </si>
  <si>
    <t>28 de novembro | 13:24</t>
  </si>
  <si>
    <t>MEL44086705490LMXDF01</t>
  </si>
  <si>
    <t>2000009842752288</t>
  </si>
  <si>
    <t>Patrícia Dantas</t>
  </si>
  <si>
    <t>CPF 78111501315</t>
  </si>
  <si>
    <t>Rua Conego Ismar Fernandes 219, Doutor Severiano - CEP: 59910000, Rio Grande do Norte</t>
  </si>
  <si>
    <t>78111501315</t>
  </si>
  <si>
    <t>Rua Conego Ismar Fernandes 219 / CEP 59910000 - Centro, Doutor Severiano, Rio Grande do Norte</t>
  </si>
  <si>
    <t>Doutor Severiano</t>
  </si>
  <si>
    <t>59910000</t>
  </si>
  <si>
    <t>MEL44086705230LMXDF01</t>
  </si>
  <si>
    <t>2000006634055845</t>
  </si>
  <si>
    <t>14 de novembro de 2024 16:30 hs.</t>
  </si>
  <si>
    <t>Mikaeli Cristina de Lima Paula</t>
  </si>
  <si>
    <t>CPF 39340580869</t>
  </si>
  <si>
    <t>Avenida Arujá 240 240, Cajamar - CEP: 07787530, São Paulo</t>
  </si>
  <si>
    <t>39340580869</t>
  </si>
  <si>
    <t>Cajamar</t>
  </si>
  <si>
    <t>07787530</t>
  </si>
  <si>
    <t>MEL44086470597FMXDF01</t>
  </si>
  <si>
    <t>2000009842672234</t>
  </si>
  <si>
    <t>2000009842670396</t>
  </si>
  <si>
    <t>2000009842620204</t>
  </si>
  <si>
    <t>14 de novembro de 2024 16:23 hs.</t>
  </si>
  <si>
    <t>jose Ângelo</t>
  </si>
  <si>
    <t>CPF 05554803563</t>
  </si>
  <si>
    <t>travessa são Cristóvão 3 107 - casa, Areia Branca - CEP: 49580000, Sergipe</t>
  </si>
  <si>
    <t>05554803563</t>
  </si>
  <si>
    <t>travessa são Cristóvão 3 107 / casa Referencia: Na rua do bar de Royal última casa da rua é rua sem saída - CEP 49580000 - treze, Areia Branca, Sergipe</t>
  </si>
  <si>
    <t>49580000</t>
  </si>
  <si>
    <t>29 de novembro | 11:30</t>
  </si>
  <si>
    <t>MEL44086444905LMXDF01</t>
  </si>
  <si>
    <t>2000009842340108</t>
  </si>
  <si>
    <t>14 de novembro de 2024 15:52 hs.</t>
  </si>
  <si>
    <t>00259</t>
  </si>
  <si>
    <t>MLB3476969743</t>
  </si>
  <si>
    <t>Kit 3 Pantoformula Turbinado C/60 Cápsulas Cabelo Renovado</t>
  </si>
  <si>
    <t>Eliane Regina</t>
  </si>
  <si>
    <t>CPF 03140278748</t>
  </si>
  <si>
    <t>Rua das Esmeraldas 494 - LOTE 35 QUADRA 66, São Gonçalo - CEP: 24715601, Rio de Janeiro</t>
  </si>
  <si>
    <t>03140278748</t>
  </si>
  <si>
    <t>24715601</t>
  </si>
  <si>
    <t>2000009842328186</t>
  </si>
  <si>
    <t>Mariza Vieira Lopes Franco</t>
  </si>
  <si>
    <t>CPF 37770934168</t>
  </si>
  <si>
    <t>Rua Rui Barbosa 310 - qd 03 lt 01, Cezarina - CEP: 76195000, Goiás</t>
  </si>
  <si>
    <t>37770934168</t>
  </si>
  <si>
    <t>Rua Rui Barbosa 310 / qd 03 lt 01 Referencia: casa da minha filha - CEP 76195000 - centro, Cezarina, Goiás</t>
  </si>
  <si>
    <t>Cezarina</t>
  </si>
  <si>
    <t>76195000</t>
  </si>
  <si>
    <t>29 de novembro | 16:26</t>
  </si>
  <si>
    <t>MEL44086497082LMXDF01</t>
  </si>
  <si>
    <t>2000009842122778</t>
  </si>
  <si>
    <t>14 de novembro de 2024 15:30 hs.</t>
  </si>
  <si>
    <t>Erika Cristina da Silva Oliveira</t>
  </si>
  <si>
    <t>CPF 30195410858</t>
  </si>
  <si>
    <t>Rua João Luiz Delfino 128, Sertãozinho - CEP: 14177620, São Paulo</t>
  </si>
  <si>
    <t>30195410858</t>
  </si>
  <si>
    <t>Rua João Luiz Delfino 128 / CEP 14177620 - Jardim Boa Vista, Sertãozinho, São Paulo</t>
  </si>
  <si>
    <t>14177620</t>
  </si>
  <si>
    <t>28 de novembro | 12:14</t>
  </si>
  <si>
    <t>MEL44086206505LMXDF01</t>
  </si>
  <si>
    <t>2000009842103086</t>
  </si>
  <si>
    <t>14 de novembro de 2024 15:29 hs.</t>
  </si>
  <si>
    <t>Andreia Luzia Rodrigues Carvalho</t>
  </si>
  <si>
    <t>CPF 98536508949</t>
  </si>
  <si>
    <t>Rua Desembargador Clotário Portugal 303, Apucarana - CEP: 86800020, Paraná</t>
  </si>
  <si>
    <t>98536508949</t>
  </si>
  <si>
    <t>Rua Desembargador Clotário Portugal 303 / CEP 86800020 - Centro, Apucarana, Paraná</t>
  </si>
  <si>
    <t>Apucarana</t>
  </si>
  <si>
    <t>86800020</t>
  </si>
  <si>
    <t>29 de novembro | 15:23</t>
  </si>
  <si>
    <t>MEL44086391970LMXDF01</t>
  </si>
  <si>
    <t>2000006633360505</t>
  </si>
  <si>
    <t>14 de novembro de 2024 14:29 hs.</t>
  </si>
  <si>
    <t>Luciene Conrado</t>
  </si>
  <si>
    <t>CPF 00950312606</t>
  </si>
  <si>
    <t>Rua São Carlos do Pinhal 640, São Paulo - CEP: 01333000, São Paulo</t>
  </si>
  <si>
    <t>00950312606</t>
  </si>
  <si>
    <t>Rua São Carlos do Pinhal 640 / CEP 01333000 - Bela Vista, São Paulo, São Paulo</t>
  </si>
  <si>
    <t>01333000</t>
  </si>
  <si>
    <t>27 de novembro | 04:52</t>
  </si>
  <si>
    <t>29 de novembro | 14:09</t>
  </si>
  <si>
    <t>MEL44086128178LMXDF01</t>
  </si>
  <si>
    <t>2000009841492728</t>
  </si>
  <si>
    <t>14 de novembro de 2024 14:23 hs.</t>
  </si>
  <si>
    <t>Devolução a caminho. Chegará entre 16 e 17 de dezembro</t>
  </si>
  <si>
    <t>Não foi possível entregar o pacote à pessoa que realizou a compra. Não se preocupe, devolveremos o produto nas mesmas condições de quando você o enviou.</t>
  </si>
  <si>
    <t>eduardo dos santos toller dos santos toller</t>
  </si>
  <si>
    <t>CPF 00752590871</t>
  </si>
  <si>
    <t>RUA PARÁ 1373, Avaré - CEP: 18705030, São Paulo</t>
  </si>
  <si>
    <t>00752590871</t>
  </si>
  <si>
    <t>Avaré</t>
  </si>
  <si>
    <t>18705030</t>
  </si>
  <si>
    <t>MEL44085905873LMXDF01</t>
  </si>
  <si>
    <t>https://myaccount.mercadolivre.com.br/shipments/44085905873/detail</t>
  </si>
  <si>
    <t>2000009840977250</t>
  </si>
  <si>
    <t>14 de novembro de 2024 13:29 hs.</t>
  </si>
  <si>
    <t>Cleonice Maria da Silva Soares</t>
  </si>
  <si>
    <t>CPF 77936396934</t>
  </si>
  <si>
    <t>Rua Simões Lopes Neto 793, Palotina - CEP: 85950000, Paraná</t>
  </si>
  <si>
    <t>77936396934</t>
  </si>
  <si>
    <t>Rua Simões Lopes Neto 793 / Referencia: Próximo a Igreja Cristo Rei - CEP 85950000 - Por do Sol, Palotina, Paraná</t>
  </si>
  <si>
    <t>Palotina</t>
  </si>
  <si>
    <t>85950000</t>
  </si>
  <si>
    <t>29 de novembro | 14:17</t>
  </si>
  <si>
    <t>MEL44085858870LMXDF01</t>
  </si>
  <si>
    <t>2000006632450867</t>
  </si>
  <si>
    <t>14 de novembro de 2024 13:06 hs.</t>
  </si>
  <si>
    <t>Theresa Fanny Camara Borges</t>
  </si>
  <si>
    <t>CPF 02709053756</t>
  </si>
  <si>
    <t>Rodovia José Lizandro Albernaz Gomes 32 - Quadra E,Lote9, Campos dos Goytacazes - CEP: 28016315, Rio de Janeiro</t>
  </si>
  <si>
    <t>02709053756</t>
  </si>
  <si>
    <t>Rodovia José Lizandro Albernaz Gomes 32 / Quadra E,Lote9 Referencia: Condomínio Vale do Paraíba - CEP 28016315 - Vila da Rainha, Campos dos Goytacazes, Rio de Janeiro</t>
  </si>
  <si>
    <t>28016315</t>
  </si>
  <si>
    <t>27 de novembro | 11:08</t>
  </si>
  <si>
    <t>MEL44085557297LMXDF01</t>
  </si>
  <si>
    <t>2000006632804531</t>
  </si>
  <si>
    <t>14 de novembro de 2024 12:56 hs.</t>
  </si>
  <si>
    <t>00238</t>
  </si>
  <si>
    <t>MLB3415201889</t>
  </si>
  <si>
    <t>Vitamina D 5.000ui Pura - 90 Cápsulas - Kit C/2 Unidades</t>
  </si>
  <si>
    <t>Fabiana Rodrigues</t>
  </si>
  <si>
    <t>CPF 07867011706</t>
  </si>
  <si>
    <t>Avenida Benjamin Soella 660 - casa, Colatina - CEP: 29705410, Espírito Santo</t>
  </si>
  <si>
    <t>07867011706</t>
  </si>
  <si>
    <t>Colatina</t>
  </si>
  <si>
    <t>29705410</t>
  </si>
  <si>
    <t>MEL44085708578FMXDF01</t>
  </si>
  <si>
    <t>2000006632811365</t>
  </si>
  <si>
    <t>14 de novembro de 2024 12:55 hs.</t>
  </si>
  <si>
    <t>29 de novembro | 11:31</t>
  </si>
  <si>
    <t>MEL44085709498LMXDF01</t>
  </si>
  <si>
    <t>2000009840345776</t>
  </si>
  <si>
    <t>14 de novembro de 2024 12:24 hs.</t>
  </si>
  <si>
    <t>jonatascalaute jonatascalaute</t>
  </si>
  <si>
    <t>CPF 40979280826</t>
  </si>
  <si>
    <t>Rua Antônio de Oliveira Junior 96, Cravinhos - CEP: 14140000, São Paulo</t>
  </si>
  <si>
    <t>40979280826</t>
  </si>
  <si>
    <t>Rua Antônio de Oliveira Junior 96 / CEP 14140000 - joao berbel 1, Cravinhos, São Paulo</t>
  </si>
  <si>
    <t>Cravinhos</t>
  </si>
  <si>
    <t>14140000</t>
  </si>
  <si>
    <t>MEL44085571308LMXDF01</t>
  </si>
  <si>
    <t>2000009840322828</t>
  </si>
  <si>
    <t>14 de novembro de 2024 12:21 hs.</t>
  </si>
  <si>
    <t>Jonathan Fernando Veiga</t>
  </si>
  <si>
    <t>CPF 08434537966</t>
  </si>
  <si>
    <t>Rua Manoel Altíno de França 215 - casa, Lebon Régis - CEP: 89515000, Santa Catarina</t>
  </si>
  <si>
    <t>08434537966</t>
  </si>
  <si>
    <t>Rua Manoel Altíno de França 215 / casa Referencia: rua do Gilberto da Saúde - CEP 89515000 - centro, Lebon Régis, Santa Catarina</t>
  </si>
  <si>
    <t>Lebon Régis</t>
  </si>
  <si>
    <t>89515000</t>
  </si>
  <si>
    <t>30 de novembro | 09:34</t>
  </si>
  <si>
    <t>MEL44085555946LMXDF01</t>
  </si>
  <si>
    <t>2000009840054826</t>
  </si>
  <si>
    <t>14 de novembro de 2024 11:52 hs.</t>
  </si>
  <si>
    <t>Thiago Mauri Silva</t>
  </si>
  <si>
    <t>CPF 99420554015</t>
  </si>
  <si>
    <t>Avenida Presidente Vargas 2100, Esteio - CEP: 93260084, Rio Grande do Sul</t>
  </si>
  <si>
    <t>99420554015</t>
  </si>
  <si>
    <t>Avenida Presidente Vargas 2100 / sala 109 - Centro Comercial Esteio - CEP 93260084 - Centro, Esteio, Rio Grande do Sul</t>
  </si>
  <si>
    <t>Esteio</t>
  </si>
  <si>
    <t>93260084</t>
  </si>
  <si>
    <t>29 de novembro | 12:31</t>
  </si>
  <si>
    <t>MEL44085238069LMXDF01</t>
  </si>
  <si>
    <t>2000006632410009</t>
  </si>
  <si>
    <t>14 de novembro de 2024 11:48 hs.</t>
  </si>
  <si>
    <t>Kellim Aparecida Zanetti</t>
  </si>
  <si>
    <t>CPF 32465822896</t>
  </si>
  <si>
    <t>Rua Itália 180 180, Monte Alto - CEP: 15910000, São Paulo</t>
  </si>
  <si>
    <t>32465822896</t>
  </si>
  <si>
    <t>Rua Itália 180 / CEP 15910000 - Jardim Santana, Monte Alto, São Paulo</t>
  </si>
  <si>
    <t>Monte Alto</t>
  </si>
  <si>
    <t>15910000</t>
  </si>
  <si>
    <t>28 de novembro | 20:17</t>
  </si>
  <si>
    <t>MEL44085414128LMXDF01</t>
  </si>
  <si>
    <t>2000009839999974</t>
  </si>
  <si>
    <t>2000009840014870</t>
  </si>
  <si>
    <t>2000006632123885</t>
  </si>
  <si>
    <t>14 de novembro de 2024 11:02 hs.</t>
  </si>
  <si>
    <t>Adson Vagner de Melo</t>
  </si>
  <si>
    <t>CPF 11052474497</t>
  </si>
  <si>
    <t>Luiz Teixeira Filho 6 - rua do salao da Dany Referencia: minha casa fica na rua do salao da Dany, em frente a um poste, casa com parede de ceramica., Cajueiro - CEP: 57770000, Alagoas</t>
  </si>
  <si>
    <t>11052474497</t>
  </si>
  <si>
    <t>Luiz Teixeira Filho 6 / rua do salao da Dany Referencia: minha casa fica na rua do salao da Dany, em frente a um poste, casa com parede de ceramica. - CEP 57770000 - Sitinho, Cajueiro, Alagoas</t>
  </si>
  <si>
    <t>Cajueiro</t>
  </si>
  <si>
    <t>57770000</t>
  </si>
  <si>
    <t>1 de dezembro | 08:34</t>
  </si>
  <si>
    <t>MEL44085203768LMXDF01</t>
  </si>
  <si>
    <t>2000006632062783</t>
  </si>
  <si>
    <t>14 de novembro de 2024 10:43 hs.</t>
  </si>
  <si>
    <t>Nicolle Nathaly Oliveira Sa</t>
  </si>
  <si>
    <t>CPF 08268293500</t>
  </si>
  <si>
    <t>Centro 56 - Boneca de Luxo, Presidente Tancredo Neves - CEP: 45416000, Bahia</t>
  </si>
  <si>
    <t>08268293500</t>
  </si>
  <si>
    <t>Centro 56 / Boneca de Luxo Referencia: Boneca de luxo, ao lado da cacau show,em frente a Karlos Modas - CEP 45416000 - Rua Marechal Deodoro da Fonseca, Presidente Tancredo Neves, Bahia</t>
  </si>
  <si>
    <t>Presidente Tancredo Neves</t>
  </si>
  <si>
    <t>45416000</t>
  </si>
  <si>
    <t>30 de novembro | 20:03</t>
  </si>
  <si>
    <t>MEL44084937119LMXDF01</t>
  </si>
  <si>
    <t>2000006632030161</t>
  </si>
  <si>
    <t>14 de novembro de 2024 10:38 hs.</t>
  </si>
  <si>
    <t>JOSEFA LIMA</t>
  </si>
  <si>
    <t>CPF 59988649487</t>
  </si>
  <si>
    <t>Rua Fado 90 - RUA 1 JD IMPERIAL, Petrolina - CEP: 56313150, Pernambuco</t>
  </si>
  <si>
    <t>59988649487</t>
  </si>
  <si>
    <t>56313150</t>
  </si>
  <si>
    <t>MEL44084912999FMXDF01</t>
  </si>
  <si>
    <t>2000006631981425</t>
  </si>
  <si>
    <t>14 de novembro de 2024 10:27 hs.</t>
  </si>
  <si>
    <t>Jussara Sena da Silva Ribeiro</t>
  </si>
  <si>
    <t>CPF 00871107503</t>
  </si>
  <si>
    <t>RaimundoLopes Almeida 275 - casa, Antônio Cardoso - CEP: 44180000, Bahia</t>
  </si>
  <si>
    <t>00871107503</t>
  </si>
  <si>
    <t>RaimundoLopes Almeida 275 / casa Referencia: Próxima ao salao de Izael - CEP 44180000 - centro, Antônio Cardoso, Bahia</t>
  </si>
  <si>
    <t>Antônio Cardoso</t>
  </si>
  <si>
    <t>44180000</t>
  </si>
  <si>
    <t>30 de novembro | 09:57</t>
  </si>
  <si>
    <t>MEL44085065852LMXDF01</t>
  </si>
  <si>
    <t>2000006631924121</t>
  </si>
  <si>
    <t>14 de novembro de 2024 10:16 hs.</t>
  </si>
  <si>
    <t>Elitania Gomes de Santana</t>
  </si>
  <si>
    <t>CPF 01420581570</t>
  </si>
  <si>
    <t>AVENIDA ALAGOAS 1183, Vitória da Conquista - CEP: 45051205, Bahia</t>
  </si>
  <si>
    <t>01420581570</t>
  </si>
  <si>
    <t>AVENIDA ALAGOAS 1183 / Em frente ao Posto Policial - CEP 45051205 - Brasil, Vitória da Conquista, Bahia</t>
  </si>
  <si>
    <t>45051205</t>
  </si>
  <si>
    <t>MEL44085019738LMXDF01</t>
  </si>
  <si>
    <t>https://myaccount.mercadolivre.com.br/shipments/44085019738/detail</t>
  </si>
  <si>
    <t>2000006631810179</t>
  </si>
  <si>
    <t>14 de novembro de 2024 09:54 hs.</t>
  </si>
  <si>
    <t>Ana Carolina Correia da Silva</t>
  </si>
  <si>
    <t>CPF 06016733105</t>
  </si>
  <si>
    <t>rua jarbas justino carneiro SN - Q.44 L.13B, Três Ranchos - CEP: 75720000, Goiás</t>
  </si>
  <si>
    <t>06016733105</t>
  </si>
  <si>
    <t>rua jarbas justino carneiro SN / Q.44 L.13B - CEP 75720000 - centro, Três Ranchos, Goiás</t>
  </si>
  <si>
    <t>Três Ranchos</t>
  </si>
  <si>
    <t>75720000</t>
  </si>
  <si>
    <t>29 de novembro | 15:43</t>
  </si>
  <si>
    <t>MEL44084733499LMXDF01</t>
  </si>
  <si>
    <t>2000009838982622</t>
  </si>
  <si>
    <t>14 de novembro de 2024 09:53 hs.</t>
  </si>
  <si>
    <t>00327</t>
  </si>
  <si>
    <t>MLB3638963251</t>
  </si>
  <si>
    <t>Berberina Hcl 500mg | Autêntico C/90 Cápsulas</t>
  </si>
  <si>
    <t>Patricia de Souza Pirangi</t>
  </si>
  <si>
    <t>CPF 00509408133</t>
  </si>
  <si>
    <t>Quadra SHCES Quadra 913 Bloco J 14, Brasília - CEP: 70655020, Distrito Federal</t>
  </si>
  <si>
    <t>00509408133</t>
  </si>
  <si>
    <t>Quadra SHCES Quadra 913 Bloco J 14 / Referencia: Entregar No Restaurante Buteco Ecletico,local fica aberto até às 16 horas - CEP 70655020 - Cruzeiro Novo, Brasília, Distrito Federal</t>
  </si>
  <si>
    <t>70655020</t>
  </si>
  <si>
    <t>29 de novembro | 11:37</t>
  </si>
  <si>
    <t>MEL44084730433LMXDF01</t>
  </si>
  <si>
    <t>2000009838961078</t>
  </si>
  <si>
    <t>14 de novembro de 2024 09:52 hs.</t>
  </si>
  <si>
    <t>Thiago Vieira da Silva</t>
  </si>
  <si>
    <t>CPF 05818088782</t>
  </si>
  <si>
    <t>RUA MARICÁ SN, São João de Meriti - CEP: 25570669, Rio de Janeiro</t>
  </si>
  <si>
    <t>05818088782</t>
  </si>
  <si>
    <t>RUA MARICÁ SN / Lote 3 Quadra 39 - CEP 25570669 - Vila São João, São João de Meriti, Rio de Janeiro</t>
  </si>
  <si>
    <t>São João de Meriti</t>
  </si>
  <si>
    <t>25570669</t>
  </si>
  <si>
    <t>29 de novembro | 10:02</t>
  </si>
  <si>
    <t>MEL44084721559LMXDF01</t>
  </si>
  <si>
    <t>https://myaccount.mercadolivre.com.br/shipments/44084721559/detail</t>
  </si>
  <si>
    <t>2000009838902788</t>
  </si>
  <si>
    <t>14 de novembro de 2024 09:45 hs.</t>
  </si>
  <si>
    <t>Raquel Teixeira</t>
  </si>
  <si>
    <t>CPF 08475355927</t>
  </si>
  <si>
    <t>Rua 25 de Julho 603 - Casa, Ibirama - CEP: 89140000, Santa Catarina</t>
  </si>
  <si>
    <t>08475355927</t>
  </si>
  <si>
    <t>Rua 25 de Julho 603 / Casa - CEP 89140000 - Ibirama, Ibirama, Santa Catarina</t>
  </si>
  <si>
    <t>Ibirama</t>
  </si>
  <si>
    <t>89140000</t>
  </si>
  <si>
    <t>30 de novembro | 17:58</t>
  </si>
  <si>
    <t>MEL44084689667LMXDF01</t>
  </si>
  <si>
    <t>2000009838563718</t>
  </si>
  <si>
    <t>14 de novembro de 2024 08:56 hs.</t>
  </si>
  <si>
    <t>Cleonice de Almeida Waterman</t>
  </si>
  <si>
    <t>CPF 69337667991</t>
  </si>
  <si>
    <t>rua Castelo branco 38 - escola Badia de Fari, Navegantes - CEP: 88379899, Santa Catarina</t>
  </si>
  <si>
    <t>69337667991</t>
  </si>
  <si>
    <t>Navegantes</t>
  </si>
  <si>
    <t>88379899</t>
  </si>
  <si>
    <t>2000006631542469</t>
  </si>
  <si>
    <t>14 de novembro de 2024 08:51 hs.</t>
  </si>
  <si>
    <t>Moseline de Oliveira Coelho</t>
  </si>
  <si>
    <t>CPF 84165618772</t>
  </si>
  <si>
    <t>Avenida Carvalho 500, Miracema - CEP: 28460000, Rio de Janeiro</t>
  </si>
  <si>
    <t>84165618772</t>
  </si>
  <si>
    <t>Avenida Carvalho 500 / Referencia: Em frente a Escola Municipal Prudente de Moraes - CEP 28460000 - Miracema, Miracema, Rio de Janeiro</t>
  </si>
  <si>
    <t>Miracema</t>
  </si>
  <si>
    <t>28460000</t>
  </si>
  <si>
    <t>28 de novembro | 14:43</t>
  </si>
  <si>
    <t>MEL44084709794LMXDF01</t>
  </si>
  <si>
    <t>2000009838495772</t>
  </si>
  <si>
    <t>14 de novembro de 2024 08:45 hs.</t>
  </si>
  <si>
    <t>Hilda Aparecida Bonifacio Aparecida Bonifacio</t>
  </si>
  <si>
    <t>CPF 33035506892</t>
  </si>
  <si>
    <t>Jacira Barbara Leite 1 - mercado Anna Vitória, Natividade da Serra - CEP: 12180000, São Paulo</t>
  </si>
  <si>
    <t>33035506892</t>
  </si>
  <si>
    <t>Jacira Barbara Leite 1 / mercado Anna Vitória - CEP 12180000 - pararaca, Natividade da Serra, São Paulo</t>
  </si>
  <si>
    <t>Natividade da Serra</t>
  </si>
  <si>
    <t>12180000</t>
  </si>
  <si>
    <t>28 de novembro | 14:07</t>
  </si>
  <si>
    <t>MEL44084495037LMXDF01</t>
  </si>
  <si>
    <t>2000009838210254</t>
  </si>
  <si>
    <t>14 de novembro de 2024 07:43 hs.</t>
  </si>
  <si>
    <t>Julio Cesar Hartkoff</t>
  </si>
  <si>
    <t>CPF 33755649888</t>
  </si>
  <si>
    <t>Travessa Maria Cardoso da Silva 116 - Casa, Vargem Grande Paulista - CEP: 06733048, São Paulo</t>
  </si>
  <si>
    <t>33755649888</t>
  </si>
  <si>
    <t>Travessa Maria Cardoso da Silva 116 / Casa Referencia: Próximo a a escola Orlando ellero - CEP 06733048 - São Judas Tadeu, Vargem Grande Paulista, São Paulo</t>
  </si>
  <si>
    <t>06733048</t>
  </si>
  <si>
    <t>28 de novembro | 14:30</t>
  </si>
  <si>
    <t>MEL44084336143LMXDF01</t>
  </si>
  <si>
    <t>2000009838112188</t>
  </si>
  <si>
    <t>14 de novembro de 2024 07:17 hs.</t>
  </si>
  <si>
    <t>Isabela Freitas</t>
  </si>
  <si>
    <t>CPF 08180616690</t>
  </si>
  <si>
    <t>Rua Getúlio Vargas 237 - Casa A, Santa Cruz de Minas - CEP: 36328000, Minas Gerais</t>
  </si>
  <si>
    <t>08180616690</t>
  </si>
  <si>
    <t>Santa Cruz de Minas</t>
  </si>
  <si>
    <t>36328000</t>
  </si>
  <si>
    <t>MEL44084481250FMXDF01</t>
  </si>
  <si>
    <t>2000009838009480</t>
  </si>
  <si>
    <t>14 de novembro de 2024 06:43 hs.</t>
  </si>
  <si>
    <t>Sueli Lopes</t>
  </si>
  <si>
    <t>CPF 15716191860</t>
  </si>
  <si>
    <t>Rua Itu 19, Diadema - CEP: 09920400, São Paulo</t>
  </si>
  <si>
    <t>15716191860</t>
  </si>
  <si>
    <t>Rua Itu 19 / 54 - CEP 09920400 - Centro, Diadema, São Paulo</t>
  </si>
  <si>
    <t>09920400</t>
  </si>
  <si>
    <t>28 de novembro | 15:42</t>
  </si>
  <si>
    <t>MEL44084238741LMXDF01</t>
  </si>
  <si>
    <t>2000009837955906</t>
  </si>
  <si>
    <t>14 de novembro de 2024 06:22 hs.</t>
  </si>
  <si>
    <t>OFICINA MECANICA VARGAS LTDA</t>
  </si>
  <si>
    <t>CNPJ 03765334000144</t>
  </si>
  <si>
    <t>Rua Edgard Werneck 588 - casa115, Rio De Janeiro - CEP: 22763197, Rio de Janeiro</t>
  </si>
  <si>
    <t>Não contribuinte</t>
  </si>
  <si>
    <t>03765334000144</t>
  </si>
  <si>
    <t>Rua Edgard Werneck 588 / casa115 Referencia: Fica Perto Do Colégio Santo Antonio - CEP 22763197 - Freguesia (Jacarepaguá), Rio de Janeiro, Rio de Janeiro</t>
  </si>
  <si>
    <t>22763197</t>
  </si>
  <si>
    <t>27 de novembro | 16:26</t>
  </si>
  <si>
    <t>MEL44084409304LMXDF01</t>
  </si>
  <si>
    <t>2000009837957134</t>
  </si>
  <si>
    <t>14 de novembro de 2024 06:20 hs.</t>
  </si>
  <si>
    <t>Diogo Lima</t>
  </si>
  <si>
    <t>CPF 07460883611</t>
  </si>
  <si>
    <t>Praça Sebastião T L Lima 101, Descoberto - CEP: 36690000, Minas Gerais</t>
  </si>
  <si>
    <t>07460883611</t>
  </si>
  <si>
    <t>Praça Sebastião T L Lima 101 / CEP 36690000 - Descoberto, Descoberto, Minas Gerais</t>
  </si>
  <si>
    <t>Descoberto</t>
  </si>
  <si>
    <t>36690000</t>
  </si>
  <si>
    <t>27 de novembro | 12:18</t>
  </si>
  <si>
    <t>MEL44084211289LMXDF01</t>
  </si>
  <si>
    <t>2000006630961161</t>
  </si>
  <si>
    <t>14 de novembro de 2024 02:13 hs.</t>
  </si>
  <si>
    <t>Eron Ferreira De Medeiros</t>
  </si>
  <si>
    <t>CPF 16016005770</t>
  </si>
  <si>
    <t>Rua Fernando Antônio da Silveira 285 - AoLadoDaCasaDeRação, Vila Velha - CEP: 29118450, Espírito Santo</t>
  </si>
  <si>
    <t>16016005770</t>
  </si>
  <si>
    <t>29118450</t>
  </si>
  <si>
    <t>MEL44084030265FMXDF01</t>
  </si>
  <si>
    <t>2000009837588184</t>
  </si>
  <si>
    <t>00365</t>
  </si>
  <si>
    <t>MLB5056946042</t>
  </si>
  <si>
    <t>Laranja Moro Auxilia Na Redução De Medidas Kit 3 Und 60 Cap</t>
  </si>
  <si>
    <t>2000009837587336</t>
  </si>
  <si>
    <t>2000009836774606</t>
  </si>
  <si>
    <t>13 de novembro de 2024 23:32 hs.</t>
  </si>
  <si>
    <t>Vania Estevam</t>
  </si>
  <si>
    <t>CPF 03084316694</t>
  </si>
  <si>
    <t>Rua Osvaldo Cruz 89, Nova Era - CEP: 35920000, Minas Gerais</t>
  </si>
  <si>
    <t>03084316694</t>
  </si>
  <si>
    <t>Rua Osvaldo Cruz 89 / Referencia: Em Frente A Escola Estadual Da Vila Santa Rosa - CEP 35920000 - Morada Dos Herois, Nova Era, Minas Gerais</t>
  </si>
  <si>
    <t>Nova Era</t>
  </si>
  <si>
    <t>35920000</t>
  </si>
  <si>
    <t>27 de novembro | 01:20</t>
  </si>
  <si>
    <t>28 de novembro | 15:12</t>
  </si>
  <si>
    <t>MEL44083700025LMXDF01</t>
  </si>
  <si>
    <t>2000009836715698</t>
  </si>
  <si>
    <t>13 de novembro de 2024 23:26 hs.</t>
  </si>
  <si>
    <t>Rafael Fabri Villas Boas de Souza</t>
  </si>
  <si>
    <t>CPF 31509097830</t>
  </si>
  <si>
    <t>Rua Rubens Pereira Leite 88 - Casa, Presidente Prudente - CEP: 19026350, São Paulo</t>
  </si>
  <si>
    <t>31509097830</t>
  </si>
  <si>
    <t>Rua Rubens Pereira Leite 88 / Casa - CEP 19026350 - Jardim Maracanã, Presidente Prudente, São Paulo</t>
  </si>
  <si>
    <t>19026350</t>
  </si>
  <si>
    <t>27 de novembro | 02:56</t>
  </si>
  <si>
    <t>MEL44083681671LMXDF01</t>
  </si>
  <si>
    <t>2000006630178605</t>
  </si>
  <si>
    <t>13 de novembro de 2024 22:49 hs.</t>
  </si>
  <si>
    <t>Edivania Patricia Duarte</t>
  </si>
  <si>
    <t>CPF 03981065689</t>
  </si>
  <si>
    <t>Praça João Paulo ll 10 - Casa, Engenheiro Navarro - CEP: 39363000, Minas Gerais</t>
  </si>
  <si>
    <t>03981065689</t>
  </si>
  <si>
    <t>Praça João Paulo ll 10 / Casa Referencia: Abaixo do banco Sicoob, em frente a praça.   Procurar por Edivania filha de Ivo. - CEP 39363000 - Centro, Engenheiro Navarro, Minas Gerais</t>
  </si>
  <si>
    <t>Engenheiro Navarro</t>
  </si>
  <si>
    <t>39363000</t>
  </si>
  <si>
    <t>28 de novembro | 14:01</t>
  </si>
  <si>
    <t>MEL44083553679LMXDF01</t>
  </si>
  <si>
    <t>2000006630095343</t>
  </si>
  <si>
    <t>13 de novembro de 2024 22:33 hs.</t>
  </si>
  <si>
    <t>Izaleth Dos Santos Lopes</t>
  </si>
  <si>
    <t>CPF 14508515843</t>
  </si>
  <si>
    <t>Avenida das Bandeiras 387, Franco da Rocha - CEP: 07846030, São Paulo</t>
  </si>
  <si>
    <t>14508515843</t>
  </si>
  <si>
    <t>Avenida das Bandeiras 387 / Referencia: casa marrom - CEP 07846030 - Vila Bela, Franco da Rocha, São Paulo</t>
  </si>
  <si>
    <t>07846030</t>
  </si>
  <si>
    <t>28 de novembro | 13:58</t>
  </si>
  <si>
    <t>MEL44083495305LMXDF01</t>
  </si>
  <si>
    <t>2000009836237290</t>
  </si>
  <si>
    <t>13 de novembro de 2024 22:28 hs.</t>
  </si>
  <si>
    <t>liliane emidio oliveira</t>
  </si>
  <si>
    <t>CPF 32327213894</t>
  </si>
  <si>
    <t>TR lomanto junior 30, Piripá - CEP: 46270000, Bahia</t>
  </si>
  <si>
    <t>32327213894</t>
  </si>
  <si>
    <t>TR lomanto junior 30 / Referencia: Ao lado do salão de beleza da Rê, muro vermelho com portão de garagem branco - CEP 46270000 - Centro, Piripá, Bahia</t>
  </si>
  <si>
    <t>Piripá</t>
  </si>
  <si>
    <t>46270000</t>
  </si>
  <si>
    <t>30 de novembro | 10:44</t>
  </si>
  <si>
    <t>MEL44083477305LMXDF01</t>
  </si>
  <si>
    <t>2000006629943321</t>
  </si>
  <si>
    <t>13 de novembro de 2024 22:07 hs.</t>
  </si>
  <si>
    <t>Juliana da Silva Goulart</t>
  </si>
  <si>
    <t>CPF 95812512191</t>
  </si>
  <si>
    <t>Rua Pará SN - JJ Madeiras, Campo Verde - CEP: 78844000, Mato Grosso</t>
  </si>
  <si>
    <t>95812512191</t>
  </si>
  <si>
    <t>Rua Pará SN / JJ Madeiras Referencia: Endereço comercial, entregar das 08hs as 11hs e 13hs as 17hs. - CEP 78844000 - São Lourenço, Campo Verde, Mato Grosso</t>
  </si>
  <si>
    <t>Campo Verde</t>
  </si>
  <si>
    <t>78844000</t>
  </si>
  <si>
    <t>3 de dezembro | 13:22</t>
  </si>
  <si>
    <t>MEL44083586008LMXDF01</t>
  </si>
  <si>
    <t>2000009836029966</t>
  </si>
  <si>
    <t>2000009836031952</t>
  </si>
  <si>
    <t>2000006629741863</t>
  </si>
  <si>
    <t>13 de novembro de 2024 21:35 hs.</t>
  </si>
  <si>
    <t>Luciano Mello da Silva</t>
  </si>
  <si>
    <t>CPF 79079857068</t>
  </si>
  <si>
    <t>RUA ROSA POLIDORO SOGARI 20, São Marcos - CEP: 95190000, Rio Grande do Sul</t>
  </si>
  <si>
    <t>79079857068</t>
  </si>
  <si>
    <t>RUA ROSA POLIDORO SOGARI 20 / CEP 95190000 - Polo, São Marcos, Rio Grande do Sul</t>
  </si>
  <si>
    <t>São Marcos</t>
  </si>
  <si>
    <t>95190000</t>
  </si>
  <si>
    <t>2 de dezembro | 13:55</t>
  </si>
  <si>
    <t>MEL44083262503LMXDF01</t>
  </si>
  <si>
    <t>https://myaccount.mercadolivre.com.br/shipments/44083262503/detail</t>
  </si>
  <si>
    <t>2000009835689782</t>
  </si>
  <si>
    <t>13 de novembro de 2024 21:31 hs.</t>
  </si>
  <si>
    <t>joaquim jose Câmara maracondes</t>
  </si>
  <si>
    <t>CPF 04402624886</t>
  </si>
  <si>
    <t>Rua Voluntários da Pátria 4236, São Paulo - CEP: 02402600, São Paulo</t>
  </si>
  <si>
    <t>04402624886</t>
  </si>
  <si>
    <t>Rua Voluntários da Pátria 4236 / Referencia: Stop Auto - CEP 02402600 - Santana, São Paulo, São Paulo</t>
  </si>
  <si>
    <t>02402600</t>
  </si>
  <si>
    <t>28 de novembro | 12:58</t>
  </si>
  <si>
    <t>MEL44083438602LMXDF01</t>
  </si>
  <si>
    <t>2000006629570983</t>
  </si>
  <si>
    <t>13 de novembro de 2024 21:08 hs.</t>
  </si>
  <si>
    <t>Fabiola Silverio</t>
  </si>
  <si>
    <t>CPF 00918324629</t>
  </si>
  <si>
    <t>Rua Major Bento Gomes da Luz 50, Alfenas - CEP: 37130047, Minas Gerais</t>
  </si>
  <si>
    <t>00918324629</t>
  </si>
  <si>
    <t>Rua Major Bento Gomes da Luz 50 / CEP 37130047 - Centro, Alfenas, Minas Gerais</t>
  </si>
  <si>
    <t>Alfenas</t>
  </si>
  <si>
    <t>37130047</t>
  </si>
  <si>
    <t>27 de novembro | 16:20</t>
  </si>
  <si>
    <t>MEL44083145135LMXDF01</t>
  </si>
  <si>
    <t>2000006629571301</t>
  </si>
  <si>
    <t>13 de novembro de 2024 21:03 hs.</t>
  </si>
  <si>
    <t>Vanessa Fagundes Monteiro</t>
  </si>
  <si>
    <t>CPF 35626521860</t>
  </si>
  <si>
    <t>Rua Doutor João Batista de Miranta Alves 25 25, Lorena - CEP: 12608430, São Paulo</t>
  </si>
  <si>
    <t>35626521860</t>
  </si>
  <si>
    <t>RUA DOM BOSCO 131 / Loja Tprint Cartucho - CEP 12600100 - Centro, Lorena, São Paulo</t>
  </si>
  <si>
    <t>Lorena</t>
  </si>
  <si>
    <t>12600100</t>
  </si>
  <si>
    <t>28 de novembro | 17:38</t>
  </si>
  <si>
    <t>MEL44083319930LMXDF01</t>
  </si>
  <si>
    <t>https://myaccount.mercadolivre.com.br/shipments/44083319930/detail</t>
  </si>
  <si>
    <t>2000009812962498</t>
  </si>
  <si>
    <t>13 de novembro de 2024 21:00 hs.</t>
  </si>
  <si>
    <t>Marinalva Geraldo da Silva</t>
  </si>
  <si>
    <t>CPF 02116872430</t>
  </si>
  <si>
    <t>Avenida Antônio Mariz 150 - casa, Mamanguape - CEP: 58280000, Paraíba</t>
  </si>
  <si>
    <t>02116872430</t>
  </si>
  <si>
    <t>Avenida Antônio Mariz 150 / casa - CEP 58280000 - Planalto, Mamanguape, Paraíba</t>
  </si>
  <si>
    <t>Mamanguape</t>
  </si>
  <si>
    <t>58280000</t>
  </si>
  <si>
    <t>26 de novembro | 05:56</t>
  </si>
  <si>
    <t>30 de novembro | 14:14</t>
  </si>
  <si>
    <t>MEL44073008730LMXDF01</t>
  </si>
  <si>
    <t>2000009835268434</t>
  </si>
  <si>
    <t>13 de novembro de 2024 20:46 hs.</t>
  </si>
  <si>
    <t>Higor de Avila Martins</t>
  </si>
  <si>
    <t>CPF 12813868639</t>
  </si>
  <si>
    <t>Rua Mestre Pedro 773 - Loja, Betim - CEP: 32600036, Minas Gerais</t>
  </si>
  <si>
    <t>12813868639</t>
  </si>
  <si>
    <t>32600036</t>
  </si>
  <si>
    <t>MEL44083052755FMXDF01</t>
  </si>
  <si>
    <t>2000009835207802</t>
  </si>
  <si>
    <t>13 de novembro de 2024 20:41 hs.</t>
  </si>
  <si>
    <t>Eneida Regina de Almeida Marques</t>
  </si>
  <si>
    <t>CPF 08280609830</t>
  </si>
  <si>
    <t>Rua Maria Leonete da Silva Nóbrega 39, São Paulo - CEP: 05454010, São Paulo</t>
  </si>
  <si>
    <t>08280609830</t>
  </si>
  <si>
    <t>Rua Maria Leonete da Silva Nóbrega 39 / CEP 05454010 - Vila Ida, São Paulo, São Paulo</t>
  </si>
  <si>
    <t>05454010</t>
  </si>
  <si>
    <t>23 de novembro | 04:27</t>
  </si>
  <si>
    <t>24 de novembro | 15:41</t>
  </si>
  <si>
    <t>MEL44083226372LMXDF01</t>
  </si>
  <si>
    <t>2000009834976566</t>
  </si>
  <si>
    <t>13 de novembro de 2024 20:40 hs.</t>
  </si>
  <si>
    <t>Edson Teixeira Dos Santos</t>
  </si>
  <si>
    <t>CPF 28832003864</t>
  </si>
  <si>
    <t>Rua Maria Amália Lopes Azevedo 3530 - casa, São Paulo - CEP: 02350002, São Paulo</t>
  </si>
  <si>
    <t>28832003864</t>
  </si>
  <si>
    <t>Rua Maria Amália Lopes Azevedo 3530 / casa Referencia: casa 1 - CEP 02350002 - Vila Albertina, São Paulo, São Paulo</t>
  </si>
  <si>
    <t>02350002</t>
  </si>
  <si>
    <t>24 de novembro | 10:14</t>
  </si>
  <si>
    <t>MEL44083118166LMXDF01</t>
  </si>
  <si>
    <t>2000009835118402</t>
  </si>
  <si>
    <t>13 de novembro de 2024 20:34 hs.</t>
  </si>
  <si>
    <t>Cibele Gabriel Rizzo</t>
  </si>
  <si>
    <t>CPF 11525608835</t>
  </si>
  <si>
    <t>Rua Pereira Barreto 110 - Casa, Piracicaba - CEP: 13425825, São Paulo</t>
  </si>
  <si>
    <t>11525608835</t>
  </si>
  <si>
    <t>Rua Pereira Barreto 110 / Casa Referencia: Próximo avicultura pixoxó e área de lazer do Sol Nascente - CEP 13425825 - Residencial Itaporanga, Piracicaba, São Paulo</t>
  </si>
  <si>
    <t>13425825</t>
  </si>
  <si>
    <t>23 de novembro | 04:56</t>
  </si>
  <si>
    <t>24 de novembro | 10:24</t>
  </si>
  <si>
    <t>MEL44083181558LMXDF01</t>
  </si>
  <si>
    <t>2000006629326249</t>
  </si>
  <si>
    <t>13 de novembro de 2024 20:23 hs.</t>
  </si>
  <si>
    <t>Geraldo Lucas Pereira</t>
  </si>
  <si>
    <t>CPF 17712408653</t>
  </si>
  <si>
    <t>Rua Pedro Henrique Pereira de Carvalho 291 - Casa, Lagoa Santa - CEP: 33230244, Minas Gerais</t>
  </si>
  <si>
    <t>17712408653</t>
  </si>
  <si>
    <t>Rua Pedro Henrique Pereira de Carvalho 291 / Casa - CEP 33230244 - Sobradinho, Lagoa Santa, Minas Gerais</t>
  </si>
  <si>
    <t>Lagoa Santa</t>
  </si>
  <si>
    <t>33230244</t>
  </si>
  <si>
    <t>23 de novembro | 01:18</t>
  </si>
  <si>
    <t>23 de novembro | 19:04</t>
  </si>
  <si>
    <t>MEL44083144354LMXDF01</t>
  </si>
  <si>
    <t>2000006629205207</t>
  </si>
  <si>
    <t>13 de novembro de 2024 20:01 hs.</t>
  </si>
  <si>
    <t>Fernanda Leite Medeiros Silva</t>
  </si>
  <si>
    <t>CPF 18769582866</t>
  </si>
  <si>
    <t>rua azaleias 227 - Caixa postal 52, Joanópolis - CEP: 12980000, São Paulo</t>
  </si>
  <si>
    <t>18769582866</t>
  </si>
  <si>
    <t>rua azaleias 227 / Caixa postal 52 Referencia: Caixa postal 52 - CEP 12980000 - PORTO DANALIS, Joanópolis, São Paulo</t>
  </si>
  <si>
    <t>Joanópolis</t>
  </si>
  <si>
    <t>12980000</t>
  </si>
  <si>
    <t>23 de novembro | 04:49</t>
  </si>
  <si>
    <t>24 de novembro | 12:37</t>
  </si>
  <si>
    <t>MEL44082860471LMXDF01</t>
  </si>
  <si>
    <t>2000009834442312</t>
  </si>
  <si>
    <t>13 de novembro de 2024 19:22 hs.</t>
  </si>
  <si>
    <t>Chegou em 15 de novembro</t>
  </si>
  <si>
    <t>Zackson Pessoa</t>
  </si>
  <si>
    <t>CPF 13383555704</t>
  </si>
  <si>
    <t>RUA SANTOS ANDRADE  - 29 DE MARCO. 23, Rio de Janeiro - CEP: 23580250, Rio de Janeiro</t>
  </si>
  <si>
    <t>13383555704</t>
  </si>
  <si>
    <t>RUA SANTOS ANDRADE  - 29 DE MARCO. 23 / Referencia: chamar por Jéssica, Zacarias, ou Seu Manoel, - CEP 23580250 - Paciência, Rio de Janeiro, Rio de Janeiro</t>
  </si>
  <si>
    <t>23580250</t>
  </si>
  <si>
    <t>15 de novembro | 00:49</t>
  </si>
  <si>
    <t>15 de novembro | 12:48</t>
  </si>
  <si>
    <t>MEL44082688321LMXDF01</t>
  </si>
  <si>
    <t>2000009833858772</t>
  </si>
  <si>
    <t>13 de novembro de 2024 18:19 hs.</t>
  </si>
  <si>
    <t>Luzenir Santos de Oliveira</t>
  </si>
  <si>
    <t>CPF 01668239108</t>
  </si>
  <si>
    <t>Avenida Juscelino Kubitschek de Oliveira SN - Policlina Posse-go, Posse - CEP: 73904015, Goiás</t>
  </si>
  <si>
    <t>01668239108</t>
  </si>
  <si>
    <t>Avenida Juscelino Kubitschek de Oliveira SN / Policlina Posse-go Referencia: Policlinica, posse go próximo a loja Rome center Rezende - CEP 73904015 - Mãe Bela, Posse, Goiás</t>
  </si>
  <si>
    <t>73904015</t>
  </si>
  <si>
    <t>26 de novembro | 17:17</t>
  </si>
  <si>
    <t>MEL44082427509LMXDF01</t>
  </si>
  <si>
    <t>2000009833852056</t>
  </si>
  <si>
    <t>13 de novembro de 2024 18:18 hs.</t>
  </si>
  <si>
    <t>Magali Viana</t>
  </si>
  <si>
    <t>CPF 86899996715</t>
  </si>
  <si>
    <t>Rua Budapeste 123 - casa, Rio de Janeiro - CEP: 21911300, Rio de Janeiro</t>
  </si>
  <si>
    <t>86899996715</t>
  </si>
  <si>
    <t>Rua Budapeste 123 / casa Referencia: Após praça dos Bancários, entrar rua Tremembé direita - CEP 21911300 - Freguesia (Ilha do Governador), Rio de Janeiro, Rio de Janeiro</t>
  </si>
  <si>
    <t>21911300</t>
  </si>
  <si>
    <t>22 de novembro | 23:35</t>
  </si>
  <si>
    <t>23 de novembro | 18:46</t>
  </si>
  <si>
    <t>MEL44082421689LMXDF01</t>
  </si>
  <si>
    <t>2000009833831544</t>
  </si>
  <si>
    <t>13 de novembro de 2024 18:17 hs.</t>
  </si>
  <si>
    <t>Helio Savini</t>
  </si>
  <si>
    <t>CPF 47350075804</t>
  </si>
  <si>
    <t>Rua Dom Assis 73, Pouso Alegre - CEP: 37550022, Minas Gerais</t>
  </si>
  <si>
    <t>47350075804</t>
  </si>
  <si>
    <t>Rua Dom Assis 73 / Referencia: casa número 73 , entregar na sapataria - CEP 37550022 - Centro, Pouso Alegre, Minas Gerais</t>
  </si>
  <si>
    <t>Pouso Alegre</t>
  </si>
  <si>
    <t>37550022</t>
  </si>
  <si>
    <t>23 de novembro | 02:52</t>
  </si>
  <si>
    <t>25 de novembro | 12:05</t>
  </si>
  <si>
    <t>MEL44082614974LMXDF01</t>
  </si>
  <si>
    <t>2000009833373650</t>
  </si>
  <si>
    <t>13 de novembro de 2024 17:30 hs.</t>
  </si>
  <si>
    <t>Alzira Fourny Marinhos Fourny</t>
  </si>
  <si>
    <t>CPF 31216579768</t>
  </si>
  <si>
    <t>Rua do Avestruz 300 - casa, Rio de Janeiro - CEP: 23075310, Rio de Janeiro</t>
  </si>
  <si>
    <t>31216579768</t>
  </si>
  <si>
    <t>Rua do Avestruz 300 / casa Referencia: em frente a praça
ao lado da Igreja Batista - CEP 23075310 - Campo Grande, Rio de Janeiro, Rio de Janeiro</t>
  </si>
  <si>
    <t>23075310</t>
  </si>
  <si>
    <t>23 de novembro | 00:52</t>
  </si>
  <si>
    <t>23 de novembro | 13:18</t>
  </si>
  <si>
    <t>MEL44082204891LMXDF01</t>
  </si>
  <si>
    <t>2000009832653380</t>
  </si>
  <si>
    <t>13 de novembro de 2024 16:14 hs.</t>
  </si>
  <si>
    <t>Monica Moura De Sa Silveira</t>
  </si>
  <si>
    <t>CPF 86352512291</t>
  </si>
  <si>
    <t>Rua Cunha Vasconcelos 1448 - casa, Sena Madureira - CEP: 69940000, Acre</t>
  </si>
  <si>
    <t>86352512291</t>
  </si>
  <si>
    <t>Rua Cunha Vasconcelos 1448 / casa Referencia: próximo a escola Guttemberg Modesto da Costa - CEP 69940000 - CSU, Sena Madureira, Acre</t>
  </si>
  <si>
    <t>Sena Madureira</t>
  </si>
  <si>
    <t>69940000</t>
  </si>
  <si>
    <t>23 de novembro | 02:53</t>
  </si>
  <si>
    <t>28 de novembro | 15:39</t>
  </si>
  <si>
    <t>MEL44082025596LMXDF01</t>
  </si>
  <si>
    <t>2000009832540378</t>
  </si>
  <si>
    <t>13 de novembro de 2024 16:01 hs.</t>
  </si>
  <si>
    <t>LEONARDO OLIVEIRA</t>
  </si>
  <si>
    <t>CPF 09799038740</t>
  </si>
  <si>
    <t>Avenida Paiva 710 - apto 904 bloco 2, São Gonçalo - CEP: 24426148, Rio de Janeiro</t>
  </si>
  <si>
    <t>09799038740</t>
  </si>
  <si>
    <t>Avenida Paiva 710 / apto 904 bloco 2 Referencia: ao lado da br101 - CEP 24426148 - Neves (Neves), São Gonçalo, Rio de Janeiro</t>
  </si>
  <si>
    <t>24426148</t>
  </si>
  <si>
    <t>23 de novembro | 00:16</t>
  </si>
  <si>
    <t>23 de novembro | 14:12</t>
  </si>
  <si>
    <t>MEL44081770027LMXDF01</t>
  </si>
  <si>
    <t>2000006627701293</t>
  </si>
  <si>
    <t>13 de novembro de 2024 15:48 hs.</t>
  </si>
  <si>
    <t>Eduardo Jorge Nascimento</t>
  </si>
  <si>
    <t>CPF 45918167889</t>
  </si>
  <si>
    <t>Rua Poeta Manuel Bandeira 29 - Casa 3, Guarujá - CEP: 11497520, São Paulo</t>
  </si>
  <si>
    <t>45918167889</t>
  </si>
  <si>
    <t>Rua Poeta Manuel Bandeira 29 / Casa 3 - CEP 11497520 - Jardim Brasil II, Guarujá, São Paulo</t>
  </si>
  <si>
    <t>11497520</t>
  </si>
  <si>
    <t>MEL44081704043LMXDF01</t>
  </si>
  <si>
    <t>2000009832380512</t>
  </si>
  <si>
    <t>13 de novembro de 2024 15:46 hs.</t>
  </si>
  <si>
    <t>Adao Carvalho Pires</t>
  </si>
  <si>
    <t>CPF 27501612153</t>
  </si>
  <si>
    <t>Rua Joaquim Murtinho 285, Cuiabá - CEP: 78005290, Mato Grosso</t>
  </si>
  <si>
    <t>27501612153</t>
  </si>
  <si>
    <t>Rua Joaquim Murtinho 285 / C - CEP 78005290 - Centro-Norte, Cuiabá, Mato Grosso</t>
  </si>
  <si>
    <t>78005290</t>
  </si>
  <si>
    <t>27 de novembro | 10:42</t>
  </si>
  <si>
    <t>MEL44081889190LMXDF01</t>
  </si>
  <si>
    <t>2000009832124232</t>
  </si>
  <si>
    <t>13 de novembro de 2024 15:20 hs.</t>
  </si>
  <si>
    <t>Francisco Rikardson Pereira de Brito</t>
  </si>
  <si>
    <t>CPF 28725974840</t>
  </si>
  <si>
    <t>Avenida Getúlio Vargas 17, Ipubi - CEP: 56260000, Pernambuco</t>
  </si>
  <si>
    <t>28725974840</t>
  </si>
  <si>
    <t>Avenida Getúlio Vargas 17 / CEP 56260000 - centro, Ipubi, Pernambuco</t>
  </si>
  <si>
    <t>Ipubi</t>
  </si>
  <si>
    <t>56260000</t>
  </si>
  <si>
    <t>27 de novembro | 16:07</t>
  </si>
  <si>
    <t>MEL44081762424LMXDF01</t>
  </si>
  <si>
    <t>2000009832077902</t>
  </si>
  <si>
    <t>13 de novembro de 2024 15:17 hs.</t>
  </si>
  <si>
    <t>Guilhermy Deveza</t>
  </si>
  <si>
    <t>CPF 20163288780</t>
  </si>
  <si>
    <t>Avenida Brasil 55410 - ABC PNEUS, Rio De Janeiro - CEP: 23575202, Rio de Janeiro</t>
  </si>
  <si>
    <t>20163288780</t>
  </si>
  <si>
    <t>Avenida Brasil 55410 / ABC PNEUS Referencia: Loja de manutenção veicular, ao lado de um posto de gasolina - CEP 23575202 - Paciência, Rio de Janeiro, Rio de Janeiro</t>
  </si>
  <si>
    <t>23575202</t>
  </si>
  <si>
    <t>23 de novembro | 11:28</t>
  </si>
  <si>
    <t>MEL44081748194LMXDF01</t>
  </si>
  <si>
    <t>2000009832057000</t>
  </si>
  <si>
    <t>13 de novembro de 2024 15:13 hs.</t>
  </si>
  <si>
    <t>Manoel Messias de Jesus Viana</t>
  </si>
  <si>
    <t>CPF 00161146554</t>
  </si>
  <si>
    <t>Rua Da Farinheira Bairro São Pedro 448, Vereda - CEP: 45955000, Bahia</t>
  </si>
  <si>
    <t>00161146554</t>
  </si>
  <si>
    <t>Rua Da Farinheira Bairro São Pedro 448 / Referencia: Casa - CEP 45955000 - Vereda, Vereda, Bahia</t>
  </si>
  <si>
    <t>Vereda</t>
  </si>
  <si>
    <t>45955000</t>
  </si>
  <si>
    <t>23 de novembro | 05:20</t>
  </si>
  <si>
    <t>26 de novembro | 15:02</t>
  </si>
  <si>
    <t>MEL44081733368LMXDF01</t>
  </si>
  <si>
    <t>2000009831990080</t>
  </si>
  <si>
    <t>13 de novembro de 2024 15:07 hs.</t>
  </si>
  <si>
    <t>Rosangela Mendes Barbosa Machado</t>
  </si>
  <si>
    <t>CPF 96614706187</t>
  </si>
  <si>
    <t>Avenida Otaviano dos Santos 1723, Iguatemi - CEP: 79960000, Mato Grosso do Sul</t>
  </si>
  <si>
    <t>96614706187</t>
  </si>
  <si>
    <t>Avenida Otaviano dos Santos 1723 / CEP 79960000 - vila Rosa, Iguatemi, Mato Grosso do Sul</t>
  </si>
  <si>
    <t>Iguatemi</t>
  </si>
  <si>
    <t>79960000</t>
  </si>
  <si>
    <t>23 de novembro | 05:12</t>
  </si>
  <si>
    <t>26 de novembro | 14:49</t>
  </si>
  <si>
    <t>MEL44081701000LMXDF01</t>
  </si>
  <si>
    <t>2000006627346905</t>
  </si>
  <si>
    <t>13 de novembro de 2024 14:55 hs.</t>
  </si>
  <si>
    <t>Muriel Fernanda da Silva</t>
  </si>
  <si>
    <t>CPF 16715485828</t>
  </si>
  <si>
    <t>Rua Serafim Henrique Matos 893, Bonfim Paulista - CEP: 14110000, São Paulo</t>
  </si>
  <si>
    <t>16715485828</t>
  </si>
  <si>
    <t>Rua Serafim Henrique Matos 893 / Referencia: Ao lado do Gaturamo Mat. Construção - CEP 14110000 - Centro, Bonfim Paulista, São Paulo</t>
  </si>
  <si>
    <t>Bonfim Paulista</t>
  </si>
  <si>
    <t>14110000</t>
  </si>
  <si>
    <t>25 de novembro | 10:58</t>
  </si>
  <si>
    <t>MEL44081444969LMXDF01</t>
  </si>
  <si>
    <t>2000009831847432</t>
  </si>
  <si>
    <t>13 de novembro de 2024 14:54 hs.</t>
  </si>
  <si>
    <t>Ivone Vaz</t>
  </si>
  <si>
    <t>CPF 04245366923</t>
  </si>
  <si>
    <t>Rua São Benedito 463, Fazenda Rio Grande - CEP: 83829100, Paraná</t>
  </si>
  <si>
    <t>04245366923</t>
  </si>
  <si>
    <t>Rua São Benedito 463 / Referencia: Bar do João - CEP 83829100 - Santa Terezinha, Fazenda Rio Grande, Paraná</t>
  </si>
  <si>
    <t>83829100</t>
  </si>
  <si>
    <t>24 de novembro | 09:43</t>
  </si>
  <si>
    <t>MEL44081639108LMXDF01</t>
  </si>
  <si>
    <t>2000009831812928</t>
  </si>
  <si>
    <t>13 de novembro de 2024 14:50 hs.</t>
  </si>
  <si>
    <t>marcela l assuncao</t>
  </si>
  <si>
    <t>CPF 05054757660</t>
  </si>
  <si>
    <t>Rua Maracaju 19, Belo Horizonte - CEP: 30431350, Minas Gerais</t>
  </si>
  <si>
    <t>05054757660</t>
  </si>
  <si>
    <t>Rua Maracaju 19 / 802 - CEP 30431350 - Nova Granada, Belo Horizonte, Minas Gerais</t>
  </si>
  <si>
    <t>30431350</t>
  </si>
  <si>
    <t>23 de novembro | 01:51</t>
  </si>
  <si>
    <t>24 de novembro | 15:39</t>
  </si>
  <si>
    <t>MEL44081423951LMXDF01</t>
  </si>
  <si>
    <t>2000009831754500</t>
  </si>
  <si>
    <t>13 de novembro de 2024 14:48 hs.</t>
  </si>
  <si>
    <t>Joao Daniel Nodari</t>
  </si>
  <si>
    <t>CPF 01256066990</t>
  </si>
  <si>
    <t>Rua Piauí 2657, Medianeira - CEP: 85720206, Paraná</t>
  </si>
  <si>
    <t>01256066990</t>
  </si>
  <si>
    <t>Rua Piauí 2657 / CEP 85720206 - Cidade Alta, Medianeira, Paraná</t>
  </si>
  <si>
    <t>Medianeira</t>
  </si>
  <si>
    <t>85720206</t>
  </si>
  <si>
    <t>25 de novembro | 12:06</t>
  </si>
  <si>
    <t>MEL44081592234LMXDF01</t>
  </si>
  <si>
    <t>2000009831661738</t>
  </si>
  <si>
    <t>13 de novembro de 2024 14:37 hs.</t>
  </si>
  <si>
    <t>Adriana Souza Vera</t>
  </si>
  <si>
    <t>CPF 85054836268</t>
  </si>
  <si>
    <t>Avenida Tiradentes 59, Marabá - CEP: 68501220, Pará</t>
  </si>
  <si>
    <t>85054836268</t>
  </si>
  <si>
    <t>Avenida Tiradentes 59 / CEP 68501220 - Independência, Marabá, Pará</t>
  </si>
  <si>
    <t>Marabá</t>
  </si>
  <si>
    <t>68501220</t>
  </si>
  <si>
    <t>28 de novembro | 11:29</t>
  </si>
  <si>
    <t>MEL44081556442LMXDF01</t>
  </si>
  <si>
    <t>2000009830789940</t>
  </si>
  <si>
    <t>13 de novembro de 2024 13:15 hs.</t>
  </si>
  <si>
    <t>Manuela Ferreira Barbosa</t>
  </si>
  <si>
    <t>CPF 05010884402</t>
  </si>
  <si>
    <t>Rua Antônio Ferreira 48 - Cond Resid Vila Real, Paulista - CEP: 53407780, Pernambuco</t>
  </si>
  <si>
    <t>05010884402</t>
  </si>
  <si>
    <t>Rua Antônio Ferreira 48 / Cond Resid Vila Real Referencia: Bloco 8 B apartamento 005 
Na subida da Mirueira 
Antigo Campo de Rivaldo - CEP 53407780 - Jardim Paulista, Paulista, Pernambuco</t>
  </si>
  <si>
    <t>53407780</t>
  </si>
  <si>
    <t>28 de novembro | 19:22</t>
  </si>
  <si>
    <t>ML44080965009135551</t>
  </si>
  <si>
    <t>https://www.loggi.com/rastreador/3762947aef/ML44080965009135551</t>
  </si>
  <si>
    <t>2000009830710380</t>
  </si>
  <si>
    <t>13 de novembro de 2024 13:04 hs.</t>
  </si>
  <si>
    <t>Viviane Vieira Pereira Cerqueira</t>
  </si>
  <si>
    <t>CPF 05610557771</t>
  </si>
  <si>
    <t>Rua Joaquim Máximo Soares 1166, Nilópolis - CEP: 26515367, Rio de Janeiro</t>
  </si>
  <si>
    <t>05610557771</t>
  </si>
  <si>
    <t>Rua Joaquim Máximo Soares 1166 / Referencia: Rua ao lado da igreja São Sebastião - CEP 26515367 - Cabral, Nilópolis, Rio de Janeiro</t>
  </si>
  <si>
    <t>Nilópolis</t>
  </si>
  <si>
    <t>26515367</t>
  </si>
  <si>
    <t>23 de novembro | 00:47</t>
  </si>
  <si>
    <t>23 de novembro | 13:55</t>
  </si>
  <si>
    <t>MEL44081116060LMXDF01</t>
  </si>
  <si>
    <t>2000006626472359</t>
  </si>
  <si>
    <t>13 de novembro de 2024 12:39 hs.</t>
  </si>
  <si>
    <t>Wesley Douglas Rodrigues</t>
  </si>
  <si>
    <t>CPF 04908814163</t>
  </si>
  <si>
    <t>Quadra AR 18 Conjunto 3 29, Brasília - CEP: 73065183, Distrito Federal</t>
  </si>
  <si>
    <t>04908814163</t>
  </si>
  <si>
    <t>Quadra AR 18 Conjunto 3 29 / Referencia: setor oeste sobradinho 2 - CEP 73065183 - Setor Oeste (Sobradinho II), Brasília, Distrito Federal</t>
  </si>
  <si>
    <t>73065183</t>
  </si>
  <si>
    <t>25 de novembro | 12:54</t>
  </si>
  <si>
    <t>MEL44080991846LMXDF01</t>
  </si>
  <si>
    <t>2000006626263139</t>
  </si>
  <si>
    <t>13 de novembro de 2024 12:03 hs.</t>
  </si>
  <si>
    <t>Emerson Thome Heydt</t>
  </si>
  <si>
    <t>CPF 33851557204</t>
  </si>
  <si>
    <t>Rua Quintino Bocaiúva 142, Pau dos Ferros - CEP: 59900000, Rio Grande do Norte</t>
  </si>
  <si>
    <t>33851557204</t>
  </si>
  <si>
    <t>Rua Quintino Bocaiúva 142 / apt.03 Referencia: em cima da Loja Lidiane Lingerie ligar para 55 99625 3559 ou 55 99106 3568 - CEP 59900000 - Pau dos Ferros, Pau dos Ferros, Rio Grande do Norte</t>
  </si>
  <si>
    <t>Pau dos Ferros</t>
  </si>
  <si>
    <t>59900000</t>
  </si>
  <si>
    <t>27 de novembro | 19:09</t>
  </si>
  <si>
    <t>MEL44080635113LMXDF01</t>
  </si>
  <si>
    <t>2000006626106609</t>
  </si>
  <si>
    <t>13 de novembro de 2024 11:39 hs.</t>
  </si>
  <si>
    <t>Leandra Alcântara</t>
  </si>
  <si>
    <t>CPF 36458417845</t>
  </si>
  <si>
    <t>Rua Aristides Pacheco 179 - casa, Monte Mor - CEP: 13198286, São Paulo</t>
  </si>
  <si>
    <t>36458417845</t>
  </si>
  <si>
    <t>Rua Aristides Pacheco 179 / casa Referencia: Antiga 11 / Ultima rua que divide o bairro Campos Dourados e Jd Paulista, casa próximo a esquina. - CEP 13198286 - Jardim Campos Dourados, Monte Mor, São Paulo</t>
  </si>
  <si>
    <t>13198286</t>
  </si>
  <si>
    <t>23 de novembro | 04:50</t>
  </si>
  <si>
    <t>24 de novembro | 16:12</t>
  </si>
  <si>
    <t>MEL44080714268LMXDF01</t>
  </si>
  <si>
    <t>2000009829642366</t>
  </si>
  <si>
    <t>13 de novembro de 2024 11:21 hs.</t>
  </si>
  <si>
    <t>Naiza Brenna</t>
  </si>
  <si>
    <t>CPF 02387160231</t>
  </si>
  <si>
    <t>Avenida avenida magalhaes barata 280, Tomé-Açu - CEP: 68680000, Pará</t>
  </si>
  <si>
    <t>02387160231</t>
  </si>
  <si>
    <t>Avenida Magalhães Barata 280 / CEP 68680000 - pedreira, Tomé-Açu, Pará</t>
  </si>
  <si>
    <t>Tomé-Açu</t>
  </si>
  <si>
    <t>68680000</t>
  </si>
  <si>
    <t>28 de novembro | 14:18</t>
  </si>
  <si>
    <t>MEL44080623978LMXDF01</t>
  </si>
  <si>
    <t>2000009829481696</t>
  </si>
  <si>
    <t>13 de novembro de 2024 11:07 hs.</t>
  </si>
  <si>
    <t>JOSANE Rogerio Tavares Pedra Fonseca</t>
  </si>
  <si>
    <t>CPF 99080133787</t>
  </si>
  <si>
    <t>Rua Alcides Vieira Maciel 60 - Casa, Campos dos Goytacazes - CEP: 28085130, Rio de Janeiro</t>
  </si>
  <si>
    <t>99080133787</t>
  </si>
  <si>
    <t>Rua Alcides Vieira Maciel 60 / Casa Referencia: Rua Alcides Vieira Maciel 60 - CEP 28085130 - Custodópolis, Campos dos Goytacazes, Rio de Janeiro</t>
  </si>
  <si>
    <t>28085130</t>
  </si>
  <si>
    <t>23 de novembro | 00:22</t>
  </si>
  <si>
    <t>23 de novembro | 15:05</t>
  </si>
  <si>
    <t>MEL44080560082LMXDF01</t>
  </si>
  <si>
    <t>2000009829325676</t>
  </si>
  <si>
    <t>13 de novembro de 2024 10:51 hs.</t>
  </si>
  <si>
    <t>CLODOALDO PORTIS DA CUNHA</t>
  </si>
  <si>
    <t>CPF 01917709730</t>
  </si>
  <si>
    <t>AVENIDA CESÁRIO DE MELO 9765, Rio de Janeiro - CEP: 23585125, Rio de Janeiro</t>
  </si>
  <si>
    <t>01917709730</t>
  </si>
  <si>
    <t>AVENIDA CESÁRIO DE MELO 9765 / CEP 23585125 - Paciência, Rio de Janeiro, Rio de Janeiro</t>
  </si>
  <si>
    <t>23585125</t>
  </si>
  <si>
    <t>25 de novembro | 15:41</t>
  </si>
  <si>
    <t>MEL44080287661LMXDF01</t>
  </si>
  <si>
    <t>https://myaccount.mercadolivre.com.br/shipments/44080287661/detail</t>
  </si>
  <si>
    <t>2000006625775287</t>
  </si>
  <si>
    <t>13 de novembro de 2024 10:46 hs.</t>
  </si>
  <si>
    <t>Caio Marcio de Souza Ferreira</t>
  </si>
  <si>
    <t>CPF 54564468634</t>
  </si>
  <si>
    <t>R MAESTRO POMPEO 212, Campanha - CEP: 37400000, Minas Gerais</t>
  </si>
  <si>
    <t>54564468634</t>
  </si>
  <si>
    <t>R MAESTRO POMPEO 212 / CEP 37400000 - Xororo, Campanha, Minas Gerais</t>
  </si>
  <si>
    <t>Campanha</t>
  </si>
  <si>
    <t>37400000</t>
  </si>
  <si>
    <t>23 de novembro | 02:15</t>
  </si>
  <si>
    <t>25 de novembro | 09:16</t>
  </si>
  <si>
    <t>MEL44080458904LMXDF01</t>
  </si>
  <si>
    <t>https://myaccount.mercadolivre.com.br/shipments/44080458904/detail</t>
  </si>
  <si>
    <t>2000009829179490</t>
  </si>
  <si>
    <t>13 de novembro de 2024 10:36 hs.</t>
  </si>
  <si>
    <t>Marina Ferreira Domingos</t>
  </si>
  <si>
    <t>CPF 00691132976</t>
  </si>
  <si>
    <t>Rua João Meirelles 1435, Florianópolis - CEP: 88085201, Santa Catarina</t>
  </si>
  <si>
    <t>00691132976</t>
  </si>
  <si>
    <t>Rua João Meirelles 1435 / Apto 401 Bloco E - CEP 88085201 - Abraão, Florianópolis, Santa Catarina</t>
  </si>
  <si>
    <t>88085201</t>
  </si>
  <si>
    <t>24 de novembro | 08:56</t>
  </si>
  <si>
    <t>MEL44080414408LMXDF01</t>
  </si>
  <si>
    <t>2000009828964250</t>
  </si>
  <si>
    <t>13 de novembro de 2024 10:16 hs.</t>
  </si>
  <si>
    <t>Erick Fernando Poletti</t>
  </si>
  <si>
    <t>CPF 17997520899</t>
  </si>
  <si>
    <t>Rua Ibiúna 300 - Armando Sestini, Caieiras - CEP: 07716055, São Paulo</t>
  </si>
  <si>
    <t>17997520899</t>
  </si>
  <si>
    <t>Rua Ibiúna 300 / Armando Sestini Referencia: Escola Armando Sestini - CEP 07716055 - Serpa, Caieiras, São Paulo</t>
  </si>
  <si>
    <t>07716055</t>
  </si>
  <si>
    <t>25 de novembro | 13:46</t>
  </si>
  <si>
    <t>MEL44080111933LMXDF01</t>
  </si>
  <si>
    <t>2000009828860328</t>
  </si>
  <si>
    <t>13 de novembro de 2024 10:00 hs.</t>
  </si>
  <si>
    <t>Hozana Eugenia da Silva Dos Santos</t>
  </si>
  <si>
    <t>CPF 02265279722</t>
  </si>
  <si>
    <t>Rua Maria Pompilio dos Santos 100 - número 100apt 22, São José dos Campos - CEP: 12228326, São Paulo</t>
  </si>
  <si>
    <t>02265279722</t>
  </si>
  <si>
    <t>12228326</t>
  </si>
  <si>
    <t>MEL44080260830FMXDF01</t>
  </si>
  <si>
    <t>2000006625447625</t>
  </si>
  <si>
    <t>13 de novembro de 2024 09:46 hs.</t>
  </si>
  <si>
    <t>Tania da Silva Francisco</t>
  </si>
  <si>
    <t>CPF 43451603837</t>
  </si>
  <si>
    <t>Rua Laudelino Godoy Fleming 15, Cachoeira Paulista - CEP: 12630000, São Paulo</t>
  </si>
  <si>
    <t>43451603837</t>
  </si>
  <si>
    <t>Rua Laudelino Godoy Fleming 15 / CEP 12630000 - Embau, Cachoeira Paulista, São Paulo</t>
  </si>
  <si>
    <t>Cachoeira Paulista</t>
  </si>
  <si>
    <t>12630000</t>
  </si>
  <si>
    <t>24 de novembro | 13:11</t>
  </si>
  <si>
    <t>MEL44080002237LMXDF01</t>
  </si>
  <si>
    <t>2000009828653430</t>
  </si>
  <si>
    <t>13 de novembro de 2024 09:38 hs.</t>
  </si>
  <si>
    <t xml:space="preserve">Marcos  Silva </t>
  </si>
  <si>
    <t>CPF 83349340504</t>
  </si>
  <si>
    <t>Ladeira da Independência 25 - Térreo, Salvador - CEP: 40040340, Bahia</t>
  </si>
  <si>
    <t>83349340504</t>
  </si>
  <si>
    <t>Ladeira da Independência 25 / Térreo - CEP 40040340 - Nazaré, Salvador, Bahia</t>
  </si>
  <si>
    <t>40040340</t>
  </si>
  <si>
    <t>26 de novembro | 12:01</t>
  </si>
  <si>
    <t>MEL44080162008LMXDF01</t>
  </si>
  <si>
    <t>2000009828618850</t>
  </si>
  <si>
    <t>13 de novembro de 2024 09:32 hs.</t>
  </si>
  <si>
    <t>Edna de Souza Dias</t>
  </si>
  <si>
    <t>CPF 87938456187</t>
  </si>
  <si>
    <t>Rua Expedicionário Abel Mendanha 24 - Park ecologico, Itaberaí - CEP: 76630000, Goiás</t>
  </si>
  <si>
    <t>87938456187</t>
  </si>
  <si>
    <t>Rua Expedicionário Abel Mendanha 24 / Park ecologico Referencia: rua expedicionário Abel mendanha número 24 vila redenção - CEP 76630000 - Vila redenção, Itaberaí, Goiás</t>
  </si>
  <si>
    <t>Itaberaí</t>
  </si>
  <si>
    <t>76630000</t>
  </si>
  <si>
    <t>25 de novembro | 15:19</t>
  </si>
  <si>
    <t>MEL44080144458LMXDF01</t>
  </si>
  <si>
    <t>2000009828558578</t>
  </si>
  <si>
    <t>13 de novembro de 2024 09:25 hs.</t>
  </si>
  <si>
    <t>Leandro Lcv</t>
  </si>
  <si>
    <t>CPF 10955858941</t>
  </si>
  <si>
    <t>Rua Mariana Montoya Saes 240 - Casa, Piraquara - CEP: 83310455, Paraná</t>
  </si>
  <si>
    <t>10955858941</t>
  </si>
  <si>
    <t>Rua Mariana Montoya Saes 240 / Casa - CEP 83310455 - Guarituba, Piraquara, Paraná</t>
  </si>
  <si>
    <t>83310455</t>
  </si>
  <si>
    <t>24 de novembro | 13:06</t>
  </si>
  <si>
    <t>MEL44080110972LMXDF01</t>
  </si>
  <si>
    <t>2000009828483814</t>
  </si>
  <si>
    <t>13 de novembro de 2024 09:17 hs.</t>
  </si>
  <si>
    <t>carlos henrique</t>
  </si>
  <si>
    <t>CPF 28911238830</t>
  </si>
  <si>
    <t>Rua Moacir de Souza Campos 64 - Casa 1 salão, Hortolândia - CEP: 13188271, São Paulo</t>
  </si>
  <si>
    <t>28911238830</t>
  </si>
  <si>
    <t>Rua Moacir de Souza Campos 64 / Casa 1 salão Referencia: Salão de beleza Fernanda - CEP 13188271 - Jardim Novo Horizonte, Hortolândia, São Paulo</t>
  </si>
  <si>
    <t>Hortolândia</t>
  </si>
  <si>
    <t>13188271</t>
  </si>
  <si>
    <t>24 de novembro | 13:22</t>
  </si>
  <si>
    <t>MEL44080083050LMXDF01</t>
  </si>
  <si>
    <t>2000009828469670</t>
  </si>
  <si>
    <t>13 de novembro de 2024 09:14 hs.</t>
  </si>
  <si>
    <t>Ana Patricia Ladislau</t>
  </si>
  <si>
    <t>CPF 05526378667</t>
  </si>
  <si>
    <t>Rua Otacilio Ranuzzi 162 - casa, Sacramento - CEP: 38190000, Minas Gerais</t>
  </si>
  <si>
    <t>05526378667</t>
  </si>
  <si>
    <t>Rua Otacilio Ranuzzi 162 / casa - CEP 38190000 - Jardim primavera, Sacramento, Minas Gerais</t>
  </si>
  <si>
    <t>Sacramento</t>
  </si>
  <si>
    <t>38190000</t>
  </si>
  <si>
    <t>27 de novembro | 12:09</t>
  </si>
  <si>
    <t>MEL44079877973LMXDF01</t>
  </si>
  <si>
    <t>2000009828296482</t>
  </si>
  <si>
    <t>13 de novembro de 2024 08:50 hs.</t>
  </si>
  <si>
    <t>Daiane  Farias Cabral</t>
  </si>
  <si>
    <t>CPF 36684808850</t>
  </si>
  <si>
    <t>Rua Cidade de Otacílio Costa 115 - casa, Joinville - CEP: 89230433, Santa Catarina</t>
  </si>
  <si>
    <t>36684808850</t>
  </si>
  <si>
    <t>Rua Cidade de Otacílio Costa 115 / casa Referencia: portao de madeira marrom - CEP 89230433 - Jarivatuba, Joinville, Santa Catarina</t>
  </si>
  <si>
    <t>89230433</t>
  </si>
  <si>
    <t>25 de novembro | 13:12</t>
  </si>
  <si>
    <t>MEL44079979382LMXDF01</t>
  </si>
  <si>
    <t>2000009828202980</t>
  </si>
  <si>
    <t>13 de novembro de 2024 08:34 hs.</t>
  </si>
  <si>
    <t>Ana Carolina Fernandes</t>
  </si>
  <si>
    <t>CPF 31895333857</t>
  </si>
  <si>
    <t>Rua Rishin Matsuda 595, São Paulo - CEP: 04371000, São Paulo</t>
  </si>
  <si>
    <t>31895333857</t>
  </si>
  <si>
    <t>Rua Rishin Matsuda 595 / 172 Referencia: Kalunga - av Santa Catarina - CEP 04371000 - Vila Santa Catarina, São Paulo, São Paulo</t>
  </si>
  <si>
    <t>04371000</t>
  </si>
  <si>
    <t>24 de novembro | 13:23</t>
  </si>
  <si>
    <t>MEL44079739535LMXDF01</t>
  </si>
  <si>
    <t>2000009827922868</t>
  </si>
  <si>
    <t>13 de novembro de 2024 07:42 hs.</t>
  </si>
  <si>
    <t xml:space="preserve">José  Alberto </t>
  </si>
  <si>
    <t>CPF 04157178173</t>
  </si>
  <si>
    <t>Avenida Santos Dumont 1416, Montes Claros de Goiás - CEP: 76255000, Goiás</t>
  </si>
  <si>
    <t>04157178173</t>
  </si>
  <si>
    <t>Avenida Santos Dumont 1416 / Electro sound - CEP 76255000 - Central, Montes Claros de Goiás, Goiás</t>
  </si>
  <si>
    <t>26 de novembro | 13:56</t>
  </si>
  <si>
    <t>MEL44079597339LMXDF01</t>
  </si>
  <si>
    <t>2000009827867702</t>
  </si>
  <si>
    <t>13 de novembro de 2024 07:25 hs.</t>
  </si>
  <si>
    <t>Chegou em 18 de novembro</t>
  </si>
  <si>
    <t>Marcus Vinicius Machado Alves</t>
  </si>
  <si>
    <t>CPF 05555940920</t>
  </si>
  <si>
    <t>Avenida Lédio João Martins 999, São José - CEP: 88102001, Santa Catarina</t>
  </si>
  <si>
    <t>05555940920</t>
  </si>
  <si>
    <t>Avenida Lédio João Martins 999 / Referencia: Prédio de esquina, estrada principipal pela rua lateral.
Digitar 134 No Interfone. - CEP 88102001 - Kobrasol, São José, Santa Catarina</t>
  </si>
  <si>
    <t>São José</t>
  </si>
  <si>
    <t>88102001</t>
  </si>
  <si>
    <t>15 de novembro | 05:49</t>
  </si>
  <si>
    <t>18 de novembro | 16:37</t>
  </si>
  <si>
    <t>MEL44079573827LMXDF01</t>
  </si>
  <si>
    <t>2000006624871959</t>
  </si>
  <si>
    <t>13 de novembro de 2024 06:48 hs.</t>
  </si>
  <si>
    <t>Sannzia Almeida</t>
  </si>
  <si>
    <t>CPF 09023512499</t>
  </si>
  <si>
    <t>José Correia De Queiroz 91, Soledade - CEP: 58155000, Paraíba</t>
  </si>
  <si>
    <t>09023512499</t>
  </si>
  <si>
    <t>José Correia De Queiroz 91 / CEP 58155000 - Centro, Soledade, Paraíba</t>
  </si>
  <si>
    <t>Soledade</t>
  </si>
  <si>
    <t>58155000</t>
  </si>
  <si>
    <t>28 de novembro | 12:06</t>
  </si>
  <si>
    <t>MEL44079514753LMXDF01</t>
  </si>
  <si>
    <t>2000009827147992</t>
  </si>
  <si>
    <t>13 de novembro de 2024 01:30 hs.</t>
  </si>
  <si>
    <t>Aluizio Costa da Silva</t>
  </si>
  <si>
    <t>CPF 67785352453</t>
  </si>
  <si>
    <t>Avenida da Aldeia 563 - Oficina mecânica, Barueri - CEP: 06440000, São Paulo</t>
  </si>
  <si>
    <t>67785352453</t>
  </si>
  <si>
    <t>Avenida da Aldeia 563 / Oficina mecânica - CEP 06440000 - Jardim Iracema/Aldeia, Barueri, São Paulo</t>
  </si>
  <si>
    <t>Barueri</t>
  </si>
  <si>
    <t>06440000</t>
  </si>
  <si>
    <t>24 de novembro | 09:39</t>
  </si>
  <si>
    <t>MEL44079234787LMXDF01</t>
  </si>
  <si>
    <t>2000009826700672</t>
  </si>
  <si>
    <t>13 de novembro de 2024 00:00 hs.</t>
  </si>
  <si>
    <t>Fabiano Carvalhosa</t>
  </si>
  <si>
    <t>CPF 08370891748</t>
  </si>
  <si>
    <t>Rua Eunice Felizardo Torres 72 - casa 2, Rio de Janeiro - CEP: 21853059, Rio de Janeiro</t>
  </si>
  <si>
    <t>08370891748</t>
  </si>
  <si>
    <t>Rua Eunice Felizardo Torres 72 / casa 2 Referencia: rua do colégio Iga - CEP 21853059 - Bangu, Rio de Janeiro, Rio de Janeiro</t>
  </si>
  <si>
    <t>21853059</t>
  </si>
  <si>
    <t>23 de novembro | 16:58</t>
  </si>
  <si>
    <t>MEL44079238770LMXDF01</t>
  </si>
  <si>
    <t>2000009826365368</t>
  </si>
  <si>
    <t>12 de novembro de 2024 23:16 hs.</t>
  </si>
  <si>
    <t>Elisangela Coimbra</t>
  </si>
  <si>
    <t>CPF 97427667034</t>
  </si>
  <si>
    <t>Rua Isaac Padilha Ourique 194, Santo Ângelo - CEP: 98804625, Rio Grande do Sul</t>
  </si>
  <si>
    <t>97427667034</t>
  </si>
  <si>
    <t>Rua Isaac Padilha Ourique 194 / atras do ciep - CEP 98804625 - Castelarim, Santo Ângelo, Rio Grande do Sul</t>
  </si>
  <si>
    <t>98804625</t>
  </si>
  <si>
    <t>27 de novembro | 13:50</t>
  </si>
  <si>
    <t>MEL44079101586LMXDF01</t>
  </si>
  <si>
    <t>2000006623683761</t>
  </si>
  <si>
    <t>12 de novembro de 2024 22:28 hs.</t>
  </si>
  <si>
    <t>Marcia de Azevedo Frank</t>
  </si>
  <si>
    <t>CPF 30277965004</t>
  </si>
  <si>
    <t>Rua Jacinto Gomes 119 - apto 21, Porto Alegre - CEP: 90040270, Rio Grande do Sul</t>
  </si>
  <si>
    <t>30277965004</t>
  </si>
  <si>
    <t>Rua Jacinto Gomes 119 / apto 21 - CEP 90040270 - Santana, Porto Alegre, Rio Grande do Sul</t>
  </si>
  <si>
    <t>90040270</t>
  </si>
  <si>
    <t>26 de novembro | 04:29</t>
  </si>
  <si>
    <t>28 de novembro | 13:03</t>
  </si>
  <si>
    <t>MEL44078919090LMXDF01</t>
  </si>
  <si>
    <t>2000009825750058</t>
  </si>
  <si>
    <t>12 de novembro de 2024 22:07 hs.</t>
  </si>
  <si>
    <t>lucimar rodrigues</t>
  </si>
  <si>
    <t>CPF 00364386770</t>
  </si>
  <si>
    <t>Estrada Marechal Miguel Salazar Mendes de Morais 291, Rio de Janeiro - CEP: 22770330, Rio de Janeiro</t>
  </si>
  <si>
    <t>00364386770</t>
  </si>
  <si>
    <t>Estrada Marechal Miguel Salazar Mendes de Morais 291 / Apt101 Bloco 2 Apolo - CEP 22770330 - Taquara, Rio de Janeiro, Rio de Janeiro</t>
  </si>
  <si>
    <t>22770330</t>
  </si>
  <si>
    <t>23 de novembro | 02:20</t>
  </si>
  <si>
    <t>23 de novembro | 17:34</t>
  </si>
  <si>
    <t>MEL44078639893LMXDF01</t>
  </si>
  <si>
    <t>2000009825572888</t>
  </si>
  <si>
    <t>12 de novembro de 2024 21:53 hs.</t>
  </si>
  <si>
    <t>Lenir Seidel</t>
  </si>
  <si>
    <t>CPF 03661012932</t>
  </si>
  <si>
    <t>Rua São Miguel 2159, Itaipulândia - CEP: 85880000, Paraná</t>
  </si>
  <si>
    <t>03661012932</t>
  </si>
  <si>
    <t>Rua São Miguel 2159 / CEP 85880000 - centro, Itaipulândia, Paraná</t>
  </si>
  <si>
    <t>25 de novembro | 17:15</t>
  </si>
  <si>
    <t>MEL44078762428LMXDF01</t>
  </si>
  <si>
    <t>2000009825489942</t>
  </si>
  <si>
    <t>12 de novembro de 2024 21:46 hs.</t>
  </si>
  <si>
    <t>edina rodrigues</t>
  </si>
  <si>
    <t>CPF 80446590134</t>
  </si>
  <si>
    <t>Rua Francisco Melo Palheta 353, Jauru - CEP: 78255000, Mato Grosso</t>
  </si>
  <si>
    <t>80446590134</t>
  </si>
  <si>
    <t>Rua Francisco Melo Palheta 353 / Referencia: Muro de pedra - CEP 78255000 - Centro, Jauru, Mato Grosso</t>
  </si>
  <si>
    <t>Jauru</t>
  </si>
  <si>
    <t>78255000</t>
  </si>
  <si>
    <t>28 de novembro | 18:13</t>
  </si>
  <si>
    <t>MEL44078535963LMXDF01</t>
  </si>
  <si>
    <t>2000009825091418</t>
  </si>
  <si>
    <t>12 de novembro de 2024 21:04 hs.</t>
  </si>
  <si>
    <t>Vania Lisboa</t>
  </si>
  <si>
    <t>CPF 00422238813</t>
  </si>
  <si>
    <t>Rua Barão de Serra Negra 194, Presidente Prudente - CEP: 19023040, São Paulo</t>
  </si>
  <si>
    <t>00422238813</t>
  </si>
  <si>
    <t>Rua Barão de Serra Negra 194 / CEP 19023040 - Parque São Judas Tadeu, Presidente Prudente, São Paulo</t>
  </si>
  <si>
    <t>19023040</t>
  </si>
  <si>
    <t>24 de novembro | 14:08</t>
  </si>
  <si>
    <t>MEL44078356975LMXDF01</t>
  </si>
  <si>
    <t>2000009825071650</t>
  </si>
  <si>
    <t>12 de novembro de 2024 21:03 hs.</t>
  </si>
  <si>
    <t>marcia ribeiro</t>
  </si>
  <si>
    <t>CPF 92976891672</t>
  </si>
  <si>
    <t>Rua Mármore 381, Pará de Minas - CEP: 35661255, Minas Gerais</t>
  </si>
  <si>
    <t>92976891672</t>
  </si>
  <si>
    <t>Rua Mármore 381 / CEP 35661255 - Jardim Beatriz, Pará de Minas, Minas Gerais</t>
  </si>
  <si>
    <t>35661255</t>
  </si>
  <si>
    <t>23 de novembro | 18:45</t>
  </si>
  <si>
    <t>MEL44078349711LMXDF01</t>
  </si>
  <si>
    <t>2000009825001828</t>
  </si>
  <si>
    <t>12 de novembro de 2024 20:56 hs.</t>
  </si>
  <si>
    <t>Edneia Ferreira da Silva Lobato</t>
  </si>
  <si>
    <t>CPF 28646035867</t>
  </si>
  <si>
    <t>Rua Gregório Funes 27 - casa 27, São Paulo - CEP: 02324020, São Paulo</t>
  </si>
  <si>
    <t>28646035867</t>
  </si>
  <si>
    <t>Rua Gregório Funes 27 / casa 27 Referencia: nome da pessoa que irá receber: Bete - CEP 02324020 - Jardim Ataliba Leonel, São Paulo, São Paulo</t>
  </si>
  <si>
    <t>02324020</t>
  </si>
  <si>
    <t>25 de novembro | 08:44</t>
  </si>
  <si>
    <t>MEL44078515312LMXDF01</t>
  </si>
  <si>
    <t>2000009824894192</t>
  </si>
  <si>
    <t>12 de novembro de 2024 20:44 hs.</t>
  </si>
  <si>
    <t>Rita de Cassia Do Carmo Moreira</t>
  </si>
  <si>
    <t>CPF 07784886837</t>
  </si>
  <si>
    <t>Rua Monte Alegre 180 - 105A, Ribeirão Preto - CEP: 14051260, São Paulo</t>
  </si>
  <si>
    <t>07784886837</t>
  </si>
  <si>
    <t>Rua Monte Alegre 180 / 105A Referencia: condomínio Belize - CEP 14051260 - Vila Monte Alegre, Ribeirão Preto, São Paulo</t>
  </si>
  <si>
    <t>14051260</t>
  </si>
  <si>
    <t>24 de novembro | 12:28</t>
  </si>
  <si>
    <t>MEL44078263873LMXDF01</t>
  </si>
  <si>
    <t>2000009824668854</t>
  </si>
  <si>
    <t>12 de novembro de 2024 20:25 hs.</t>
  </si>
  <si>
    <t>Guilherme Scur</t>
  </si>
  <si>
    <t>CPF 04286664007</t>
  </si>
  <si>
    <t>Rua João Simplício 793, Canela - CEP: 95680316, Rio Grande do Sul</t>
  </si>
  <si>
    <t>04286664007</t>
  </si>
  <si>
    <t>Rua João Simplício 793 / Referencia: em frente a corsan - CEP 95680316 - Eugênio Ferreira, Canela, Rio Grande do Sul</t>
  </si>
  <si>
    <t>Canela</t>
  </si>
  <si>
    <t>95680316</t>
  </si>
  <si>
    <t>23 de novembro | 05:33</t>
  </si>
  <si>
    <t>28 de novembro | 10:25</t>
  </si>
  <si>
    <t>MEL44078169107LMXDF01</t>
  </si>
  <si>
    <t>2000009824649126</t>
  </si>
  <si>
    <t>12 de novembro de 2024 20:22 hs.</t>
  </si>
  <si>
    <t>Elaine Caldas Ribeiro</t>
  </si>
  <si>
    <t>CPF 05100772425</t>
  </si>
  <si>
    <t>Rua José Bento 370, São Paulo - CEP: 01523030, São Paulo</t>
  </si>
  <si>
    <t>05100772425</t>
  </si>
  <si>
    <t>Rua José Bento 370 / Apto 603 - CEP 01523030 - Cambuci, São Paulo, São Paulo</t>
  </si>
  <si>
    <t>01523030</t>
  </si>
  <si>
    <t>24 de novembro | 09:22</t>
  </si>
  <si>
    <t>MEL44078354936LMXDF01</t>
  </si>
  <si>
    <t>2000006622887139</t>
  </si>
  <si>
    <t>12 de novembro de 2024 20:19 hs.</t>
  </si>
  <si>
    <t>Joelma Ferreira de Souza</t>
  </si>
  <si>
    <t>CPF 12814315838</t>
  </si>
  <si>
    <t>Rua General Brasílio Taborda 126, São Paulo - CEP: 05591100, São Paulo</t>
  </si>
  <si>
    <t>12814315838</t>
  </si>
  <si>
    <t>Rua General Brasílio Taborda 126 / CEP 05591100 - Jardim Bonfiglioli, São Paulo, São Paulo</t>
  </si>
  <si>
    <t>05591100</t>
  </si>
  <si>
    <t>24 de novembro | 13:03</t>
  </si>
  <si>
    <t>MEL44078339712LMXDF01</t>
  </si>
  <si>
    <t>2000009824512564</t>
  </si>
  <si>
    <t>12 de novembro de 2024 20:07 hs.</t>
  </si>
  <si>
    <t>MariaJose Da Silva Arujo Araujo</t>
  </si>
  <si>
    <t>CPF 96942401404</t>
  </si>
  <si>
    <t>RUA BARÃO DE LADÁRIO 670, São Paulo - CEP: 03010000, São Paulo</t>
  </si>
  <si>
    <t>96942401404</t>
  </si>
  <si>
    <t>RUA BARÃO DE LADÁRIO 670 / Loja S08 primeiro sub solo - CEP 03010000 - Brás, São Paulo, São Paulo</t>
  </si>
  <si>
    <t>03010000</t>
  </si>
  <si>
    <t>26 de novembro | 12:55</t>
  </si>
  <si>
    <t>MEL44078094297LMXDF01</t>
  </si>
  <si>
    <t>https://myaccount.mercadolivre.com.br/shipments/44078094297/detail</t>
  </si>
  <si>
    <t>2000006622573573</t>
  </si>
  <si>
    <t>12 de novembro de 2024 19:26 hs.</t>
  </si>
  <si>
    <t>Luiza Alves</t>
  </si>
  <si>
    <t>CPF 15002073735</t>
  </si>
  <si>
    <t>Rua Gumercindo de Freitas 29 - Bcol 01-608, Campos dos Goytacazes - CEP: 28030295, Rio de Janeiro</t>
  </si>
  <si>
    <t>15002073735</t>
  </si>
  <si>
    <t>Rua Gumercindo de Freitas 29 / Bcol 01-608 - CEP 28030295 - Parque São Caetano, Campos dos Goytacazes, Rio de Janeiro</t>
  </si>
  <si>
    <t>28030295</t>
  </si>
  <si>
    <t>23 de novembro | 00:21</t>
  </si>
  <si>
    <t>23 de novembro | 17:28</t>
  </si>
  <si>
    <t>MEL44077906997LMXDF01</t>
  </si>
  <si>
    <t>2000009823667102</t>
  </si>
  <si>
    <t>12 de novembro de 2024 18:42 hs.</t>
  </si>
  <si>
    <t>Alex Cleverson Lemos</t>
  </si>
  <si>
    <t>CPF 02904643907</t>
  </si>
  <si>
    <t>Pedro Paiva Campos 20 20, Areia Branca dos Assis - CEP: 83810000, Paraná</t>
  </si>
  <si>
    <t>02904643907</t>
  </si>
  <si>
    <t>Pedro Paiva Campos 20 20 / CEP 83810000 - areia branca dos assis, Areia Branca dos Assis, Paraná</t>
  </si>
  <si>
    <t>Areia Branca dos Assis</t>
  </si>
  <si>
    <t>83810000</t>
  </si>
  <si>
    <t>24 de novembro | 11:12</t>
  </si>
  <si>
    <t>MEL44077712169LMXDF01</t>
  </si>
  <si>
    <t>2000009823475688</t>
  </si>
  <si>
    <t>12 de novembro de 2024 18:23 hs.</t>
  </si>
  <si>
    <t>LUÍS FERNANDO LEME  PETTORINO</t>
  </si>
  <si>
    <t>CPF 07948526889</t>
  </si>
  <si>
    <t>Rua Padre Vieira 861 - Apto 103, Campinas - CEP: 13015301, São Paulo</t>
  </si>
  <si>
    <t>07948526889</t>
  </si>
  <si>
    <t>Rua Padre Vieira 861 / Apto 103 Referencia: próximo à Avenida Moraes Sales - CEP 13015301 - Centro, Campinas, São Paulo</t>
  </si>
  <si>
    <t>13015301</t>
  </si>
  <si>
    <t>MEL44077824766LMXDF01</t>
  </si>
  <si>
    <t>2000009823298884</t>
  </si>
  <si>
    <t>12 de novembro de 2024 18:02 hs.</t>
  </si>
  <si>
    <t>Alice Vieira da Silva  Vieira</t>
  </si>
  <si>
    <t>CPF 01410396126</t>
  </si>
  <si>
    <t>Rua Ana De Carvalho Bulhões 39, Cuiabá - CEP: 78050630, Mato Grosso</t>
  </si>
  <si>
    <t>01410396126</t>
  </si>
  <si>
    <t>Rua Ana de Carvalho Bulhões 39 / CEP 78050630 - Carumbé, Cuiabá, Mato Grosso</t>
  </si>
  <si>
    <t>78050630</t>
  </si>
  <si>
    <t>27 de novembro | 10:27</t>
  </si>
  <si>
    <t>MEL44077736074LMXDF01</t>
  </si>
  <si>
    <t>2000009818615044</t>
  </si>
  <si>
    <t>12 de novembro de 2024 17:37 hs.</t>
  </si>
  <si>
    <t>RONALDO PINESSO</t>
  </si>
  <si>
    <t>CPF 09476228881</t>
  </si>
  <si>
    <t>Rua Mário Pistelli 315, Ibaté - CEP: 14817048, São Paulo</t>
  </si>
  <si>
    <t>09476228881</t>
  </si>
  <si>
    <t>Rua Mário Pistelli 315 / Referencia: Rua Mario PistelliJardim Mariana - CEP 14817048 - Jardim Mariana, Ibaté, São Paulo</t>
  </si>
  <si>
    <t>Ibaté</t>
  </si>
  <si>
    <t>14817048</t>
  </si>
  <si>
    <t>MEL44075331079LMXDF01</t>
  </si>
  <si>
    <t>2000009822976028</t>
  </si>
  <si>
    <t>12 de novembro de 2024 17:28 hs.</t>
  </si>
  <si>
    <t>Paulo Uzai</t>
  </si>
  <si>
    <t>CPF 80759238120</t>
  </si>
  <si>
    <t>Rua Professor Antônio Guedes de Azevedo 22, Bauru - CEP: 17050430, São Paulo</t>
  </si>
  <si>
    <t>80759238120</t>
  </si>
  <si>
    <t>Rua Professor Antônio Guedes de Azevedo 22 / Quadra 2 Referencia: Quadra 2 - CEP 17050430 - Vila Pacífico, Bauru, São Paulo</t>
  </si>
  <si>
    <t>17050430</t>
  </si>
  <si>
    <t>24 de novembro | 15:02</t>
  </si>
  <si>
    <t>MEL44077582454LMXDF01</t>
  </si>
  <si>
    <t>2000009822732502</t>
  </si>
  <si>
    <t>12 de novembro de 2024 17:06 hs.</t>
  </si>
  <si>
    <t>zenaide maia</t>
  </si>
  <si>
    <t>CPF 36723061187</t>
  </si>
  <si>
    <t>Rua Benjamin Adese 210 - casa, Campo Grande - CEP: 79092020, Mato Grosso do Sul</t>
  </si>
  <si>
    <t>36723061187</t>
  </si>
  <si>
    <t>Rua Benjamin Adese 210 / casa Referencia: Ao Lado upa Leblom - CEP 79092020 - Jardim Leblon, Campo Grande, Mato Grosso do Sul</t>
  </si>
  <si>
    <t>79092020</t>
  </si>
  <si>
    <t>24 de novembro | 14:54</t>
  </si>
  <si>
    <t>MEL44077469422LMXDF01</t>
  </si>
  <si>
    <t>2000009821459012</t>
  </si>
  <si>
    <t>12 de novembro de 2024 16:37 hs.</t>
  </si>
  <si>
    <t>marcelo rodrigues duarte</t>
  </si>
  <si>
    <t>CPF 14941270835</t>
  </si>
  <si>
    <t>Avenida Cotovia 124, São Paulo - CEP: 04517000, São Paulo</t>
  </si>
  <si>
    <t>14941270835</t>
  </si>
  <si>
    <t>Avenida Cotovia 124 / Apto 64 - CEP 04517000 - Indianópolis, São Paulo, São Paulo</t>
  </si>
  <si>
    <t>04517000</t>
  </si>
  <si>
    <t>23 de novembro | 18:38</t>
  </si>
  <si>
    <t>MEL44076845760LMXDF01</t>
  </si>
  <si>
    <t>2000006621463445</t>
  </si>
  <si>
    <t>12 de novembro de 2024 16:18 hs.</t>
  </si>
  <si>
    <t>Antonio Miguel da Silva Brandao</t>
  </si>
  <si>
    <t>CPF 12303810230</t>
  </si>
  <si>
    <t>Avenida Santana 3294, Santana - CEP: 68928060, Amapá</t>
  </si>
  <si>
    <t>12303810230</t>
  </si>
  <si>
    <t>Avenida Santana 3294 / Referencia: próximo ao material de construção do Balada. - CEP 68928060 - Paraíso, Santana, Amapá</t>
  </si>
  <si>
    <t>Amapá</t>
  </si>
  <si>
    <t>68928060</t>
  </si>
  <si>
    <t>12 de dezembro | 08:40</t>
  </si>
  <si>
    <t>ML44077045729135551</t>
  </si>
  <si>
    <t>https://www.loggi.com/rastreador/3762947aef/ML44077045729135551</t>
  </si>
  <si>
    <t>2000006621361755</t>
  </si>
  <si>
    <t>12 de novembro de 2024 16:02 hs.</t>
  </si>
  <si>
    <t xml:space="preserve">Jessica  Portela </t>
  </si>
  <si>
    <t>CPF 01416649247</t>
  </si>
  <si>
    <t>Travessa Turiano Meira 1397 1397, Santarém - CEP: 68010060, Pará</t>
  </si>
  <si>
    <t>01416649247</t>
  </si>
  <si>
    <t>Travessa Turiano Meira 1397 / Apt: 402 Referencia: Edifício Royal - CEP 68010060 - Interventoria, Santarém, Pará</t>
  </si>
  <si>
    <t>Santarém</t>
  </si>
  <si>
    <t>68010060</t>
  </si>
  <si>
    <t>28 de novembro | 12:21</t>
  </si>
  <si>
    <t>MEL44076967411LMXDF01</t>
  </si>
  <si>
    <t>2000009822084016</t>
  </si>
  <si>
    <t>12 de novembro de 2024 15:59 hs.</t>
  </si>
  <si>
    <t>Manoel Alexandre Dos Reis Filho</t>
  </si>
  <si>
    <t>CPF 05554128572</t>
  </si>
  <si>
    <t>Estrada Pedra do Imbuque 431, Porto Seguro - CEP: 45810000, Bahia</t>
  </si>
  <si>
    <t>05554128572</t>
  </si>
  <si>
    <t>Estrada Pedra do Imbuque 431 / Casa 35 Referencia: Condomonio Marina Buranhém - CEP 45810000 - Porto Seguro, Porto Seguro, Bahia</t>
  </si>
  <si>
    <t>25 de novembro | 13:48</t>
  </si>
  <si>
    <t>MEL44076949833LMXDF01</t>
  </si>
  <si>
    <t>2000009821771450</t>
  </si>
  <si>
    <t>12 de novembro de 2024 15:33 hs.</t>
  </si>
  <si>
    <t>Wanessa Cardoso Da Silva</t>
  </si>
  <si>
    <t>CPF 04348564957</t>
  </si>
  <si>
    <t>Rua Isolina Cordeiro de Souza 21 - casa, Piraquara - CEP: 83305390, Paraná</t>
  </si>
  <si>
    <t>04348564957</t>
  </si>
  <si>
    <t>Rua Isolina Cordeiro de Souza 21 / casa - CEP 83305390 - Vila São Cristóvão, Piraquara, Paraná</t>
  </si>
  <si>
    <t>83305390</t>
  </si>
  <si>
    <t>23 de novembro | 13:26</t>
  </si>
  <si>
    <t>MEL44077001144LMXDF01</t>
  </si>
  <si>
    <t>2000009821412628</t>
  </si>
  <si>
    <t>12 de novembro de 2024 14:55 hs.</t>
  </si>
  <si>
    <t>Andrea Maria de Menez Souza</t>
  </si>
  <si>
    <t>CPF 00284976601</t>
  </si>
  <si>
    <t>Rua Silviano Brandão 119, Pouso Alegre - CEP: 37550197, Minas Gerais</t>
  </si>
  <si>
    <t>00284976601</t>
  </si>
  <si>
    <t>Rua Silviano Brandão 119 / apartamento 102 - CEP 37550197 - Centro, Pouso Alegre, Minas Gerais</t>
  </si>
  <si>
    <t>37550197</t>
  </si>
  <si>
    <t>22 de novembro | 02:50</t>
  </si>
  <si>
    <t>25 de novembro | 14:24</t>
  </si>
  <si>
    <t>MEL44076819676LMXDF01</t>
  </si>
  <si>
    <t>2000006620893353</t>
  </si>
  <si>
    <t>12 de novembro de 2024 14:52 hs.</t>
  </si>
  <si>
    <t>Juan Roman Martinez Perez</t>
  </si>
  <si>
    <t>CPF 08879775880</t>
  </si>
  <si>
    <t>Rua Marechal Deodoro 369, Olho d'Água das Flores - CEP: 57442000, Alagoas</t>
  </si>
  <si>
    <t>08879775880</t>
  </si>
  <si>
    <t>Rua Marechal Deodoro 369 / Referencia: Ao lado da Marechal Embalagens - CEP 57442000 - Centro, Olho d'Água das Flores, Alagoas</t>
  </si>
  <si>
    <t>Olho d'Água das Flores</t>
  </si>
  <si>
    <t>57442000</t>
  </si>
  <si>
    <t>26 de novembro | 15:01</t>
  </si>
  <si>
    <t>MEL44076797990LMXDF01</t>
  </si>
  <si>
    <t>2000009821363106</t>
  </si>
  <si>
    <t>2000009821363108</t>
  </si>
  <si>
    <t>2000006620889445</t>
  </si>
  <si>
    <t>12 de novembro de 2024 14:51 hs.</t>
  </si>
  <si>
    <t>helena miuki Kikuti Fonseca</t>
  </si>
  <si>
    <t>CPF 02685732470</t>
  </si>
  <si>
    <t>Avenida Raimundo Nonato Barros Viana 2000, Petrolina - CEP: 56326825, Pernambuco</t>
  </si>
  <si>
    <t>02685732470</t>
  </si>
  <si>
    <t>Avenida Raimundo Nonato Barros Viana 2000 / Casa 45 Referencia: Residencial vila Bella, atrás barcas e prf - CEP 56326825 - Dom Avelar, Petrolina, Pernambuco</t>
  </si>
  <si>
    <t>56326825</t>
  </si>
  <si>
    <t>25 de novembro | 19:15</t>
  </si>
  <si>
    <t>MEL44076794700LMXDF01</t>
  </si>
  <si>
    <t>2000009821345570</t>
  </si>
  <si>
    <t>2000009821362512</t>
  </si>
  <si>
    <t>00273</t>
  </si>
  <si>
    <t>MLB4139019606</t>
  </si>
  <si>
    <t>5-htp  200mg Com 60 Cápsulas - Autêntico - Kit C/ 3 Unidades</t>
  </si>
  <si>
    <t>2000009821362510</t>
  </si>
  <si>
    <t>2000009821345572</t>
  </si>
  <si>
    <t>2000009821310882</t>
  </si>
  <si>
    <t>12 de novembro de 2024 14:46 hs.</t>
  </si>
  <si>
    <t>giscley gomes</t>
  </si>
  <si>
    <t>CPF 93193300187</t>
  </si>
  <si>
    <t>Avenida Ana Povoa Lemes esquina com a rua 07 SN - casa laranjada, Nazário - CEP: 76180000, Goiás</t>
  </si>
  <si>
    <t>93193300187</t>
  </si>
  <si>
    <t>Avenida Ana Povoa Lemes esquina com a rua 07 SN / casa laranjada Referencia: casa laranjada com o muro de placas - CEP 76180000 - centro, Nazário, Goiás</t>
  </si>
  <si>
    <t>Nazário</t>
  </si>
  <si>
    <t>76180000</t>
  </si>
  <si>
    <t>26 de novembro | 11:52</t>
  </si>
  <si>
    <t>MEL44076576819LMXDF01</t>
  </si>
  <si>
    <t>2000006620751055</t>
  </si>
  <si>
    <t>12 de novembro de 2024 14:30 hs.</t>
  </si>
  <si>
    <t>Ana Carolina Bruscagini</t>
  </si>
  <si>
    <t>CPF 40181658895</t>
  </si>
  <si>
    <t>Rua José Olímpio Teixeira 55, Espírito Santo do Pinhal - CEP: 13990000, São Paulo</t>
  </si>
  <si>
    <t>40181658895</t>
  </si>
  <si>
    <t>Rua José Olímpio Teixeira 55 / Referencia: Sentido Av. dos trabalhadores,logo após Ric Confecções,subir a primeira rua. - CEP 13990000 - Jardim das Rosas, Espírito Santo do Pinhal, São Paulo</t>
  </si>
  <si>
    <t>Espírito Santo do Pinhal</t>
  </si>
  <si>
    <t>13990000</t>
  </si>
  <si>
    <t>23 de novembro | 12:23</t>
  </si>
  <si>
    <t>MEL44076496421LMXDF01</t>
  </si>
  <si>
    <t>2000009820994886</t>
  </si>
  <si>
    <t>12 de novembro de 2024 14:17 hs.</t>
  </si>
  <si>
    <t>Robert dougloas rodrigues</t>
  </si>
  <si>
    <t>CPF 12287869417</t>
  </si>
  <si>
    <t>Avenida Batalha 65, Piranhas - CEP: 57460080, Alagoas</t>
  </si>
  <si>
    <t>12287869417</t>
  </si>
  <si>
    <t>Avenida Batalha 65 / Proximo ao Samu - CEP 57460080 - Nossa senhora da Saúde, Piranhas, Alagoas</t>
  </si>
  <si>
    <t>Piranhas</t>
  </si>
  <si>
    <t>57460080</t>
  </si>
  <si>
    <t>26 de novembro | 17:11</t>
  </si>
  <si>
    <t>MEL44076628570LMXDF01</t>
  </si>
  <si>
    <t>2000009820812826</t>
  </si>
  <si>
    <t>12 de novembro de 2024 14:02 hs.</t>
  </si>
  <si>
    <t>Arlon Pereira Roque</t>
  </si>
  <si>
    <t>CPF 11814506594</t>
  </si>
  <si>
    <t>Lagoa dos porcos SN - 235, Pedro Alexandre - CEP: 48580000, Bahia</t>
  </si>
  <si>
    <t>11814506594</t>
  </si>
  <si>
    <t>Lagoa dos porcos SN / 235 Referencia: casa de dona jovita - CEP 48580000 - Lagoa dos porcos, Pedro Alexandre, Bahia</t>
  </si>
  <si>
    <t>Pedro Alexandre</t>
  </si>
  <si>
    <t>48580000</t>
  </si>
  <si>
    <t>MEL44076542472LMXDF01</t>
  </si>
  <si>
    <t>2000009820790960</t>
  </si>
  <si>
    <t>12 de novembro de 2024 13:57 hs.</t>
  </si>
  <si>
    <t>Leonardo Brioschi Mineti</t>
  </si>
  <si>
    <t>CPF 09727702759</t>
  </si>
  <si>
    <t>Rua Giovani Brioschi 12 - Fundos, Venda Nova do Imigrante - CEP: 29375000, Espírito Santo</t>
  </si>
  <si>
    <t>09727702759</t>
  </si>
  <si>
    <t>Rua Giovani Brioschi 12 / Fundos Referencia: Fundos, acesso pela rua lateral. - CEP 29375000 - Esplanada, Venda Nova do Imigrante, Espírito Santo</t>
  </si>
  <si>
    <t>Venda Nova do Imigrante</t>
  </si>
  <si>
    <t>29375000</t>
  </si>
  <si>
    <t>22 de novembro | 03:51</t>
  </si>
  <si>
    <t>23 de novembro | 12:32</t>
  </si>
  <si>
    <t>MEL44076337697LMXDF01</t>
  </si>
  <si>
    <t>2000009820739070</t>
  </si>
  <si>
    <t>12 de novembro de 2024 13:54 hs.</t>
  </si>
  <si>
    <t>Leticia De Souza Almeida</t>
  </si>
  <si>
    <t>CPF 08966008909</t>
  </si>
  <si>
    <t>Rua Cabo João Maria Teixeira Palhano 402 - Centro, Santa Cecília - CEP: 89540000, Santa Catarina</t>
  </si>
  <si>
    <t>08966008909</t>
  </si>
  <si>
    <t>Rua Cabo João Maria Teixeira Palhano 402 / Centro Referencia: Casa verde - CEP 89540000 - Santa Cecília, Santa Cecília, Santa Catarina</t>
  </si>
  <si>
    <t>Santa Cecília</t>
  </si>
  <si>
    <t>89540000</t>
  </si>
  <si>
    <t>26 de novembro | 15:11</t>
  </si>
  <si>
    <t>MEL44076510918LMXDF01</t>
  </si>
  <si>
    <t>2000009820632020</t>
  </si>
  <si>
    <t>12 de novembro de 2024 13:42 hs.</t>
  </si>
  <si>
    <t>Herminia Costa Souza</t>
  </si>
  <si>
    <t>CPF 31764096568</t>
  </si>
  <si>
    <t>rua dr José André da Cruz 208 - banco do Brasil, Ibirapuã - CEP: 45940000, Bahia</t>
  </si>
  <si>
    <t>31764096568</t>
  </si>
  <si>
    <t>rua dr José André da Cruz 208 / banco do Brasil - CEP 45940000 - centro, Ibirapuã, Bahia</t>
  </si>
  <si>
    <t>Ibirapuã</t>
  </si>
  <si>
    <t>45940000</t>
  </si>
  <si>
    <t>22 de novembro | 05:16</t>
  </si>
  <si>
    <t>MEL44076263063LMXDF01</t>
  </si>
  <si>
    <t>2000006620410351</t>
  </si>
  <si>
    <t>12 de novembro de 2024 13:39 hs.</t>
  </si>
  <si>
    <t>Andreia Regina da Silva Nunes</t>
  </si>
  <si>
    <t>CPF 26756069870</t>
  </si>
  <si>
    <t>RUA DONATO SCARSI 364, Araçariguama - CEP: 18147000, São Paulo</t>
  </si>
  <si>
    <t>26756069870</t>
  </si>
  <si>
    <t>RUA DONATO SCARSI 364 / Residencial Telaviv - CEP 18147000 - Bella Vista, Araçariguama, São Paulo</t>
  </si>
  <si>
    <t>25 de novembro | 14:27</t>
  </si>
  <si>
    <t>MEL44076442752LMXDF01</t>
  </si>
  <si>
    <t>https://myaccount.mercadolivre.com.br/shipments/44076442752/detail</t>
  </si>
  <si>
    <t>2000009820590874</t>
  </si>
  <si>
    <t>12 de novembro de 2024 13:38 hs.</t>
  </si>
  <si>
    <t xml:space="preserve">Yasmin vieira </t>
  </si>
  <si>
    <t>CPF 06825925369</t>
  </si>
  <si>
    <t>Rua Pendanga 185 - Casa 31, Parnamirim - CEP: 59154315, Rio Grande do Norte</t>
  </si>
  <si>
    <t>06825925369</t>
  </si>
  <si>
    <t>Rua Pendanga 185 / Casa 31 - CEP 59154315 - Parque das Árvores, Parnamirim, Rio Grande do Norte</t>
  </si>
  <si>
    <t>Parnamirim</t>
  </si>
  <si>
    <t>59154315</t>
  </si>
  <si>
    <t>26 de novembro | 11:29</t>
  </si>
  <si>
    <t>MEL44076246029LMXDF01</t>
  </si>
  <si>
    <t>2000009820416072</t>
  </si>
  <si>
    <t>12 de novembro de 2024 13:21 hs.</t>
  </si>
  <si>
    <t>Alessandra Cristina</t>
  </si>
  <si>
    <t>CPF 25122874832</t>
  </si>
  <si>
    <t>Rua 12 B 573, Rio Claro - CEP: 13506746, São Paulo</t>
  </si>
  <si>
    <t>25122874832</t>
  </si>
  <si>
    <t>Rua 12 B 573 / CEP 13506746 - Vila Indaiá, Rio Claro, São Paulo</t>
  </si>
  <si>
    <t>Rio Claro</t>
  </si>
  <si>
    <t>13506746</t>
  </si>
  <si>
    <t>23 de novembro | 12:22</t>
  </si>
  <si>
    <t>MEL44076355432LMXDF01</t>
  </si>
  <si>
    <t>2000006620119663</t>
  </si>
  <si>
    <t>12 de novembro de 2024 12:54 hs.</t>
  </si>
  <si>
    <t>Patricia Mattos Dos Santos</t>
  </si>
  <si>
    <t>CPF 80916147568</t>
  </si>
  <si>
    <t>Alameda dos Jardins 408, Salvador - CEP: 41098040, Bahia</t>
  </si>
  <si>
    <t>80916147568</t>
  </si>
  <si>
    <t>Alameda dos Jardins 408 / Begônia 603 - Begônia Apto 603 Referencia: Reserva das Flores, Ed. Begônia Ap 603 - CEP 41098040 - Horto Bela Vista, Salvador, Bahia</t>
  </si>
  <si>
    <t>41098040</t>
  </si>
  <si>
    <t>23 de novembro | 18:18</t>
  </si>
  <si>
    <t>MEL44076030865LMXDF01</t>
  </si>
  <si>
    <t>2000009819973196</t>
  </si>
  <si>
    <t>12 de novembro de 2024 12:41 hs.</t>
  </si>
  <si>
    <t>Joao Luiz Ribeiro Andrade Filho</t>
  </si>
  <si>
    <t>CPF 11544188714</t>
  </si>
  <si>
    <t>Rua Democracia 27 - bar do macaco, Rio de Janeiro - CEP: 23094450, Rio de Janeiro</t>
  </si>
  <si>
    <t>11544188714</t>
  </si>
  <si>
    <t>Rua Democracia 27 / bar do macaco Referencia: em cima do bar do macaco - CEP 23094450 - Santíssimo, Rio de Janeiro, Rio de Janeiro</t>
  </si>
  <si>
    <t>23094450</t>
  </si>
  <si>
    <t>21 de novembro | 23:51</t>
  </si>
  <si>
    <t>22 de novembro | 09:46</t>
  </si>
  <si>
    <t>MEL44075963557LMXDF01</t>
  </si>
  <si>
    <t>2000009819374276</t>
  </si>
  <si>
    <t>12 de novembro de 2024 11:42 hs.</t>
  </si>
  <si>
    <t>carlos pereira</t>
  </si>
  <si>
    <t>CPF 57473200682</t>
  </si>
  <si>
    <t>Rua Major João Gonçalves 1014, Alpinópolis - CEP: 37940000, Minas Gerais</t>
  </si>
  <si>
    <t>57473200682</t>
  </si>
  <si>
    <t>Rua Major João Gonçalves 1014 / CEP 37940000 - mundo novo, Alpinópolis, Minas Gerais</t>
  </si>
  <si>
    <t>Alpinópolis</t>
  </si>
  <si>
    <t>37940000</t>
  </si>
  <si>
    <t>23 de novembro | 16:36</t>
  </si>
  <si>
    <t>MEL44075677725LMXDF01</t>
  </si>
  <si>
    <t>2000009819317184</t>
  </si>
  <si>
    <t>12 de novembro de 2024 11:38 hs.</t>
  </si>
  <si>
    <t>Jorge Matias Dos Santos</t>
  </si>
  <si>
    <t>CPF 90461908549</t>
  </si>
  <si>
    <t>Rua Silveira Martins 70 - bloco 286,apart 203, Salvador - CEP: 41150000, Bahia</t>
  </si>
  <si>
    <t>90461908549</t>
  </si>
  <si>
    <t>Rua Silveira Martins 70 / bloco 286,apart 203 Referencia: do lado da CEEINFOR antiga oi - CEP 41150000 - Cabula, Salvador, Bahia</t>
  </si>
  <si>
    <t>41150000</t>
  </si>
  <si>
    <t>23 de novembro | 16:43</t>
  </si>
  <si>
    <t>MEL44075656185LMXDF01</t>
  </si>
  <si>
    <t>2000009819227622</t>
  </si>
  <si>
    <t>12 de novembro de 2024 11:31 hs.</t>
  </si>
  <si>
    <t>Larissa Tavares</t>
  </si>
  <si>
    <t>CPF 12806830745</t>
  </si>
  <si>
    <t>Rua Oitenta e Cinco 01 - quadra 452 lote 07, Maricá - CEP: 24933445, Rio de Janeiro</t>
  </si>
  <si>
    <t>12806830745</t>
  </si>
  <si>
    <t>Rua Oitenta e Cinco 01 / quadra 452 lote 07 Referencia: Duas ruas depois do posto de saúde da rua 83 (posto Santa Rita), quase esquina com a rua Antonio Marques Mathias (rua 36) - CEP 24933445 - Jardim Atlântico Leste (Itaipuaçu), Maricá, Rio de Janeiro</t>
  </si>
  <si>
    <t>24933445</t>
  </si>
  <si>
    <t>22 de novembro | 16:38</t>
  </si>
  <si>
    <t>MEL44075617943LMXDF01</t>
  </si>
  <si>
    <t>2000006619552021</t>
  </si>
  <si>
    <t>12 de novembro de 2024 11:24 hs.</t>
  </si>
  <si>
    <t>hercules silva</t>
  </si>
  <si>
    <t>CPF 01165604604</t>
  </si>
  <si>
    <t>Avenida Flávio dos Santos 320, Belo Horizonte - CEP: 31015150, Minas Gerais</t>
  </si>
  <si>
    <t>01165604604</t>
  </si>
  <si>
    <t>Avenida Flávio dos Santos 320 / Apto 03 - CEP 31015150 - Floresta, Belo Horizonte, Minas Gerais</t>
  </si>
  <si>
    <t>31015150</t>
  </si>
  <si>
    <t>22 de novembro | 01:23</t>
  </si>
  <si>
    <t>22 de novembro | 20:02</t>
  </si>
  <si>
    <t>MEL44075783090LMXDF01</t>
  </si>
  <si>
    <t>2000009805551870</t>
  </si>
  <si>
    <t>12 de novembro de 2024 10:33 hs.</t>
  </si>
  <si>
    <t>Jose Phillipe Thiago Oliveira de Souza</t>
  </si>
  <si>
    <t>CPF 06343958401</t>
  </si>
  <si>
    <t>Rua Frei Paulo 05 - Vila Sergipe, Piranhas - CEP: 57465473, Alagoas</t>
  </si>
  <si>
    <t>06343958401</t>
  </si>
  <si>
    <t>Rua Frei Paulo 05 / Vila Sergipe - CEP 57465473 - Vila Sergipe, Piranhas, Alagoas</t>
  </si>
  <si>
    <t>57465473</t>
  </si>
  <si>
    <t>26 de novembro | 17:19</t>
  </si>
  <si>
    <t>MEL44069555366LMXDF01</t>
  </si>
  <si>
    <t>2000006619162079</t>
  </si>
  <si>
    <t>12 de novembro de 2024 10:21 hs.</t>
  </si>
  <si>
    <t>enafarcarvalhos enafarcarvalhos</t>
  </si>
  <si>
    <t>CPF 15665765716</t>
  </si>
  <si>
    <t>Rua Curitiba 372, Cabo Frio - CEP: 28911140, Rio de Janeiro</t>
  </si>
  <si>
    <t>15665765716</t>
  </si>
  <si>
    <t>Rua Curitiba 372 / Casa 2 Referencia: Final Da Rua Porto Alegre. Ao Lado Do Bar Da Torre. - CEP 28911140 - Jardim Olinda, Cabo Frio, Rio de Janeiro</t>
  </si>
  <si>
    <t>Cabo Frio</t>
  </si>
  <si>
    <t>28911140</t>
  </si>
  <si>
    <t>22 de novembro | 00:21</t>
  </si>
  <si>
    <t>22 de novembro | 13:00</t>
  </si>
  <si>
    <t>MEL44075490082LMXDF01</t>
  </si>
  <si>
    <t>2000009818388806</t>
  </si>
  <si>
    <t>12 de novembro de 2024 10:04 hs.</t>
  </si>
  <si>
    <t>Miricliane Assuncao Valente</t>
  </si>
  <si>
    <t>CPF 71517030234</t>
  </si>
  <si>
    <t>Rua Adalberto Tadeu Vorobi 259 - casa, Curitiba - CEP: 82920380, Paraná</t>
  </si>
  <si>
    <t>71517030234</t>
  </si>
  <si>
    <t>Rua Adalberto Tadeu Vorobi 259 / casa Referencia: casa azul de esquina - CEP 82920380 - Cajuru, Curitiba, Paraná</t>
  </si>
  <si>
    <t>82920380</t>
  </si>
  <si>
    <t>23 de novembro | 18:10</t>
  </si>
  <si>
    <t>MEL44075417092LMXDF01</t>
  </si>
  <si>
    <t>2000006618917285</t>
  </si>
  <si>
    <t>12 de novembro de 2024 09:35 hs.</t>
  </si>
  <si>
    <t>Valdemir Araujo Santos</t>
  </si>
  <si>
    <t>CPF 29225910851</t>
  </si>
  <si>
    <t>Rua Sete de Setembro 314, Itagi - CEP: 45230000, Bahia</t>
  </si>
  <si>
    <t>29225910851</t>
  </si>
  <si>
    <t>Rua Sete de Setembro 314 / CEP 45230000 - Centro, Itagi, Bahia</t>
  </si>
  <si>
    <t>Itagi</t>
  </si>
  <si>
    <t>45230000</t>
  </si>
  <si>
    <t>22 de novembro | 04:50</t>
  </si>
  <si>
    <t>25 de novembro | 18:53</t>
  </si>
  <si>
    <t>MEL44075098951LMXDF01</t>
  </si>
  <si>
    <t>2000009818095582</t>
  </si>
  <si>
    <t>12 de novembro de 2024 09:32 hs.</t>
  </si>
  <si>
    <t>Marcia Albano Fabiano</t>
  </si>
  <si>
    <t>CPF 24917480884</t>
  </si>
  <si>
    <t>Rua Mário Tupinambá 52 - casa 2, São Paulo - CEP: 05164100, São Paulo</t>
  </si>
  <si>
    <t>24917480884</t>
  </si>
  <si>
    <t>Rua Mário Tupinambá 52 / casa 2 - CEP 05164100 - Conjunto Habitacional Turística, São Paulo, São Paulo</t>
  </si>
  <si>
    <t>05164100</t>
  </si>
  <si>
    <t>23 de novembro | 11:48</t>
  </si>
  <si>
    <t>MEL44075086925LMXDF01</t>
  </si>
  <si>
    <t>2000009818065766</t>
  </si>
  <si>
    <t>12 de novembro de 2024 09:29 hs.</t>
  </si>
  <si>
    <t>Gisele Silva</t>
  </si>
  <si>
    <t>CPF 58627472904</t>
  </si>
  <si>
    <t>Rua Rodolfo Augusto da Silva 252, Varginha - CEP: 37036710, Minas Gerais</t>
  </si>
  <si>
    <t>58627472904</t>
  </si>
  <si>
    <t>Rua Rodolfo Augusto da Silva 252 / CEP 37036710 - Jardim Corcetti I, Varginha, Minas Gerais</t>
  </si>
  <si>
    <t>Varginha</t>
  </si>
  <si>
    <t>37036710</t>
  </si>
  <si>
    <t>22 de novembro | 02:21</t>
  </si>
  <si>
    <t>22 de novembro | 16:42</t>
  </si>
  <si>
    <t>MEL44075075747LMXDF01</t>
  </si>
  <si>
    <t>2000009817897498</t>
  </si>
  <si>
    <t>12 de novembro de 2024 09:08 hs.</t>
  </si>
  <si>
    <t>Valéria Alves</t>
  </si>
  <si>
    <t>CPF 01201594731</t>
  </si>
  <si>
    <t>Rua Renato Meira Lima 38 - 203, Rio De Janeiro - CEP: 22735120, Rio de Janeiro</t>
  </si>
  <si>
    <t>01201594731</t>
  </si>
  <si>
    <t>Rua Renato Meira Lima 38 / 203 - CEP 22735120 - Tanque, Rio de Janeiro, Rio de Janeiro</t>
  </si>
  <si>
    <t>22735120</t>
  </si>
  <si>
    <t>22 de novembro | 19:48</t>
  </si>
  <si>
    <t>MEL44075189720LMXDF01</t>
  </si>
  <si>
    <t>2000009817829348</t>
  </si>
  <si>
    <t>12 de novembro de 2024 08:58 hs.</t>
  </si>
  <si>
    <t>Carolina Javaro</t>
  </si>
  <si>
    <t>CPF 26671422842</t>
  </si>
  <si>
    <t>Avenida Laranjal Paulista 3750 - B1, Piracicaba - CEP: 13401630, São Paulo</t>
  </si>
  <si>
    <t>26671422842</t>
  </si>
  <si>
    <t>Avenida Laranjal Paulista 3750 / B1 Referencia: Residencial Ágape - CEP 13401630 - Campestre, Piracicaba, São Paulo</t>
  </si>
  <si>
    <t>13401630</t>
  </si>
  <si>
    <t>22 de novembro | 05:31</t>
  </si>
  <si>
    <t>23 de novembro | 12:27</t>
  </si>
  <si>
    <t>MEL44075155452LMXDF01</t>
  </si>
  <si>
    <t>2000009817809312</t>
  </si>
  <si>
    <t>12 de novembro de 2024 08:55 hs.</t>
  </si>
  <si>
    <t>Nilcesar Luís Foster</t>
  </si>
  <si>
    <t>CPF 04926878895</t>
  </si>
  <si>
    <t>Rua Calil Baruque 397 - Casa, Santa Bárbara D'Oeste - CEP: 13450402, São Paulo</t>
  </si>
  <si>
    <t>04926878895</t>
  </si>
  <si>
    <t>Rua Calil Baruque 397 / Casa - CEP 13450402 - Linópolis 1ª Gleba, Santa Bárbara D'Oeste, São Paulo</t>
  </si>
  <si>
    <t>Santa Bárbara D'Oeste</t>
  </si>
  <si>
    <t>13450402</t>
  </si>
  <si>
    <t>23 de novembro | 13:36</t>
  </si>
  <si>
    <t>MEL44075144336LMXDF01</t>
  </si>
  <si>
    <t>2000009817799168</t>
  </si>
  <si>
    <t>12 de novembro de 2024 08:54 hs.</t>
  </si>
  <si>
    <t>Erika Do Socorro Sampaio Calisto</t>
  </si>
  <si>
    <t>CPF 71692665200</t>
  </si>
  <si>
    <t>Rodovia Mário Covas 13 - Residencial SION, Belém - CEP: 66652000, Pará</t>
  </si>
  <si>
    <t>71692665200</t>
  </si>
  <si>
    <t>Rodovia Mário Covas 13 / Residencial SION Referencia: Residencial SION - Bloco B - Apartamento 102 - Em frente o SESI - CEP 66652000 - Una, Belém, Pará</t>
  </si>
  <si>
    <t>66652000</t>
  </si>
  <si>
    <t>26 de novembro | 14:34</t>
  </si>
  <si>
    <t>MEL44074945347LMXDF01</t>
  </si>
  <si>
    <t>2000009817788338</t>
  </si>
  <si>
    <t>12 de novembro de 2024 08:51 hs.</t>
  </si>
  <si>
    <t>Rosane Kruchinski</t>
  </si>
  <si>
    <t>CPF 00189624086</t>
  </si>
  <si>
    <t>Rua Luís Dezordi 113, Gaurama - CEP: 99830000, Rio Grande do Sul</t>
  </si>
  <si>
    <t>00189624086</t>
  </si>
  <si>
    <t>Rua Luís Dezordi 113 / CEP 99830000 - Bela vista, Gaurama, Rio Grande do Sul</t>
  </si>
  <si>
    <t>Gaurama</t>
  </si>
  <si>
    <t>99830000</t>
  </si>
  <si>
    <t>26 de novembro | 11:43</t>
  </si>
  <si>
    <t>MEL44074932759LMXDF01</t>
  </si>
  <si>
    <t>2000009817457388</t>
  </si>
  <si>
    <t>12 de novembro de 2024 07:57 hs.</t>
  </si>
  <si>
    <t>michel rodrigues</t>
  </si>
  <si>
    <t>CPF 34931025854</t>
  </si>
  <si>
    <t>Rua Doutor Francisco Tancredi 669, São Paulo - CEP: 08080490, São Paulo</t>
  </si>
  <si>
    <t>34931025854</t>
  </si>
  <si>
    <t>Rua Doutor Francisco Tancredi 669 / Casa - CEP 08080490 - Parque Paulistano, São Paulo, São Paulo</t>
  </si>
  <si>
    <t>08080490</t>
  </si>
  <si>
    <t>23 de novembro | 12:33</t>
  </si>
  <si>
    <t>MEL44074779877LMXDF01</t>
  </si>
  <si>
    <t>2000009817323734</t>
  </si>
  <si>
    <t>12 de novembro de 2024 07:29 hs.</t>
  </si>
  <si>
    <t>Valeria Rodrigues da Costa</t>
  </si>
  <si>
    <t>CPF 19467367831</t>
  </si>
  <si>
    <t>Avenida Ernesto Albuquerque 136, Caraguatatuba - CEP: 11667750, São Paulo</t>
  </si>
  <si>
    <t>19467367831</t>
  </si>
  <si>
    <t>Avenida Ernesto Albuquerque 136 / Referencia: Na ausência deixar com de frente (n 147 com Paula ou Tiago) ou casa da esquina (azul e amarela) Nelson ou Ana. - CEP 11667750 - Jardim Porto Novo, Caraguatatuba, São Paulo</t>
  </si>
  <si>
    <t>Caraguatatuba</t>
  </si>
  <si>
    <t>11667750</t>
  </si>
  <si>
    <t>23 de novembro | 12:12</t>
  </si>
  <si>
    <t>MEL44074713183LMXDF01</t>
  </si>
  <si>
    <t>2000009817139226</t>
  </si>
  <si>
    <t>12 de novembro de 2024 06:26 hs.</t>
  </si>
  <si>
    <t>Débora  Silva</t>
  </si>
  <si>
    <t>CPF 05795650927</t>
  </si>
  <si>
    <t>Rua Desembargador José Carlos Ribeiro Ribas 973 - Casa 9, Curitiba - CEP: 82130300, Paraná</t>
  </si>
  <si>
    <t>05795650927</t>
  </si>
  <si>
    <t>Rua Desembargador José Carlos Ribeiro Ribas 973 / Casa 9 Referencia: Tocar o interfone. Caso eu não esteja pode deixar com algum vizinho do condomínio - CEP 82130300 - Abranches, Curitiba, Paraná</t>
  </si>
  <si>
    <t>82130300</t>
  </si>
  <si>
    <t>23 de novembro | 17:33</t>
  </si>
  <si>
    <t>MEL44074811482LMXDF01</t>
  </si>
  <si>
    <t>2000006618309595</t>
  </si>
  <si>
    <t>12 de novembro de 2024 06:07 hs.</t>
  </si>
  <si>
    <t>Suzy Nara Jordao Carreira</t>
  </si>
  <si>
    <t>CPF 06068519686</t>
  </si>
  <si>
    <t>Rua José Augusto Ferreira 255 255, Caeté - CEP: 34800000, Minas Gerais</t>
  </si>
  <si>
    <t>06068519686</t>
  </si>
  <si>
    <t>Rua José Augusto Ferreira 255 / CEP 34800000 - Centro, Caeté, Minas Gerais</t>
  </si>
  <si>
    <t>Caeté</t>
  </si>
  <si>
    <t>34800000</t>
  </si>
  <si>
    <t>MEL44074791926LMXDF01</t>
  </si>
  <si>
    <t>2000009816317938</t>
  </si>
  <si>
    <t>12 de novembro de 2024 00:36 hs.</t>
  </si>
  <si>
    <t>Carolina Dos Reis Fernandes</t>
  </si>
  <si>
    <t>CPF 52011319803</t>
  </si>
  <si>
    <t>Rua Antônio Canteli 327 - Antiga Rua 77, Indaiatuba - CEP: 13348380, São Paulo</t>
  </si>
  <si>
    <t>52011319803</t>
  </si>
  <si>
    <t>Rua Antônio Canteli 327 / Antiga Rua 77 - CEP 13348380 - Jardim Morada do Sol, Indaiatuba, São Paulo</t>
  </si>
  <si>
    <t>13348380</t>
  </si>
  <si>
    <t>23 de novembro | 13:48</t>
  </si>
  <si>
    <t>MEL44074454586LMXDF01</t>
  </si>
  <si>
    <t>2000009816219428</t>
  </si>
  <si>
    <t>12 de novembro de 2024 00:19 hs.</t>
  </si>
  <si>
    <t>Ralph Canola</t>
  </si>
  <si>
    <t>CPF 08193546865</t>
  </si>
  <si>
    <t>Avenida Salgado Filho 494, Guarulhos - CEP: 07115000, São Paulo</t>
  </si>
  <si>
    <t>08193546865</t>
  </si>
  <si>
    <t>Avenida Salgado Filho 494 / CEP 07115000 - Centro, Guarulhos, São Paulo</t>
  </si>
  <si>
    <t>23 de novembro | 10:44</t>
  </si>
  <si>
    <t>MEL44074217677LMXDF01</t>
  </si>
  <si>
    <t>2000006617418063</t>
  </si>
  <si>
    <t>11 de novembro de 2024 23:19 hs.</t>
  </si>
  <si>
    <t>CASA Vettori</t>
  </si>
  <si>
    <t>CPF 05448988695</t>
  </si>
  <si>
    <t>Rua Maria Antonieta 184, Varginha - CEP: 37014270, Minas Gerais</t>
  </si>
  <si>
    <t>05448988695</t>
  </si>
  <si>
    <t>Rua Maria Antonieta 184 / CEP 37014270 - Bom Pastor, Varginha, Minas Gerais</t>
  </si>
  <si>
    <t>37014270</t>
  </si>
  <si>
    <t>22 de novembro | 19:01</t>
  </si>
  <si>
    <t>MEL44074017945LMXDF01</t>
  </si>
  <si>
    <t>2000006617399131</t>
  </si>
  <si>
    <t>11 de novembro de 2024 23:16 hs.</t>
  </si>
  <si>
    <t>Mauriene Ueno belarmino</t>
  </si>
  <si>
    <t>CPF 02834342105</t>
  </si>
  <si>
    <t>Rua Rubens Henrique Picchi 311 - B6 B22, Guarulhos - CEP: 07190907, São Paulo</t>
  </si>
  <si>
    <t>02834342105</t>
  </si>
  <si>
    <t>Rua Rubens Henrique Picchi 311 / B6 B22 Referencia: Condomínio Santa Catarina - CEP 07190907 - Parque Cecap, Guarulhos, São Paulo</t>
  </si>
  <si>
    <t>07190907</t>
  </si>
  <si>
    <t>23 de novembro | 14:01</t>
  </si>
  <si>
    <t>MEL44074007359LMXDF01</t>
  </si>
  <si>
    <t>2000006617300061</t>
  </si>
  <si>
    <t>11 de novembro de 2024 22:59 hs.</t>
  </si>
  <si>
    <t>Maria Elizabeth de Alvarenga Ribeiro</t>
  </si>
  <si>
    <t>CPF 21130361772</t>
  </si>
  <si>
    <t>Quadra SQS 303 Bloco F 402 - apartamento 402, Brasília - CEP: 70336060, Distrito Federal</t>
  </si>
  <si>
    <t>21130361772</t>
  </si>
  <si>
    <t>Quadra SQS 303 Bloco F 402 / apartamento 402 - CEP 70336060 - Asa Sul, Brasília, Distrito Federal</t>
  </si>
  <si>
    <t>70336060</t>
  </si>
  <si>
    <t>23 de novembro | 19:12</t>
  </si>
  <si>
    <t>MEL44074135018LMXDF01</t>
  </si>
  <si>
    <t>2000006617278557</t>
  </si>
  <si>
    <t>11 de novembro de 2024 22:56 hs.</t>
  </si>
  <si>
    <t>Luis Paulo Lacerda Grassi Moura</t>
  </si>
  <si>
    <t>CPF 09656882750</t>
  </si>
  <si>
    <t>Rua do Mirante 156, Saquarema - CEP: 28991379, Rio de Janeiro</t>
  </si>
  <si>
    <t>09656882750</t>
  </si>
  <si>
    <t>Rua do Mirante 156 / Referencia: Antiga rua E , lote 5 quadra 6 perto do Crossfit mirante/Restriçao-18a21h/Condomínio-No/Portaria-NA/Elevador-NA/Escalera-No - CEP 28991379 - Porto da Roça I, Saquarema, Rio de Janeiro</t>
  </si>
  <si>
    <t>28991379</t>
  </si>
  <si>
    <t>22 de novembro | 12:17</t>
  </si>
  <si>
    <t>MEL44074120444LMXDF01</t>
  </si>
  <si>
    <t>2000009815225604</t>
  </si>
  <si>
    <t>11 de novembro de 2024 22:28 hs.</t>
  </si>
  <si>
    <t>Sueli  Da Silva Lustosa</t>
  </si>
  <si>
    <t>CPF 01716845327</t>
  </si>
  <si>
    <t>Avenida Antônio Dias Macieira Filho 180 - casa, Ferraz de Vasconcelos - CEP: 08507030, São Paulo</t>
  </si>
  <si>
    <t>01716845327</t>
  </si>
  <si>
    <t>Avenida Antônio Dias Macieira Filho 180 / casa - CEP 08507030 - Vila São Paulo, Ferraz de Vasconcelos, São Paulo</t>
  </si>
  <si>
    <t>Ferraz de Vasconcelos</t>
  </si>
  <si>
    <t>08507030</t>
  </si>
  <si>
    <t>23 de novembro | 13:21</t>
  </si>
  <si>
    <t>MEL44073998548LMXDF01</t>
  </si>
  <si>
    <t>2000009815232450</t>
  </si>
  <si>
    <t>11 de novembro de 2024 22:27 hs.</t>
  </si>
  <si>
    <t>Maria Auxiliadora Santana E Silva</t>
  </si>
  <si>
    <t>CPF 44301766472</t>
  </si>
  <si>
    <t>Rua Antônio Firmino da Silva 131, Petrolina - CEP: 56321450, Pernambuco</t>
  </si>
  <si>
    <t>44301766472</t>
  </si>
  <si>
    <t>Rua Antônio Firmino da Silva 131 / CEP 56321450 - Antônio Cassimiro, Petrolina, Pernambuco</t>
  </si>
  <si>
    <t>56321450</t>
  </si>
  <si>
    <t>25 de novembro | 14:40</t>
  </si>
  <si>
    <t>MEL44073802143LMXDF01</t>
  </si>
  <si>
    <t>2000009815192238</t>
  </si>
  <si>
    <t>11 de novembro de 2024 22:23 hs.</t>
  </si>
  <si>
    <t>Victor Hugo Almiron</t>
  </si>
  <si>
    <t>CPF 14472347822</t>
  </si>
  <si>
    <t>Rua Santa Elza 159, São José dos Campos - CEP: 12243690, São Paulo</t>
  </si>
  <si>
    <t>14472347822</t>
  </si>
  <si>
    <t>Rua Santa Elza 159 / Ap. 71 - CEP 12243690 - Vila Adyana, São José dos Campos, São Paulo</t>
  </si>
  <si>
    <t>12243690</t>
  </si>
  <si>
    <t>25 de novembro | 16:04</t>
  </si>
  <si>
    <t>MEL44073784417LMXDF01</t>
  </si>
  <si>
    <t>2000006617038461</t>
  </si>
  <si>
    <t>11 de novembro de 2024 22:20 hs.</t>
  </si>
  <si>
    <t>Rogerio Amelino Silva</t>
  </si>
  <si>
    <t>CPF 99746310682</t>
  </si>
  <si>
    <t>Rua Dez de Novembro 268, Belo Horizonte - CEP: 31741120, Minas Gerais</t>
  </si>
  <si>
    <t>99746310682</t>
  </si>
  <si>
    <t>31741120</t>
  </si>
  <si>
    <t>2000006616996225</t>
  </si>
  <si>
    <t>11 de novembro de 2024 22:14 hs.</t>
  </si>
  <si>
    <t>Eduardo Oliveira</t>
  </si>
  <si>
    <t>CPF 03320554778</t>
  </si>
  <si>
    <t>Rua Wilson Gilda Mata 166 - casa, São João de Meriti - CEP: 25515101, Rio de Janeiro</t>
  </si>
  <si>
    <t>03320554778</t>
  </si>
  <si>
    <t>Rua Wilson Gilda Mata 166 / casa Referencia: Tocar O Interfone, Próximo Ao Sargento Ferragens - CEP 25515101 - Centro, São João de Meriti, Rio de Janeiro</t>
  </si>
  <si>
    <t>25515101</t>
  </si>
  <si>
    <t>22 de novembro | 01:17</t>
  </si>
  <si>
    <t>22 de novembro | 11:25</t>
  </si>
  <si>
    <t>MEL44073927606LMXDF01</t>
  </si>
  <si>
    <t>2000009814669856</t>
  </si>
  <si>
    <t>11 de novembro de 2024 21:42 hs.</t>
  </si>
  <si>
    <t>Robson Roberts Mario</t>
  </si>
  <si>
    <t>CPF 03545759881</t>
  </si>
  <si>
    <t>Rua Venâncio 61, Guarulhos - CEP: 07174040, São Paulo</t>
  </si>
  <si>
    <t>03545759881</t>
  </si>
  <si>
    <t>Rua Venâncio 61 / CEP 07174040 - Residencial Parque Cumbica, Guarulhos, São Paulo</t>
  </si>
  <si>
    <t>07174040</t>
  </si>
  <si>
    <t>23 de novembro | 12:24</t>
  </si>
  <si>
    <t>MEL44073567857LMXDF01</t>
  </si>
  <si>
    <t>2000009814514920</t>
  </si>
  <si>
    <t>11 de novembro de 2024 21:28 hs.</t>
  </si>
  <si>
    <t>Edson Noronha</t>
  </si>
  <si>
    <t>CPF 02029228125</t>
  </si>
  <si>
    <t>Avenida Brasil 88 - impacto insulfim, Juara - CEP: 78575000, Mato Grosso</t>
  </si>
  <si>
    <t>02029228125</t>
  </si>
  <si>
    <t>Avenida Brasil 88 / impacto insulfim - CEP 78575000 - jardim América, Juara, Mato Grosso</t>
  </si>
  <si>
    <t>26 de novembro | 11:46</t>
  </si>
  <si>
    <t>MEL44073498301LMXDF01</t>
  </si>
  <si>
    <t>2000009814484632</t>
  </si>
  <si>
    <t>11 de novembro de 2024 21:24 hs.</t>
  </si>
  <si>
    <t>Margarete Reimberg da Cruz</t>
  </si>
  <si>
    <t>CPF 18472675807</t>
  </si>
  <si>
    <t>Estrada Do Guavirituba 693, São Paulo - CEP: 04937000, São Paulo</t>
  </si>
  <si>
    <t>18472675807</t>
  </si>
  <si>
    <t>Estrada Do Guavirituba 693 / B - CEP 04937000 - Vila Bom Jardim, São Paulo, São Paulo</t>
  </si>
  <si>
    <t>04937000</t>
  </si>
  <si>
    <t>MEL44073480973LMXDF01</t>
  </si>
  <si>
    <t>https://myaccount.mercadolivre.com.br/shipments/44073480973/detail</t>
  </si>
  <si>
    <t>2000006616594435</t>
  </si>
  <si>
    <t>11 de novembro de 2024 21:16 hs.</t>
  </si>
  <si>
    <t>Angela Cristina</t>
  </si>
  <si>
    <t>CPF 99462524149</t>
  </si>
  <si>
    <t>BR-163 47, Matupá - CEP: 78525000, Mato Grosso</t>
  </si>
  <si>
    <t>99462524149</t>
  </si>
  <si>
    <t>BR-163 47 / Referencia: a trás da amaflex - CEP 78525000 - chácara sol nascente, Matupá, Mato Grosso</t>
  </si>
  <si>
    <t>Matupá</t>
  </si>
  <si>
    <t>78525000</t>
  </si>
  <si>
    <t>29 de novembro | 22:25</t>
  </si>
  <si>
    <t>00240234384922</t>
  </si>
  <si>
    <t>https://ssw.inf.br/app/meli/00240234384922</t>
  </si>
  <si>
    <t>2000009814390448</t>
  </si>
  <si>
    <t>2000009814383296</t>
  </si>
  <si>
    <t>2000006616564929</t>
  </si>
  <si>
    <t>11 de novembro de 2024 21:13 hs.</t>
  </si>
  <si>
    <t>ELIANE LOPES</t>
  </si>
  <si>
    <t>CPF 22905324104</t>
  </si>
  <si>
    <t>Quadra SGAN 911 206, Brasília - CEP: 70790110, Distrito Federal</t>
  </si>
  <si>
    <t>22905324104</t>
  </si>
  <si>
    <t>Quadra SGAN 911 206 / Bloco J - Gren Park  Referencia: Condominio Gren Park - CEP 70790110 - Asa Norte, Brasília, Distrito Federal</t>
  </si>
  <si>
    <t>70790110</t>
  </si>
  <si>
    <t>23 de novembro | 17:21</t>
  </si>
  <si>
    <t>MEL44073428201LMXDF01</t>
  </si>
  <si>
    <t>2000006616530481</t>
  </si>
  <si>
    <t>11 de novembro de 2024 21:08 hs.</t>
  </si>
  <si>
    <t>Marta Gomes</t>
  </si>
  <si>
    <t>CPF 56556721620</t>
  </si>
  <si>
    <t>Rua São Mateus 7 - -, Montes Claros - CEP: 39400139, Minas Gerais</t>
  </si>
  <si>
    <t>56556721620</t>
  </si>
  <si>
    <t>Rua São Mateus 7 / - Referencia: Fechado aos sábados e horário de almoço - CEP 39400139 - Todos os Santos, Montes Claros, Minas Gerais</t>
  </si>
  <si>
    <t>39400139</t>
  </si>
  <si>
    <t>23 de novembro | 14:59</t>
  </si>
  <si>
    <t>MEL44073396667LMXDF01</t>
  </si>
  <si>
    <t>2000009814194214</t>
  </si>
  <si>
    <t>11 de novembro de 2024 21:02 hs.</t>
  </si>
  <si>
    <t>Caio Cesar Dos Santos</t>
  </si>
  <si>
    <t>CPF 37902782890</t>
  </si>
  <si>
    <t>Rua Francisco Alves 200 - Casa, Campinas - CEP: 13020380, São Paulo</t>
  </si>
  <si>
    <t>37902782890</t>
  </si>
  <si>
    <t>Rua Francisco Alves 200 / Casa Referencia: Casa de esquina, portão de madeira, companhia fica perto do portãozinho de ferro, na parte de dentro - CEP 13020380 - Botafogo, Campinas, São Paulo</t>
  </si>
  <si>
    <t>13020380</t>
  </si>
  <si>
    <t>22 de novembro | 04:49</t>
  </si>
  <si>
    <t>23 de novembro | 16:29</t>
  </si>
  <si>
    <t>MEL44073549492LMXDF01</t>
  </si>
  <si>
    <t>2000006616474367</t>
  </si>
  <si>
    <t>11 de novembro de 2024 21:01 hs.</t>
  </si>
  <si>
    <t>Sonia Valda Rocha de Faria</t>
  </si>
  <si>
    <t>CPF 65310993487</t>
  </si>
  <si>
    <t>Rua Victório Spinucci 898 - casa50 rua3, Várzea Paulista - CEP: 13223200, São Paulo</t>
  </si>
  <si>
    <t>65310993487</t>
  </si>
  <si>
    <t>Rua Victório Spinucci 898 / casa50 rua3 Referencia: condomínio chacur - CEP 13223200 - Jardim Promeca, Várzea Paulista, São Paulo</t>
  </si>
  <si>
    <t>13223200</t>
  </si>
  <si>
    <t>23 de novembro | 09:30</t>
  </si>
  <si>
    <t>MEL44073548166LMXDF01</t>
  </si>
  <si>
    <t>2000006616178559</t>
  </si>
  <si>
    <t>11 de novembro de 2024 20:21 hs.</t>
  </si>
  <si>
    <t>Fernando Coelho</t>
  </si>
  <si>
    <t>CPF 84124962991</t>
  </si>
  <si>
    <t>AVENIDA BRASIL 507, Imbituba - CEP: 88780000, Santa Catarina</t>
  </si>
  <si>
    <t>84124962991</t>
  </si>
  <si>
    <t>AVENIDA BRASIL 507 / CEP 88780000 - Paes Leme, Imbituba, Santa Catarina</t>
  </si>
  <si>
    <t>Imbituba</t>
  </si>
  <si>
    <t>88780000</t>
  </si>
  <si>
    <t>26 de novembro | 12:29</t>
  </si>
  <si>
    <t>MEL44073135821LMXDF01</t>
  </si>
  <si>
    <t>https://myaccount.mercadolivre.com.br/shipments/44073135821/detail</t>
  </si>
  <si>
    <t>2000009812286430</t>
  </si>
  <si>
    <t>11 de novembro de 2024 18:09 hs.</t>
  </si>
  <si>
    <t>Gilson Shyuji Kanaya</t>
  </si>
  <si>
    <t>CPF 09847475830</t>
  </si>
  <si>
    <t>Rua Presidente Campos Salles 1480 - alto ipiranga, Mogi das Cruzes - CEP: 08730490, São Paulo</t>
  </si>
  <si>
    <t>09847475830</t>
  </si>
  <si>
    <t>Rua Presidente Campos Salles 1480 / alto ipiranga - CEP 08730490 - Centro, Mogi das Cruzes, São Paulo</t>
  </si>
  <si>
    <t>Mogi das Cruzes</t>
  </si>
  <si>
    <t>08730490</t>
  </si>
  <si>
    <t>23 de novembro | 13:54</t>
  </si>
  <si>
    <t>MEL44072706708LMXDF01</t>
  </si>
  <si>
    <t>2000006615046221</t>
  </si>
  <si>
    <t>11 de novembro de 2024 17:22 hs.</t>
  </si>
  <si>
    <t>Assis Junior Fernandes</t>
  </si>
  <si>
    <t>CPF 09983952696</t>
  </si>
  <si>
    <t>rua andorinhas 72 72, Presidente Olegário - CEP: 38750000, Minas Gerais</t>
  </si>
  <si>
    <t>09983952696</t>
  </si>
  <si>
    <t>rua andorinhas 72 72 / CEP 38750000 - planalto, Presidente Olegário, Minas Gerais</t>
  </si>
  <si>
    <t>Presidente Olegário</t>
  </si>
  <si>
    <t>38750000</t>
  </si>
  <si>
    <t>15 de novembro | 02:54</t>
  </si>
  <si>
    <t>20 de novembro | 10:58</t>
  </si>
  <si>
    <t>MEL44072275343LMXDF01</t>
  </si>
  <si>
    <t>2000009811538128</t>
  </si>
  <si>
    <t>11 de novembro de 2024 17:00 hs.</t>
  </si>
  <si>
    <t>Chegou em 16 de novembro</t>
  </si>
  <si>
    <t>00346</t>
  </si>
  <si>
    <t>MLB3767044151</t>
  </si>
  <si>
    <t>Mix Enzimas Digestivas 60 Cápsulas - Gastrorresistente</t>
  </si>
  <si>
    <t>Adilson Xavier de Matos</t>
  </si>
  <si>
    <t>CPF 07133063603</t>
  </si>
  <si>
    <t>Rua Antônio Vitórino de Carvalho 36, Vermelho Novo - CEP: 35359000, Minas Gerais</t>
  </si>
  <si>
    <t>07133063603</t>
  </si>
  <si>
    <t>Rua Antônio Vitórino de Carvalho 36 / salao do Adilson - CEP 35359000 - Centro, Vermelho Novo, Minas Gerais</t>
  </si>
  <si>
    <t>Vermelho Novo</t>
  </si>
  <si>
    <t>35359000</t>
  </si>
  <si>
    <t>16 de novembro | 11:46</t>
  </si>
  <si>
    <t>MEL44072355394LMXDF01</t>
  </si>
  <si>
    <t>2000006614878643</t>
  </si>
  <si>
    <t>11 de novembro de 2024 16:58 hs.</t>
  </si>
  <si>
    <t>Gabriel de Souza Rodrigues</t>
  </si>
  <si>
    <t>CPF 42140431898</t>
  </si>
  <si>
    <t>Avenida Rio Branco 1526 - borracharia bm pneus, Adamantina - CEP: 17800009, São Paulo</t>
  </si>
  <si>
    <t>42140431898</t>
  </si>
  <si>
    <t>Avenida Rio Branco 1526 / borracharia bm pneus Referencia: borracharia bem na esquina em frente o cia lanches - CEP 17800009 - Centro, Adamantina, São Paulo</t>
  </si>
  <si>
    <t>Adamantina</t>
  </si>
  <si>
    <t>17800009</t>
  </si>
  <si>
    <t>15 de novembro | 02:47</t>
  </si>
  <si>
    <t>16 de novembro | 13:16</t>
  </si>
  <si>
    <t>MEL44072147089LMXDF01</t>
  </si>
  <si>
    <t>2000009811318680</t>
  </si>
  <si>
    <t>11 de novembro de 2024 16:41 hs.</t>
  </si>
  <si>
    <t>SILVIA REGINA BENETTI RAMOS AMARAL</t>
  </si>
  <si>
    <t>CPF 06139102812</t>
  </si>
  <si>
    <t>Avenida Marechal Rondon 167, Osasco - CEP: 06093020, São Paulo</t>
  </si>
  <si>
    <t>06139102812</t>
  </si>
  <si>
    <t>Avenida Marechal Rondon 167 / CEP 06093020 - Centro, Osasco, São Paulo</t>
  </si>
  <si>
    <t>06093020</t>
  </si>
  <si>
    <t>15 de novembro | 04:54</t>
  </si>
  <si>
    <t>20 de novembro | 16:15</t>
  </si>
  <si>
    <t>MEL44072057511LMXDF01</t>
  </si>
  <si>
    <t>https://myaccount.mercadolivre.com.br/shipments/44072057511/detail</t>
  </si>
  <si>
    <t>2000006614743909</t>
  </si>
  <si>
    <t>11 de novembro de 2024 16:39 hs.</t>
  </si>
  <si>
    <t>Mariaprado Vanilda</t>
  </si>
  <si>
    <t>CPF 59204338920</t>
  </si>
  <si>
    <t>Rua Altino Goncalves de Farias 1585 - frente ao hospital, Curitibanos - CEP: 89520000, Santa Catarina</t>
  </si>
  <si>
    <t>59204338920</t>
  </si>
  <si>
    <t>Rua Altino Goncalves de Farias 1585 / frente ao hospital Referencia: frente do hospital regional lado lanchonete Maciel - CEP 89520000 - bosque, Curitibanos, Santa Catarina</t>
  </si>
  <si>
    <t>15 de novembro | 05:48</t>
  </si>
  <si>
    <t>20 de novembro | 18:08</t>
  </si>
  <si>
    <t>MEL44072045069LMXDF01</t>
  </si>
  <si>
    <t>2000006614557013</t>
  </si>
  <si>
    <t>11 de novembro de 2024 16:12 hs.</t>
  </si>
  <si>
    <t>rafaela guasina de quadra</t>
  </si>
  <si>
    <t>CPF 03877082190</t>
  </si>
  <si>
    <t>Rua Dom Pedro Segundo 2968, Amambai - CEP: 79990000, Mato Grosso do Sul</t>
  </si>
  <si>
    <t>03877082190</t>
  </si>
  <si>
    <t>Rua Dom Pedro Segundo 2968 / Referencia: Casa Verde - CEP 79990000 - Centro, Amambai, Mato Grosso do Sul</t>
  </si>
  <si>
    <t>Amambai</t>
  </si>
  <si>
    <t>79990000</t>
  </si>
  <si>
    <t>15 de novembro | 04:40</t>
  </si>
  <si>
    <t>20 de novembro | 16:21</t>
  </si>
  <si>
    <t>MEL44071900301LMXDF01</t>
  </si>
  <si>
    <t>2000009810681504</t>
  </si>
  <si>
    <t>11 de novembro de 2024 15:50 hs.</t>
  </si>
  <si>
    <t>Thiago do nascimento silva</t>
  </si>
  <si>
    <t>CPF 14673781783</t>
  </si>
  <si>
    <t>Avenida Joaquim Leite Serrão 176, Japeri - CEP: 26440620, Rio de Janeiro</t>
  </si>
  <si>
    <t>14673781783</t>
  </si>
  <si>
    <t>Avenida Joaquim Leite Serrão 176 / CEP 26440620 - Chacrinha, Japeri, Rio de Janeiro</t>
  </si>
  <si>
    <t>Japeri</t>
  </si>
  <si>
    <t>26440620</t>
  </si>
  <si>
    <t>19 de novembro | 13:05</t>
  </si>
  <si>
    <t>MEL44071764379LMXDF01</t>
  </si>
  <si>
    <t>2000009810705806</t>
  </si>
  <si>
    <t>11 de novembro de 2024 15:49 hs.</t>
  </si>
  <si>
    <t>Enrico Salvador Mirabile</t>
  </si>
  <si>
    <t>CPF 44690286817</t>
  </si>
  <si>
    <t>Rua São Paulo 1081, São Caetano do Sul - CEP: 09530211, São Paulo</t>
  </si>
  <si>
    <t>44690286817</t>
  </si>
  <si>
    <t>Rua São Paulo 1081 / Apartamento 81 - CEP 09530211 - Cerâmica, São Caetano do Sul, São Paulo</t>
  </si>
  <si>
    <t>09530211</t>
  </si>
  <si>
    <t>20 de novembro | 14:17</t>
  </si>
  <si>
    <t>MEL44071777475LMXDF01</t>
  </si>
  <si>
    <t>2000009810131264</t>
  </si>
  <si>
    <t>11 de novembro de 2024 14:59 hs.</t>
  </si>
  <si>
    <t>Eliseu Batista de Araujo</t>
  </si>
  <si>
    <t>CPF 03370240149</t>
  </si>
  <si>
    <t>Rua 36 3350, Brasília - CEP: 71919180, Distrito Federal</t>
  </si>
  <si>
    <t>03370240149</t>
  </si>
  <si>
    <t>Rua 36 3350 / Norte - Bl.A Apt. 1308 Aguas Clara - CEP 71919180 - Norte (Águas Claras), Brasília, Distrito Federal</t>
  </si>
  <si>
    <t>71919180</t>
  </si>
  <si>
    <t>21 de novembro | 15:56</t>
  </si>
  <si>
    <t>MEL44071504657LMXDF01</t>
  </si>
  <si>
    <t>2000006613975777</t>
  </si>
  <si>
    <t>11 de novembro de 2024 14:52 hs.</t>
  </si>
  <si>
    <t>22 de novembro | 09:53</t>
  </si>
  <si>
    <t>MEL44071465507LMXDF01</t>
  </si>
  <si>
    <t>2000009810048640</t>
  </si>
  <si>
    <t>2000009810037692</t>
  </si>
  <si>
    <t>2000009809471158</t>
  </si>
  <si>
    <t>11 de novembro de 2024 14:06 hs.</t>
  </si>
  <si>
    <t>Eli wilma Vilanova</t>
  </si>
  <si>
    <t>CPF 42931940020</t>
  </si>
  <si>
    <t>Rua 7 Setembro 561 - casa, São Sepé - CEP: 97340000, Rio Grande do Sul</t>
  </si>
  <si>
    <t>42931940020</t>
  </si>
  <si>
    <t>rua 7 setembro 561 / casa Referencia: início da rua 7 setembro - CEP 97340000 - santo Antônio, São Sepé, Rio Grande do Sul</t>
  </si>
  <si>
    <t>São Sepé</t>
  </si>
  <si>
    <t>97340000</t>
  </si>
  <si>
    <t>22 de novembro | 16:06</t>
  </si>
  <si>
    <t>MEL44071207311LMXDF01</t>
  </si>
  <si>
    <t>2000006613591633</t>
  </si>
  <si>
    <t>11 de novembro de 2024 13:58 hs.</t>
  </si>
  <si>
    <t>Cinthia Comin</t>
  </si>
  <si>
    <t>CPF 40357916875</t>
  </si>
  <si>
    <t>Rua Julio Valente 212 212, Aguaí - CEP: 13866546, São Paulo</t>
  </si>
  <si>
    <t>40357916875</t>
  </si>
  <si>
    <t>Rua Aparecido Antonio de Oliveira 64 / casa Referencia: mercado do japonês - CEP 13866026 - Cidade Nova, Aguaí, São Paulo</t>
  </si>
  <si>
    <t>Aguaí</t>
  </si>
  <si>
    <t>13866026</t>
  </si>
  <si>
    <t>20 de novembro | 11:45</t>
  </si>
  <si>
    <t>MEL44071375258LMXDF01</t>
  </si>
  <si>
    <t>2000009809353098</t>
  </si>
  <si>
    <t>11 de novembro de 2024 13:53 hs.</t>
  </si>
  <si>
    <t>Nara Rontani</t>
  </si>
  <si>
    <t>CPF 00319323048</t>
  </si>
  <si>
    <t>Rua Castanho 577 - Casa, São Miguel das Missões - CEP: 98865000, Rio Grande do Sul</t>
  </si>
  <si>
    <t>00319323048</t>
  </si>
  <si>
    <t>Rua Castanho 577 / Casa - CEP 98865000 - Centro, São Miguel das Missões, Rio Grande do Sul</t>
  </si>
  <si>
    <t>São Miguel das Missões</t>
  </si>
  <si>
    <t>98865000</t>
  </si>
  <si>
    <t>22 de novembro | 11:18</t>
  </si>
  <si>
    <t>MEL44071343362LMXDF01</t>
  </si>
  <si>
    <t>2000009809039562</t>
  </si>
  <si>
    <t>11 de novembro de 2024 13:27 hs.</t>
  </si>
  <si>
    <t>Bartogaleno Dos Santos</t>
  </si>
  <si>
    <t>CPF 05102751689</t>
  </si>
  <si>
    <t>Rua Joao Da Silva Lopes 188, Pimenta - CEP: 35585000, Minas Gerais</t>
  </si>
  <si>
    <t>05102751689</t>
  </si>
  <si>
    <t>Rua Joao Da Silva Lopes 188 / CEP 35585000 - Jardim São José, Pimenta, Minas Gerais</t>
  </si>
  <si>
    <t>Pimenta</t>
  </si>
  <si>
    <t>35585000</t>
  </si>
  <si>
    <t>19 de novembro | 02:20</t>
  </si>
  <si>
    <t>20 de novembro | 11:26</t>
  </si>
  <si>
    <t>MEL44071200970LMXDF01</t>
  </si>
  <si>
    <t>2000009809029934</t>
  </si>
  <si>
    <t>11 de novembro de 2024 13:26 hs.</t>
  </si>
  <si>
    <t>Ana Karolina Melo Caetano de Barros</t>
  </si>
  <si>
    <t>CPF 03139838441</t>
  </si>
  <si>
    <t>Avenida Omar Daibert 1 - Casa i380, São Bernardo do Campo - CEP: 09820680, São Paulo</t>
  </si>
  <si>
    <t>03139838441</t>
  </si>
  <si>
    <t>Avenida Omar Daibert 1 / Casa i380 Referencia: Condomínio SWISS PARK - CEP 09820680 - Parque Terra Nova II, São Bernardo do Campo, São Paulo</t>
  </si>
  <si>
    <t>09820680</t>
  </si>
  <si>
    <t>20 de novembro | 20:25</t>
  </si>
  <si>
    <t>MEL44071004845LMXDF01</t>
  </si>
  <si>
    <t>2000006613358123</t>
  </si>
  <si>
    <t>Marlucy Alves Cardoso</t>
  </si>
  <si>
    <t>CPF 29580507856</t>
  </si>
  <si>
    <t>Travessa 1 11, Ibitiúva - CEP: 14760000, São Paulo</t>
  </si>
  <si>
    <t>29580507856</t>
  </si>
  <si>
    <t>Travessa 1 11 / Casa - CEP 14760000 - Centro, Ibitiúva, São Paulo</t>
  </si>
  <si>
    <t>Ibitiúva</t>
  </si>
  <si>
    <t>14760000</t>
  </si>
  <si>
    <t>20 de novembro | 16:23</t>
  </si>
  <si>
    <t>MEL44071195194LMXDF01</t>
  </si>
  <si>
    <t>2000009809046168</t>
  </si>
  <si>
    <t>2000009809040462</t>
  </si>
  <si>
    <t>00060</t>
  </si>
  <si>
    <t>MLB3340742913</t>
  </si>
  <si>
    <t>Floral Bach - Floral Terapia - Natural P Insônia Adulto 30ml</t>
  </si>
  <si>
    <t>2000006613055783</t>
  </si>
  <si>
    <t>11 de novembro de 2024 12:43 hs.</t>
  </si>
  <si>
    <t>Willian Robert Chaves Siqueira</t>
  </si>
  <si>
    <t>CPF 01790123631</t>
  </si>
  <si>
    <t>Rua José Dias Vieira 65, Belo Horizonte - CEP: 31535040, Minas Gerais</t>
  </si>
  <si>
    <t>01790123631</t>
  </si>
  <si>
    <t>Rua José Dias Vieira 65 / Rua Da Faculdade Kenedy - CEP 31535040 - Rio Branco, Belo Horizonte, Minas Gerais</t>
  </si>
  <si>
    <t>31535040</t>
  </si>
  <si>
    <t>19 de novembro | 01:26</t>
  </si>
  <si>
    <t>19 de novembro | 16:07</t>
  </si>
  <si>
    <t>MEL44070964044LMXDF01</t>
  </si>
  <si>
    <t>2000006613015681</t>
  </si>
  <si>
    <t>11 de novembro de 2024 12:37 hs.</t>
  </si>
  <si>
    <t>Stefani Fernanda Borba</t>
  </si>
  <si>
    <t>CPF 03639942035</t>
  </si>
  <si>
    <t>Avenida Independência 2861 - loja agropecuária, Santa Cruz do Sul - CEP: 96816501, Rio Grande do Sul</t>
  </si>
  <si>
    <t>03639942035</t>
  </si>
  <si>
    <t>Avenida Independência 2861 / loja agropecuária - CEP 96816501 - Renascença, Santa Cruz do Sul, Rio Grande do Sul</t>
  </si>
  <si>
    <t>Santa Cruz do Sul</t>
  </si>
  <si>
    <t>96816501</t>
  </si>
  <si>
    <t>19 de novembro | 05:39</t>
  </si>
  <si>
    <t>26 de novembro | 16:52</t>
  </si>
  <si>
    <t>MEL44070932704LMXDF01</t>
  </si>
  <si>
    <t>2000009808421940</t>
  </si>
  <si>
    <t>MARIA WILTEMBURG</t>
  </si>
  <si>
    <t>CPF 13428221885</t>
  </si>
  <si>
    <t>Rua Bahia 615, Guarulhos - CEP: 07072200, São Paulo</t>
  </si>
  <si>
    <t>13428221885</t>
  </si>
  <si>
    <t>Rua Bahia 615 / Casa - CEP 07072200 - Vila Rosália, Guarulhos, São Paulo</t>
  </si>
  <si>
    <t>07072200</t>
  </si>
  <si>
    <t>MEL44070920942LMXDF01</t>
  </si>
  <si>
    <t>2000006613002725</t>
  </si>
  <si>
    <t>11 de novembro de 2024 12:36 hs.</t>
  </si>
  <si>
    <t>Marcioni Machado Amaral Garcia</t>
  </si>
  <si>
    <t>CPF 04273577720</t>
  </si>
  <si>
    <t>Rua Francisco Real 1001 - concessionária Honda, Rio de Janeiro - CEP: 21810041, Rio de Janeiro</t>
  </si>
  <si>
    <t>04273577720</t>
  </si>
  <si>
    <t>Rua Francisco Real 1001 / concessionária Honda - CEP 21810041 - Bangu, Rio de Janeiro, Rio de Janeiro</t>
  </si>
  <si>
    <t>21810041</t>
  </si>
  <si>
    <t>19 de novembro | 00:51</t>
  </si>
  <si>
    <t>19 de novembro | 11:42</t>
  </si>
  <si>
    <t>MEL44070732267LMXDF01</t>
  </si>
  <si>
    <t>2000009808333212</t>
  </si>
  <si>
    <t>11 de novembro de 2024 12:26 hs.</t>
  </si>
  <si>
    <t>Lenilson Alves de Bonfim</t>
  </si>
  <si>
    <t>CPF 28239799809</t>
  </si>
  <si>
    <t>Rua Buenos Aires 56, Diadema - CEP: 09921310, São Paulo</t>
  </si>
  <si>
    <t>28239799809</t>
  </si>
  <si>
    <t>09921310</t>
  </si>
  <si>
    <t>2000009808211564</t>
  </si>
  <si>
    <t>11 de novembro de 2024 12:18 hs.</t>
  </si>
  <si>
    <t>Edvaldo Pedron</t>
  </si>
  <si>
    <t>CPF 05300466875</t>
  </si>
  <si>
    <t>Rua Afaro 22, São Paulo - CEP: 02270120, São Paulo</t>
  </si>
  <si>
    <t>05300466875</t>
  </si>
  <si>
    <t>Rua Afaro 22 / CEP 02270120 - Parque Vitória, São Paulo, São Paulo</t>
  </si>
  <si>
    <t>02270120</t>
  </si>
  <si>
    <t>20 de novembro | 11:14</t>
  </si>
  <si>
    <t>MEL44070823760LMXDF01</t>
  </si>
  <si>
    <t>2000006612728561</t>
  </si>
  <si>
    <t>11 de novembro de 2024 11:55 hs.</t>
  </si>
  <si>
    <t>ÉDIPO BRUNO MOREIRA MARTINS</t>
  </si>
  <si>
    <t>CPF 02684041199</t>
  </si>
  <si>
    <t>Avenida Sebastiana Soares Faria SN - Condomínio Flores De Goias, Casa 5, Goiânia - CEP: 74354685, Goiás</t>
  </si>
  <si>
    <t>02684041199</t>
  </si>
  <si>
    <t>Avenida Sebastiana Soares Faria SN / Condomínio Flores De Goias, Casa 5 Referencia: Condomínio Flores de Goias, casa 5 - CEP 74354685 - Fazenda Santa Rita - Conjunto Residencial Alto Oriente, Goiânia, Goiás</t>
  </si>
  <si>
    <t>74354685</t>
  </si>
  <si>
    <t>19 de novembro | 02:50</t>
  </si>
  <si>
    <t>21 de novembro | 15:19</t>
  </si>
  <si>
    <t>MEL44070717334LMXDF01</t>
  </si>
  <si>
    <t>2000009807969934</t>
  </si>
  <si>
    <t>Jussara Morais</t>
  </si>
  <si>
    <t>CPF 34312556806</t>
  </si>
  <si>
    <t>Avenida Heráclito Fontoura Sobral Pinto 1855 - casa 417, Ribeirão Preto - CEP: 14022000, São Paulo</t>
  </si>
  <si>
    <t>34312556806</t>
  </si>
  <si>
    <t>Avenida Heráclito Fontoura Sobral Pinto 1855 / casa 417 - CEP 14022000 - Condomínio Guaporé 1, Ribeirão Preto, São Paulo</t>
  </si>
  <si>
    <t>14022000</t>
  </si>
  <si>
    <t>15 de novembro | 05:23</t>
  </si>
  <si>
    <t>MEL44070714780LMXDF01</t>
  </si>
  <si>
    <t>2000009807833212</t>
  </si>
  <si>
    <t>11 de novembro de 2024 11:42 hs.</t>
  </si>
  <si>
    <t>Viniíius Félix Rafael</t>
  </si>
  <si>
    <t>CPF 13355169641</t>
  </si>
  <si>
    <t>Rua João Vieira 252 - zona rural, Rio Espera - CEP: 36460000, Minas Gerais</t>
  </si>
  <si>
    <t>13355169641</t>
  </si>
  <si>
    <t>Rua João Vieira 252 / zona rural Referencia: Favor deixar na padaria da Martinha - CEP 36460000 - Vidal, Rio Espera, Minas Gerais</t>
  </si>
  <si>
    <t>Rio Espera</t>
  </si>
  <si>
    <t>36460000</t>
  </si>
  <si>
    <t>15 de novembro | 01:23</t>
  </si>
  <si>
    <t>16 de novembro | 12:06</t>
  </si>
  <si>
    <t>MEL44070649440LMXDF01</t>
  </si>
  <si>
    <t>2000009807785950</t>
  </si>
  <si>
    <t>11 de novembro de 2024 11:39 hs.</t>
  </si>
  <si>
    <t>Leci Fernandes Moreira</t>
  </si>
  <si>
    <t>CPF 09628058746</t>
  </si>
  <si>
    <t>Rua Miguel Tomaz 17 - casa, Irupi - CEP: 29398000, Espírito Santo</t>
  </si>
  <si>
    <t>09628058746</t>
  </si>
  <si>
    <t>Rua Miguel Tomaz 17 / casa Referencia: ao lado da igreja presbiteriana renovada - CEP 29398000 - centro, Irupi, Espírito Santo</t>
  </si>
  <si>
    <t>Irupi</t>
  </si>
  <si>
    <t>29398000</t>
  </si>
  <si>
    <t>15 de novembro | 03:49</t>
  </si>
  <si>
    <t>16 de novembro | 14:56</t>
  </si>
  <si>
    <t>MEL44070630714LMXDF01</t>
  </si>
  <si>
    <t>2000009807690254</t>
  </si>
  <si>
    <t>11 de novembro de 2024 11:30 hs.</t>
  </si>
  <si>
    <t>Joao Bosco</t>
  </si>
  <si>
    <t>CPF 22978631600</t>
  </si>
  <si>
    <t>Rua Rodrigues Caldas 470 - Ap 1801, Belo Horizonte - CEP: 30190120, Minas Gerais</t>
  </si>
  <si>
    <t>22978631600</t>
  </si>
  <si>
    <t>Rua Rodrigues Caldas 470 / Ap 1801 - CEP 30190120 - Santo Agostinho, Belo Horizonte, Minas Gerais</t>
  </si>
  <si>
    <t>30190120</t>
  </si>
  <si>
    <t>15 de novembro | 17:36</t>
  </si>
  <si>
    <t>MEL44070578432LMXDF01</t>
  </si>
  <si>
    <t>2000009807637096</t>
  </si>
  <si>
    <t>11 de novembro de 2024 11:27 hs.</t>
  </si>
  <si>
    <t>Nathalia Pires Pereira</t>
  </si>
  <si>
    <t>CPF 00782659080</t>
  </si>
  <si>
    <t>Avenida Juca Batista 4268 - E. Crescer e saber, Porto Alegre - CEP: 91770001, Rio Grande do Sul</t>
  </si>
  <si>
    <t>00782659080</t>
  </si>
  <si>
    <t>Avenida Juca Batista 4268 / E. Crescer e saber Referencia: horário comercial, com Cláudia, Nathalia ou Amanda - CEP 91770001 - Cavalhada, Porto Alegre, Rio Grande do Sul</t>
  </si>
  <si>
    <t>91770001</t>
  </si>
  <si>
    <t>18 de novembro | 11:11</t>
  </si>
  <si>
    <t>MEL44070366809LMXDF01</t>
  </si>
  <si>
    <t>2000009807638414</t>
  </si>
  <si>
    <t>11 de novembro de 2024 11:25 hs.</t>
  </si>
  <si>
    <t>Alexandre Magno Nascimento</t>
  </si>
  <si>
    <t>CPF 14911052830</t>
  </si>
  <si>
    <t>Rua Guaru 88 - A, Guarulhos - CEP: 07272430, São Paulo</t>
  </si>
  <si>
    <t>14911052830</t>
  </si>
  <si>
    <t>Rua Guaru 88 / A - CEP 07272430 - Jardim Arujá, Guarulhos, São Paulo</t>
  </si>
  <si>
    <t>07272430</t>
  </si>
  <si>
    <t>15 de novembro | 04:44</t>
  </si>
  <si>
    <t>16 de novembro | 12:14</t>
  </si>
  <si>
    <t>MEL44070363229LMXDF01</t>
  </si>
  <si>
    <t>2000009807612336</t>
  </si>
  <si>
    <t>11 de novembro de 2024 11:23 hs.</t>
  </si>
  <si>
    <t>Lizandra Moreira de Carvalho</t>
  </si>
  <si>
    <t>CPF 03045661440</t>
  </si>
  <si>
    <t>Avenida Anhanguera Edificio José de Aquino Porto 5440, Goiânia - CEP: 74043904, Goiás</t>
  </si>
  <si>
    <t>03045661440</t>
  </si>
  <si>
    <t>Avenida Anhanguera Edificio José de Aquino Porto 5440 / 5ª andar Referencia: Edificio José Aquino Porto- Palácio da Indústria, em frente ao Teatro Goiânia. - CEP 74043904 - Goiânia, Goiânia, Goiás</t>
  </si>
  <si>
    <t>74043904</t>
  </si>
  <si>
    <t>15 de novembro | 00:50</t>
  </si>
  <si>
    <t>18 de novembro | 13:06</t>
  </si>
  <si>
    <t>MEL44070544424LMXDF01</t>
  </si>
  <si>
    <t>2000009807427006</t>
  </si>
  <si>
    <t>11 de novembro de 2024 11:07 hs.</t>
  </si>
  <si>
    <t>Luclessia Nasct</t>
  </si>
  <si>
    <t>CPF 17988018760</t>
  </si>
  <si>
    <t>Avenida 3 de Dezembro SN - Auto Posto Rondon, União Bandeirante - CEP: 76841000, Rondônia</t>
  </si>
  <si>
    <t>17988018760</t>
  </si>
  <si>
    <t>Avenida 3 de Dezembro SN / Auto Posto Rondon Referencia: Auto Posto Rondon - CEP 76841000 - Centro, União Bandeirante, Rondônia</t>
  </si>
  <si>
    <t>União Bandeirante</t>
  </si>
  <si>
    <t>76841000</t>
  </si>
  <si>
    <t>27 de novembro | 15:30</t>
  </si>
  <si>
    <t>ML44070268087135551</t>
  </si>
  <si>
    <t>https://www.loggi.com/rastreador/3762947aef/ML44070268087135551</t>
  </si>
  <si>
    <t>2000009780822646</t>
  </si>
  <si>
    <t>Cancelou porque garante nao ter realizado a compra.</t>
  </si>
  <si>
    <t>262</t>
  </si>
  <si>
    <t>MLB4120497330</t>
  </si>
  <si>
    <t>Pantoformula Homem Manipulado 60 Cápsulas  - Kit C/3 Und</t>
  </si>
  <si>
    <t>Sheila Alves da Silva</t>
  </si>
  <si>
    <t>CPF 81801440034</t>
  </si>
  <si>
    <t>Avenida João Ribeiro 471 - casa, Rio de Janeiro - CEP: 20750094, Rio de Janeiro</t>
  </si>
  <si>
    <t>81801440034</t>
  </si>
  <si>
    <t>20750094</t>
  </si>
  <si>
    <t>MEL44058718950FMXDF01</t>
  </si>
  <si>
    <t>2000009807245288</t>
  </si>
  <si>
    <t>11 de novembro de 2024 10:53 hs.</t>
  </si>
  <si>
    <t>Raphaela Sauer</t>
  </si>
  <si>
    <t>CPF 43392019879</t>
  </si>
  <si>
    <t>Rua Leonardo Pereira 225, Porto Ferreira - CEP: 13662130, São Paulo</t>
  </si>
  <si>
    <t>43392019879</t>
  </si>
  <si>
    <t>Rua Leonardo Pereira 225 / CEP 13662130 - Jardim Porto dos Ipês, Porto Ferreira, São Paulo</t>
  </si>
  <si>
    <t>Porto Ferreira</t>
  </si>
  <si>
    <t>13662130</t>
  </si>
  <si>
    <t>16 de novembro | 13:12</t>
  </si>
  <si>
    <t>MEL44070185313LMXDF01</t>
  </si>
  <si>
    <t>2000006612199725</t>
  </si>
  <si>
    <t>11 de novembro de 2024 10:39 hs.</t>
  </si>
  <si>
    <t>adrianapbecker adrianapbecker</t>
  </si>
  <si>
    <t>CPF 95734406953</t>
  </si>
  <si>
    <t>Rua Comendador Norberto 236, Guarapuava - CEP: 85010140, Paraná</t>
  </si>
  <si>
    <t>95734406953</t>
  </si>
  <si>
    <t>Rua Comendador Norberto 236 / casa Referencia: em frente ao SESC - CEP 85010140 - Centro, Guarapuava, Paraná</t>
  </si>
  <si>
    <t>85010140</t>
  </si>
  <si>
    <t>19 de novembro | 10:10</t>
  </si>
  <si>
    <t>MEL44070312160LMXDF01</t>
  </si>
  <si>
    <t>2000009807099446</t>
  </si>
  <si>
    <t>2000009807104892</t>
  </si>
  <si>
    <t>2000006612196765</t>
  </si>
  <si>
    <t>Chegou em 17 de novembro</t>
  </si>
  <si>
    <t>Juliete Gomes de Oliveira</t>
  </si>
  <si>
    <t>CPF 09151541459</t>
  </si>
  <si>
    <t>Rua Silvestre Pacheco Lins 145 - casa, Belo Jardim - CEP: 55152070, Pernambuco</t>
  </si>
  <si>
    <t>09151541459</t>
  </si>
  <si>
    <t>Rua Silvestre Pacheco Lins 145 / casa Referencia: caso não esteja em casa meu filho estará com docuneto poder entregar - CEP 55152070 - Santo Antônio, Belo Jardim, Pernambuco</t>
  </si>
  <si>
    <t>Belo Jardim</t>
  </si>
  <si>
    <t>55152070</t>
  </si>
  <si>
    <t>17 de novembro | 11:08</t>
  </si>
  <si>
    <t>MEL44070118403LMXDF01</t>
  </si>
  <si>
    <t>2000009807112538</t>
  </si>
  <si>
    <t>Marivane Henzel Aimi</t>
  </si>
  <si>
    <t>CPF 04482066923</t>
  </si>
  <si>
    <t>Avenida Brasil 788, Romelândia - CEP: 89908000, Santa Catarina</t>
  </si>
  <si>
    <t>04482066923</t>
  </si>
  <si>
    <t>Avenida Brasil 788 / Referencia: Padaria Henzel - CEP 89908000 - centro, Romelândia, Santa Catarina</t>
  </si>
  <si>
    <t>Romelândia</t>
  </si>
  <si>
    <t>89908000</t>
  </si>
  <si>
    <t>20 de novembro | 17:02</t>
  </si>
  <si>
    <t>MEL44070314236LMXDF01</t>
  </si>
  <si>
    <t>2000009806961900</t>
  </si>
  <si>
    <t>11 de novembro de 2024 10:27 hs.</t>
  </si>
  <si>
    <t>Daniela Pscheidt</t>
  </si>
  <si>
    <t>CPF 09942543937</t>
  </si>
  <si>
    <t>Travessa Domingos Ferreira de lima 49, Rio Negrinho - CEP: 89295097, Santa Catarina</t>
  </si>
  <si>
    <t>09942543937</t>
  </si>
  <si>
    <t>Travessa Domingos Ferreira de lima 49 / Referencia: Salão de Beleza Vip Hair - CEP 89295097 - Centro, Rio Negrinho, Santa Catarina</t>
  </si>
  <si>
    <t>Rio Negrinho</t>
  </si>
  <si>
    <t>89295097</t>
  </si>
  <si>
    <t>18 de novembro | 15:55</t>
  </si>
  <si>
    <t>MEL44070251856LMXDF01</t>
  </si>
  <si>
    <t>2000009806813968</t>
  </si>
  <si>
    <t>11 de novembro de 2024 10:11 hs.</t>
  </si>
  <si>
    <t>Maria Vanilda Pereira Souza</t>
  </si>
  <si>
    <t>CPF 03189233780</t>
  </si>
  <si>
    <t>Rua Sergipe 407 - 3andar, Serra - CEP: 29162534, Espírito Santo</t>
  </si>
  <si>
    <t>03189233780</t>
  </si>
  <si>
    <t>Rua Sergipe 407 / 3andar Referencia: próximo antigo bar da adriana - CEP 29162534 - José de Anchieta II, Serra, Espírito Santo</t>
  </si>
  <si>
    <t>29162534</t>
  </si>
  <si>
    <t>15 de novembro | 00:23</t>
  </si>
  <si>
    <t>15 de novembro | 16:51</t>
  </si>
  <si>
    <t>MEL44069985469LMXDF01</t>
  </si>
  <si>
    <t>2000009806792706</t>
  </si>
  <si>
    <t>11 de novembro de 2024 10:09 hs.</t>
  </si>
  <si>
    <t>Elinete Barbosa Dantas Martins</t>
  </si>
  <si>
    <t>CPF 58218890220</t>
  </si>
  <si>
    <t>Rua Dois de Julho 48, Belém - CEP: 66833810, Pará</t>
  </si>
  <si>
    <t>58218890220</t>
  </si>
  <si>
    <t>Rua Dois de Julho 48 / Referencia: rodovia tapana passando a igreja iniversal na 3 rua panificadora martins amarela - CEP 66833810 - Tapanã (Icoaraci), Belém, Pará</t>
  </si>
  <si>
    <t>66833810</t>
  </si>
  <si>
    <t>19 de novembro | 12:22</t>
  </si>
  <si>
    <t>MEL44070161680LMXDF01</t>
  </si>
  <si>
    <t>2000006611997433</t>
  </si>
  <si>
    <t>11 de novembro de 2024 10:07 hs.</t>
  </si>
  <si>
    <t>nery almeida</t>
  </si>
  <si>
    <t>CPF 74108689615</t>
  </si>
  <si>
    <t>Rua Horacio Cruz 131, Iapu - CEP: 35190000, Minas Gerais</t>
  </si>
  <si>
    <t>74108689615</t>
  </si>
  <si>
    <t>Rua Horacio Cruz 131 / Referencia: Próximo Depósito Vitor Hugo, Mercearia Do Dhionata Pereira - CEP 35190000 - centro, Iapu, Minas Gerais</t>
  </si>
  <si>
    <t>Iapu</t>
  </si>
  <si>
    <t>35190000</t>
  </si>
  <si>
    <t>15 de novembro | 02:51</t>
  </si>
  <si>
    <t>18 de novembro | 08:33</t>
  </si>
  <si>
    <t>MEL44069963327LMXDF01</t>
  </si>
  <si>
    <t>2000009806773286</t>
  </si>
  <si>
    <t>2000009806769960</t>
  </si>
  <si>
    <t>2000009806605440</t>
  </si>
  <si>
    <t>11 de novembro de 2024 09:49 hs.</t>
  </si>
  <si>
    <t xml:space="preserve">Daiane  De Jesus Santana Oliveira </t>
  </si>
  <si>
    <t>CPF 06322173596</t>
  </si>
  <si>
    <t>Praça Ângelo Lagoa 26 - Casa, Fátima - CEP: 48415000, Bahia</t>
  </si>
  <si>
    <t>06322173596</t>
  </si>
  <si>
    <t>Praça Ângelo Lagoa 26 / Casa - CEP 48415000 - Centro, Fátima, Bahia</t>
  </si>
  <si>
    <t>Fátima</t>
  </si>
  <si>
    <t>48415000</t>
  </si>
  <si>
    <t>18 de novembro | 18:02</t>
  </si>
  <si>
    <t>MEL44070078378LMXDF01</t>
  </si>
  <si>
    <t>2000009806610684</t>
  </si>
  <si>
    <t>11 de novembro de 2024 09:48 hs.</t>
  </si>
  <si>
    <t>Janeide Correia Gama</t>
  </si>
  <si>
    <t>CPF 70095329404</t>
  </si>
  <si>
    <t>Rua José Elias Neves 50 - casa, Palmeira dos Índios - CEP: 57601332, Alagoas</t>
  </si>
  <si>
    <t>70095329404</t>
  </si>
  <si>
    <t>Rua José Elias Neves 50 / casa Referencia: Tg - CEP 57601332 - São Cristóvão, Palmeira dos Índios, Alagoas</t>
  </si>
  <si>
    <t>57601332</t>
  </si>
  <si>
    <t>19 de novembro | 12:57</t>
  </si>
  <si>
    <t>MEL44070075430LMXDF01</t>
  </si>
  <si>
    <t>2000009806333030</t>
  </si>
  <si>
    <t>11 de novembro de 2024 09:16 hs.</t>
  </si>
  <si>
    <t>Evelyn De Sousa Silva</t>
  </si>
  <si>
    <t>CPF 05070391143</t>
  </si>
  <si>
    <t>rua sem nome 8 - atrásdo posto sobral, Cristalina - CEP: 73850000, Goiás</t>
  </si>
  <si>
    <t>05070391143</t>
  </si>
  <si>
    <t>rua sem nome 8 / atrásdo posto sobral Referencia: quadra 4, lote 8, setor Sigma, Alphaville - CEP 73850000 - Alphaville, Cristalina, Goiás</t>
  </si>
  <si>
    <t>Cristalina</t>
  </si>
  <si>
    <t>73850000</t>
  </si>
  <si>
    <t>16 de novembro | 16:40</t>
  </si>
  <si>
    <t>MEL44069943420LMXDF01</t>
  </si>
  <si>
    <t>2000006611701055</t>
  </si>
  <si>
    <t>11 de novembro de 2024 09:09 hs.</t>
  </si>
  <si>
    <t>Renan de Andrade Fita</t>
  </si>
  <si>
    <t>CPF 13260025707</t>
  </si>
  <si>
    <t>Rua Dolores Duran 21 - Casa, Teresópolis - CEP: 25965530, Rio de Janeiro</t>
  </si>
  <si>
    <t>13260025707</t>
  </si>
  <si>
    <t>Rua Dolores Duran 21 / Casa  Referencia: Casa com revestimento vermelho. Palmeira grande no terreno. Portão de ferro preto de cima. - CEP 25965530 - Quinta da Barra, Teresópolis, Rio de Janeiro</t>
  </si>
  <si>
    <t>25965530</t>
  </si>
  <si>
    <t>15 de novembro | 00:14</t>
  </si>
  <si>
    <t>15 de novembro | 18:21</t>
  </si>
  <si>
    <t>MEL44069716701LMXDF01</t>
  </si>
  <si>
    <t>2000009806163482</t>
  </si>
  <si>
    <t>11 de novembro de 2024 08:55 hs.</t>
  </si>
  <si>
    <t>Eliane Harumi Koyanagui</t>
  </si>
  <si>
    <t>CPF 17360496829</t>
  </si>
  <si>
    <t>Rua Juréia 570, São Paulo - CEP: 04140110, São Paulo</t>
  </si>
  <si>
    <t>17360496829</t>
  </si>
  <si>
    <t>Rua Juréia 570 / apto 32 - CEP 04140110 - Chácara Inglesa, São Paulo, São Paulo</t>
  </si>
  <si>
    <t>04140110</t>
  </si>
  <si>
    <t>15 de novembro | 04:38</t>
  </si>
  <si>
    <t>19 de novembro | 12:43</t>
  </si>
  <si>
    <t>MEL44069866104LMXDF01</t>
  </si>
  <si>
    <t>2000006611597263</t>
  </si>
  <si>
    <t>11 de novembro de 2024 08:43 hs.</t>
  </si>
  <si>
    <t>João Pedro  Camargo Bruno</t>
  </si>
  <si>
    <t>CPF 37223492813</t>
  </si>
  <si>
    <t>Exp. Abílio dos Passos 296, Salesópolis - CEP: 08970000, São Paulo</t>
  </si>
  <si>
    <t>37223492813</t>
  </si>
  <si>
    <t>Exp. Abílio dos Passos 296 / Referencia: Perto do Fórum. Perto da Igreja Matriz - CEP 08970000 - Centro, Salesópolis, São Paulo</t>
  </si>
  <si>
    <t>Salesópolis</t>
  </si>
  <si>
    <t>08970000</t>
  </si>
  <si>
    <t>16 de novembro | 12:11</t>
  </si>
  <si>
    <t>MEL44069632861LMXDF01</t>
  </si>
  <si>
    <t>2000006610818015</t>
  </si>
  <si>
    <t>11 de novembro de 2024 00:41 hs.</t>
  </si>
  <si>
    <t>Stella Lopes</t>
  </si>
  <si>
    <t>CPF 37359751861</t>
  </si>
  <si>
    <t>Avenida Dom Pedro II 620 - 17 andar sala 174, Santo André - CEP: 09080110, São Paulo</t>
  </si>
  <si>
    <t>37359751861</t>
  </si>
  <si>
    <t>Avenida Dom Pedro II 620 / 17 andar sala 174 Referencia: Condomínio Manhattan Office - CEP 09080110 - Jardim, Santo André, São Paulo</t>
  </si>
  <si>
    <t>09080110</t>
  </si>
  <si>
    <t>16 de novembro | 08:29</t>
  </si>
  <si>
    <t>MEL44069249076LMXDF01</t>
  </si>
  <si>
    <t>2000006610782091</t>
  </si>
  <si>
    <t>11 de novembro de 2024 00:31 hs.</t>
  </si>
  <si>
    <t>Maria do Carmo Faria</t>
  </si>
  <si>
    <t>CPF 05002243665</t>
  </si>
  <si>
    <t>Rua Roque Bravo 23, Conceição das Pedras - CEP: 37527000, Minas Gerais</t>
  </si>
  <si>
    <t>05002243665</t>
  </si>
  <si>
    <t>Rua Roque Bravo 23 / CEP 37527000 - centro, Conceição das Pedras, Minas Gerais</t>
  </si>
  <si>
    <t>Conceição das Pedras</t>
  </si>
  <si>
    <t>37527000</t>
  </si>
  <si>
    <t>MEL44069034773LMXDF01</t>
  </si>
  <si>
    <t>2000009804589686</t>
  </si>
  <si>
    <t>10 de novembro de 2024 23:57 hs.</t>
  </si>
  <si>
    <t>Diego Flavio Dos Santos</t>
  </si>
  <si>
    <t>CPF 38385415882</t>
  </si>
  <si>
    <t>Rua Jorge Felício 185, Santo Antônio da Alegria - CEP: 14390000, São Paulo</t>
  </si>
  <si>
    <t>38385415882</t>
  </si>
  <si>
    <t>Rua Jorge Felício 185 / Residencia - CEP 14390000 - Santo Antônio da Alegria, Santo Antônio da Alegria, São Paulo</t>
  </si>
  <si>
    <t>Santo Antônio da Alegria</t>
  </si>
  <si>
    <t>14390000</t>
  </si>
  <si>
    <t>16 de novembro | 18:42</t>
  </si>
  <si>
    <t>MEL44069152014LMXDF01</t>
  </si>
  <si>
    <t>2000009804287154</t>
  </si>
  <si>
    <t>10 de novembro de 2024 23:17 hs.</t>
  </si>
  <si>
    <t>00352</t>
  </si>
  <si>
    <t>MLB4883456812</t>
  </si>
  <si>
    <t>Kit 3x Colágeno Tipo 2 40mg - 60 Caps Alívio Articular</t>
  </si>
  <si>
    <t>Monica Teresinha Durante</t>
  </si>
  <si>
    <t>CPF 00300307063</t>
  </si>
  <si>
    <t>Rua Prestes Guimarães 511 - casa, Saldanha Marinho - CEP: 98250000, Rio Grande do Sul</t>
  </si>
  <si>
    <t>00300307063</t>
  </si>
  <si>
    <t>Rua Prestes Guimarães 511 / casa Referencia: ao lado do hospital - CEP 98250000 - centro, Saldanha Marinho, Rio Grande do Sul</t>
  </si>
  <si>
    <t>Saldanha Marinho</t>
  </si>
  <si>
    <t>98250000</t>
  </si>
  <si>
    <t>18 de novembro | 10:34</t>
  </si>
  <si>
    <t>MEL44068830049LMXDF01</t>
  </si>
  <si>
    <t>2000009804144858</t>
  </si>
  <si>
    <t>10 de novembro de 2024 22:56 hs.</t>
  </si>
  <si>
    <t>Cassiane da Mota Silva</t>
  </si>
  <si>
    <t>CPF 01844747522</t>
  </si>
  <si>
    <t>Colonia Boa Vista SN, Sátiro Dias - CEP: 48485000, Bahia</t>
  </si>
  <si>
    <t>01844747522</t>
  </si>
  <si>
    <t>Colonia Boa Vista SN / Referencia: colônia boa vista - CEP 48485000 - Zona rural, Sátiro Dias, Bahia</t>
  </si>
  <si>
    <t>Sátiro Dias</t>
  </si>
  <si>
    <t>48485000</t>
  </si>
  <si>
    <t>18 de novembro | 20:23</t>
  </si>
  <si>
    <t>MEL44068963896LMXDF01</t>
  </si>
  <si>
    <t>2000009803948902</t>
  </si>
  <si>
    <t>10 de novembro de 2024 22:33 hs.</t>
  </si>
  <si>
    <t>Francisca silva Santos</t>
  </si>
  <si>
    <t>CPF 71147756104</t>
  </si>
  <si>
    <t>Quadra QMS 32 1 - Bloco A, Brasília - CEP: 73082320, Distrito Federal</t>
  </si>
  <si>
    <t>71147756104</t>
  </si>
  <si>
    <t>Quadra QMS 32 1 / Bloco A Referencia: Lote 7/9 Creperia Bar - CEP 73082320 - Setor de Mansões de Sobradinho, Brasília, Distrito Federal</t>
  </si>
  <si>
    <t>73082320</t>
  </si>
  <si>
    <t>18 de novembro | 16:04</t>
  </si>
  <si>
    <t>MEL44068690771LMXDF01</t>
  </si>
  <si>
    <t>2000006610128267</t>
  </si>
  <si>
    <t>10 de novembro de 2024 22:13 hs.</t>
  </si>
  <si>
    <t>Respicio Antonio Do Espirito Santo Junior</t>
  </si>
  <si>
    <t>CPF 00945996705</t>
  </si>
  <si>
    <t>Rua Doutor Tavares de Macedo 131 - 601, Niterói - CEP: 24220215, Rio de Janeiro</t>
  </si>
  <si>
    <t>00945996705</t>
  </si>
  <si>
    <t>Rua Doutor Tavares de Macedo 131 / 601 Referencia: Ao lado padaria Pâo e Companhia - CEP 24220215 - Icaraí, Niterói, Rio de Janeiro</t>
  </si>
  <si>
    <t>24220215</t>
  </si>
  <si>
    <t>15 de novembro | 00:03</t>
  </si>
  <si>
    <t>15 de novembro | 10:44</t>
  </si>
  <si>
    <t>MEL44068613499LMXDF01</t>
  </si>
  <si>
    <t>2000009803766390</t>
  </si>
  <si>
    <t>00330</t>
  </si>
  <si>
    <t>MLB3640120995</t>
  </si>
  <si>
    <t>Síndrome Do Intestino Irritável Lactobacillus Reuteri 90 Cap</t>
  </si>
  <si>
    <t>2000009803751908</t>
  </si>
  <si>
    <t>2000006610030907</t>
  </si>
  <si>
    <t>10 de novembro de 2024 21:52 hs.</t>
  </si>
  <si>
    <t>Jorge Luiz de Maya Vianna</t>
  </si>
  <si>
    <t>CPF 15180247187</t>
  </si>
  <si>
    <t>Quadra E 25, Brasília - CEP: 70636025, Distrito Federal</t>
  </si>
  <si>
    <t>15180247187</t>
  </si>
  <si>
    <t>Quadra E 25 / Vila Weslian Roriz Referencia: Perto da Marmitaria Flor de Liz - CEP 70636025 - Granja do Torto, Brasília, Distrito Federal</t>
  </si>
  <si>
    <t>70636025</t>
  </si>
  <si>
    <t>16 de novembro | 17:49</t>
  </si>
  <si>
    <t>MEL44068736436LMXDF01</t>
  </si>
  <si>
    <t>2000009803547648</t>
  </si>
  <si>
    <t>10 de novembro de 2024 21:50 hs.</t>
  </si>
  <si>
    <t>ROBERTA OLIVEIRA</t>
  </si>
  <si>
    <t>CPF 78434106272</t>
  </si>
  <si>
    <t>Rua Brasil 609 - escola trabalho, Joinville - CEP: 89221561, Santa Catarina</t>
  </si>
  <si>
    <t>78434106272</t>
  </si>
  <si>
    <t>Rua Brasil 609 / escola trabalho - CEP 89221561 - Saguaçu, Joinville, Santa Catarina</t>
  </si>
  <si>
    <t>89221561</t>
  </si>
  <si>
    <t>18 de novembro | 11:46</t>
  </si>
  <si>
    <t>MEL44068726704LMXDF01</t>
  </si>
  <si>
    <t>2000009803492944</t>
  </si>
  <si>
    <t>10 de novembro de 2024 21:43 hs.</t>
  </si>
  <si>
    <t>Jessica Guimaraes</t>
  </si>
  <si>
    <t>CPF 12640205897</t>
  </si>
  <si>
    <t>Rua da Conquista 43, Itaquaquecetuba - CEP: 08590725, São Paulo</t>
  </si>
  <si>
    <t>12640205897</t>
  </si>
  <si>
    <t>Rua da Conquista 43 / CEP 08590725 - Jardim Lucinda, Itaquaquecetuba, São Paulo</t>
  </si>
  <si>
    <t>08590725</t>
  </si>
  <si>
    <t>16 de novembro | 17:00</t>
  </si>
  <si>
    <t>MEL44068701134LMXDF01</t>
  </si>
  <si>
    <t>2000006609853401</t>
  </si>
  <si>
    <t>10 de novembro de 2024 21:19 hs.</t>
  </si>
  <si>
    <t>Vamilton Sousa Oliveira</t>
  </si>
  <si>
    <t>CPF 00034647252</t>
  </si>
  <si>
    <t>Rua Gerôncio Thives 920 - bl 17 apt 04, São José - CEP: 88117292, Santa Catarina</t>
  </si>
  <si>
    <t>00034647252</t>
  </si>
  <si>
    <t>Rua Gerôncio Thives 920 / bl 17 apt 04 - CEP 88117292 - Barreiros, São José, Santa Catarina</t>
  </si>
  <si>
    <t>88117292</t>
  </si>
  <si>
    <t>18 de novembro | 15:17</t>
  </si>
  <si>
    <t>MEL44068419343LMXDF01</t>
  </si>
  <si>
    <t>2000009803125842</t>
  </si>
  <si>
    <t>10 de novembro de 2024 21:03 hs.</t>
  </si>
  <si>
    <t>Adriano Almeida Oliveira</t>
  </si>
  <si>
    <t>CPF 42260253857</t>
  </si>
  <si>
    <t>Corrêas 2 bairro de baixo SN - perto aristeu, Ribeirão Branco - CEP: 18433054, São Paulo</t>
  </si>
  <si>
    <t>42260253857</t>
  </si>
  <si>
    <t>Corrêas 2 bairro de baixo SN / perto aristeu Referencia: Despois Ponte rio - CEP 18433054 - itaboa, Ribeirão Branco, São Paulo</t>
  </si>
  <si>
    <t>Ribeirão Branco</t>
  </si>
  <si>
    <t>18433054</t>
  </si>
  <si>
    <t>19 de novembro | 15:03</t>
  </si>
  <si>
    <t>MEL44068360529LMXDF01</t>
  </si>
  <si>
    <t>2000009802881082</t>
  </si>
  <si>
    <t>10 de novembro de 2024 20:36 hs.</t>
  </si>
  <si>
    <t>vera.oliveira.s vera.oliveira.s</t>
  </si>
  <si>
    <t>CPF 89238532087</t>
  </si>
  <si>
    <t>Cento e Três 35, Canoas - CEP: 92440668, Rio Grande do Sul</t>
  </si>
  <si>
    <t>89238532087</t>
  </si>
  <si>
    <t>Cento e Três 35 / Referencia: rua cento e três número 35 - CEP 92440668 - Guajuviras, Canoas, Rio Grande do Sul</t>
  </si>
  <si>
    <t>92440668</t>
  </si>
  <si>
    <t>18 de novembro | 17:45</t>
  </si>
  <si>
    <t>MEL44068258735LMXDF01</t>
  </si>
  <si>
    <t>2000009802654630</t>
  </si>
  <si>
    <t>10 de novembro de 2024 20:12 hs.</t>
  </si>
  <si>
    <t xml:space="preserve">João Sampaio de Oliveira  Sampaio </t>
  </si>
  <si>
    <t>CPF 08395721234</t>
  </si>
  <si>
    <t>Rua Pedro Porpino da Silva 1561 - Fasann  ville, Castanhal - CEP: 68744000, Pará</t>
  </si>
  <si>
    <t>08395721234</t>
  </si>
  <si>
    <t>Rua Pedro Porpino da Silva 1561 / Fasann  ville - CEP 68744000 - Ianetama, Castanhal, Pará</t>
  </si>
  <si>
    <t>68744000</t>
  </si>
  <si>
    <t>19 de novembro | 14:48</t>
  </si>
  <si>
    <t>MEL44068357684LMXDF01</t>
  </si>
  <si>
    <t>2000009802529950</t>
  </si>
  <si>
    <t>10 de novembro de 2024 19:58 hs.</t>
  </si>
  <si>
    <t>Lucio Flavio Duarte</t>
  </si>
  <si>
    <t>CPF 81567669620</t>
  </si>
  <si>
    <t>Rua Júlio Ferreira Pinto 123, Belo Horizonte - CEP: 31560330, Minas Gerais</t>
  </si>
  <si>
    <t>81567669620</t>
  </si>
  <si>
    <t>Rua Júlio Ferreira Pinto 123 / CEP 31560330 - Santa Amélia, Belo Horizonte, Minas Gerais</t>
  </si>
  <si>
    <t>31560330</t>
  </si>
  <si>
    <t>15 de novembro | 01:21</t>
  </si>
  <si>
    <t>18 de novembro | 11:20</t>
  </si>
  <si>
    <t>MEL44068117323LMXDF01</t>
  </si>
  <si>
    <t>2000009802279368</t>
  </si>
  <si>
    <t>10 de novembro de 2024 19:28 hs.</t>
  </si>
  <si>
    <t>ZENAIDE DE CAMPOS MALFERT</t>
  </si>
  <si>
    <t>CPF 04507956838</t>
  </si>
  <si>
    <t>Rua Príncipe Feliz 607, Suzano - CEP: 08615210, São Paulo</t>
  </si>
  <si>
    <t>04507956838</t>
  </si>
  <si>
    <t>Rua Príncipe Feliz 607 / APTO 23 FLAMBOYANT Referencia: COND VILA VERDE 2 - CEP 08615210 - Vila Urupês, Suzano, São Paulo</t>
  </si>
  <si>
    <t>08615210</t>
  </si>
  <si>
    <t>16 de novembro | 11:39</t>
  </si>
  <si>
    <t>MEL44068204532LMXDF01</t>
  </si>
  <si>
    <t>2000009802207060</t>
  </si>
  <si>
    <t>10 de novembro de 2024 19:20 hs.</t>
  </si>
  <si>
    <t>welles junior silva</t>
  </si>
  <si>
    <t>CPF 09913503671</t>
  </si>
  <si>
    <t>Rua João José taveira SN - Quadra 21, lote 15B, Cristalina - CEP: 73850000, Goiás</t>
  </si>
  <si>
    <t>09913503671</t>
  </si>
  <si>
    <t>Rua João José taveira SN / Quadra 21, lote 15B Referencia: Referência: Sorrisos Clínica Integrada - CEP 73850000 - Centro, Cristalina, Goiás</t>
  </si>
  <si>
    <t>16 de novembro | 18:17</t>
  </si>
  <si>
    <t>MEL44068176494LMXDF01</t>
  </si>
  <si>
    <t>2000009801974132</t>
  </si>
  <si>
    <t>10 de novembro de 2024 18:53 hs.</t>
  </si>
  <si>
    <t>Maria de Fatima Ferreira</t>
  </si>
  <si>
    <t>CPF 27283728880</t>
  </si>
  <si>
    <t>Rua Miguel Buscanini Favaro 20, Tejupá - CEP: 18830041, São Paulo</t>
  </si>
  <si>
    <t>27283728880</t>
  </si>
  <si>
    <t>Rua Miguel Buscanini Favaro 20 / CEP 18830041 - Centro, Tejupá, São Paulo</t>
  </si>
  <si>
    <t>Tejupá</t>
  </si>
  <si>
    <t>18830041</t>
  </si>
  <si>
    <t>16 de novembro | 11:30</t>
  </si>
  <si>
    <t>MEL44068072294LMXDF01</t>
  </si>
  <si>
    <t>2000006609060893</t>
  </si>
  <si>
    <t>10 de novembro de 2024 18:50 hs.</t>
  </si>
  <si>
    <t>Andre Silva Abib</t>
  </si>
  <si>
    <t>CPF 31215112890</t>
  </si>
  <si>
    <t>Rua Rocha do Canto 98, São Paulo - CEP: 08390270, São Paulo</t>
  </si>
  <si>
    <t>31215112890</t>
  </si>
  <si>
    <t>Rua Rocha do Canto 98 / Casa 2 - CEP 08390270 - Jardim São Francisco, São Paulo, São Paulo</t>
  </si>
  <si>
    <t>08390270</t>
  </si>
  <si>
    <t>19 de novembro | 13:24</t>
  </si>
  <si>
    <t>MEL44068072516LMXDF01</t>
  </si>
  <si>
    <t>2000009801744856</t>
  </si>
  <si>
    <t>10 de novembro de 2024 18:22 hs.</t>
  </si>
  <si>
    <t>Elisangela de Paula</t>
  </si>
  <si>
    <t>CPF 02647367965</t>
  </si>
  <si>
    <t>Rua Antônio José de Oliveira 293 - Autarquia de Saúde, Apucarana - CEP: 86800490, Paraná</t>
  </si>
  <si>
    <t>02647367965</t>
  </si>
  <si>
    <t>Rua Antônio José de Oliveira 293 / Autarquia de Saúde Referencia: Horário comercial das 8h às 18 horas,  segunda a sexta. - CEP 86800490 - Barra Funda, Apucarana, Paraná</t>
  </si>
  <si>
    <t>86800490</t>
  </si>
  <si>
    <t>19 de novembro | 12:23</t>
  </si>
  <si>
    <t>MEL44067981004LMXDF01</t>
  </si>
  <si>
    <t>2000009801069354</t>
  </si>
  <si>
    <t>10 de novembro de 2024 16:59 hs.</t>
  </si>
  <si>
    <t>David Fernandes Dos Santos</t>
  </si>
  <si>
    <t>CPF 12843277604</t>
  </si>
  <si>
    <t>Avenida Padre Arlindo Vieira 898 - Ap 82 bloco Isabel, São Paulo - CEP: 04297000, São Paulo</t>
  </si>
  <si>
    <t>12843277604</t>
  </si>
  <si>
    <t>Avenida Padre Arlindo Vieira 898 / Ap 82 bloco Isabel - CEP 04297000 - Vila Vermelha, São Paulo, São Paulo</t>
  </si>
  <si>
    <t>04297000</t>
  </si>
  <si>
    <t>16 de novembro | 12:28</t>
  </si>
  <si>
    <t>MEL44067513509LMXDF01</t>
  </si>
  <si>
    <t>2000009800877816</t>
  </si>
  <si>
    <t>10 de novembro de 2024 16:36 hs.</t>
  </si>
  <si>
    <t>Eder Xavier de Oliveira</t>
  </si>
  <si>
    <t>CPF 03516599944</t>
  </si>
  <si>
    <t>Rua Tufy Yared 11, Guaíra - CEP: 85980000, Paraná</t>
  </si>
  <si>
    <t>03516599944</t>
  </si>
  <si>
    <t>Rua Tufy Yared 11 / Bairro Bnh 2 (casa Fundos) - CEP 85980000 - Guaíra, Guaíra, Paraná</t>
  </si>
  <si>
    <t>20 de novembro | 10:34</t>
  </si>
  <si>
    <t>MEL44067437957LMXDF01</t>
  </si>
  <si>
    <t>2000009800682952</t>
  </si>
  <si>
    <t>10 de novembro de 2024 16:10 hs.</t>
  </si>
  <si>
    <t>Henrique Dallorto</t>
  </si>
  <si>
    <t>CPF 10513024719</t>
  </si>
  <si>
    <t>Rua Patrimônio 164 - casa, Vila Velha - CEP: 29113230, Espírito Santo</t>
  </si>
  <si>
    <t>10513024719</t>
  </si>
  <si>
    <t>Rua Patrimônio 164 / casa Referencia: rua depois do ponto final do ônibus - CEP 29113230 - Vale Encantado, Vila Velha, Espírito Santo</t>
  </si>
  <si>
    <t>29113230</t>
  </si>
  <si>
    <t>15 de novembro | 18:04</t>
  </si>
  <si>
    <t>MEL44067546370LMXDF01</t>
  </si>
  <si>
    <t>2000009800645404</t>
  </si>
  <si>
    <t>10 de novembro de 2024 16:05 hs.</t>
  </si>
  <si>
    <t>Patricia Dos Santos Assunção</t>
  </si>
  <si>
    <t>CPF 38383712839</t>
  </si>
  <si>
    <t>Rua Jose Betim 483, Rio das Pedras - CEP: 13398022, São Paulo</t>
  </si>
  <si>
    <t>38383712839</t>
  </si>
  <si>
    <t>Rua Jose Betim 483 / CEP 13398022 - Residencial Alvorada, Rio das Pedras, São Paulo</t>
  </si>
  <si>
    <t>Rio das Pedras</t>
  </si>
  <si>
    <t>13398022</t>
  </si>
  <si>
    <t>19 de novembro | 14:24</t>
  </si>
  <si>
    <t>MEL44067533638LMXDF01</t>
  </si>
  <si>
    <t>2000006608175877</t>
  </si>
  <si>
    <t>10 de novembro de 2024 15:43 hs.</t>
  </si>
  <si>
    <t>Joice Coutinho</t>
  </si>
  <si>
    <t>CPF 10633796794</t>
  </si>
  <si>
    <t>Avenida Dom Hélder Câmara 3152 - Apt.107, bloco 01, Rio de Janeiro - CEP: 21050455, Rio de Janeiro</t>
  </si>
  <si>
    <t>10633796794</t>
  </si>
  <si>
    <t>Avenida Dom Hélder Câmara 3152 / Apt.107, bloco 01 - CEP 21050455 - Maria da Graça, Rio de Janeiro, Rio de Janeiro</t>
  </si>
  <si>
    <t>21050455</t>
  </si>
  <si>
    <t>14 de novembro | 23:50</t>
  </si>
  <si>
    <t>15 de novembro | 16:15</t>
  </si>
  <si>
    <t>MEL44067460212LMXDF01</t>
  </si>
  <si>
    <t>2000009800484508</t>
  </si>
  <si>
    <t>2000009800475320</t>
  </si>
  <si>
    <t>2000009800475322</t>
  </si>
  <si>
    <t>2000009800125386</t>
  </si>
  <si>
    <t>10 de novembro de 2024 14:59 hs.</t>
  </si>
  <si>
    <t>Acassiana Mauricio Porto</t>
  </si>
  <si>
    <t>CPF 04875275501</t>
  </si>
  <si>
    <t>2 Travessa Realeza 23, Recife - CEP: 50090692, Pernambuco</t>
  </si>
  <si>
    <t>04875275501</t>
  </si>
  <si>
    <t>2 Travessa Realeza 23 / CEP 50090692 - São José, Recife, Pernambuco</t>
  </si>
  <si>
    <t>50090692</t>
  </si>
  <si>
    <t>16 de novembro | 17:40</t>
  </si>
  <si>
    <t>MEL44067316826LMXDF01</t>
  </si>
  <si>
    <t>2000006607915285</t>
  </si>
  <si>
    <t>10 de novembro de 2024 14:47 hs.</t>
  </si>
  <si>
    <t>Susan Carolin Soares Pereira</t>
  </si>
  <si>
    <t>CPF 30858235811</t>
  </si>
  <si>
    <t>Rua Citrolândia 72, São Paulo - CEP: 05756310, São Paulo</t>
  </si>
  <si>
    <t>30858235811</t>
  </si>
  <si>
    <t>Rua Citrolândia 72 / Apartamento 02 bl 07 - CEP 05756310 - Jardim Umarizal, São Paulo, São Paulo</t>
  </si>
  <si>
    <t>05756310</t>
  </si>
  <si>
    <t>16 de novembro | 13:41</t>
  </si>
  <si>
    <t>MEL44067082185LMXDF01</t>
  </si>
  <si>
    <t>2000006607819291</t>
  </si>
  <si>
    <t>10 de novembro de 2024 14:28 hs.</t>
  </si>
  <si>
    <t>Hugo Jose Lopes de Paula</t>
  </si>
  <si>
    <t>CPF 16962774770</t>
  </si>
  <si>
    <t>Rua Amilton Blanc 100 - Casa, Santo Antônio de Pádua - CEP: 28470000, Rio de Janeiro</t>
  </si>
  <si>
    <t>16962774770</t>
  </si>
  <si>
    <t>Rua Amilton Blanc 100 / Casa Referencia: Casa Cinza Com Vidros, Telhado Branco - CEP 28470000 - Gabry, Santo Antônio de Pádua, Rio de Janeiro</t>
  </si>
  <si>
    <t>Santo Antônio de Pádua</t>
  </si>
  <si>
    <t>28470000</t>
  </si>
  <si>
    <t>15 de novembro | 14:42</t>
  </si>
  <si>
    <t>MEL44067214020LMXDF01</t>
  </si>
  <si>
    <t>2000006607804905</t>
  </si>
  <si>
    <t>10 de novembro de 2024 14:24 hs.</t>
  </si>
  <si>
    <t>Josiane Santos de Jesus</t>
  </si>
  <si>
    <t>CPF 04845289555</t>
  </si>
  <si>
    <t>rua Antônio telecio 87 - próximo mercado lelo, Ubaíra - CEP: 45310000, Bahia</t>
  </si>
  <si>
    <t>04845289555</t>
  </si>
  <si>
    <t>rua Antônio telecio 87 / próximo mercado lelo Referencia: casa de joice em frente à casa de seu João, do lado da posse com pés de banana - CEP 45310000 - alto das pombas, Ubaíra, Bahia</t>
  </si>
  <si>
    <t>Ubaíra</t>
  </si>
  <si>
    <t>45310000</t>
  </si>
  <si>
    <t>18 de novembro | 19:12</t>
  </si>
  <si>
    <t>MEL44067011209LMXDF01</t>
  </si>
  <si>
    <t>2000006607756223</t>
  </si>
  <si>
    <t>10 de novembro de 2024 14:17 hs.</t>
  </si>
  <si>
    <t>Hugo Brito Do Nascimento Oliveira</t>
  </si>
  <si>
    <t>CPF 01997183340</t>
  </si>
  <si>
    <t>Local 14 Quadra 33 Lote 21. 21 - Quadra 33, Lote 21, Açailândia - CEP: 65930000, Maranhão</t>
  </si>
  <si>
    <t>01997183340</t>
  </si>
  <si>
    <t>Local 14 Quadra 33 Lote 21. 21 / Quadra 33, Lote 21 Referencia: Casa amarela com portão branco - CEP 65930000 - Colina Park, Açailândia, Maranhão</t>
  </si>
  <si>
    <t>Açailândia</t>
  </si>
  <si>
    <t>65930000</t>
  </si>
  <si>
    <t>20 de novembro | 15:55</t>
  </si>
  <si>
    <t>MEL44066985575LMXDF01</t>
  </si>
  <si>
    <t>2000006607771331</t>
  </si>
  <si>
    <t>Fabiana Freire Falsarella</t>
  </si>
  <si>
    <t>CPF 26009258804</t>
  </si>
  <si>
    <t>Rua do Retiro 30 - AP 21, Jundiaí - CEP: 13201030, São Paulo</t>
  </si>
  <si>
    <t>26009258804</t>
  </si>
  <si>
    <t>Rua do Retiro 30 / AP 21 Referencia: Próximo ao viaduto da AV Jundiaí X AV Nove de Julho
Ao lado da Turquesa Esmalteria - CEP 13201030 - Centro, Jundiaí, São Paulo</t>
  </si>
  <si>
    <t>13201030</t>
  </si>
  <si>
    <t>16 de novembro | 10:55</t>
  </si>
  <si>
    <t>MEL44066986125LMXDF01</t>
  </si>
  <si>
    <t>2000009799361226</t>
  </si>
  <si>
    <t>10 de novembro de 2024 13:21 hs.</t>
  </si>
  <si>
    <t>Reclamação aberta para resolver até quarta-feira, 18 de dezembro</t>
  </si>
  <si>
    <t>Se você não responder dentro do prazo, vamos intervir para ajudar.</t>
  </si>
  <si>
    <t>Alessandro Nascimento Dos Santos</t>
  </si>
  <si>
    <t>CPF 66329086087</t>
  </si>
  <si>
    <t>Rua Dorval Ferreira 480, Charqueadas - CEP: 96745000, Rio Grande do Sul</t>
  </si>
  <si>
    <t>66329086087</t>
  </si>
  <si>
    <t>Rua Dorval Ferreira 480 / Centro - CEP 96745000 - Charqueadas, Charqueadas, Rio Grande do Sul</t>
  </si>
  <si>
    <t>Charqueadas</t>
  </si>
  <si>
    <t>96745000</t>
  </si>
  <si>
    <t>19 de novembro | 13:06</t>
  </si>
  <si>
    <t>MEL44066807063LMXDF01</t>
  </si>
  <si>
    <t>2000009799325388</t>
  </si>
  <si>
    <t>10 de novembro de 2024 13:16 hs.</t>
  </si>
  <si>
    <t>Elisabete de Souza Santos Brito</t>
  </si>
  <si>
    <t>CPF 15285759897</t>
  </si>
  <si>
    <t>Estrada do Francês 248 - Cond Parque Ipê Roxo, Feira de Santana - CEP: 44062850, Bahia</t>
  </si>
  <si>
    <t>15285759897</t>
  </si>
  <si>
    <t>44062850</t>
  </si>
  <si>
    <t>MEL44066987258LMXDF01</t>
  </si>
  <si>
    <t>2000006607468229</t>
  </si>
  <si>
    <t>10 de novembro de 2024 13:09 hs.</t>
  </si>
  <si>
    <t>rua Antônio telecio 87 87, Ubaíra - CEP: 45310000, Bahia</t>
  </si>
  <si>
    <t>2000009799210944</t>
  </si>
  <si>
    <t>10 de novembro de 2024 13:01 hs.</t>
  </si>
  <si>
    <t>Elisangela Florisbal Nunes</t>
  </si>
  <si>
    <t>CPF 93995040004</t>
  </si>
  <si>
    <t>Rua Adão Foques 2345 - condomínios, Guaíba - CEP: 92729000, Rio Grande do Sul</t>
  </si>
  <si>
    <t>93995040004</t>
  </si>
  <si>
    <t>Rua Adão Foques 2345 / condomínios Referencia: condomínios nossas senhora do livramento Guaíba,o condomínio  passando o supermercado Asun. - CEP 92729000 - Passo Fundo, Guaíba, Rio Grande do Sul</t>
  </si>
  <si>
    <t>Guaíba</t>
  </si>
  <si>
    <t>92729000</t>
  </si>
  <si>
    <t>17 de novembro | 10:01</t>
  </si>
  <si>
    <t>MEL44066938482LMXDF01</t>
  </si>
  <si>
    <t>2000009799138778</t>
  </si>
  <si>
    <t>10 de novembro de 2024 12:51 hs.</t>
  </si>
  <si>
    <t>Josimar Alexandre Chaves</t>
  </si>
  <si>
    <t>CPF 64809471691</t>
  </si>
  <si>
    <t>Rua Antônio Corradi 214 - apto 302, Itaúna - CEP: 35680353, Minas Gerais</t>
  </si>
  <si>
    <t>64809471691</t>
  </si>
  <si>
    <t>Rua Antônio Corradi 214 / apto 302 Referencia: próximo avenida Jove Soares - CEP 35680353 - Cerqueira Lima, Itaúna, Minas Gerais</t>
  </si>
  <si>
    <t>Itaúna</t>
  </si>
  <si>
    <t>35680353</t>
  </si>
  <si>
    <t>15 de novembro | 01:55</t>
  </si>
  <si>
    <t>15 de novembro | 16:47</t>
  </si>
  <si>
    <t>MEL44066906126LMXDF01</t>
  </si>
  <si>
    <t>2000009799109772</t>
  </si>
  <si>
    <t>10 de novembro de 2024 12:48 hs.</t>
  </si>
  <si>
    <t>Victoria Salgueiro</t>
  </si>
  <si>
    <t>CPF 01094943002</t>
  </si>
  <si>
    <t>Avenida Borges de Medeiros 1772 - Casa bege, Taquari - CEP: 95860000, Rio Grande do Sul</t>
  </si>
  <si>
    <t>01094943002</t>
  </si>
  <si>
    <t>Avenida Borges de Medeiros 1772 / Casa bege Referencia: Entregar no endereço da avenida Borges de Medeiros ou na vizinha da frente da casa de dois pisos - CEP 95860000 - Prado, Taquari, Rio Grande do Sul</t>
  </si>
  <si>
    <t>Taquari</t>
  </si>
  <si>
    <t>95860000</t>
  </si>
  <si>
    <t>19 de novembro | 11:15</t>
  </si>
  <si>
    <t>MEL44066704847LMXDF01</t>
  </si>
  <si>
    <t>2000006607155079</t>
  </si>
  <si>
    <t>10 de novembro de 2024 11:56 hs.</t>
  </si>
  <si>
    <t>Fernando Fernandes Junior</t>
  </si>
  <si>
    <t>CPF 73978809249</t>
  </si>
  <si>
    <t>Rua da República 1645 - Loja Construmar, Porto de Moz - CEP: 68330000, Pará</t>
  </si>
  <si>
    <t>73978809249</t>
  </si>
  <si>
    <t>Rua da República 1645 / Loja Construmar - CEP 68330000 - Centro, Porto de Moz, Pará</t>
  </si>
  <si>
    <t>Porto de Moz</t>
  </si>
  <si>
    <t>68330000</t>
  </si>
  <si>
    <t>15 de novembro | 04:53</t>
  </si>
  <si>
    <t>4 de dezembro | 22:26</t>
  </si>
  <si>
    <t>12108801022551</t>
  </si>
  <si>
    <t>https://www.jadlog.com.br/trackingml.jsp?pedido=12108801022551</t>
  </si>
  <si>
    <t>2000009798736314</t>
  </si>
  <si>
    <t>2000009798736316</t>
  </si>
  <si>
    <t>10 de novembro de 2024 11:57 hs.</t>
  </si>
  <si>
    <t>2000009798734650</t>
  </si>
  <si>
    <t>2000006607071521</t>
  </si>
  <si>
    <t>10 de novembro de 2024 11:37 hs.</t>
  </si>
  <si>
    <t>Saleti De Fatima P Santiago</t>
  </si>
  <si>
    <t>CPF 05749705846</t>
  </si>
  <si>
    <t>Rua dos Jasmins 140, Mauá - CEP: 09361220, São Paulo</t>
  </si>
  <si>
    <t>05749705846</t>
  </si>
  <si>
    <t>Rua dos Jasmins 140 / CEP 09361220 - Jardim Primavera, Mauá, São Paulo</t>
  </si>
  <si>
    <t>09361220</t>
  </si>
  <si>
    <t>16 de novembro | 13:58</t>
  </si>
  <si>
    <t>MEL44066676700LMXDF01</t>
  </si>
  <si>
    <t>2000009798359934</t>
  </si>
  <si>
    <t>10 de novembro de 2024 11:06 hs.</t>
  </si>
  <si>
    <t>Bárbara Almeida da Conceição</t>
  </si>
  <si>
    <t>CPF 12530477744</t>
  </si>
  <si>
    <t>Rua Virgilio Ambrozini SN - Q E 5 L 10 casa, Sorocaba - CEP: 18070862, São Paulo</t>
  </si>
  <si>
    <t>12530477744</t>
  </si>
  <si>
    <t>Rua Virgilio Ambrozini SN / Q E 5 L 10 casa Referencia: Q E 5 L 10Márcio Alves - CEP 18070862 - Jardim Golden Park Residencial, Sorocaba, São Paulo</t>
  </si>
  <si>
    <t>18070862</t>
  </si>
  <si>
    <t>19 de novembro | 12:42</t>
  </si>
  <si>
    <t>MEL44066585004LMXDF01</t>
  </si>
  <si>
    <t>2000009798350536</t>
  </si>
  <si>
    <t>10 de novembro de 2024 11:03 hs.</t>
  </si>
  <si>
    <t>Suelen Caroline Cardoso Araujo</t>
  </si>
  <si>
    <t>CPF 04280349690</t>
  </si>
  <si>
    <t>Avenida Dr Carlos Soares 188 - Ótica, Visconde do Rio Branco - CEP: 36520000, Minas Gerais</t>
  </si>
  <si>
    <t>04280349690</t>
  </si>
  <si>
    <t>Avenida Dr Carlos Soares 188 / Ótica Referencia: Ótica Esmeralda - CEP 36520000 - Visconde do Rio Branco, Visconde do Rio Branco, Minas Gerais</t>
  </si>
  <si>
    <t>Visconde do Rio Branco</t>
  </si>
  <si>
    <t>36520000</t>
  </si>
  <si>
    <t>15 de novembro | 00:22</t>
  </si>
  <si>
    <t>15 de novembro | 17:39</t>
  </si>
  <si>
    <t>MEL44066381433LMXDF01</t>
  </si>
  <si>
    <t>2000009798123232</t>
  </si>
  <si>
    <t>10 de novembro de 2024 10:28 hs.</t>
  </si>
  <si>
    <t>Adriana P Santos</t>
  </si>
  <si>
    <t>CPF 17609811840</t>
  </si>
  <si>
    <t>Rua Manoel Dias da Silva 372, Porto Seguro - CEP: 45810000, Bahia</t>
  </si>
  <si>
    <t>17609811840</t>
  </si>
  <si>
    <t>Rua Manoel Dias da Silva 372 / Pousada Aroeira - CEP 45810000 - Lagoa Grande, Porto Seguro, Bahia</t>
  </si>
  <si>
    <t>18 de novembro | 20:02</t>
  </si>
  <si>
    <t>MEL44066286993LMXDF01</t>
  </si>
  <si>
    <t>2000009798015904</t>
  </si>
  <si>
    <t>10 de novembro de 2024 10:10 hs.</t>
  </si>
  <si>
    <t>Edina  Santos Silva</t>
  </si>
  <si>
    <t>CPF 03368842145</t>
  </si>
  <si>
    <t>Rua Porto Príncipe 1803 - Casa azul de mandeir, Vera - CEP: 78880000, Mato Grosso</t>
  </si>
  <si>
    <t>03368842145</t>
  </si>
  <si>
    <t>Rua Porto Príncipe 1803 / Casa azul de mandeir Referencia: Casa do maninho táxi - CEP 78880000 - Esperança 1, Vera, Mato Grosso</t>
  </si>
  <si>
    <t>Vera</t>
  </si>
  <si>
    <t>78880000</t>
  </si>
  <si>
    <t>19 de novembro | 11:07</t>
  </si>
  <si>
    <t>MEL44066437826LMXDF01</t>
  </si>
  <si>
    <t>2000009797953600</t>
  </si>
  <si>
    <t>10 de novembro de 2024 09:58 hs.</t>
  </si>
  <si>
    <t>Rosangela Caze da Silva</t>
  </si>
  <si>
    <t>CPF 18365820803</t>
  </si>
  <si>
    <t>Rua Luiz Marcato 360 - casa 3 chácara, Suzano - CEP: 08633742, São Paulo</t>
  </si>
  <si>
    <t>18365820803</t>
  </si>
  <si>
    <t>Rua Luiz Marcato 360 / casa 3 chácara Referencia: Chácara recanto terra do sol, próximo à chácara do armancio e pesqueiro conquista, chácara de esquina cor laranja.11975704901 - CEP 08633742 - Estância Angelina, Suzano, São Paulo</t>
  </si>
  <si>
    <t>08633742</t>
  </si>
  <si>
    <t>16 de novembro | 16:09</t>
  </si>
  <si>
    <t>MEL44066215819LMXDF01</t>
  </si>
  <si>
    <t>2000006606622265</t>
  </si>
  <si>
    <t>10 de novembro de 2024 09:23 hs.</t>
  </si>
  <si>
    <t>Sirlene Aparecida Carette de Sousa</t>
  </si>
  <si>
    <t>CPF 17322361865</t>
  </si>
  <si>
    <t>Rua Costa Barros 2050 2050, São Paulo - CEP: 03210001, São Paulo</t>
  </si>
  <si>
    <t>17322361865</t>
  </si>
  <si>
    <t>Rua Costa Barros 2050 / bl 5 ap 405 - CEP 03210001 - Sítio Pinheirinho, São Paulo, São Paulo</t>
  </si>
  <si>
    <t>03210001</t>
  </si>
  <si>
    <t>16 de novembro | 10:32</t>
  </si>
  <si>
    <t>MEL44066338568LMXDF01</t>
  </si>
  <si>
    <t>2000009797730028</t>
  </si>
  <si>
    <t>10 de novembro de 2024 09:02 hs.</t>
  </si>
  <si>
    <t>Bianca Aparecida Vieira</t>
  </si>
  <si>
    <t>CPF 11079828630</t>
  </si>
  <si>
    <t>Rua Manoel de Oliveira 67, Cristiano Otoni - CEP: 36426000, Minas Gerais</t>
  </si>
  <si>
    <t>11079828630</t>
  </si>
  <si>
    <t>Rua Manoel de Oliveira 67 / Casa - CEP 36426000 - Cristiano Otoni, Cristiano Otoni, Minas Gerais</t>
  </si>
  <si>
    <t>Cristiano Otoni</t>
  </si>
  <si>
    <t>36426000</t>
  </si>
  <si>
    <t>16 de novembro | 15:58</t>
  </si>
  <si>
    <t>MEL44066306128LMXDF01</t>
  </si>
  <si>
    <t>2000009797684656</t>
  </si>
  <si>
    <t>10 de novembro de 2024 08:52 hs.</t>
  </si>
  <si>
    <t>RENAN SILVA</t>
  </si>
  <si>
    <t>CPF 11300001763</t>
  </si>
  <si>
    <t>Rua Marinho José Gonçalves 21 - casa 4, São Pedro da Aldeia - CEP: 28949372, Rio de Janeiro</t>
  </si>
  <si>
    <t>11300001763</t>
  </si>
  <si>
    <t>Rua Marinho José Gonçalves 21 / casa 4 Referencia: casa portão dourado.
na travessa Marinho José Gonçalves. - CEP 28949372 - Balneário das Conchas, São Pedro da Aldeia, Rio de Janeiro</t>
  </si>
  <si>
    <t>São Pedro da Aldeia</t>
  </si>
  <si>
    <t>28949372</t>
  </si>
  <si>
    <t>15 de novembro | 00:24</t>
  </si>
  <si>
    <t>15 de novembro | 11:07</t>
  </si>
  <si>
    <t>MEL44066290164LMXDF01</t>
  </si>
  <si>
    <t>2000009797654868</t>
  </si>
  <si>
    <t>10 de novembro de 2024 08:45 hs.</t>
  </si>
  <si>
    <t>webio Divino Sampaio ebinho</t>
  </si>
  <si>
    <t>CPF 82427151149</t>
  </si>
  <si>
    <t>Av dos Pinheiros qd 8 lt 6 SN - abaixo da pracinha, Pontalina - CEP: 75620000, Goiás</t>
  </si>
  <si>
    <t>82427151149</t>
  </si>
  <si>
    <t>Av dos Pinheiros qd 8 lt 6 SN / abaixo da pracinha Referencia: 18 casa contadas de baixo para cima ( casa da direita) - CEP 75620000 - setor aeroporto, Pontalina, Goiás</t>
  </si>
  <si>
    <t>Pontalina</t>
  </si>
  <si>
    <t>75620000</t>
  </si>
  <si>
    <t>14 de novembro | 02:46</t>
  </si>
  <si>
    <t>16 de novembro | 16:18</t>
  </si>
  <si>
    <t>MEL44066278454LMXDF01</t>
  </si>
  <si>
    <t>2000009797634622</t>
  </si>
  <si>
    <t>10 de novembro de 2024 08:37 hs.</t>
  </si>
  <si>
    <t>Devolvido no dia 21 de novembro</t>
  </si>
  <si>
    <t>Janaina Ribeiro da Silva</t>
  </si>
  <si>
    <t>CPF 07925005718</t>
  </si>
  <si>
    <t>Avenida Pastor Martin Luther King Jr 126 - Torre 3000 sala 1511, Rio de Janeiro - CEP: 20765000, Rio de Janeiro</t>
  </si>
  <si>
    <t>07925005718</t>
  </si>
  <si>
    <t>20765000</t>
  </si>
  <si>
    <t>13 de novembro | 23:43</t>
  </si>
  <si>
    <t>MEL44066267554LMXDF01</t>
  </si>
  <si>
    <t>2000006606493967</t>
  </si>
  <si>
    <t>10 de novembro de 2024 08:16 hs.</t>
  </si>
  <si>
    <t>Marta Donizete Batistel</t>
  </si>
  <si>
    <t>CPF 89836405968</t>
  </si>
  <si>
    <t>Rua Marema 118 - rua em frente o CAIC, Blumenau - CEP: 89062224, Santa Catarina</t>
  </si>
  <si>
    <t>89836405968</t>
  </si>
  <si>
    <t>Rua Marema 118 / rua em frente o CAIC - CEP 89062224 - Itoupava Central, Blumenau, Santa Catarina</t>
  </si>
  <si>
    <t>89062224</t>
  </si>
  <si>
    <t>14 de novembro | 05:47</t>
  </si>
  <si>
    <t>19 de novembro | 14:57</t>
  </si>
  <si>
    <t>MEL44066046275LMXDF01</t>
  </si>
  <si>
    <t>2000006606315527</t>
  </si>
  <si>
    <t>10 de novembro de 2024 03:38 hs.</t>
  </si>
  <si>
    <t>Maria Do Socorro De Carvalho Loureiro</t>
  </si>
  <si>
    <t>CPF 37899384249</t>
  </si>
  <si>
    <t>são Miguel 302 - casa, Dom Eliseu - CEP: 68633000, Pará</t>
  </si>
  <si>
    <t>37899384249</t>
  </si>
  <si>
    <t>são Miguel 302 / casa Referencia: ao lado da igreja - CEP 68633000 - vila São Paulo, Dom Eliseu, Pará</t>
  </si>
  <si>
    <t>Dom Eliseu</t>
  </si>
  <si>
    <t>68633000</t>
  </si>
  <si>
    <t>19 de novembro | 12:02</t>
  </si>
  <si>
    <t>MEL44065905411LMXDF01</t>
  </si>
  <si>
    <t>2000009796687814</t>
  </si>
  <si>
    <t>10 de novembro de 2024 00:10 hs.</t>
  </si>
  <si>
    <t>Marcio Rogerio Santos</t>
  </si>
  <si>
    <t>CPF 94246378968</t>
  </si>
  <si>
    <t>Avenida Euclides Bonifácio Londres 1157 - Casa, Telêmaco Borba - CEP: 84264010, Paraná</t>
  </si>
  <si>
    <t>94246378968</t>
  </si>
  <si>
    <t>Avenida Euclides Bonifácio Londres 1157 / Casa Referencia: ao lado casa de ração CAT DOG - CEP 84264010 - Nossa Senhora de Fátima, Telêmaco Borba, Paraná</t>
  </si>
  <si>
    <t>Telêmaco Borba</t>
  </si>
  <si>
    <t>84264010</t>
  </si>
  <si>
    <t>18 de novembro | 17:52</t>
  </si>
  <si>
    <t>MEL44065684739LMXDF01</t>
  </si>
  <si>
    <t>2000009796396846</t>
  </si>
  <si>
    <t>9 de novembro de 2024 23:11 hs.</t>
  </si>
  <si>
    <t xml:space="preserve">Yasmin  Santana </t>
  </si>
  <si>
    <t>CPF 09551862937</t>
  </si>
  <si>
    <t>Rua Adam Schütz 232 - Casa 2, Palhoça - CEP: 88135214, Santa Catarina</t>
  </si>
  <si>
    <t>09551862937</t>
  </si>
  <si>
    <t>Rua Adam Schütz 232 / Casa 2 Referencia: Em frente ao muro de vidro - CEP 88135214 - Aririú, Palhoça, Santa Catarina</t>
  </si>
  <si>
    <t>88135214</t>
  </si>
  <si>
    <t>18 de novembro | 17:34</t>
  </si>
  <si>
    <t>MEL44065563591LMXDF01</t>
  </si>
  <si>
    <t>2000009795975936</t>
  </si>
  <si>
    <t>9 de novembro de 2024 22:04 hs.</t>
  </si>
  <si>
    <t>Chegou em 14 de novembro</t>
  </si>
  <si>
    <t>novembro 2024</t>
  </si>
  <si>
    <t>Silas Eduardo Severino</t>
  </si>
  <si>
    <t>CPF 83757295153</t>
  </si>
  <si>
    <t>Rua Farme de Amoedo 150 - ap 504 bloco b, Rio de Janeiro - CEP: 22420020, Rio de Janeiro</t>
  </si>
  <si>
    <t>83757295153</t>
  </si>
  <si>
    <t>Rua Farme de Amoedo 150 / ap 504 bloco b - CEP 22420020 - Ipanema, Rio de Janeiro, Rio de Janeiro</t>
  </si>
  <si>
    <t>22420020</t>
  </si>
  <si>
    <t>14 de novembro | 02:21</t>
  </si>
  <si>
    <t>14 de novembro | 18:51</t>
  </si>
  <si>
    <t>MEL44065589962LMXDF01</t>
  </si>
  <si>
    <t>2000009795639218</t>
  </si>
  <si>
    <t>9 de novembro de 2024 21:14 hs.</t>
  </si>
  <si>
    <t>Nadia Sbalchiero</t>
  </si>
  <si>
    <t>CPF 94216240097</t>
  </si>
  <si>
    <t>av. Júlio de Castilhos 655 - mercado Morello, Sananduva - CEP: 99840000, Rio Grande do Sul</t>
  </si>
  <si>
    <t>94216240097</t>
  </si>
  <si>
    <t>av. Júlio de Castilhos 655 / mercado Morello Referencia: mercado Morello - CEP 99840000 - Giusti, Sananduva, Rio Grande do Sul</t>
  </si>
  <si>
    <t>Sananduva</t>
  </si>
  <si>
    <t>99840000</t>
  </si>
  <si>
    <t>19 de novembro | 10:44</t>
  </si>
  <si>
    <t>MEL44065443006LMXDF01</t>
  </si>
  <si>
    <t>2000006605237871</t>
  </si>
  <si>
    <t>9 de novembro de 2024 21:01 hs.</t>
  </si>
  <si>
    <t>Vania Alves Estevao</t>
  </si>
  <si>
    <t>CPF 37066226615</t>
  </si>
  <si>
    <t>Rua Vicência Maria de Jesus 364 - Lava Jato, Betim - CEP: 32604286, Minas Gerais</t>
  </si>
  <si>
    <t>37066226615</t>
  </si>
  <si>
    <t>Rua Vicência Maria de Jesus 364 / Lava Jato Referencia: Rua Maria Vicência de Jesus, 364 - Bairro Jardim da Cidade - Betim/MG CEP 32604286Atrás Posto de Combustível - CEP 32604286 - Jardim da Cidade, Betim, Minas Gerais</t>
  </si>
  <si>
    <t>32604286</t>
  </si>
  <si>
    <t>14 de novembro | 01:52</t>
  </si>
  <si>
    <t>14 de novembro | 20:00</t>
  </si>
  <si>
    <t>MEL44065211101LMXDF01</t>
  </si>
  <si>
    <t>2000009795410458</t>
  </si>
  <si>
    <t>9 de novembro de 2024 20:39 hs.</t>
  </si>
  <si>
    <t>Max  Kriger</t>
  </si>
  <si>
    <t>CPF 02771450909</t>
  </si>
  <si>
    <t>Rua Guido Oscar Horn 294, Caxias do Sul - CEP: 95042706, Rio Grande do Sul</t>
  </si>
  <si>
    <t>02771450909</t>
  </si>
  <si>
    <t>Rua Guido Oscar Horn 294 / Apto 901 Referencia: Vila Horn. Em frente Pavilhões Festa da Uva - CEP 95042706 - São José, Caxias do Sul, Rio Grande do Sul</t>
  </si>
  <si>
    <t>95042706</t>
  </si>
  <si>
    <t>12 de novembro | 05:41</t>
  </si>
  <si>
    <t>15 de novembro | 11:42</t>
  </si>
  <si>
    <t>MEL44065340128LMXDF01</t>
  </si>
  <si>
    <t>2000009795287228</t>
  </si>
  <si>
    <t>9 de novembro de 2024 20:26 hs.</t>
  </si>
  <si>
    <t>Cristiane wonsovicz leite</t>
  </si>
  <si>
    <t>CPF 07696524925</t>
  </si>
  <si>
    <t>Rua Rio de Janeiro 119 - Vermont ,app 107,b 4, Araucária - CEP: 83701182, Paraná</t>
  </si>
  <si>
    <t>07696524925</t>
  </si>
  <si>
    <t>Rua Rio de Janeiro 119 / Vermont ,app 107,b 4 Referencia: ao lado do Parque Cachoeira - CEP 83701182 - Iguaçu, Araucária, Paraná</t>
  </si>
  <si>
    <t>Araucária</t>
  </si>
  <si>
    <t>83701182</t>
  </si>
  <si>
    <t>14 de novembro | 05:48</t>
  </si>
  <si>
    <t>15 de novembro | 19:23</t>
  </si>
  <si>
    <t>MEL44065291362LMXDF01</t>
  </si>
  <si>
    <t>2000009795302700</t>
  </si>
  <si>
    <t>9 de novembro de 2024 20:24 hs.</t>
  </si>
  <si>
    <t>Eduardo Minao Ijichi</t>
  </si>
  <si>
    <t>CPF 27984595836</t>
  </si>
  <si>
    <t>Avenida Montemagno 1083, São Paulo - CEP: 03373025, São Paulo</t>
  </si>
  <si>
    <t>27984595836</t>
  </si>
  <si>
    <t>Avenida Montemagno 1083 / Referencia: horário comercial - CEP 03373025 - Chácara Mafalda, São Paulo, São Paulo</t>
  </si>
  <si>
    <t>03373025</t>
  </si>
  <si>
    <t>14 de novembro | 04:50</t>
  </si>
  <si>
    <t>19 de novembro | 18:00</t>
  </si>
  <si>
    <t>MEL44065101253LMXDF01</t>
  </si>
  <si>
    <t>2000009795167946</t>
  </si>
  <si>
    <t>9 de novembro de 2024 20:08 hs.</t>
  </si>
  <si>
    <t>Eliane Ribeiro</t>
  </si>
  <si>
    <t>CPF 32860624805</t>
  </si>
  <si>
    <t>Rua Antônio Fortunato 955, São Paulo - CEP: 03681000, São Paulo</t>
  </si>
  <si>
    <t>32860624805</t>
  </si>
  <si>
    <t>Rua Antônio Fortunato 955 / CEP 03681000 - Burgo Paulista, São Paulo, São Paulo</t>
  </si>
  <si>
    <t>03681000</t>
  </si>
  <si>
    <t>27 de novembro | 12:14</t>
  </si>
  <si>
    <t>MEL44065049531LMXDF01</t>
  </si>
  <si>
    <t>https://myaccount.mercadolivre.com.br/shipments/44065049531/detail</t>
  </si>
  <si>
    <t>2000006604998987</t>
  </si>
  <si>
    <t>9 de novembro de 2024 20:04 hs.</t>
  </si>
  <si>
    <t>joel rosa</t>
  </si>
  <si>
    <t>CPF 63765373915</t>
  </si>
  <si>
    <t>Rua Marli Laura de Souza 81, São José - CEP: 88107090, Santa Catarina</t>
  </si>
  <si>
    <t>63765373915</t>
  </si>
  <si>
    <t>Rua Marli Laura de Souza 81 / CEP 88107090 - Potecas, São José, Santa Catarina</t>
  </si>
  <si>
    <t>88107090</t>
  </si>
  <si>
    <t>MEL44065233158LMXDF01</t>
  </si>
  <si>
    <t>2000006604929393</t>
  </si>
  <si>
    <t>9 de novembro de 2024 19:46 hs.</t>
  </si>
  <si>
    <t>Tiago Falconi</t>
  </si>
  <si>
    <t>CPF 21825959889</t>
  </si>
  <si>
    <t>Rua Felipe Achê 467, Ribeirão Preto - CEP: 14020420, São Paulo</t>
  </si>
  <si>
    <t>21825959889</t>
  </si>
  <si>
    <t>Rua Felipe Achê 467 / Referencia: Empresa Swfast procurar por Falconi - CEP 14020420 - Jardim São Luiz, Ribeirão Preto, São Paulo</t>
  </si>
  <si>
    <t>14020420</t>
  </si>
  <si>
    <t>14 de novembro | 04:24</t>
  </si>
  <si>
    <t>18 de novembro | 15:14</t>
  </si>
  <si>
    <t>MEL44064984449LMXDF01</t>
  </si>
  <si>
    <t>2000009794668374</t>
  </si>
  <si>
    <t>9 de novembro de 2024 18:55 hs.</t>
  </si>
  <si>
    <t>Daniela Larissa Trindade Soares da Silva</t>
  </si>
  <si>
    <t>CPF 42134006897</t>
  </si>
  <si>
    <t>Rua Afonso Guido 108 - ao lado do 102, Itu - CEP: 13311590, São Paulo</t>
  </si>
  <si>
    <t>42134006897</t>
  </si>
  <si>
    <t>Rua Afonso Guido 108 / ao lado do 102 Referencia: /Restriçao-No/Condomínio-No/Portaria-No/Elevador-No/Escalera-No - CEP 13311590 - Vila Esperança, Itu, São Paulo</t>
  </si>
  <si>
    <t>13311590</t>
  </si>
  <si>
    <t>15 de novembro | 12:26</t>
  </si>
  <si>
    <t>MEL44064826001LMXDF01</t>
  </si>
  <si>
    <t>2000006604665623</t>
  </si>
  <si>
    <t>9 de novembro de 2024 18:45 hs.</t>
  </si>
  <si>
    <t>Fabricio Monteiro</t>
  </si>
  <si>
    <t>CPF 19441429830</t>
  </si>
  <si>
    <t>Rua Mont Royal 370, Indaiatuba - CEP: 13332114, São Paulo</t>
  </si>
  <si>
    <t>19441429830</t>
  </si>
  <si>
    <t>Rua Mont Royal 370 / Referencia: Pode me ligar se precisar retirar na portaria do condomínio - CEP 13332114 - Jardim Montreal Residence, Indaiatuba, São Paulo</t>
  </si>
  <si>
    <t>13332114</t>
  </si>
  <si>
    <t>14 de novembro | 05:38</t>
  </si>
  <si>
    <t>16 de novembro | 11:37</t>
  </si>
  <si>
    <t>MEL44064793311LMXDF01</t>
  </si>
  <si>
    <t>2000009794296584</t>
  </si>
  <si>
    <t>9 de novembro de 2024 18:03 hs.</t>
  </si>
  <si>
    <t>Antonio Marcos Pereira da Silva</t>
  </si>
  <si>
    <t>CPF 02917389745</t>
  </si>
  <si>
    <t>RuaAnaCristinaCesar 155 - portaria, Rio de Janeiro - CEP: 22763145, Rio de Janeiro</t>
  </si>
  <si>
    <t>02917389745</t>
  </si>
  <si>
    <t>RuaAnaCristinaCesar 155 / portaria Referencia: Quinho porteiro - CEP 22763145 - Freguesia (Jacarepaguá), Rio de Janeiro, Rio de Janeiro</t>
  </si>
  <si>
    <t>22763145</t>
  </si>
  <si>
    <t>14 de novembro | 15:57</t>
  </si>
  <si>
    <t>MEL44064858448LMXDF01</t>
  </si>
  <si>
    <t>2000009794256186</t>
  </si>
  <si>
    <t>9 de novembro de 2024 17:57 hs.</t>
  </si>
  <si>
    <t>Lucilaine Lemes Pinto Venturini</t>
  </si>
  <si>
    <t>CPF 12285799896</t>
  </si>
  <si>
    <t>Rua Esperança 95, São Roque - CEP: 18132382, São Paulo</t>
  </si>
  <si>
    <t>12285799896</t>
  </si>
  <si>
    <t>Rua Esperança 95 / Referencia: Entregar para Neusa ou Lais - CEP 18132382 - Jardim Boa Vista, São Roque, São Paulo</t>
  </si>
  <si>
    <t>São Roque</t>
  </si>
  <si>
    <t>18132382</t>
  </si>
  <si>
    <t>14 de novembro | 04:57</t>
  </si>
  <si>
    <t>15 de novembro | 13:27</t>
  </si>
  <si>
    <t>MEL44064643573LMXDF01</t>
  </si>
  <si>
    <t>2000009794128982</t>
  </si>
  <si>
    <t>9 de novembro de 2024 17:40 hs.</t>
  </si>
  <si>
    <t>Marvione Ferreira Rodrigues</t>
  </si>
  <si>
    <t>CPF 16232462700</t>
  </si>
  <si>
    <t>Rua Oscar Gomes Ramagem 2945 - oficina do marcos, Lídice - CEP: 27475000, Rio de Janeiro</t>
  </si>
  <si>
    <t>16232462700</t>
  </si>
  <si>
    <t>Rua Oscar Gomes Ramagem 2945 / oficina do marcos - CEP 27475000 - Lidice, Lídice, Rio de Janeiro</t>
  </si>
  <si>
    <t>Lídice</t>
  </si>
  <si>
    <t>27475000</t>
  </si>
  <si>
    <t>14 de novembro | 00:53</t>
  </si>
  <si>
    <t>14 de novembro | 14:13</t>
  </si>
  <si>
    <t>MEL44064591703LMXDF01</t>
  </si>
  <si>
    <t>2000009794101222</t>
  </si>
  <si>
    <t>9 de novembro de 2024 17:37 hs.</t>
  </si>
  <si>
    <t>JOSÉ CONCESSO</t>
  </si>
  <si>
    <t>CPF 00596200803</t>
  </si>
  <si>
    <t>Rua José Cury Andere 390 - Bloco 9B AP 31 B, Mogi das Cruzes - CEP: 08730700, São Paulo</t>
  </si>
  <si>
    <t>00596200803</t>
  </si>
  <si>
    <t>Rua José Cury Andere 390 / Bloco 9B AP 31 B Referencia: próximo ao cemitério da Saudade - CEP 08730700 - Alto Ipiranga, Mogi das Cruzes, São Paulo</t>
  </si>
  <si>
    <t>08730700</t>
  </si>
  <si>
    <t>14 de novembro | 04:44</t>
  </si>
  <si>
    <t>15 de novembro | 11:53</t>
  </si>
  <si>
    <t>MEL44064775702LMXDF01</t>
  </si>
  <si>
    <t>2000009794060092</t>
  </si>
  <si>
    <t>9 de novembro de 2024 17:29 hs.</t>
  </si>
  <si>
    <t>Deisiane Sousa da Silva</t>
  </si>
  <si>
    <t>CPF 81359896520</t>
  </si>
  <si>
    <t>Travessa Mata Atlântica I 186 - Bloco 31 , apt 202, Salvador - CEP: 41256275, Bahia</t>
  </si>
  <si>
    <t>81359896520</t>
  </si>
  <si>
    <t>41256275</t>
  </si>
  <si>
    <t>2000006604231441</t>
  </si>
  <si>
    <t>9 de novembro de 2024 17:05 hs.</t>
  </si>
  <si>
    <t>Maria Teresinha de Paiva</t>
  </si>
  <si>
    <t>CPF 07232907761</t>
  </si>
  <si>
    <t>Rua Cardoso de Morais 136 136, Rio de Janeiro - CEP: 21032000, Rio de Janeiro</t>
  </si>
  <si>
    <t>07232907761</t>
  </si>
  <si>
    <t>Estrada de Itararé 780 / Rua A casa 3 - CEP 21061240 - Ramos, Rio de Janeiro, Rio de Janeiro</t>
  </si>
  <si>
    <t>21061240</t>
  </si>
  <si>
    <t>14 de novembro | 16:37</t>
  </si>
  <si>
    <t>MEL44064671340LMXDF01</t>
  </si>
  <si>
    <t>2000009793829012</t>
  </si>
  <si>
    <t>9 de novembro de 2024 16:59 hs.</t>
  </si>
  <si>
    <t>26501956 MARCELO MORAES DE LIMA</t>
  </si>
  <si>
    <t>CNPJ 26501956000160</t>
  </si>
  <si>
    <t>Rua Alba Storrari De Azevedo 182, Embu Guaçu - CEP: 06906110, São Paulo</t>
  </si>
  <si>
    <t>299048155115</t>
  </si>
  <si>
    <t>26501956000160</t>
  </si>
  <si>
    <t>Rua Alba Storrari de Azevedo 182 / Referencia: Rua do Posto de Combustiveis Itararé. - CEP 06906110 - Val Flor, Embu Guaçu, São Paulo</t>
  </si>
  <si>
    <t>06906110</t>
  </si>
  <si>
    <t>15 de novembro | 12:06</t>
  </si>
  <si>
    <t>MEL44064460269LMXDF01</t>
  </si>
  <si>
    <t>2000009793710482</t>
  </si>
  <si>
    <t>9 de novembro de 2024 16:42 hs.</t>
  </si>
  <si>
    <t>luciane oliveira</t>
  </si>
  <si>
    <t>CPF 34000682504</t>
  </si>
  <si>
    <t>Rua Almiro Vinhaes 191 - Prédio bege, Ilhéus - CEP: 45652470, Bahia</t>
  </si>
  <si>
    <t>34000682504</t>
  </si>
  <si>
    <t>Rua Almiro Vinhaes 191 / Prédio bege Referencia: Rua fundo Farmácia Prefeitura - CEP 45652470 - Boa Vista, Ilhéus, Bahia</t>
  </si>
  <si>
    <t>Ilhéus</t>
  </si>
  <si>
    <t>45652470</t>
  </si>
  <si>
    <t>17 de novembro | 17:25</t>
  </si>
  <si>
    <t>MEL44064598122LMXDF01</t>
  </si>
  <si>
    <t>2000009793673138</t>
  </si>
  <si>
    <t>9 de novembro de 2024 16:38 hs.</t>
  </si>
  <si>
    <t>Marcela Paretti Portela Carvalho</t>
  </si>
  <si>
    <t>CPF 38082643811</t>
  </si>
  <si>
    <t>Avenida Dom Pedro II 315, Peruíbe - CEP: 11770538, São Paulo</t>
  </si>
  <si>
    <t>38082643811</t>
  </si>
  <si>
    <t>Avenida Dom Pedro II 315 / casa 4 Referencia: rua do postinho do Ribamar. pós linha - CEP 11770538 - Jardim Ribamar, Peruíbe, São Paulo</t>
  </si>
  <si>
    <t>Peruíbe</t>
  </si>
  <si>
    <t>11770538</t>
  </si>
  <si>
    <t>14 de novembro | 04:51</t>
  </si>
  <si>
    <t>15 de novembro | 13:04</t>
  </si>
  <si>
    <t>MEL44064586912LMXDF01</t>
  </si>
  <si>
    <t>2000009793486588</t>
  </si>
  <si>
    <t>9 de novembro de 2024 16:13 hs.</t>
  </si>
  <si>
    <t>Kely Barbosa Vieira</t>
  </si>
  <si>
    <t>CPF 07964263501</t>
  </si>
  <si>
    <t>Estrada Armando Barbosa de Almeida 8050, Mairiporã - CEP: 07604525, São Paulo</t>
  </si>
  <si>
    <t>07964263501</t>
  </si>
  <si>
    <t>Estrada Armando Barbosa de Almeida 8050 / CEP 07604525 - Caceia, Mairiporã, São Paulo</t>
  </si>
  <si>
    <t>Mairiporã</t>
  </si>
  <si>
    <t>07604525</t>
  </si>
  <si>
    <t>15 de novembro | 12:40</t>
  </si>
  <si>
    <t>MEL44064498790LMXDF01</t>
  </si>
  <si>
    <t>2000009793067584</t>
  </si>
  <si>
    <t>9 de novembro de 2024 15:20 hs.</t>
  </si>
  <si>
    <t>adao redondo</t>
  </si>
  <si>
    <t>CPF 45370779805</t>
  </si>
  <si>
    <t>Rua Humberto de Campos 67, São Carlos - CEP: 13570670, São Paulo</t>
  </si>
  <si>
    <t>45370779805</t>
  </si>
  <si>
    <t>Rua Humberto de Campos 67 / CEP 13570670 - Vila Lutfalla, São Carlos, São Paulo</t>
  </si>
  <si>
    <t>13570670</t>
  </si>
  <si>
    <t>15 de novembro | 13:54</t>
  </si>
  <si>
    <t>MEL44064126747LMXDF01</t>
  </si>
  <si>
    <t>2000006603707535</t>
  </si>
  <si>
    <t>9 de novembro de 2024 15:10 hs.</t>
  </si>
  <si>
    <t>Marcia Paganini</t>
  </si>
  <si>
    <t>CPF 18461738845</t>
  </si>
  <si>
    <t>Praça Barão Pinto Lima 200 - av Bagirú 180, São Paulo - CEP: 05470050, São Paulo</t>
  </si>
  <si>
    <t>18461738845</t>
  </si>
  <si>
    <t>Praça Barão Pinto Lima 200 / av Bagirú 180 Referencia: Armario referente ao end Av.Bagirú 180 - CEP 05470050 - Boaçava, São Paulo, São Paulo</t>
  </si>
  <si>
    <t>05470050</t>
  </si>
  <si>
    <t>15 de novembro | 16:44</t>
  </si>
  <si>
    <t>MEL44064289492LMXDF01</t>
  </si>
  <si>
    <t>2000009792901038</t>
  </si>
  <si>
    <t>9 de novembro de 2024 14:57 hs.</t>
  </si>
  <si>
    <t>Adriana Silva Bastos Azevedo</t>
  </si>
  <si>
    <t>CPF 02381282700</t>
  </si>
  <si>
    <t>Rua Sebastiana Maria de Jesus 837 - casa em baixo, Caratinga - CEP: 35300173, Minas Gerais</t>
  </si>
  <si>
    <t>02381282700</t>
  </si>
  <si>
    <t>Rua Sebastiana Maria de Jesus 837 / casa em baixo Referencia: procura pastora Adriana ao lado do muro de pedra - CEP 35300173 - Nossa Senhora Aparecida, Caratinga, Minas Gerais</t>
  </si>
  <si>
    <t>35300173</t>
  </si>
  <si>
    <t>14 de novembro | 02:10</t>
  </si>
  <si>
    <t>15 de novembro | 17:50</t>
  </si>
  <si>
    <t>MEL44064245604LMXDF01</t>
  </si>
  <si>
    <t>2000009792883084</t>
  </si>
  <si>
    <t>9 de novembro de 2024 14:55 hs.</t>
  </si>
  <si>
    <t>jose Da Cruz</t>
  </si>
  <si>
    <t>CPF 68955014791</t>
  </si>
  <si>
    <t>Rua Guaravera SN - QD 109, CS 08, LT 11, Rio de Janeiro - CEP: 22710040, Rio de Janeiro</t>
  </si>
  <si>
    <t>68955014791</t>
  </si>
  <si>
    <t>Rua Guaravera SN / QD 109, CS 08, LT 11 Referencia: Largo da preguiça, ao lado da boutique Cláudia Sá, QD 109, CS 08, LT 11 Portão azul. falar com Tilzé - CEP 22710040 - Curicica, Rio de Janeiro, Rio de Janeiro</t>
  </si>
  <si>
    <t>22710040</t>
  </si>
  <si>
    <t>14 de novembro | 18:14</t>
  </si>
  <si>
    <t>MEL44064237758LMXDF01</t>
  </si>
  <si>
    <t>2000009792809916</t>
  </si>
  <si>
    <t>9 de novembro de 2024 14:48 hs.</t>
  </si>
  <si>
    <t>Isabelle Casalecchi</t>
  </si>
  <si>
    <t>CPF 55803811823</t>
  </si>
  <si>
    <t>Rua Pedro Corsi 107, Espírito Santo do Pinhal - CEP: 13990000, São Paulo</t>
  </si>
  <si>
    <t>55803811823</t>
  </si>
  <si>
    <t>Rua Pedro Corsi 107 / CEP 13990000 - Vila São Pedro, Espírito Santo do Pinhal, São Paulo</t>
  </si>
  <si>
    <t>15 de novembro | 12:14</t>
  </si>
  <si>
    <t>MEL44064209432LMXDF01</t>
  </si>
  <si>
    <t>2000009792680102</t>
  </si>
  <si>
    <t>9 de novembro de 2024 14:28 hs.</t>
  </si>
  <si>
    <t>Ederci Da Cunha Menezes Menezes</t>
  </si>
  <si>
    <t>CPF 27783723691</t>
  </si>
  <si>
    <t>Avenida Professor Mário Werneck 1321 - 401, Belo Horizonte - CEP: 30455610, Minas Gerais</t>
  </si>
  <si>
    <t>27783723691</t>
  </si>
  <si>
    <t>Avenida Professor Mário Werneck 1321 / 401 Referencia: em frente drogaria Araújo - CEP 30455610 - Estoril, Belo Horizonte, Minas Gerais</t>
  </si>
  <si>
    <t>30455610</t>
  </si>
  <si>
    <t>14 de novembro | 01:22</t>
  </si>
  <si>
    <t>14 de novembro | 15:27</t>
  </si>
  <si>
    <t>MEL44063949503LMXDF01</t>
  </si>
  <si>
    <t>2000006603473715</t>
  </si>
  <si>
    <t>9 de novembro de 2024 14:21 hs.</t>
  </si>
  <si>
    <t>Ronaldo Gomes Dos Santos</t>
  </si>
  <si>
    <t>CPF 99578930410</t>
  </si>
  <si>
    <t>Rua Madalena 769 - casa 01, Paulista - CEP: 53433410, Pernambuco</t>
  </si>
  <si>
    <t>99578930410</t>
  </si>
  <si>
    <t>Rua Madalena 769 / casa 01 - CEP 53433410 - Pau Amarelo, Paulista, Pernambuco</t>
  </si>
  <si>
    <t>53433410</t>
  </si>
  <si>
    <t>15 de novembro | 17:37</t>
  </si>
  <si>
    <t>MEL44064122032LMXDF01</t>
  </si>
  <si>
    <t>2000006603450679</t>
  </si>
  <si>
    <t>9 de novembro de 2024 14:16 hs.</t>
  </si>
  <si>
    <t>Pamela Renata Sposti</t>
  </si>
  <si>
    <t>CPF 45802891882</t>
  </si>
  <si>
    <t>Rua Vicentina A Andrade 72, São Pedro - CEP: 13524496, São Paulo</t>
  </si>
  <si>
    <t>45802891882</t>
  </si>
  <si>
    <t>Rua Vicentina A Andrade 72 / CEP 13524496 - Teodoro de Souza Barros, São Pedro, São Paulo</t>
  </si>
  <si>
    <t>São Pedro</t>
  </si>
  <si>
    <t>13524496</t>
  </si>
  <si>
    <t>14 de novembro | 05:33</t>
  </si>
  <si>
    <t>15 de novembro | 13:55</t>
  </si>
  <si>
    <t>MEL44064105720LMXDF01</t>
  </si>
  <si>
    <t>2000009792576920</t>
  </si>
  <si>
    <t>Daniely Esperidiao Ferreira</t>
  </si>
  <si>
    <t>CPF 06189838480</t>
  </si>
  <si>
    <t>Rua Reginaldo Rodrigues Montenegro 343 - casa  D, Jaboatão dos Guararapes - CEP: 54100020, Pernambuco</t>
  </si>
  <si>
    <t>06189838480</t>
  </si>
  <si>
    <t>Rua Reginaldo Rodrigues Montenegro 343 / casa  D - CEP 54100020 - Centro, Jaboatão dos Guararapes, Pernambuco</t>
  </si>
  <si>
    <t>Jaboatão dos Guararapes</t>
  </si>
  <si>
    <t>54100020</t>
  </si>
  <si>
    <t>14 de novembro | 00:55</t>
  </si>
  <si>
    <t>15 de novembro | 16:52</t>
  </si>
  <si>
    <t>MEL44063911053LMXDF01</t>
  </si>
  <si>
    <t>2000009792456228</t>
  </si>
  <si>
    <t>9 de novembro de 2024 14:08 hs.</t>
  </si>
  <si>
    <t>Pacote cancelado pelo Mercado Livre</t>
  </si>
  <si>
    <t>Foi necessário cancelá-lo porque encontramos irregularidades.</t>
  </si>
  <si>
    <t>Juceia Soares Sanches</t>
  </si>
  <si>
    <t>CPF 14466097828</t>
  </si>
  <si>
    <t>Rua José Milliet Filho 305 - Casa, Taubaté - CEP: 12070200, São Paulo</t>
  </si>
  <si>
    <t>14466097828</t>
  </si>
  <si>
    <t>12070200</t>
  </si>
  <si>
    <t>MEL44063853363LMXDF01</t>
  </si>
  <si>
    <t>2000009792104588</t>
  </si>
  <si>
    <t>9 de novembro de 2024 13:18 hs.</t>
  </si>
  <si>
    <t>Gustavo Borba Garcia Requena</t>
  </si>
  <si>
    <t>CPF 04672486990</t>
  </si>
  <si>
    <t>VIRGILIO MARTINS DE OLIVEIRA 518, Francisco Morato - CEP: 07901020, São Paulo</t>
  </si>
  <si>
    <t>04672486990</t>
  </si>
  <si>
    <t>VIRGILIO MARTINS DE OLIVEIRA 518 / Referencia Ligar para entregar - CEP 07901020 - Centro, Francisco Morato, São Paulo</t>
  </si>
  <si>
    <t>07901020</t>
  </si>
  <si>
    <t>19 de novembro | 15:02</t>
  </si>
  <si>
    <t>MEL44063700779LMXDF01</t>
  </si>
  <si>
    <t>https://myaccount.mercadolivre.com.br/shipments/44063700779/detail</t>
  </si>
  <si>
    <t>2000006603168747</t>
  </si>
  <si>
    <t>9 de novembro de 2024 13:15 hs.</t>
  </si>
  <si>
    <t>Géli Bringmann</t>
  </si>
  <si>
    <t>CPF 96208635004</t>
  </si>
  <si>
    <t>Rua Vinte e Oito de Setembro 36 - Sala 207, Santa Cruz do Sul - CEP: 96810042, Rio Grande do Sul</t>
  </si>
  <si>
    <t>96208635004</t>
  </si>
  <si>
    <t>Rua Vinte e Oito de Setembro 36 / Sala 207 Referencia: Ed. Champs Elysses. - CEP 96810042 - Centro, Santa Cruz do Sul, Rio Grande do Sul</t>
  </si>
  <si>
    <t>96810042</t>
  </si>
  <si>
    <t>19 de novembro | 15:22</t>
  </si>
  <si>
    <t>MEL44063695665LMXDF01</t>
  </si>
  <si>
    <t>2000009791880100</t>
  </si>
  <si>
    <t>9 de novembro de 2024 12:46 hs.</t>
  </si>
  <si>
    <t>Marina Goncalves</t>
  </si>
  <si>
    <t>CPF 49914456120</t>
  </si>
  <si>
    <t>rua 08 Qd 20 lote 07 SN, Itaberaí - CEP: 76630000, Goiás</t>
  </si>
  <si>
    <t>49914456120</t>
  </si>
  <si>
    <t>rua 08 Qd 20 lote 07 SN / Referencia: acima da praça da cirrozi - CEP 76630000 - Jardim Cabral, Itaberaí, Goiás</t>
  </si>
  <si>
    <t>16 de novembro | 12:45</t>
  </si>
  <si>
    <t>MEL44063596949LMXDF01</t>
  </si>
  <si>
    <t>2000009791852382</t>
  </si>
  <si>
    <t>9 de novembro de 2024 12:43 hs.</t>
  </si>
  <si>
    <t>claudio  correa de oliveira</t>
  </si>
  <si>
    <t>CPF 03223279628</t>
  </si>
  <si>
    <t>Rua Culto à Ciência 407, Campinas - CEP: 13020060, São Paulo</t>
  </si>
  <si>
    <t>03223279628</t>
  </si>
  <si>
    <t>Rua Culto à Ciência 407 / Ap 44 - CEP 13020060 - Botafogo, Campinas, São Paulo</t>
  </si>
  <si>
    <t>13020060</t>
  </si>
  <si>
    <t>15 de novembro | 16:06</t>
  </si>
  <si>
    <t>MEL44063587029LMXDF01</t>
  </si>
  <si>
    <t>2000009791732574</t>
  </si>
  <si>
    <t>9 de novembro de 2024 12:28 hs.</t>
  </si>
  <si>
    <t>Eudirene  Aparecida</t>
  </si>
  <si>
    <t>CPF 07019029655</t>
  </si>
  <si>
    <t>Rua Alto Bizorrete 54 - Casa, Lagoa dos Patos - CEP: 39360000, Minas Gerais</t>
  </si>
  <si>
    <t>07019029655</t>
  </si>
  <si>
    <t>Rua Alto Bizorrete 54 / Casa - CEP 39360000 - Centro, Lagoa dos Patos, Minas Gerais</t>
  </si>
  <si>
    <t>Lagoa dos Patos</t>
  </si>
  <si>
    <t>39360000</t>
  </si>
  <si>
    <t>15 de novembro | 12:57</t>
  </si>
  <si>
    <t>MEL44063729458LMXDF01</t>
  </si>
  <si>
    <t>2000009791645032</t>
  </si>
  <si>
    <t>9 de novembro de 2024 12:17 hs.</t>
  </si>
  <si>
    <t>Ricardo Wagner Alves Martins</t>
  </si>
  <si>
    <t>CPF 04499142830</t>
  </si>
  <si>
    <t>Avenida Santa Inês 678 - sobrado, São Paulo - CEP: 02415000, São Paulo</t>
  </si>
  <si>
    <t>04499142830</t>
  </si>
  <si>
    <t>Avenida Santa Inês 678 / sobrado Referencia: campainha do lado de dentro..caso não atendam pode entregar no vizinho ou jogar pelo portão da garagem  e me ligar para avisar. - CEP 02415000 - Parque Mandaqui, São Paulo, São Paulo</t>
  </si>
  <si>
    <t>02415000</t>
  </si>
  <si>
    <t>15 de novembro | 18:39</t>
  </si>
  <si>
    <t>MEL44063689178LMXDF01</t>
  </si>
  <si>
    <t>2000009791423916</t>
  </si>
  <si>
    <t>9 de novembro de 2024 11:51 hs.</t>
  </si>
  <si>
    <t>Solange Antonio</t>
  </si>
  <si>
    <t>CPF 83941371053</t>
  </si>
  <si>
    <t>Rua Vicente Melo 200, Nova Hartz - CEP: 93890000, Rio Grande do Sul</t>
  </si>
  <si>
    <t>83941371053</t>
  </si>
  <si>
    <t>Rua Vicente Melo 200 / VICENTE MELLO - CEP 93890000 - Imigrantes, Nova Hartz, Rio Grande do Sul</t>
  </si>
  <si>
    <t>Nova Hartz</t>
  </si>
  <si>
    <t>93890000</t>
  </si>
  <si>
    <t>18 de novembro | 13:57</t>
  </si>
  <si>
    <t>MEL44063404369LMXDF01</t>
  </si>
  <si>
    <t>2000006602744989</t>
  </si>
  <si>
    <t>9 de novembro de 2024 11:42 hs.</t>
  </si>
  <si>
    <t>Gilberto Gama Pereira da Silva</t>
  </si>
  <si>
    <t>CPF 40623669838</t>
  </si>
  <si>
    <t>Rua Santa Adelaide 155 - 66 A, São Paulo - CEP: 08490560, São Paulo</t>
  </si>
  <si>
    <t>40623669838</t>
  </si>
  <si>
    <t>Rua Santa Adelaide 155 / 66 A - CEP 08490560 - Santa Etelvina, São Paulo, São Paulo</t>
  </si>
  <si>
    <t>08490560</t>
  </si>
  <si>
    <t>15 de novembro | 11:10</t>
  </si>
  <si>
    <t>MEL44063568544LMXDF01</t>
  </si>
  <si>
    <t>2000006602726251</t>
  </si>
  <si>
    <t>9 de novembro de 2024 11:36 hs.</t>
  </si>
  <si>
    <t>Edu Ribeiro</t>
  </si>
  <si>
    <t>CPF 06195349313</t>
  </si>
  <si>
    <t>Rua Professora Graça Rodrigues 2647 - Rua DO ATAKAREJO, Itapipoca - CEP: 62504158, Ceará</t>
  </si>
  <si>
    <t>06195349313</t>
  </si>
  <si>
    <t>Rua Professora Graça Rodrigues 2647 / Rua DO ATAKAREJO Referencia: TEMPERO DA VOVÓ - CEP 62504158 - das Flores, Itapipoca, Ceará</t>
  </si>
  <si>
    <t>Itapipoca</t>
  </si>
  <si>
    <t>62504158</t>
  </si>
  <si>
    <t>16 de novembro | 09:08</t>
  </si>
  <si>
    <t>MEL44063550914LMXDF01</t>
  </si>
  <si>
    <t>2000006602624549</t>
  </si>
  <si>
    <t>9 de novembro de 2024 11:13 hs.</t>
  </si>
  <si>
    <t>Felipe Guimaraes Mizher</t>
  </si>
  <si>
    <t>CPF 04519865638</t>
  </si>
  <si>
    <t>Avenida do Clube 159, Brumadinho - CEP: 32490412, Minas Gerais</t>
  </si>
  <si>
    <t>04519865638</t>
  </si>
  <si>
    <t>Avenida do Clube 159 / Referencia: Chale Azul (Subida da avenida) a direita na subida. - CEP 32490412 - Retiro do Chalé (Piedade do Paraopeba), Brumadinho, Minas Gerais</t>
  </si>
  <si>
    <t>32490412</t>
  </si>
  <si>
    <t>14 de novembro | 16:36</t>
  </si>
  <si>
    <t>MEL44063471958LMXDF01</t>
  </si>
  <si>
    <t>2000009790983598</t>
  </si>
  <si>
    <t>9 de novembro de 2024 10:52 hs.</t>
  </si>
  <si>
    <t>Silmara  Andrade</t>
  </si>
  <si>
    <t>CPF 60644356316</t>
  </si>
  <si>
    <t>Avenida Edson Lobão 1478 - casa, Maranhãozinho - CEP: 65283000, Maranhão</t>
  </si>
  <si>
    <t>60644356316</t>
  </si>
  <si>
    <t>Avenida Edson Lobão 1478 / casa Referencia: academia bambinofit - CEP 65283000 - centro, Maranhãozinho, Maranhão</t>
  </si>
  <si>
    <t>Maranhãozinho</t>
  </si>
  <si>
    <t>65283000</t>
  </si>
  <si>
    <t>17 de novembro | 17:28</t>
  </si>
  <si>
    <t>MEL44063205925LMXDF01</t>
  </si>
  <si>
    <t>2000009790984720</t>
  </si>
  <si>
    <t>9 de novembro de 2024 10:50 hs.</t>
  </si>
  <si>
    <t>Carina de Oliveira Gomes</t>
  </si>
  <si>
    <t>CPF 11393279686</t>
  </si>
  <si>
    <t>Rua Antônio Apicelo 53 - A casa 02, Rio das Ostras - CEP: 28894315, Rio de Janeiro</t>
  </si>
  <si>
    <t>11393279686</t>
  </si>
  <si>
    <t>Rua Antônio Apicelo 53 / A casa 02 Referencia: N 53 A casa 02  em frente o chaveiro. - CEP 28894315 - Gelson Apicelo, Rio das Ostras, Rio de Janeiro</t>
  </si>
  <si>
    <t>28894315</t>
  </si>
  <si>
    <t>14 de novembro | 00:21</t>
  </si>
  <si>
    <t>14 de novembro | 13:17</t>
  </si>
  <si>
    <t>MEL44063398080LMXDF01</t>
  </si>
  <si>
    <t>2000006602501405</t>
  </si>
  <si>
    <t>9 de novembro de 2024 10:43 hs.</t>
  </si>
  <si>
    <t>Evanise Rodrigues de Souza</t>
  </si>
  <si>
    <t>CPF 85280801887</t>
  </si>
  <si>
    <t>85280801887</t>
  </si>
  <si>
    <t>15 de novembro | 09:44</t>
  </si>
  <si>
    <t>MEL44063374740LMXDF01</t>
  </si>
  <si>
    <t>2000006602440757</t>
  </si>
  <si>
    <t>9 de novembro de 2024 10:28 hs.</t>
  </si>
  <si>
    <t>MEL44063135419LMXDF01</t>
  </si>
  <si>
    <t>2000009790820690</t>
  </si>
  <si>
    <t>9 de novembro de 2024 10:27 hs.</t>
  </si>
  <si>
    <t>Aparecida Souza</t>
  </si>
  <si>
    <t>CPF 05315651495</t>
  </si>
  <si>
    <t>Rua Manoel Francisco do Nascimento 29, Guarabira - CEP: 58200000, Paraíba</t>
  </si>
  <si>
    <t>05315651495</t>
  </si>
  <si>
    <t>Rua Manoel Francisco do Nascimento 29 / Referencia: Na antiga rua da delegacia, próximo ao CAIC. - CEP 58200000 - Nordeste II, Guarabira, Paraíba</t>
  </si>
  <si>
    <t>Guarabira</t>
  </si>
  <si>
    <t>58200000</t>
  </si>
  <si>
    <t>12 de novembro | 05:35</t>
  </si>
  <si>
    <t>14 de novembro | 11:23</t>
  </si>
  <si>
    <t>MEL44063131175LMXDF01</t>
  </si>
  <si>
    <t>2000009790705748</t>
  </si>
  <si>
    <t>9 de novembro de 2024 10:11 hs.</t>
  </si>
  <si>
    <t>Isabela Fernandes Dias</t>
  </si>
  <si>
    <t>CPF 10033233918</t>
  </si>
  <si>
    <t>Rua João da Costa Júnior 547 - casa, Joinville - CEP: 89209400, Santa Catarina</t>
  </si>
  <si>
    <t>10033233918</t>
  </si>
  <si>
    <t>Rua João da Costa Júnior 547 / casa - CEP 89209400 - João Costa, Joinville, Santa Catarina</t>
  </si>
  <si>
    <t>89209400</t>
  </si>
  <si>
    <t>13 de novembro | 04:56</t>
  </si>
  <si>
    <t>14 de novembro | 15:31</t>
  </si>
  <si>
    <t>MEL44063277630LMXDF01</t>
  </si>
  <si>
    <t>2000006602252869</t>
  </si>
  <si>
    <t>9 de novembro de 2024 09:33 hs.</t>
  </si>
  <si>
    <t>Cristina Sampaio da Silva</t>
  </si>
  <si>
    <t>CPF 71596348291</t>
  </si>
  <si>
    <t>AVENIDA PINHEIRO MACHADO 6436, Porto Velho - CEP: 76824320, Rondônia</t>
  </si>
  <si>
    <t>71596348291</t>
  </si>
  <si>
    <t>AVENIDA PINHEIRO MACHADO 6436 / Castelo Madeiras.\\\\\\nNa própria loja da Castelo Mad - CEP 76824320 - Porto Velho, Porto Velho, Rondônia</t>
  </si>
  <si>
    <t>76824320</t>
  </si>
  <si>
    <t>19 de novembro | 15:33</t>
  </si>
  <si>
    <t>MEL44063173762LMXDF01</t>
  </si>
  <si>
    <t>https://myaccount.mercadolivre.com.br/shipments/44063173762/detail</t>
  </si>
  <si>
    <t>2000009790457598</t>
  </si>
  <si>
    <t>9 de novembro de 2024 09:29 hs.</t>
  </si>
  <si>
    <t>Daliene Rodrigues</t>
  </si>
  <si>
    <t>CPF 03349899307</t>
  </si>
  <si>
    <t>Avenida Suíça 536 - móveis junco diamond Referencia: lojas móveis junco, Piracicaba - CEP: 13416403, São Paulo</t>
  </si>
  <si>
    <t>03349899307</t>
  </si>
  <si>
    <t>Avenida Suíça 536 / móveis junco diamond Referencia: lojas móveis junco - CEP 13416403 - Jardim Europa, Piracicaba, São Paulo</t>
  </si>
  <si>
    <t>13416403</t>
  </si>
  <si>
    <t>16 de novembro | 10:52</t>
  </si>
  <si>
    <t>MEL44062970901LMXDF01</t>
  </si>
  <si>
    <t>2000009790440016</t>
  </si>
  <si>
    <t>9 de novembro de 2024 09:24 hs.</t>
  </si>
  <si>
    <t>vivian oro galiotto</t>
  </si>
  <si>
    <t>CPF 00198321090</t>
  </si>
  <si>
    <t>Rua João Sonda 654 - casa, Nova Pádua - CEP: 95275000, Rio Grande do Sul</t>
  </si>
  <si>
    <t>00198321090</t>
  </si>
  <si>
    <t>Nova Pádua</t>
  </si>
  <si>
    <t>95275000</t>
  </si>
  <si>
    <t>18 de novembro | 11:32</t>
  </si>
  <si>
    <t>MEL44062955155LMXDF01</t>
  </si>
  <si>
    <t>2000009790440154</t>
  </si>
  <si>
    <t>9 de novembro de 2024 09:23 hs.</t>
  </si>
  <si>
    <t>Jessica Daise Dias da Silva</t>
  </si>
  <si>
    <t>CPF 01666852597</t>
  </si>
  <si>
    <t>RODOVIA SANTOS DUMONT BR 116 POSTO MACAUBENSE  IV SN - POSTO MACAUBENSE IV, Rafael Jambeiro - CEP: 44520000, Bahia</t>
  </si>
  <si>
    <t>01666852597</t>
  </si>
  <si>
    <t>Rafael Jambeiro</t>
  </si>
  <si>
    <t>44520000</t>
  </si>
  <si>
    <t>MEL44062955611FMXDF01</t>
  </si>
  <si>
    <t>2000009790372818</t>
  </si>
  <si>
    <t>9 de novembro de 2024 09:11 hs.</t>
  </si>
  <si>
    <t>Thais Simch</t>
  </si>
  <si>
    <t>CPF 00217823009</t>
  </si>
  <si>
    <t>Rua Borges de Medeiros 20 - Sala 04, Carlos Barbosa - CEP: 95185000, Rio Grande do Sul</t>
  </si>
  <si>
    <t>00217823009</t>
  </si>
  <si>
    <t>Rua Borges de Medeiros 20 / Sala 04 Referencia: Loja Dolari Serviços - CEP 95185000 - Carlos Barbosa, Carlos Barbosa, Rio Grande do Sul</t>
  </si>
  <si>
    <t>Carlos Barbosa</t>
  </si>
  <si>
    <t>95185000</t>
  </si>
  <si>
    <t>18 de novembro | 14:29</t>
  </si>
  <si>
    <t>MEL44063121168LMXDF01</t>
  </si>
  <si>
    <t>2000009790314576</t>
  </si>
  <si>
    <t>9 de novembro de 2024 08:58 hs.</t>
  </si>
  <si>
    <t>Marileia Salete Guerreira</t>
  </si>
  <si>
    <t>CPF 04428639937</t>
  </si>
  <si>
    <t>Avenida avenida balneário barra SN - casa, Balneário Rincão - CEP: 88828000, Santa Catarina</t>
  </si>
  <si>
    <t>04428639937</t>
  </si>
  <si>
    <t>Avenida avenida balneário barra SN / casa Referencia: próximo a igreja católica 
 mas  horário comercial pode entregar no posto de saúde de barra velha ou material de construção RP - CEP 88828000 - Barra Velha, Balneário Rincão, Santa Catarina</t>
  </si>
  <si>
    <t>Balneário Rincão</t>
  </si>
  <si>
    <t>88828000</t>
  </si>
  <si>
    <t>20 de novembro | 14:00</t>
  </si>
  <si>
    <t>MEL44063093114LMXDF01</t>
  </si>
  <si>
    <t>2000006602136895</t>
  </si>
  <si>
    <t>9 de novembro de 2024 08:54 hs.</t>
  </si>
  <si>
    <t>15 de novembro | 13:56</t>
  </si>
  <si>
    <t>MEL44062887403LMXDF01</t>
  </si>
  <si>
    <t>2000009790220234</t>
  </si>
  <si>
    <t>9 de novembro de 2024 08:36 hs.</t>
  </si>
  <si>
    <t>maura vaz domingues</t>
  </si>
  <si>
    <t>CPF 16501339871</t>
  </si>
  <si>
    <t>Rua dos Jaborandis 250, Cerqueira César - CEP: 18764254, São Paulo</t>
  </si>
  <si>
    <t>16501339871</t>
  </si>
  <si>
    <t>Rua dos Jaborandis 250 / CEP 18764254 - Jardim dos Ipês, Cerqueira César, São Paulo</t>
  </si>
  <si>
    <t>Cerqueira César</t>
  </si>
  <si>
    <t>18764254</t>
  </si>
  <si>
    <t>15 de novembro | 12:02</t>
  </si>
  <si>
    <t>MEL44063046460LMXDF01</t>
  </si>
  <si>
    <t>2000009790120574</t>
  </si>
  <si>
    <t>9 de novembro de 2024 08:11 hs.</t>
  </si>
  <si>
    <t>Edmar esteves de oliveira Edmar</t>
  </si>
  <si>
    <t>CPF 06853142608</t>
  </si>
  <si>
    <t>Rua Idalina Graça 110 - condominio, Ubatuba - CEP: 11687108, São Paulo</t>
  </si>
  <si>
    <t>06853142608</t>
  </si>
  <si>
    <t>Rua Idalina Graça 110 / condominio Referencia: condominio - CEP 11687108 - Toninhas, Ubatuba, São Paulo</t>
  </si>
  <si>
    <t>11687108</t>
  </si>
  <si>
    <t>15 de novembro | 15:23</t>
  </si>
  <si>
    <t>MEL44062802773LMXDF01</t>
  </si>
  <si>
    <t>2000009789987388</t>
  </si>
  <si>
    <t>9 de novembro de 2024 07:33 hs.</t>
  </si>
  <si>
    <t>Jeovane Paz</t>
  </si>
  <si>
    <t>CPF 84455900497</t>
  </si>
  <si>
    <t>Maceió 15 - casa, Paranatama - CEP: 55355000, Pernambuco</t>
  </si>
  <si>
    <t>84455900497</t>
  </si>
  <si>
    <t>Maceió 15 / casa Referencia: vizinho a oficina de o genio - CEP 55355000 - campo sujo, Paranatama, Pernambuco</t>
  </si>
  <si>
    <t>Paranatama</t>
  </si>
  <si>
    <t>55355000</t>
  </si>
  <si>
    <t>16 de novembro | 18:03</t>
  </si>
  <si>
    <t>MEL44062741563LMXDF01</t>
  </si>
  <si>
    <t>2000009789952636</t>
  </si>
  <si>
    <t>9 de novembro de 2024 07:13 hs.</t>
  </si>
  <si>
    <t>Elisabeth Aparecida Ferreira Alves</t>
  </si>
  <si>
    <t>CPF 28646876829</t>
  </si>
  <si>
    <t>Rua Voluntário João Batista de Araujo 1050, Lins - CEP: 16403484, São Paulo</t>
  </si>
  <si>
    <t>28646876829</t>
  </si>
  <si>
    <t>Rua Voluntário João Batista de Araujo 1050 / Referencia: padaria pão nosso - CEP 16403484 - Jardim Bom Viver IV, Lins, São Paulo</t>
  </si>
  <si>
    <t>Lins</t>
  </si>
  <si>
    <t>16403484</t>
  </si>
  <si>
    <t>15 de novembro | 15:41</t>
  </si>
  <si>
    <t>MEL44062720471LMXDF01</t>
  </si>
  <si>
    <t>2000009789932330</t>
  </si>
  <si>
    <t>9 de novembro de 2024 07:00 hs.</t>
  </si>
  <si>
    <t>Luciano Siqueira Cattete Reis</t>
  </si>
  <si>
    <t>CPF 02882641770</t>
  </si>
  <si>
    <t>Avenida Engenheiro Richard 186, Rio de Janeiro - CEP: 20561098, Rio de Janeiro</t>
  </si>
  <si>
    <t>02882641770</t>
  </si>
  <si>
    <t>Avenida Engenheiro Richard 186 / 1104 - CEP 20561098 - Grajaú, Rio de Janeiro, Rio de Janeiro</t>
  </si>
  <si>
    <t>20561098</t>
  </si>
  <si>
    <t>14 de novembro | 20:59</t>
  </si>
  <si>
    <t>MEL44062706449LMXDF01</t>
  </si>
  <si>
    <t>2000009789919194</t>
  </si>
  <si>
    <t>9 de novembro de 2024 06:57 hs.</t>
  </si>
  <si>
    <t>Nair Aparecida Vieira</t>
  </si>
  <si>
    <t>CPF 04390363999</t>
  </si>
  <si>
    <t>ROD SC 108 - KM 36 SN, Orleans - CEP: 88870000, Santa Catarina</t>
  </si>
  <si>
    <t>04390363999</t>
  </si>
  <si>
    <t>ROD SC 108 - KM 36 SN / CEP 88870000 - Corridas, Orleans, Santa Catarina</t>
  </si>
  <si>
    <t>Orleans</t>
  </si>
  <si>
    <t>88870000</t>
  </si>
  <si>
    <t>25 de novembro | 09:28</t>
  </si>
  <si>
    <t>MEL44062898538LMXDF01</t>
  </si>
  <si>
    <t>https://myaccount.mercadolivre.com.br/shipments/44062898538/detail</t>
  </si>
  <si>
    <t>2000009789918136</t>
  </si>
  <si>
    <t>9 de novembro de 2024 06:51 hs.</t>
  </si>
  <si>
    <t>Rosicler Katia Silva</t>
  </si>
  <si>
    <t>CPF 30785165800</t>
  </si>
  <si>
    <t>Rua Manuel de Macedo 2773 - Casa 1, Ribeirão Preto - CEP: 14031540, São Paulo</t>
  </si>
  <si>
    <t>30785165800</t>
  </si>
  <si>
    <t>Rua Manuel de Macedo 2773 / Casa 1 - CEP 14031540 - Parque Ribeirão Preto, Ribeirão Preto, São Paulo</t>
  </si>
  <si>
    <t>14031540</t>
  </si>
  <si>
    <t>15 de novembro | 18:01</t>
  </si>
  <si>
    <t>MEL44062891070LMXDF01</t>
  </si>
  <si>
    <t>2000009789908554</t>
  </si>
  <si>
    <t>Devolvido no dia 28 de novembro</t>
  </si>
  <si>
    <t>O produto retornou para você porque não foi possível entregá-lo à pessoa que realizou a compra.</t>
  </si>
  <si>
    <t>MEL44062889190FMXDF01</t>
  </si>
  <si>
    <t>2000006601316429</t>
  </si>
  <si>
    <t>8 de novembro de 2024 23:47 hs.</t>
  </si>
  <si>
    <t>Catarina Maciel De Souza Morai Morais</t>
  </si>
  <si>
    <t>CPF 79312012649</t>
  </si>
  <si>
    <t>Rua Maria Mafalda 372 - casa, Contagem - CEP: 32310670, Minas Gerais</t>
  </si>
  <si>
    <t>79312012649</t>
  </si>
  <si>
    <t>Rua Maria Mafalda 372 / casa - CEP 32310670 - Eldorado, Contagem, Minas Gerais</t>
  </si>
  <si>
    <t>32310670</t>
  </si>
  <si>
    <t>14 de novembro | 17:48</t>
  </si>
  <si>
    <t>MEL44062271695LMXDF01</t>
  </si>
  <si>
    <t>2000009788963932</t>
  </si>
  <si>
    <t>2000009788974054</t>
  </si>
  <si>
    <t>2000009788607820</t>
  </si>
  <si>
    <t>8 de novembro de 2024 22:51 hs.</t>
  </si>
  <si>
    <t>Laira Hordones Carvalho</t>
  </si>
  <si>
    <t>CPF 07780071707</t>
  </si>
  <si>
    <t>Avenida Lineu de Paula Machado 117, Rio de Janeiro - CEP: 22470040, Rio de Janeiro</t>
  </si>
  <si>
    <t>07780071707</t>
  </si>
  <si>
    <t>Avenida Lineu de Paula Machado 117 / / Apto 401 - CEP 22470040 - Lagoa, Rio de Janeiro, Rio de Janeiro</t>
  </si>
  <si>
    <t>22470040</t>
  </si>
  <si>
    <t>14 de novembro | 16:28</t>
  </si>
  <si>
    <t>MEL44062126969LMXDF01</t>
  </si>
  <si>
    <t>2000006600897545</t>
  </si>
  <si>
    <t>8 de novembro de 2024 22:04 hs.</t>
  </si>
  <si>
    <t>Luciara Benedita Gabriel</t>
  </si>
  <si>
    <t>CPF 36426432806</t>
  </si>
  <si>
    <t>Rua Jayme Ferreira Lima 361 - casa, Botucatu - CEP: 18608008, São Paulo</t>
  </si>
  <si>
    <t>36426432806</t>
  </si>
  <si>
    <t>Rua Jayme Ferreira Lima 361 / casa - CEP 18608008 - Jardim Itamarati, Botucatu, São Paulo</t>
  </si>
  <si>
    <t>Botucatu</t>
  </si>
  <si>
    <t>18608008</t>
  </si>
  <si>
    <t>15 de novembro | 13:44</t>
  </si>
  <si>
    <t>MEL44062176262LMXDF01</t>
  </si>
  <si>
    <t>2000009788246746</t>
  </si>
  <si>
    <t>8 de novembro de 2024 22:00 hs.</t>
  </si>
  <si>
    <t>Neiva Terezinha Sehn Ludwig</t>
  </si>
  <si>
    <t>CPF 02457044936</t>
  </si>
  <si>
    <t>Rua Paim saída para vista alegre casa em frente ao cemitério SN, Entre Rios do Oeste - CEP: 85988000, Paraná</t>
  </si>
  <si>
    <t>02457044936</t>
  </si>
  <si>
    <t>Rua Paim saída para vista alegre casa em frente ao cemitério SN / entregar para Irena ou Orlando Ludwig casa em frente ao cemitério de Entre Rios do Oeste Pr. Referencia: Caso Nãoo Encontrar Alguém Em Casa, Favor Deixar No Correio Da Cidade - CEP 85988000 - Entre Rios do Oeste, Entre Rios do Oeste, Paraná</t>
  </si>
  <si>
    <t>Entre Rios do Oeste</t>
  </si>
  <si>
    <t>85988000</t>
  </si>
  <si>
    <t>20 de novembro | 16:58</t>
  </si>
  <si>
    <t>MEL44062162766LMXDF01</t>
  </si>
  <si>
    <t>2000009788168932</t>
  </si>
  <si>
    <t>8 de novembro de 2024 21:51 hs.</t>
  </si>
  <si>
    <t>Maria Leticia Mariano</t>
  </si>
  <si>
    <t>CPF 34856407864</t>
  </si>
  <si>
    <t>AVENIDA RUDOLF STREIT 989, Porto Ferreira - CEP: 13664050, São Paulo</t>
  </si>
  <si>
    <t>34856407864</t>
  </si>
  <si>
    <t>AVENIDA RUDOLF STREIT 989 / Loja 2 - CEP 13664050 - Vila Sibylla, Porto Ferreira, São Paulo</t>
  </si>
  <si>
    <t>13664050</t>
  </si>
  <si>
    <t>13 de novembro | 04:43</t>
  </si>
  <si>
    <t>19 de novembro | 08:05</t>
  </si>
  <si>
    <t>MEL44062130146LMXDF01</t>
  </si>
  <si>
    <t>https://myaccount.mercadolivre.com.br/shipments/44062130146/detail</t>
  </si>
  <si>
    <t>2000006600814501</t>
  </si>
  <si>
    <t>8 de novembro de 2024 21:50 hs.</t>
  </si>
  <si>
    <t>eliane souza</t>
  </si>
  <si>
    <t>CPF 48016063004</t>
  </si>
  <si>
    <t>Rua Victorino de Andrade Pinto 59, Porto Alegre - CEP: 91450480, Rio Grande do Sul</t>
  </si>
  <si>
    <t>48016063004</t>
  </si>
  <si>
    <t>Rua Victorino de Andrade Pinto 59 / Casa - CEP 91450480 - Morro Santana, Porto Alegre, Rio Grande do Sul</t>
  </si>
  <si>
    <t>91450480</t>
  </si>
  <si>
    <t>15 de novembro | 08:35</t>
  </si>
  <si>
    <t>MEL44062126602LMXDF01</t>
  </si>
  <si>
    <t>2000009788070796</t>
  </si>
  <si>
    <t>8 de novembro de 2024 21:38 hs.</t>
  </si>
  <si>
    <t>Daniela Silva Azevedo</t>
  </si>
  <si>
    <t>CPF 05009058600</t>
  </si>
  <si>
    <t>RUA QUINTINO BOCAIUVA 128, Campo Belo - CEP: 37270000, Minas Gerais</t>
  </si>
  <si>
    <t>05009058600</t>
  </si>
  <si>
    <t>RUA QUINTINO BOCAIUVA 128 / B - CEP 37270000 - Centro, Campo Belo, Minas Gerais</t>
  </si>
  <si>
    <t>Campo Belo</t>
  </si>
  <si>
    <t>37270000</t>
  </si>
  <si>
    <t>13 de novembro | 02:20</t>
  </si>
  <si>
    <t>18 de novembro | 13:04</t>
  </si>
  <si>
    <t>MEL44062085164LMXDF01</t>
  </si>
  <si>
    <t>https://myaccount.mercadolivre.com.br/shipments/44062085164/detail</t>
  </si>
  <si>
    <t>2000009788013834</t>
  </si>
  <si>
    <t>8 de novembro de 2024 21:33 hs.</t>
  </si>
  <si>
    <t>Mauro Ferreira Junior</t>
  </si>
  <si>
    <t>CPF 35574543800</t>
  </si>
  <si>
    <t>AVENIDA CORONEL GERMANO 74, Socorro - CEP: 13960000, São Paulo</t>
  </si>
  <si>
    <t>35574543800</t>
  </si>
  <si>
    <t>AVENIDA CORONEL GERMANO 74 / CEP 13960000 - Socorro, Socorro, São Paulo</t>
  </si>
  <si>
    <t>Socorro</t>
  </si>
  <si>
    <t>13960000</t>
  </si>
  <si>
    <t>14 de novembro | 13:46</t>
  </si>
  <si>
    <t>MEL44061871149LMXDF01</t>
  </si>
  <si>
    <t>https://myaccount.mercadolivre.com.br/shipments/44061871149/detail</t>
  </si>
  <si>
    <t>2000006600640385</t>
  </si>
  <si>
    <t>8 de novembro de 2024 21:13 hs.</t>
  </si>
  <si>
    <t>Jerlane Nascimento Machado</t>
  </si>
  <si>
    <t>CPF 09917304703</t>
  </si>
  <si>
    <t>rua central 517, Itaeté - CEP: 46790000, Bahia</t>
  </si>
  <si>
    <t>09917304703</t>
  </si>
  <si>
    <t>rua central 517 / Referencia: em frente à igreja católica da colônia - CEP 46790000 - colônia, Itaeté, Bahia</t>
  </si>
  <si>
    <t>Itaeté</t>
  </si>
  <si>
    <t>46790000</t>
  </si>
  <si>
    <t>13 de novembro | 04:44</t>
  </si>
  <si>
    <t>16 de novembro | 16:03</t>
  </si>
  <si>
    <t>MEL44061798705LMXDF01</t>
  </si>
  <si>
    <t>2000009787435944</t>
  </si>
  <si>
    <t>8 de novembro de 2024 20:25 hs.</t>
  </si>
  <si>
    <t>Rute Aline Cândido Marinho</t>
  </si>
  <si>
    <t>CPF 09768579609</t>
  </si>
  <si>
    <t>Rua direta da Urbis 13 - Casa, Valença - CEP: 45400000, Bahia</t>
  </si>
  <si>
    <t>09768579609</t>
  </si>
  <si>
    <t>Rua direta da Urbis 13 / Casa Referencia: Em frente a escola Municipal Augusta Messias Guimarães - CEP 45400000 - Urbis, Valença, Bahia</t>
  </si>
  <si>
    <t>Valença</t>
  </si>
  <si>
    <t>45400000</t>
  </si>
  <si>
    <t>16 de novembro | 18:35</t>
  </si>
  <si>
    <t>MEL44061616471LMXDF01</t>
  </si>
  <si>
    <t>2000009785657266</t>
  </si>
  <si>
    <t>8 de novembro de 2024 16:54 hs.</t>
  </si>
  <si>
    <t>Wendel Ribeiro Fonseca</t>
  </si>
  <si>
    <t>CPF 03785420013</t>
  </si>
  <si>
    <t>Rua Paulo Koetz 52, Gravataí - CEP: 94199718, Rio Grande do Sul</t>
  </si>
  <si>
    <t>03785420013</t>
  </si>
  <si>
    <t>Rua Paulo Koetz 52 / CEP 94199718 - Rincão da Madalena, Gravataí, Rio Grande do Sul</t>
  </si>
  <si>
    <t>Gravataí</t>
  </si>
  <si>
    <t>94199718</t>
  </si>
  <si>
    <t>15 de novembro | 12:00</t>
  </si>
  <si>
    <t>MEL44060805369LMXDF01</t>
  </si>
  <si>
    <t>2000006599326403</t>
  </si>
  <si>
    <t>8 de novembro de 2024 16:50 hs.</t>
  </si>
  <si>
    <t>Paulo Henrique Andrade</t>
  </si>
  <si>
    <t>CPF 29581228837</t>
  </si>
  <si>
    <t>Avenida Antonio Albino 48, Guariba - CEP: 14840188, São Paulo</t>
  </si>
  <si>
    <t>29581228837</t>
  </si>
  <si>
    <t>Avenida Antonio Albino 48 / Referencia: Pode entregar no Danilo Cabelereiro - CEP 14840188 - Vila Pacífico, Guariba, São Paulo</t>
  </si>
  <si>
    <t>Guariba</t>
  </si>
  <si>
    <t>14840188</t>
  </si>
  <si>
    <t>13 de novembro | 05:31</t>
  </si>
  <si>
    <t>14 de novembro | 13:47</t>
  </si>
  <si>
    <t>MEL44060790881LMXDF01</t>
  </si>
  <si>
    <t>2000006599279629</t>
  </si>
  <si>
    <t>8 de novembro de 2024 16:42 hs.</t>
  </si>
  <si>
    <t>Edson rodrigues Oliveira Rodrigues</t>
  </si>
  <si>
    <t>CPF 16524888634</t>
  </si>
  <si>
    <t>Rua Cinábrio 124, Montes Claros - CEP: 39402028, Minas Gerais</t>
  </si>
  <si>
    <t>16524888634</t>
  </si>
  <si>
    <t>Rua Cinábrio 124 / casa - CEP 39402028 - Monte Carmelo, Montes Claros, Minas Gerais</t>
  </si>
  <si>
    <t>39402028</t>
  </si>
  <si>
    <t>13 de novembro | 02:53</t>
  </si>
  <si>
    <t>14 de novembro | 11:57</t>
  </si>
  <si>
    <t>MEL44060945964LMXDF01</t>
  </si>
  <si>
    <t>2000009785549412</t>
  </si>
  <si>
    <t>2000009785553268</t>
  </si>
  <si>
    <t>2000009785447188</t>
  </si>
  <si>
    <t>8 de novembro de 2024 16:31 hs.</t>
  </si>
  <si>
    <t>Reclamação encerrada com reembolso para o comprador</t>
  </si>
  <si>
    <t>Como você reembolsou o dinheiro, não será possível abrir uma reclamação por esta venda.</t>
  </si>
  <si>
    <t>NUBIA Rodrigues</t>
  </si>
  <si>
    <t>CPF 51524910449</t>
  </si>
  <si>
    <t>51524910449</t>
  </si>
  <si>
    <t>Eu combino com o comprador</t>
  </si>
  <si>
    <t>2000009743346588</t>
  </si>
  <si>
    <t>8 de novembro de 2024 16:29 hs.</t>
  </si>
  <si>
    <t>Cleone Martins De Sousa</t>
  </si>
  <si>
    <t>CPF 04315228125</t>
  </si>
  <si>
    <t>MT-170 SN - 4km dps dvilacabaçal, Lambari D'Oeste - CEP: 78278000, Mato Grosso</t>
  </si>
  <si>
    <t>04315228125</t>
  </si>
  <si>
    <t>MT-170 SN / 4km dps dvilacabaçal Referencia: próximo a vila kinkas, confinamento. - CEP 78278000 - Fazenda Sarita, Lambari D'Oeste, Mato Grosso</t>
  </si>
  <si>
    <t>Lambari D'Oeste</t>
  </si>
  <si>
    <t>78278000</t>
  </si>
  <si>
    <t>13 de novembro | 04:49</t>
  </si>
  <si>
    <t>21 de novembro | 12:52</t>
  </si>
  <si>
    <t>00240158291635</t>
  </si>
  <si>
    <t>https://ssw.inf.br/app/meli/00240158291635</t>
  </si>
  <si>
    <t>2000009785027588</t>
  </si>
  <si>
    <t>8 de novembro de 2024 15:45 hs.</t>
  </si>
  <si>
    <t>Fatima Machado</t>
  </si>
  <si>
    <t>CPF 64986497715</t>
  </si>
  <si>
    <t>RUA IVANETE DE MENEZES LYRA 165, Guarulhos - CEP: 07153190, São Paulo</t>
  </si>
  <si>
    <t>64986497715</t>
  </si>
  <si>
    <t>RUA IVANETE DE MENEZES LYRA 165 / Loja RV Embalagens - CEP 07153190 - Jardim Fortaleza, Guarulhos, São Paulo</t>
  </si>
  <si>
    <t>07153190</t>
  </si>
  <si>
    <t>13 de novembro | 04:51</t>
  </si>
  <si>
    <t>14 de novembro | 16:05</t>
  </si>
  <si>
    <t>MEL44060498915LMXDF01</t>
  </si>
  <si>
    <t>https://myaccount.mercadolivre.com.br/shipments/44060498915/detail</t>
  </si>
  <si>
    <t>2000006598566735</t>
  </si>
  <si>
    <t>8 de novembro de 2024 14:41 hs.</t>
  </si>
  <si>
    <t>Dayana Aparecida Pereira</t>
  </si>
  <si>
    <t>CPF 34321166837</t>
  </si>
  <si>
    <t>Rua Auriflama 305, Itaquaquecetuba - CEP: 08575610, São Paulo</t>
  </si>
  <si>
    <t>34321166837</t>
  </si>
  <si>
    <t>Rua Auriflama 305 / Referencia: portão vermelho - CEP 08575610 - Jardim Luciana, Itaquaquecetuba, São Paulo</t>
  </si>
  <si>
    <t>08575610</t>
  </si>
  <si>
    <t>14 de novembro | 12:19</t>
  </si>
  <si>
    <t>MEL44060209113LMXDF01</t>
  </si>
  <si>
    <t>2000009784407858</t>
  </si>
  <si>
    <t>2000009784422050</t>
  </si>
  <si>
    <t>2000009784415178</t>
  </si>
  <si>
    <t>2000009784422052</t>
  </si>
  <si>
    <t>2000009784298122</t>
  </si>
  <si>
    <t>8 de novembro de 2024 14:29 hs.</t>
  </si>
  <si>
    <t>Chegou em 13 de novembro</t>
  </si>
  <si>
    <t>Mere Helen Saraiva Leite</t>
  </si>
  <si>
    <t>CPF 01349611611</t>
  </si>
  <si>
    <t>Rua José Moreira 36, Belo Horizonte - CEP: 30662130, Minas Gerais</t>
  </si>
  <si>
    <t>01349611611</t>
  </si>
  <si>
    <t>Rua José Moreira 36 / Casa - CEP 30662130 - Tirol (Barreiro), Belo Horizonte, Minas Gerais</t>
  </si>
  <si>
    <t>30662130</t>
  </si>
  <si>
    <t>13 de novembro | 01:52</t>
  </si>
  <si>
    <t>13 de novembro | 15:39</t>
  </si>
  <si>
    <t>MEL44060153061LMXDF01</t>
  </si>
  <si>
    <t>2000006598386355</t>
  </si>
  <si>
    <t>8 de novembro de 2024 14:10 hs.</t>
  </si>
  <si>
    <t>Franciane de Oliveira Valladares Xavier</t>
  </si>
  <si>
    <t>CPF 08786345761</t>
  </si>
  <si>
    <t>Rua Doutor Edmundo Kemp 20 - Fundo igreja Batista, Petrópolis - CEP: 25645150, Rio de Janeiro</t>
  </si>
  <si>
    <t>08786345761</t>
  </si>
  <si>
    <t>Rua Doutor Edmundo Kemp 20 / Fundo igreja Batista Referencia: Tocar o interfone na Igreja Batista - CEP 25645150 - São Sebastião, Petrópolis, Rio de Janeiro</t>
  </si>
  <si>
    <t>Petrópolis</t>
  </si>
  <si>
    <t>25645150</t>
  </si>
  <si>
    <t>13 de novembro | 00:50</t>
  </si>
  <si>
    <t>13 de novembro | 13:48</t>
  </si>
  <si>
    <t>MEL44060268438LMXDF01</t>
  </si>
  <si>
    <t>2000009784115446</t>
  </si>
  <si>
    <t>2000009784113568</t>
  </si>
  <si>
    <t>2000009783798924</t>
  </si>
  <si>
    <t>8 de novembro de 2024 13:38 hs.</t>
  </si>
  <si>
    <t>Dircea Augusta Do Nascimento</t>
  </si>
  <si>
    <t>CPF 76953726768</t>
  </si>
  <si>
    <t>Avenida Joaquim Câmara Ferreira 361 - casa, Rio de Janeiro - CEP: 21850180, Rio de Janeiro</t>
  </si>
  <si>
    <t>76953726768</t>
  </si>
  <si>
    <t>Avenida Joaquim Câmara Ferreira 361 / casa Referencia: do lado do salão marina - CEP 21850180 - Bangu, Rio de Janeiro, Rio de Janeiro</t>
  </si>
  <si>
    <t>21850180</t>
  </si>
  <si>
    <t>13 de novembro | 00:49</t>
  </si>
  <si>
    <t>13 de novembro | 12:52</t>
  </si>
  <si>
    <t>MEL44060116988LMXDF01</t>
  </si>
  <si>
    <t>2000009783774280</t>
  </si>
  <si>
    <t>8 de novembro de 2024 13:34 hs.</t>
  </si>
  <si>
    <t>Natália Fernandes lopes Fernandes lopes</t>
  </si>
  <si>
    <t>CPF 15517801862</t>
  </si>
  <si>
    <t>Rua Sétimo Guazzelli 194, São Bernardo do Campo - CEP: 09760600, São Paulo</t>
  </si>
  <si>
    <t>15517801862</t>
  </si>
  <si>
    <t>Rua Sétimo Guazzelli 194 / Referencia: Casa Verde - CEP 09760600 - Baeta Neves, São Bernardo do Campo, São Paulo</t>
  </si>
  <si>
    <t>09760600</t>
  </si>
  <si>
    <t>14 de novembro | 14:18</t>
  </si>
  <si>
    <t>MEL44059908309LMXDF01</t>
  </si>
  <si>
    <t>2000009783364294</t>
  </si>
  <si>
    <t>8 de novembro de 2024 12:53 hs.</t>
  </si>
  <si>
    <t>Vanessa Both</t>
  </si>
  <si>
    <t>CPF 01892179016</t>
  </si>
  <si>
    <t>Rua Comandai 693, Guarani das Missões - CEP: 97950000, Rio Grande do Sul</t>
  </si>
  <si>
    <t>01892179016</t>
  </si>
  <si>
    <t>Rua Comandai 693 / CEP 97950000 - centro, Guarani das Missões, Rio Grande do Sul</t>
  </si>
  <si>
    <t>Guarani das Missões</t>
  </si>
  <si>
    <t>97950000</t>
  </si>
  <si>
    <t>9 de novembro | 05:34</t>
  </si>
  <si>
    <t>14 de novembro | 09:17</t>
  </si>
  <si>
    <t>MEL44059914082LMXDF01</t>
  </si>
  <si>
    <t>2000009783031248</t>
  </si>
  <si>
    <t>8 de novembro de 2024 12:21 hs.</t>
  </si>
  <si>
    <t>Chegou em 12 de novembro</t>
  </si>
  <si>
    <t>Eliane de Sousa Salgado</t>
  </si>
  <si>
    <t>CPF 33098102837</t>
  </si>
  <si>
    <t>Avenida das Torres 4940, Maringá - CEP: 87083650, Paraná</t>
  </si>
  <si>
    <t>33098102837</t>
  </si>
  <si>
    <t>Avenida das Torres 4940 / Referencia: portão preto - CEP 87083650 - Jardim Rebouças, Maringá, Paraná</t>
  </si>
  <si>
    <t>87083650</t>
  </si>
  <si>
    <t>9 de novembro | 05:29</t>
  </si>
  <si>
    <t>12 de novembro | 08:57</t>
  </si>
  <si>
    <t>MEL44059767356LMXDF01</t>
  </si>
  <si>
    <t>2000009783008282</t>
  </si>
  <si>
    <t>8 de novembro de 2024 12:20 hs.</t>
  </si>
  <si>
    <t>Chegou em 11 de novembro</t>
  </si>
  <si>
    <t>Ronaldo Rocha Rocha</t>
  </si>
  <si>
    <t>CPF 28100805857</t>
  </si>
  <si>
    <t>Rua 3 227 - loja MARA NOIVAS, Rio Claro - CEP: 13500313, São Paulo</t>
  </si>
  <si>
    <t>28100805857</t>
  </si>
  <si>
    <t>Rua 3 227 / loja MARA NOIVAS - CEP 13500313 - Saúde, Rio Claro, São Paulo</t>
  </si>
  <si>
    <t>13500313</t>
  </si>
  <si>
    <t>9 de novembro | 04:41</t>
  </si>
  <si>
    <t>11 de novembro | 11:34</t>
  </si>
  <si>
    <t>MEL44059753420LMXDF01</t>
  </si>
  <si>
    <t>2000006597614587</t>
  </si>
  <si>
    <t>8 de novembro de 2024 12:00 hs.</t>
  </si>
  <si>
    <t>Arnaldo Horacio Ferreira Neto</t>
  </si>
  <si>
    <t>CPF 69612943168</t>
  </si>
  <si>
    <t>Setor SGCV Lote 27 503 503, Brasília - CEP: 71215770, Distrito Federal</t>
  </si>
  <si>
    <t>69612943168</t>
  </si>
  <si>
    <t>Setor SGCV Lote 27 503 / GUARA II Park Sul Referencia: GUARA II Park Sul Prime Residence. Bloco G - CEP 71215770 - Zona Industrial (Guará), Brasília, Distrito Federal</t>
  </si>
  <si>
    <t>71215770</t>
  </si>
  <si>
    <t>9 de novembro | 00:56</t>
  </si>
  <si>
    <t>11 de novembro | 18:25</t>
  </si>
  <si>
    <t>MEL44059671716LMXDF01</t>
  </si>
  <si>
    <t>2000009782790874</t>
  </si>
  <si>
    <t>Monica Sousa Da Silva Sousa Da Silva</t>
  </si>
  <si>
    <t>CPF 05809767508</t>
  </si>
  <si>
    <t>Rua Jayme Compri 163 - casa, São Paulo - CEP: 02983145, São Paulo</t>
  </si>
  <si>
    <t>05809767508</t>
  </si>
  <si>
    <t>Rua Jayme Compri 163 / casa Referencia: adega do ekube - CEP 02983145 - Jardim Lider, São Paulo, São Paulo</t>
  </si>
  <si>
    <t>02983145</t>
  </si>
  <si>
    <t>9 de novembro | 04:45</t>
  </si>
  <si>
    <t>10 de novembro | 11:47</t>
  </si>
  <si>
    <t>MEL44059457555LMXDF01</t>
  </si>
  <si>
    <t>2000009782320528</t>
  </si>
  <si>
    <t>8 de novembro de 2024 11:09 hs.</t>
  </si>
  <si>
    <t>Izabel Da hora Souza</t>
  </si>
  <si>
    <t>CPF 83988432172</t>
  </si>
  <si>
    <t>Avenida Vale dos Sonhos SN - qd 03 lt 27, Goiânia - CEP: 74477300, Goiás</t>
  </si>
  <si>
    <t>83988432172</t>
  </si>
  <si>
    <t>Avenida Vale dos Sonhos SN / qd 03 lt 27 Referencia: igrela universal do reino Deus - CEP 74477300 - São Domingos, Goiânia, Goiás</t>
  </si>
  <si>
    <t>74477300</t>
  </si>
  <si>
    <t>9 de novembro | 00:55</t>
  </si>
  <si>
    <t>11 de novembro | 14:56</t>
  </si>
  <si>
    <t>MEL44059240605LMXDF01</t>
  </si>
  <si>
    <t>2000009782224208</t>
  </si>
  <si>
    <t>8 de novembro de 2024 10:59 hs.</t>
  </si>
  <si>
    <t>Luzivan da Costa Campos Aguiar</t>
  </si>
  <si>
    <t>CPF 58150471120</t>
  </si>
  <si>
    <t>Rua Santa Rita Durão 168 - perto da lagoa, Vila Rica - CEP: 78645000, Mato Grosso</t>
  </si>
  <si>
    <t>58150471120</t>
  </si>
  <si>
    <t>Rua Santa Rita Durão 168 / perto da lagoa - CEP 78645000 - Imconfidente, Vila Rica, Mato Grosso</t>
  </si>
  <si>
    <t>Vila Rica</t>
  </si>
  <si>
    <t>78645000</t>
  </si>
  <si>
    <t>14 de novembro | 07:42</t>
  </si>
  <si>
    <t>MEL44059387598LMXDF01</t>
  </si>
  <si>
    <t>2000006597149299</t>
  </si>
  <si>
    <t>8 de novembro de 2024 10:45 hs.</t>
  </si>
  <si>
    <t>Chegou em 10 de novembro</t>
  </si>
  <si>
    <t>Alexandre Pennisi</t>
  </si>
  <si>
    <t>CPF 25224989833</t>
  </si>
  <si>
    <t>Rua Carvalho De Mebdonça 561 Apto 84 84, Santos - CEP: 11070101, São Paulo</t>
  </si>
  <si>
    <t>25224989833</t>
  </si>
  <si>
    <t>Rua Carvalho De Mebdonça 561 Apto 84 84 / CEP 11070101 - Vila Belmiro, Santos, São Paulo</t>
  </si>
  <si>
    <t>11070101</t>
  </si>
  <si>
    <t>9 de novembro | 04:53</t>
  </si>
  <si>
    <t>10 de novembro | 12:06</t>
  </si>
  <si>
    <t>MEL44059131255LMXDF01</t>
  </si>
  <si>
    <t>2000009781930888</t>
  </si>
  <si>
    <t>8 de novembro de 2024 10:30 hs.</t>
  </si>
  <si>
    <t>Vinicius Amianti</t>
  </si>
  <si>
    <t>CPF 31631236865</t>
  </si>
  <si>
    <t>Rua Valdir Ferreira de Jesus 81, Suzano - CEP: 08633016, São Paulo</t>
  </si>
  <si>
    <t>31631236865</t>
  </si>
  <si>
    <t>Rua Valdir Ferreira de Jesus 81 / Referencia: Casa com portão basculante marrom, ao lado da antena de telefonia celular mais alta do bairro. - CEP 08633016 - Jardim Brasil, Suzano, São Paulo</t>
  </si>
  <si>
    <t>08633016</t>
  </si>
  <si>
    <t>11 de novembro | 12:57</t>
  </si>
  <si>
    <t>MEL44059061245LMXDF01</t>
  </si>
  <si>
    <t>2000009781869484</t>
  </si>
  <si>
    <t>8 de novembro de 2024 10:23 hs.</t>
  </si>
  <si>
    <t>Dayane Dos Santos Nascimento Santiago</t>
  </si>
  <si>
    <t>CPF 15804257714</t>
  </si>
  <si>
    <t>loteamento condado 15 - casa de Ambrósio, Pombos - CEP: 55630000, Pernambuco</t>
  </si>
  <si>
    <t>15804257714</t>
  </si>
  <si>
    <t>loteamento condado 15 / casa de Ambrósio Referencia: depois da paleta recheada 2ª rua a direita - CEP 55630000 - vila São José, Pombos, Pernambuco</t>
  </si>
  <si>
    <t>Pombos</t>
  </si>
  <si>
    <t>55630000</t>
  </si>
  <si>
    <t>11 de novembro | 20:53</t>
  </si>
  <si>
    <t>MEL44059036211LMXDF01</t>
  </si>
  <si>
    <t>2000009781629240</t>
  </si>
  <si>
    <t>8 de novembro de 2024 09:55 hs.</t>
  </si>
  <si>
    <t>Tarik Nasser Abdallah Musa</t>
  </si>
  <si>
    <t>CPF 42195049820</t>
  </si>
  <si>
    <t>Rua Mário Fongaro 337 - casa, São Bernardo do Campo - CEP: 09732530, São Paulo</t>
  </si>
  <si>
    <t>42195049820</t>
  </si>
  <si>
    <t>Rua Mário Fongaro 337 / casa Referencia: FAZER A ENTREGA ENTRE HORARIO COMERICAL DAS 8 AS 18H - CEP 09732530 - Anchieta, São Bernardo do Campo, São Paulo</t>
  </si>
  <si>
    <t>09732530</t>
  </si>
  <si>
    <t>11 de novembro | 14:43</t>
  </si>
  <si>
    <t>MEL44058923141LMXDF01</t>
  </si>
  <si>
    <t>2000006596825487</t>
  </si>
  <si>
    <t>8 de novembro de 2024 09:39 hs.</t>
  </si>
  <si>
    <t>Iara Magalhaes</t>
  </si>
  <si>
    <t>CPF 01489147721</t>
  </si>
  <si>
    <t>Rua Joao De Souza Balieiro 90, Bocaina de Minas - CEP: 37340000, Minas Gerais</t>
  </si>
  <si>
    <t>01489147721</t>
  </si>
  <si>
    <t>Rua Joao De Souza Balieiro 90 / ou Cx Postal 4 Referencia: Entregar para Olívia ou Antônio Diniz - CEP 37340000 - Centro, Bocaina de Minas, Minas Gerais</t>
  </si>
  <si>
    <t>Bocaina de Minas</t>
  </si>
  <si>
    <t>37340000</t>
  </si>
  <si>
    <t>9 de novembro | 02:19</t>
  </si>
  <si>
    <t>11 de novembro | 13:40</t>
  </si>
  <si>
    <t>MEL44059054240LMXDF01</t>
  </si>
  <si>
    <t>2000009781370616</t>
  </si>
  <si>
    <t>8 de novembro de 2024 09:21 hs.</t>
  </si>
  <si>
    <t>Leodirce Spositto</t>
  </si>
  <si>
    <t>CPF 09186498894</t>
  </si>
  <si>
    <t>Rua João Veneziano 507, Potirendaba - CEP: 15105000, São Paulo</t>
  </si>
  <si>
    <t>09186498894</t>
  </si>
  <si>
    <t>Rua João Veneziano 507 / Referencia: madereira patine - CEP 15105000 - Centro, Potirendaba, São Paulo</t>
  </si>
  <si>
    <t>Potirendaba</t>
  </si>
  <si>
    <t>15105000</t>
  </si>
  <si>
    <t>10 de novembro | 15:08</t>
  </si>
  <si>
    <t>MEL44058988182LMXDF01</t>
  </si>
  <si>
    <t>2000009781229864</t>
  </si>
  <si>
    <t>8 de novembro de 2024 09:04 hs.</t>
  </si>
  <si>
    <t>Márcia Oliveira Oliveira</t>
  </si>
  <si>
    <t>CPF 29886197862</t>
  </si>
  <si>
    <t>Avenida Brasil SN - 6898 portaria, Rio Claro - CEP: 13505600, São Paulo</t>
  </si>
  <si>
    <t>29886197862</t>
  </si>
  <si>
    <t>Avenida Brasil SN / 6898 portaria Referencia: enfrente a firma perfotex tintas #34fazenda são José deixar com o segurança#34 - CEP 13505600 - Distrito Industrial, Rio Claro, São Paulo</t>
  </si>
  <si>
    <t>13505600</t>
  </si>
  <si>
    <t>10 de novembro | 10:20</t>
  </si>
  <si>
    <t>MEL44058734441LMXDF01</t>
  </si>
  <si>
    <t>2000006596632203</t>
  </si>
  <si>
    <t>8 de novembro de 2024 08:56 hs.</t>
  </si>
  <si>
    <t>Marcia Ionice Figueiredo de Souza</t>
  </si>
  <si>
    <t>CPF 03573053610</t>
  </si>
  <si>
    <t>Rua Joaquim Alves 338, Campestre - CEP: 37730000, Minas Gerais</t>
  </si>
  <si>
    <t>03573053610</t>
  </si>
  <si>
    <t>Rua Joaquim Alves 338 / CEP 37730000 - Campestre, Campestre, Minas Gerais</t>
  </si>
  <si>
    <t>Campestre</t>
  </si>
  <si>
    <t>37730000</t>
  </si>
  <si>
    <t>9 de novembro | 02:56</t>
  </si>
  <si>
    <t>13 de novembro | 11:36</t>
  </si>
  <si>
    <t>MEL44058702955LMXDF01</t>
  </si>
  <si>
    <t>2000009781139544</t>
  </si>
  <si>
    <t>8 de novembro de 2024 08:50 hs.</t>
  </si>
  <si>
    <t>Deize Maria Santana Dos Santos</t>
  </si>
  <si>
    <t>CPF 06726262418</t>
  </si>
  <si>
    <t>Rua da Lua 85 - primeiro andar, Paudalho - CEP: 55825000, Pernambuco</t>
  </si>
  <si>
    <t>06726262418</t>
  </si>
  <si>
    <t>Rua da Lua 85 / primeiro andar Referencia: Colégio de Betânia - CEP 55825000 - Alto dois irmãos, Paudalho, Pernambuco</t>
  </si>
  <si>
    <t>Paudalho</t>
  </si>
  <si>
    <t>55825000</t>
  </si>
  <si>
    <t>12 de novembro | 13:22</t>
  </si>
  <si>
    <t>MEL44058880938LMXDF01</t>
  </si>
  <si>
    <t>2000006596556749</t>
  </si>
  <si>
    <t>8 de novembro de 2024 08:37 hs.</t>
  </si>
  <si>
    <t>Maisa Lacol Wolga</t>
  </si>
  <si>
    <t>CPF 11514569850</t>
  </si>
  <si>
    <t>Rua Antonieta de Morais 60 - apto 113, São Paulo - CEP: 03517000, São Paulo</t>
  </si>
  <si>
    <t>11514569850</t>
  </si>
  <si>
    <t>Rua Antonieta de Morais 60 / apto 113 Referencia: apto 113 - CEP 03517000 - Vila Matilde, São Paulo, São Paulo</t>
  </si>
  <si>
    <t>03517000</t>
  </si>
  <si>
    <t>12 de novembro | 12:24</t>
  </si>
  <si>
    <t>MEL44058644151LMXDF01</t>
  </si>
  <si>
    <t>2000009781048060</t>
  </si>
  <si>
    <t>8 de novembro de 2024 08:33 hs.</t>
  </si>
  <si>
    <t>Andreise Mendes Ribeiro</t>
  </si>
  <si>
    <t>CPF 04527290681</t>
  </si>
  <si>
    <t>Rua José Carlos Pereira 58 - casa c, Governador Valadares - CEP: 35032240, Minas Gerais</t>
  </si>
  <si>
    <t>04527290681</t>
  </si>
  <si>
    <t>Rua José Carlos Pereira 58 / casa c - CEP 35032240 - Vila Bretas, Governador Valadares, Minas Gerais</t>
  </si>
  <si>
    <t>Governador Valadares</t>
  </si>
  <si>
    <t>35032240</t>
  </si>
  <si>
    <t>9 de novembro | 02:57</t>
  </si>
  <si>
    <t>13 de novembro | 17:28</t>
  </si>
  <si>
    <t>MEL44058633339LMXDF01</t>
  </si>
  <si>
    <t>2000009780991668</t>
  </si>
  <si>
    <t>8 de novembro de 2024 08:27 hs.</t>
  </si>
  <si>
    <t>Romilda Salete Souza</t>
  </si>
  <si>
    <t>CPF 27556741800</t>
  </si>
  <si>
    <t>Rua Onofre Antônio Camargo 226, Campinas - CEP: 13060469, São Paulo</t>
  </si>
  <si>
    <t>27556741800</t>
  </si>
  <si>
    <t>Rua Onofre Antônio Camargo 226 / CEP 13060469 - Jardim Santa Lúcia, Campinas, São Paulo</t>
  </si>
  <si>
    <t>13060469</t>
  </si>
  <si>
    <t>9 de novembro | 04:44</t>
  </si>
  <si>
    <t>10 de novembro | 12:10</t>
  </si>
  <si>
    <t>MEL44058809116LMXDF01</t>
  </si>
  <si>
    <t>2000009775672132</t>
  </si>
  <si>
    <t>8 de novembro de 2024 08:05 hs.</t>
  </si>
  <si>
    <t>Jucelene Alves</t>
  </si>
  <si>
    <t>CPF 35038913822</t>
  </si>
  <si>
    <t>Rua Treviso 137, Jacareí - CEP: 12302278, São Paulo</t>
  </si>
  <si>
    <t>35038913822</t>
  </si>
  <si>
    <t>Rua Treviso 137 / Casa - CEP 12302278 - Residencial Santa Paula, Jacareí, São Paulo</t>
  </si>
  <si>
    <t>12302278</t>
  </si>
  <si>
    <t>10 de novembro | 10:09</t>
  </si>
  <si>
    <t>MEL44056240107LMXDF01</t>
  </si>
  <si>
    <t>2000009780791082</t>
  </si>
  <si>
    <t>8 de novembro de 2024 07:44 hs.</t>
  </si>
  <si>
    <t>Andre Luis Miranda</t>
  </si>
  <si>
    <t>CPF 13221999810</t>
  </si>
  <si>
    <t>Rua São Benedito 94, Santa Adélia - CEP: 15950000, São Paulo</t>
  </si>
  <si>
    <t>13221999810</t>
  </si>
  <si>
    <t>Rua São Benedito 94 / CEP 15950000 - Vila Ferreira, Santa Adélia, São Paulo</t>
  </si>
  <si>
    <t>14 de novembro | 11:49</t>
  </si>
  <si>
    <t>MEL44058704758LMXDF01</t>
  </si>
  <si>
    <t>2000006596393293</t>
  </si>
  <si>
    <t>8 de novembro de 2024 07:40 hs.</t>
  </si>
  <si>
    <t>Ines Cristina Caetano</t>
  </si>
  <si>
    <t>CPF 20014811871</t>
  </si>
  <si>
    <t>Rua Fortunato Resta 222, Bauru - CEP: 17052330, São Paulo</t>
  </si>
  <si>
    <t>20014811871</t>
  </si>
  <si>
    <t>Rua Fortunato Resta 222 / Referencia: casa - CEP 17052330 - Vila Giunta, Bauru, São Paulo</t>
  </si>
  <si>
    <t>17052330</t>
  </si>
  <si>
    <t>14 de novembro | 11:39</t>
  </si>
  <si>
    <t>MEL44058695308LMXDF01</t>
  </si>
  <si>
    <t>2000006596322883</t>
  </si>
  <si>
    <t>8 de novembro de 2024 07:05 hs.</t>
  </si>
  <si>
    <t>Ana Regina Camara</t>
  </si>
  <si>
    <t>CPF 39295225864</t>
  </si>
  <si>
    <t>TRAVESSA Santa Rosa 127, Três Rios - CEP: 25809010, Rio de Janeiro</t>
  </si>
  <si>
    <t>39295225864</t>
  </si>
  <si>
    <t>TRAVESSA Santa Rosa 127 / Referencia: 3 entrada a direita após a transa transporte - CEP 25809010 - Cidade Nova, Três Rios, Rio de Janeiro</t>
  </si>
  <si>
    <t>Três Rios</t>
  </si>
  <si>
    <t>25809010</t>
  </si>
  <si>
    <t>13 de novembro | 11:35</t>
  </si>
  <si>
    <t>MEL44058634412LMXDF01</t>
  </si>
  <si>
    <t>2000009780524982</t>
  </si>
  <si>
    <t>8 de novembro de 2024 06:16 hs.</t>
  </si>
  <si>
    <t>Claudiana Costa Coelho</t>
  </si>
  <si>
    <t>CPF 06353663390</t>
  </si>
  <si>
    <t>Rua Joel Barbosa 36 - Em frente ao ginásio, Sítio Novo - CEP: 65925000, Maranhão</t>
  </si>
  <si>
    <t>06353663390</t>
  </si>
  <si>
    <t>Rua Joel Barbosa 36 / Em frente ao ginásio Referencia: Ao lado da academia nova forma (Alex) - CEP 65925000 - Centro, Sítio Novo, Maranhão</t>
  </si>
  <si>
    <t>Sítio Novo</t>
  </si>
  <si>
    <t>65925000</t>
  </si>
  <si>
    <t>13 de novembro | 00:52</t>
  </si>
  <si>
    <t>18 de novembro | 15:26</t>
  </si>
  <si>
    <t>MEL44058573700LMXDF01</t>
  </si>
  <si>
    <t>2000009780484184</t>
  </si>
  <si>
    <t>8 de novembro de 2024 05:46 hs.</t>
  </si>
  <si>
    <t>Cristiane da Silva Pimentel</t>
  </si>
  <si>
    <t>CPF 35956033894</t>
  </si>
  <si>
    <t>Rua Ministro Gabriel de Rezende Passos 500 - 18 andar sala 1801, São Paulo - CEP: 04521022, São Paulo</t>
  </si>
  <si>
    <t>35956033894</t>
  </si>
  <si>
    <t>Rua Ministro Gabriel de Rezende Passos 500 / 18 andar sala 1801 Referencia: Prédio comercial Medical Center do lado do hospital alvorada Moema. 18 andar sala 1801 - CEP 04521022 - Moema, São Paulo, São Paulo</t>
  </si>
  <si>
    <t>04521022</t>
  </si>
  <si>
    <t>14 de novembro | 15:23</t>
  </si>
  <si>
    <t>MEL44058549728LMXDF01</t>
  </si>
  <si>
    <t>2000006596230841</t>
  </si>
  <si>
    <t>8 de novembro de 2024 05:43 hs.</t>
  </si>
  <si>
    <t>Janete Rescarolli Sorer</t>
  </si>
  <si>
    <t>CPF 98701665987</t>
  </si>
  <si>
    <t>sessenta SE-01 3815 - final da estrada, Botuverá - CEP: 88295000, Santa Catarina</t>
  </si>
  <si>
    <t>98701665987</t>
  </si>
  <si>
    <t>Botuverá</t>
  </si>
  <si>
    <t>88295000</t>
  </si>
  <si>
    <t>MEL44058547328FMXDF01</t>
  </si>
  <si>
    <t>2000009780279150</t>
  </si>
  <si>
    <t>8 de novembro de 2024 03:06 hs.</t>
  </si>
  <si>
    <t>maria francineide das graças graças</t>
  </si>
  <si>
    <t>CPF 75658062420</t>
  </si>
  <si>
    <t>Rua Celina Maria de Jesus Gomes 113 - a, Taboão da Serra - CEP: 06785530, São Paulo</t>
  </si>
  <si>
    <t>75658062420</t>
  </si>
  <si>
    <t>Rua Celina Maria de Jesus Gomes 113 / a - CEP 06785530 - Jardim São Luiz, Taboão da Serra, São Paulo</t>
  </si>
  <si>
    <t>Taboão da Serra</t>
  </si>
  <si>
    <t>06785530</t>
  </si>
  <si>
    <t>14 de novembro | 12:49</t>
  </si>
  <si>
    <t>MEL44058257309LMXDF01</t>
  </si>
  <si>
    <t>2000006595848887</t>
  </si>
  <si>
    <t>8 de novembro de 2024 01:04 hs.</t>
  </si>
  <si>
    <t>Derek Rodrigues Datti</t>
  </si>
  <si>
    <t>CPF 46614482866</t>
  </si>
  <si>
    <t>Rua Avignon 62, Santana de Parnaíba - CEP: 06544706, São Paulo</t>
  </si>
  <si>
    <t>46614482866</t>
  </si>
  <si>
    <t>Rua Avignon 62 / Referencia: Condominio Tamboré 11, Colinas do Anhanguera, Santana De Parnaiba Em Alphaville SpQualquer Duvida Me Ligar No (11)8877-6031 - CEP 06544706 - Tamboré, Santana de Parnaíba, São Paulo</t>
  </si>
  <si>
    <t>Santana de Parnaíba</t>
  </si>
  <si>
    <t>06544706</t>
  </si>
  <si>
    <t>14 de novembro | 11:45</t>
  </si>
  <si>
    <t>MEL44058292654LMXDF01</t>
  </si>
  <si>
    <t>2000009779202308</t>
  </si>
  <si>
    <t>7 de novembro de 2024 23:14 hs.</t>
  </si>
  <si>
    <t>CLEBER CONRADO</t>
  </si>
  <si>
    <t>CPF 90295943734</t>
  </si>
  <si>
    <t>Rua Varginha 111 - Casa Referencia: Final Da Rua Araxa, Montes Claros - CEP: 39408210, Minas Gerais</t>
  </si>
  <si>
    <t>90295943734</t>
  </si>
  <si>
    <t>Rua Varginha 111 / casa Referencia: final da rua araxa - CEP 39408210 - Ibituruna, Montes Claros, Minas Gerais</t>
  </si>
  <si>
    <t>39408210</t>
  </si>
  <si>
    <t>Correios e pontos de envio</t>
  </si>
  <si>
    <t>14 de novembro | 14:29</t>
  </si>
  <si>
    <t>MEL44057996596LMXDF01</t>
  </si>
  <si>
    <t>2000006595347189</t>
  </si>
  <si>
    <t>7 de novembro de 2024 23:06 hs.</t>
  </si>
  <si>
    <t>MARIA LÚCIA FERREIRA</t>
  </si>
  <si>
    <t>CPF 72324880768</t>
  </si>
  <si>
    <t>RUA TENENTE MANUEL BORGES 41, Rio de Janeiro - CEP: 21645625, Rio de Janeiro</t>
  </si>
  <si>
    <t>72324880768</t>
  </si>
  <si>
    <t>RUA TENENTE MANUEL BORGES 41 / CEP 21645625 - Anchieta, Rio de Janeiro, Rio de Janeiro</t>
  </si>
  <si>
    <t>21645625</t>
  </si>
  <si>
    <t>14 de novembro | 10:11</t>
  </si>
  <si>
    <t>MEL44057770105LMXDF01</t>
  </si>
  <si>
    <t>https://myaccount.mercadolivre.com.br/shipments/44057770105/detail</t>
  </si>
  <si>
    <t>2000006595069853</t>
  </si>
  <si>
    <t>7 de novembro de 2024 22:19 hs.</t>
  </si>
  <si>
    <t>Maria antonia Rocha</t>
  </si>
  <si>
    <t>CPF 64572064253</t>
  </si>
  <si>
    <t>Rua Waldemar da Silva Pinto 583 - casa, Rondonópolis - CEP: 78717455, Mato Grosso</t>
  </si>
  <si>
    <t>64572064253</t>
  </si>
  <si>
    <t>Rua Waldemar da Silva Pinto 583 / casa - CEP 78717455 - Jardim Residencial Carlos Bezerra I, Rondonópolis, Mato Grosso</t>
  </si>
  <si>
    <t>Rondonópolis</t>
  </si>
  <si>
    <t>78717455</t>
  </si>
  <si>
    <t>13 de novembro | 02:48</t>
  </si>
  <si>
    <t>17 de novembro | 11:29</t>
  </si>
  <si>
    <t>MEL44057581339LMXDF01</t>
  </si>
  <si>
    <t>2000009778672962</t>
  </si>
  <si>
    <t>2000009778682560</t>
  </si>
  <si>
    <t>2000009773706710</t>
  </si>
  <si>
    <t>7 de novembro de 2024 22:09 hs.</t>
  </si>
  <si>
    <t>neli ladeira</t>
  </si>
  <si>
    <t>CPF 03082672817</t>
  </si>
  <si>
    <t>Rua Benedito Pereira da Silva 204, Campos do Jordão - CEP: 12467092, São Paulo</t>
  </si>
  <si>
    <t>03082672817</t>
  </si>
  <si>
    <t>Rua Benedito Pereira da Silva 204 / Referencia: perto s/2  parte de baixo - CEP 12467092 - Vila Maquinista, Campos do Jordão, São Paulo</t>
  </si>
  <si>
    <t>12467092</t>
  </si>
  <si>
    <t>14 de novembro | 13:37</t>
  </si>
  <si>
    <t>MEL44055309143LMXDF01</t>
  </si>
  <si>
    <t>2000009778543196</t>
  </si>
  <si>
    <t>7 de novembro de 2024 22:05 hs.</t>
  </si>
  <si>
    <t>Rafael Marques</t>
  </si>
  <si>
    <t>CPF 35905340870</t>
  </si>
  <si>
    <t>Rua Josefa Araújo de Oliveira 55 - apt 123, Cubatão - CEP: 11533580, São Paulo</t>
  </si>
  <si>
    <t>35905340870</t>
  </si>
  <si>
    <t>Rua Josefa Araújo de Oliveira 55 / apt 123 Referencia: próximo a praça Rubens lara. - CEP 11533580 - Parque São Luis, Cubatão, São Paulo</t>
  </si>
  <si>
    <t>Cubatão</t>
  </si>
  <si>
    <t>11533580</t>
  </si>
  <si>
    <t>14 de novembro | 10:54</t>
  </si>
  <si>
    <t>MEL44057721454LMXDF01</t>
  </si>
  <si>
    <t>2000009778231598</t>
  </si>
  <si>
    <t>7 de novembro de 2024 21:36 hs.</t>
  </si>
  <si>
    <t>Luís Cláudio Domingues Lobo</t>
  </si>
  <si>
    <t>CPF 07674074234</t>
  </si>
  <si>
    <t>Travessa Angustura 1961 - 1505, Belém - CEP: 66080180, Pará</t>
  </si>
  <si>
    <t>07674074234</t>
  </si>
  <si>
    <t>Travessa Angustura 1961 / 1505 Referencia: Edificio Tereza Borsoi - CEP 66080180 - Pedreira, Belém, Pará</t>
  </si>
  <si>
    <t>66080180</t>
  </si>
  <si>
    <t>17 de novembro | 10:10</t>
  </si>
  <si>
    <t>MEL44057392001LMXDF01</t>
  </si>
  <si>
    <t>2000009778222422</t>
  </si>
  <si>
    <t>7 de novembro de 2024 21:33 hs.</t>
  </si>
  <si>
    <t>Ademir Rocha</t>
  </si>
  <si>
    <t>CPF 01358070776</t>
  </si>
  <si>
    <t>Rua Carolina Amado 576, Rio de Janeiro - CEP: 21361320, Rio de Janeiro</t>
  </si>
  <si>
    <t>01358070776</t>
  </si>
  <si>
    <t>Rua Carolina Amado 576 / casa 4 Referencia: Climede/Restriçao-No/Condomínio-No/Portaria-NA/Elevador-NA/Escalera-No - CEP 21361320 - Irajá, Rio de Janeiro, Rio de Janeiro</t>
  </si>
  <si>
    <t>21361320</t>
  </si>
  <si>
    <t>12 de novembro | 23:53</t>
  </si>
  <si>
    <t>13 de novembro | 19:41</t>
  </si>
  <si>
    <t>MEL44057384223LMXDF01</t>
  </si>
  <si>
    <t>2000006594782063</t>
  </si>
  <si>
    <t>7 de novembro de 2024 21:31 hs.</t>
  </si>
  <si>
    <t>Otavio Dos Santos Silva</t>
  </si>
  <si>
    <t>CPF 04988021599</t>
  </si>
  <si>
    <t>Rua Crisógno Fernandes 257 - Pax Bahia, Cruz das Almas - CEP: 44380000, Bahia</t>
  </si>
  <si>
    <t>04988021599</t>
  </si>
  <si>
    <t>Rua Crisógno Fernandes 257 / Pax Bahia Referencia: Pax Bahia Cláudioano 75981780428 - CEP 44380000 - Cetro, Cruz das Almas, Bahia</t>
  </si>
  <si>
    <t>Cruz das Almas</t>
  </si>
  <si>
    <t>44380000</t>
  </si>
  <si>
    <t>16 de novembro | 09:24</t>
  </si>
  <si>
    <t>MEL44057372759LMXDF01</t>
  </si>
  <si>
    <t>2000006594746059</t>
  </si>
  <si>
    <t>7 de novembro de 2024 21:27 hs.</t>
  </si>
  <si>
    <t>ADRIANO ZAMBONI</t>
  </si>
  <si>
    <t>CPF 00705480992</t>
  </si>
  <si>
    <t>Rua José Bonifácio 146 - Posto Planeta, Treze Tílias - CEP: 89650000, Santa Catarina</t>
  </si>
  <si>
    <t>00705480992</t>
  </si>
  <si>
    <t>Rua José Bonifácio 146 / Posto Planeta Referencia: Posto Planeta - CEP 89650000 - Centro, Treze Tílias, Santa Catarina</t>
  </si>
  <si>
    <t>Treze Tílias</t>
  </si>
  <si>
    <t>89650000</t>
  </si>
  <si>
    <t>16 de novembro | 14:58</t>
  </si>
  <si>
    <t>MEL44057542140LMXDF01</t>
  </si>
  <si>
    <t>2000009777970688</t>
  </si>
  <si>
    <t>7 de novembro de 2024 21:09 hs.</t>
  </si>
  <si>
    <t>Aldrey Brezina</t>
  </si>
  <si>
    <t>CPF 04770875908</t>
  </si>
  <si>
    <t>Rua Aricanduva 3968, Umuarama - CEP: 87502200, Paraná</t>
  </si>
  <si>
    <t>04770875908</t>
  </si>
  <si>
    <t>Rua Aricanduva 3968 / Loja - CEP 87502200 - Zona II, Umuarama, Paraná</t>
  </si>
  <si>
    <t>87502200</t>
  </si>
  <si>
    <t>13 de novembro | 05:45</t>
  </si>
  <si>
    <t>22 de novembro | 10:45</t>
  </si>
  <si>
    <t>MEL44057470158LMXDF01</t>
  </si>
  <si>
    <t>https://myaccount.mercadolivre.com.br/shipments/44057470158/detail</t>
  </si>
  <si>
    <t>2000009777861550</t>
  </si>
  <si>
    <t>7 de novembro de 2024 21:00 hs.</t>
  </si>
  <si>
    <t>Babi Loureiro</t>
  </si>
  <si>
    <t>CPF 19945534807</t>
  </si>
  <si>
    <t>Rua Doutor Adolpho Assis 101 - AP 36, Santos - CEP: 11075360, São Paulo</t>
  </si>
  <si>
    <t>19945534807</t>
  </si>
  <si>
    <t>Rua Doutor Adolpho Assis 101 / AP 36 - CEP 11075360 - Vila Belmiro, Santos, São Paulo</t>
  </si>
  <si>
    <t>11075360</t>
  </si>
  <si>
    <t>14 de novembro | 15:32</t>
  </si>
  <si>
    <t>MEL44057427666LMXDF01</t>
  </si>
  <si>
    <t>2000009777787300</t>
  </si>
  <si>
    <t>7 de novembro de 2024 20:52 hs.</t>
  </si>
  <si>
    <t>JAIR Martins</t>
  </si>
  <si>
    <t>CPF 00514805900</t>
  </si>
  <si>
    <t>Rua Ângela Bota 253, Ponte Serrada - CEP: 89683000, Santa Catarina</t>
  </si>
  <si>
    <t>00514805900</t>
  </si>
  <si>
    <t>Rua Ângela Bota 253 / Rua atrás da creche escolar do bairro - CEP 89683000 - Cascatinha, Ponte Serrada, Santa Catarina</t>
  </si>
  <si>
    <t>Ponte Serrada</t>
  </si>
  <si>
    <t>89683000</t>
  </si>
  <si>
    <t>15 de novembro | 13:31</t>
  </si>
  <si>
    <t>MEL44057392828LMXDF01</t>
  </si>
  <si>
    <t>2000009777648172</t>
  </si>
  <si>
    <t>7 de novembro de 2024 20:39 hs.</t>
  </si>
  <si>
    <t>Regina Ferreira da Silva</t>
  </si>
  <si>
    <t>CPF 26421345808</t>
  </si>
  <si>
    <t>Avenida Direitos Humanos 2720 - AP 61, São Paulo - CEP: 02475002, São Paulo</t>
  </si>
  <si>
    <t>26421345808</t>
  </si>
  <si>
    <t>Avenida Direitos Humanos 2720 / AP 61 - CEP 02475002 - Mandaqui, São Paulo, São Paulo</t>
  </si>
  <si>
    <t>02475002</t>
  </si>
  <si>
    <t>14 de novembro | 15:03</t>
  </si>
  <si>
    <t>MEL44057327136LMXDF01</t>
  </si>
  <si>
    <t>2000009777616066</t>
  </si>
  <si>
    <t>7 de novembro de 2024 20:35 hs.</t>
  </si>
  <si>
    <t>josé luiz francis</t>
  </si>
  <si>
    <t>CPF 69447250700</t>
  </si>
  <si>
    <t>Rua Quarenta e Um-D 71, Volta Redonda - CEP: 27255435, Rio de Janeiro</t>
  </si>
  <si>
    <t>69447250700</t>
  </si>
  <si>
    <t>Rua Quarenta e Um-D 71 / Referencia: Destinatário ausente                                         deixar na casa ao lado, n 69 - CEP 27255435 - Vila Santa Cecília, Volta Redonda, Rio de Janeiro</t>
  </si>
  <si>
    <t>27255435</t>
  </si>
  <si>
    <t>13 de novembro | 01:25</t>
  </si>
  <si>
    <t>13 de novembro | 10:39</t>
  </si>
  <si>
    <t>MEL44057117595LMXDF01</t>
  </si>
  <si>
    <t>2000006594285355</t>
  </si>
  <si>
    <t>7 de novembro de 2024 20:13 hs.</t>
  </si>
  <si>
    <t>Ely Ricardo Paulino</t>
  </si>
  <si>
    <t>CPF 88695204634</t>
  </si>
  <si>
    <t>Avenida Orlando Ferreira Costa 1739 - 24D, Paulínia - CEP: 13145576, São Paulo</t>
  </si>
  <si>
    <t>88695204634</t>
  </si>
  <si>
    <t>Avenida Orlando Ferreira Costa 1739 / 24D Referencia: Condomínio Vilagio Vista Real - Estr. da Granja, 1739 - CEP 13145576 - Saltinho, Paulínia, São Paulo</t>
  </si>
  <si>
    <t>13145576</t>
  </si>
  <si>
    <t>13 de novembro | 04:46</t>
  </si>
  <si>
    <t>14 de novembro | 11:26</t>
  </si>
  <si>
    <t>MEL44057005241LMXDF01</t>
  </si>
  <si>
    <t>2000009777150926</t>
  </si>
  <si>
    <t>7 de novembro de 2024 19:52 hs.</t>
  </si>
  <si>
    <t>Samia de Cassia Castro Alves</t>
  </si>
  <si>
    <t>CPF 01850928100</t>
  </si>
  <si>
    <t>senador Felinto Muller 708, Bonito - CEP: 79290000, Mato Grosso do Sul</t>
  </si>
  <si>
    <t>01850928100</t>
  </si>
  <si>
    <t>senador Felinto Muller 708 / Referencia: entre o posto do Kinho e o mercado vila Cristina - CEP 79290000 - centro, Bonito, Mato Grosso do Sul</t>
  </si>
  <si>
    <t>15 de novembro | 16:29</t>
  </si>
  <si>
    <t>MEL44057107894LMXDF01</t>
  </si>
  <si>
    <t>2000009777010162</t>
  </si>
  <si>
    <t>7 de novembro de 2024 19:38 hs.</t>
  </si>
  <si>
    <t>Geraldo Celem de Souza</t>
  </si>
  <si>
    <t>CPF 71006249753</t>
  </si>
  <si>
    <t>Rua Doutor Tabajara de Araújo Gomes SN, Niterói - CEP: 24350290, Rio de Janeiro</t>
  </si>
  <si>
    <t>71006249753</t>
  </si>
  <si>
    <t>Rua Doutor Tabajara de Araújo Gomes SN / Lote 21, Quadra 218, Piratininga, Niterói - CEP 24350290 - Piratininga, Niterói, Rio de Janeiro</t>
  </si>
  <si>
    <t>24350290</t>
  </si>
  <si>
    <t>13 de novembro | 00:24</t>
  </si>
  <si>
    <t>13 de novembro | 13:41</t>
  </si>
  <si>
    <t>MEL44057043998LMXDF01</t>
  </si>
  <si>
    <t>2000009776880958</t>
  </si>
  <si>
    <t>7 de novembro de 2024 19:28 hs.</t>
  </si>
  <si>
    <t>rosilene Rodrigues rodrigues</t>
  </si>
  <si>
    <t>CPF 13193818631</t>
  </si>
  <si>
    <t>Rua Platina 1425 - apat 203 Bloco B, Belo Horizonte - CEP: 30411325, Minas Gerais</t>
  </si>
  <si>
    <t>13193818631</t>
  </si>
  <si>
    <t>30411325</t>
  </si>
  <si>
    <t>MEL44056988978FMDOF01</t>
  </si>
  <si>
    <t>2000006594014463</t>
  </si>
  <si>
    <t>7 de novembro de 2024 19:27 hs.</t>
  </si>
  <si>
    <t>Renata Teixeira dos Santos</t>
  </si>
  <si>
    <t>CPF 09101346776</t>
  </si>
  <si>
    <t>Rua Renato Meira Lima 453, Rio de Janeiro - CEP: 22735120, Rio de Janeiro</t>
  </si>
  <si>
    <t>09101346776</t>
  </si>
  <si>
    <t>Rua Renato Meira Lima 453 / casa 2 Referencia: é uma casa que parece uma igreja estou sem campanhina podem chamar que escuto - CEP 22735120 - Tanque, Rio de Janeiro, Rio de Janeiro</t>
  </si>
  <si>
    <t>13 de novembro | 18:19</t>
  </si>
  <si>
    <t>MEL44056995022LMXDF01</t>
  </si>
  <si>
    <t>2000009776638460</t>
  </si>
  <si>
    <t>7 de novembro de 2024 19:02 hs.</t>
  </si>
  <si>
    <t>Kaique Antonio Vieira</t>
  </si>
  <si>
    <t>CPF 48109085857</t>
  </si>
  <si>
    <t>Rua 2 JZ 116 - casa da sogra, Rio Claro - CEP: 13504227, São Paulo</t>
  </si>
  <si>
    <t>48109085857</t>
  </si>
  <si>
    <t>Rua 2 JZ 116 / casa da sogra - CEP 13504227 - Jardim Azul, Rio Claro, São Paulo</t>
  </si>
  <si>
    <t>13504227</t>
  </si>
  <si>
    <t>13 de novembro | 05:21</t>
  </si>
  <si>
    <t>14 de novembro | 13:32</t>
  </si>
  <si>
    <t>MEL44056879174LMXDF01</t>
  </si>
  <si>
    <t>2000009776134032</t>
  </si>
  <si>
    <t>7 de novembro de 2024 18:09 hs.</t>
  </si>
  <si>
    <t>Jair Pimentel</t>
  </si>
  <si>
    <t>CPF 95027203853</t>
  </si>
  <si>
    <t>Rua Capela da Lagoa 194 - casa, São Paulo - CEP: 02993230, São Paulo</t>
  </si>
  <si>
    <t>95027203853</t>
  </si>
  <si>
    <t>Rua Capela da Lagoa 194 / casa - CEP 02993230 - Parque Panamericano, São Paulo, São Paulo</t>
  </si>
  <si>
    <t>02993230</t>
  </si>
  <si>
    <t>14 de novembro | 14:03</t>
  </si>
  <si>
    <t>MEL44056456743LMXDF01</t>
  </si>
  <si>
    <t>2000006593565667</t>
  </si>
  <si>
    <t>7 de novembro de 2024 18:08 hs.</t>
  </si>
  <si>
    <t>Uxley Vinicius Dittz</t>
  </si>
  <si>
    <t>CPF 23108579800</t>
  </si>
  <si>
    <t>Rua Guarino Vanucci 199, Indaiatuba - CEP: 13348864, São Paulo</t>
  </si>
  <si>
    <t>23108579800</t>
  </si>
  <si>
    <t>Rua Guarino Vanucci 199 / Referencia: casa amarelo com portão branco - CEP 13348864 - Residencial Monte Verde, Indaiatuba, São Paulo</t>
  </si>
  <si>
    <t>13348864</t>
  </si>
  <si>
    <t>MEL44056451331LMXDF01</t>
  </si>
  <si>
    <t>2000009776107416</t>
  </si>
  <si>
    <t>2000009776109388</t>
  </si>
  <si>
    <t>2000009776109390</t>
  </si>
  <si>
    <t>2000009776001984</t>
  </si>
  <si>
    <t>7 de novembro de 2024 17:58 hs.</t>
  </si>
  <si>
    <t xml:space="preserve">Andrea Silveira </t>
  </si>
  <si>
    <t>CPF 67634168653</t>
  </si>
  <si>
    <t>RUA ARDÓSIA 117, Belo Horizonte - CEP: 31210480, Minas Gerais</t>
  </si>
  <si>
    <t>67634168653</t>
  </si>
  <si>
    <t>RUA ARDÓSIA 117 / CEP 31210480 - Bonfim, Belo Horizonte, Minas Gerais</t>
  </si>
  <si>
    <t>31210480</t>
  </si>
  <si>
    <t>19 de novembro | 11:18</t>
  </si>
  <si>
    <t>MEL44056406689LMXDF01</t>
  </si>
  <si>
    <t>https://myaccount.mercadolivre.com.br/shipments/44056406689/detail</t>
  </si>
  <si>
    <t>2000009775926438</t>
  </si>
  <si>
    <t>7 de novembro de 2024 17:49 hs.</t>
  </si>
  <si>
    <t>Milena Pereira</t>
  </si>
  <si>
    <t>CPF 44328247867</t>
  </si>
  <si>
    <t>Rua dos Kammer 84 - Jardim esperança 2, Conchal - CEP: 13837048, São Paulo</t>
  </si>
  <si>
    <t>44328247867</t>
  </si>
  <si>
    <t>Rua dos Kammer 84 / Jardim esperança 2 Referencia: ao lado do Studio Juliana Costa - CEP 13837048 - Conjunto Residencial Deputado Barros Munhoz, Conchal, São Paulo</t>
  </si>
  <si>
    <t>Conchal</t>
  </si>
  <si>
    <t>13837048</t>
  </si>
  <si>
    <t>14 de novembro | 11:27</t>
  </si>
  <si>
    <t>MEL44056556646LMXDF01</t>
  </si>
  <si>
    <t>2000009775853796</t>
  </si>
  <si>
    <t>7 de novembro de 2024 17:43 hs.</t>
  </si>
  <si>
    <t>Simone bstista de oliveira Oliveira</t>
  </si>
  <si>
    <t>CPF 53957547172</t>
  </si>
  <si>
    <t>Rua 73 29 - Qd 121, Valparaíso de Goiás - CEP: 72871073, Goiás</t>
  </si>
  <si>
    <t>53957547172</t>
  </si>
  <si>
    <t>Rua 73 29 / Qd 121 Referencia: entrada da cademia sport fitness - CEP 72871073 - Jardim Céu Azul, Valparaíso de Goiás, Goiás</t>
  </si>
  <si>
    <t>Valparaíso de Goiás</t>
  </si>
  <si>
    <t>72871073</t>
  </si>
  <si>
    <t>11 de novembro | 16:25</t>
  </si>
  <si>
    <t>MEL44056530588LMXDF01</t>
  </si>
  <si>
    <t>2000009775841374</t>
  </si>
  <si>
    <t>7 de novembro de 2024 17:41 hs.</t>
  </si>
  <si>
    <t>E A M MARTINS  CIA LTDA</t>
  </si>
  <si>
    <t>CNPJ 19161720000167</t>
  </si>
  <si>
    <t>Avenida Pedro Miranda 624 - Ed Pirâmide Sala 05, Belém - CEP: 66085005, Pará</t>
  </si>
  <si>
    <t>19161720000167</t>
  </si>
  <si>
    <t>Avenida Pedro Miranda 624 / Ed. Pirâmide Sala 05 - CEP 66085005 - Pedreira, Belém, Pará</t>
  </si>
  <si>
    <t>66085005</t>
  </si>
  <si>
    <t>14 de novembro | 11:47</t>
  </si>
  <si>
    <t>MEL44056522080LMXDF01</t>
  </si>
  <si>
    <t>2000009775598018</t>
  </si>
  <si>
    <t>7 de novembro de 2024 17:15 hs.</t>
  </si>
  <si>
    <t>Vinícius Oliveira</t>
  </si>
  <si>
    <t>CPF 08730626552</t>
  </si>
  <si>
    <t>Travessa Theódulo Albuquerque 28 - Beco do Nonato, Sento Sé - CEP: 47350000, Bahia</t>
  </si>
  <si>
    <t>08730626552</t>
  </si>
  <si>
    <t>Travessa Theódulo Albuquerque 28 / Beco do Nonato  Referencia: Próximo a Nonato Calçado, No Beco, Casa Cinza de Gradilho. - CEP 47350000 - Centro, Sento Sé, Bahia</t>
  </si>
  <si>
    <t>9 de novembro | 02:54</t>
  </si>
  <si>
    <t>12 de novembro | 19:20</t>
  </si>
  <si>
    <t>MEL44056398400LMXDF01</t>
  </si>
  <si>
    <t>2000006593136861</t>
  </si>
  <si>
    <t>7 de novembro de 2024 16:57 hs.</t>
  </si>
  <si>
    <t>Ivonete M. do Nascimento Nete</t>
  </si>
  <si>
    <t>CPF 67031897491</t>
  </si>
  <si>
    <t>Rua Rubem Berta 166 - Apartamento 401, Salvador - CEP: 41810045, Bahia</t>
  </si>
  <si>
    <t>67031897491</t>
  </si>
  <si>
    <t>Rua Rubem Berta 166 / Apartamento 401 Referencia: Boteco do bigode - CEP 41810045 - Pituba, Salvador, Bahia</t>
  </si>
  <si>
    <t>41810045</t>
  </si>
  <si>
    <t>9 de novembro | 05:32</t>
  </si>
  <si>
    <t>12 de novembro | 15:46</t>
  </si>
  <si>
    <t>MEL44056306936LMXDF01</t>
  </si>
  <si>
    <t>2000009775141668</t>
  </si>
  <si>
    <t>7 de novembro de 2024 16:33 hs.</t>
  </si>
  <si>
    <t>Sandra Teixeira</t>
  </si>
  <si>
    <t>CPF 03330017457</t>
  </si>
  <si>
    <t>povoado de Lagoa Limpa 78, Nova Cruz - CEP: 59215000, Rio Grande do Norte</t>
  </si>
  <si>
    <t>03330017457</t>
  </si>
  <si>
    <t>povoado de Lagoa Limpa 78 / Referencia: perto do bar Central - CEP 59215000 - centro, Nova Cruz, Rio Grande do Norte</t>
  </si>
  <si>
    <t>Nova Cruz</t>
  </si>
  <si>
    <t>59215000</t>
  </si>
  <si>
    <t>11 de novembro | 12:37</t>
  </si>
  <si>
    <t>MEL44055998161LMXDF01</t>
  </si>
  <si>
    <t>2000006592934975</t>
  </si>
  <si>
    <t>7 de novembro de 2024 16:25 hs.</t>
  </si>
  <si>
    <t>Maria Aparecida da Silva Tobias</t>
  </si>
  <si>
    <t>CPF 05195650616</t>
  </si>
  <si>
    <t>AVENIDA BELO HORIZONTE 1607, Betim - CEP: 32672085, Minas Gerais</t>
  </si>
  <si>
    <t>05195650616</t>
  </si>
  <si>
    <t>AVENIDA BELO HORIZONTE 1607 / LOJA  Ponto de referência: Em frente ao Supermercado  - CEP 32672085 - Niterói, Betim, Minas Gerais</t>
  </si>
  <si>
    <t>32672085</t>
  </si>
  <si>
    <t>18 de novembro | 14:54</t>
  </si>
  <si>
    <t>MEL44056149522LMXDF01</t>
  </si>
  <si>
    <t>https://myaccount.mercadolivre.com.br/shipments/44056149522/detail</t>
  </si>
  <si>
    <t>2000009774862688</t>
  </si>
  <si>
    <t>7 de novembro de 2024 16:07 hs.</t>
  </si>
  <si>
    <t>Carlos Marques da Costa</t>
  </si>
  <si>
    <t>CPF 04481210770</t>
  </si>
  <si>
    <t>RUA SANTA ELISA 99, Magé - CEP: 25931762, Rio de Janeiro</t>
  </si>
  <si>
    <t>04481210770</t>
  </si>
  <si>
    <t>RUA SANTA ELISA 99 / Loja 11a - CEP 25931762 - Piabetá (inhomirim), Magé, Rio de Janeiro</t>
  </si>
  <si>
    <t>25931762</t>
  </si>
  <si>
    <t>13 de novembro | 15:56</t>
  </si>
  <si>
    <t>MEL44056046774LMXDF01</t>
  </si>
  <si>
    <t>https://myaccount.mercadolivre.com.br/shipments/44056046774/detail</t>
  </si>
  <si>
    <t>2000006592732805</t>
  </si>
  <si>
    <t>7 de novembro de 2024 15:53 hs.</t>
  </si>
  <si>
    <t>Rodrigo Surdi</t>
  </si>
  <si>
    <t>CPF 00408020946</t>
  </si>
  <si>
    <t>Avenida das Cataratas 6468, Foz do Iguaçu - CEP: 85853832, Paraná</t>
  </si>
  <si>
    <t>00408020946</t>
  </si>
  <si>
    <t>Avenida das Cataratas 6468 / Condomínio Royal Referencia: Rua interna Cachoeira do Bom Futuro, 248 - CEP 85853832 - Remanso, Foz do Iguaçu, Paraná</t>
  </si>
  <si>
    <t>Foz do Iguaçu</t>
  </si>
  <si>
    <t>85853832</t>
  </si>
  <si>
    <t>15 de novembro | 12:46</t>
  </si>
  <si>
    <t>MEL44055795621LMXDF01</t>
  </si>
  <si>
    <t>2000006592716329</t>
  </si>
  <si>
    <t>7 de novembro de 2024 15:50 hs.</t>
  </si>
  <si>
    <t>Maria Aparecida Giachetto</t>
  </si>
  <si>
    <t>CPF 05754958986</t>
  </si>
  <si>
    <t>Rua Mário Giovannetti 345 - casa frente, Londrina - CEP: 86041440, Paraná</t>
  </si>
  <si>
    <t>05754958986</t>
  </si>
  <si>
    <t>Rua Mário Giovannetti 345 / casa frente - CEP 86041440 - Roseira, Londrina, Paraná</t>
  </si>
  <si>
    <t>86041440</t>
  </si>
  <si>
    <t>15 de novembro | 12:16</t>
  </si>
  <si>
    <t>MEL44055975066LMXDF01</t>
  </si>
  <si>
    <t>2000009774518396</t>
  </si>
  <si>
    <t>7 de novembro de 2024 15:31 hs.</t>
  </si>
  <si>
    <t>Jodilson Veloso Marcelino</t>
  </si>
  <si>
    <t>CPF 34204890300</t>
  </si>
  <si>
    <t>Rua São Francisco 58, Barra do Corda - CEP: 65950000, Maranhão</t>
  </si>
  <si>
    <t>34204890300</t>
  </si>
  <si>
    <t>Rua São Francisco 58 / Loja Marcellynus Referencia: Próximo a farmácia boa saúde e em frente a Eridam perfumes - CEP 65950000 - Vila Sampaio, Barra do Corda, Maranhão</t>
  </si>
  <si>
    <t>Barra do Corda</t>
  </si>
  <si>
    <t>65950000</t>
  </si>
  <si>
    <t>16 de novembro | 21:28</t>
  </si>
  <si>
    <t>MEL44055685713LMXDF01</t>
  </si>
  <si>
    <t>2000009774436394</t>
  </si>
  <si>
    <t>7 de novembro de 2024 15:24 hs.</t>
  </si>
  <si>
    <t>valdomiro mantey</t>
  </si>
  <si>
    <t>CPF 64641880034</t>
  </si>
  <si>
    <t>Estrada José Bérgamo Filho 808 - casa 1, Gramado - CEP: 95678096, Rio Grande do Sul</t>
  </si>
  <si>
    <t>64641880034</t>
  </si>
  <si>
    <t>Estrada José Bérgamo Filho 808 / casa 1 Referencia: passando pela fábrica dissolle ,na casa do tosador de cachorro - CEP 95678096 - Várzea Grande Vila do Sol, Gramado, Rio Grande do Sul</t>
  </si>
  <si>
    <t>Gramado</t>
  </si>
  <si>
    <t>95678096</t>
  </si>
  <si>
    <t>16 de novembro | 10:05</t>
  </si>
  <si>
    <t>MEL44055840302LMXDF01</t>
  </si>
  <si>
    <t>2000006592534575</t>
  </si>
  <si>
    <t>7 de novembro de 2024 15:23 hs.</t>
  </si>
  <si>
    <t>Matheus Aparecido de Jesus</t>
  </si>
  <si>
    <t>CPF 39729490813</t>
  </si>
  <si>
    <t>Avenida Rio Amazonas 75 - casa de cima, Guarujá - CEP: 11446131, São Paulo</t>
  </si>
  <si>
    <t>39729490813</t>
  </si>
  <si>
    <t>Avenida Rio Amazonas 75 / casa de cima Referencia: Ao lado loja bela moda, casa de cima, favor tocar campainha. - CEP 11446131 - Balneario Praia do Perequê, Guarujá, São Paulo</t>
  </si>
  <si>
    <t>11446131</t>
  </si>
  <si>
    <t>14 de novembro | 13:44</t>
  </si>
  <si>
    <t>MEL44055834452LMXDF01</t>
  </si>
  <si>
    <t>2000009774378240</t>
  </si>
  <si>
    <t>7 de novembro de 2024 15:21 hs.</t>
  </si>
  <si>
    <t>Anástacio Sobral</t>
  </si>
  <si>
    <t>CPF 31261664825</t>
  </si>
  <si>
    <t>AVENIDA MARIA SOCORRO E SILVA BEZERRA 1389, Guarulhos - CEP: 07252300, São Paulo</t>
  </si>
  <si>
    <t>31261664825</t>
  </si>
  <si>
    <t>AVENIDA MARIA SOCORRO E SILVA BEZERRA 1389 / CEP 07252300 - Jardim Nova Cidade, Guarulhos, São Paulo</t>
  </si>
  <si>
    <t>07252300</t>
  </si>
  <si>
    <t>MEL44055814410LMXDF01</t>
  </si>
  <si>
    <t>https://myaccount.mercadolivre.com.br/shipments/44055814410/detail</t>
  </si>
  <si>
    <t>2000006592460363</t>
  </si>
  <si>
    <t>7 de novembro de 2024 15:13 hs.</t>
  </si>
  <si>
    <t xml:space="preserve">Poliana  Márcia </t>
  </si>
  <si>
    <t>CPF 11537506609</t>
  </si>
  <si>
    <t>Rua São Pedro 134 - correio, Santa Terezinha de Minas - CEP: 35688000, Minas Gerais</t>
  </si>
  <si>
    <t>11537506609</t>
  </si>
  <si>
    <t>Rua São Pedro 134 / correio Referencia: pode ser entregue nos correios - CEP 35688000 - capão em frente o sítio do Sr Pedro, Santa Terezinha de Minas, Minas Gerais</t>
  </si>
  <si>
    <t>Santa Terezinha de Minas</t>
  </si>
  <si>
    <t>35688000</t>
  </si>
  <si>
    <t>13 de novembro | 20:56</t>
  </si>
  <si>
    <t>MEL44055784964LMXDF01</t>
  </si>
  <si>
    <t>2000006591103545</t>
  </si>
  <si>
    <t>7 de novembro de 2024 15:07 hs.</t>
  </si>
  <si>
    <t>Fernando Poerschke</t>
  </si>
  <si>
    <t>CPF 01513791060</t>
  </si>
  <si>
    <t>Rua da Paz 660 - Casa, Gravataí - CEP: 94252309, Rio Grande do Sul</t>
  </si>
  <si>
    <t>01513791060</t>
  </si>
  <si>
    <t>Rua da Paz 660 / Casa - CEP 94252309 - Cadiz (Morungava), Gravataí, Rio Grande do Sul</t>
  </si>
  <si>
    <t>94252309</t>
  </si>
  <si>
    <t>15 de novembro | 19:20</t>
  </si>
  <si>
    <t>MEL44055554157LMXDF01</t>
  </si>
  <si>
    <t>2000009773965156</t>
  </si>
  <si>
    <t>7 de novembro de 2024 14:41 hs.</t>
  </si>
  <si>
    <t>Osvaldo de Sousa</t>
  </si>
  <si>
    <t>CPF 12990031766</t>
  </si>
  <si>
    <t>Rua Cruzeiro 12 - Quadra 07 (casa 03), Itaguaí - CEP: 23820170, Rio de Janeiro</t>
  </si>
  <si>
    <t>12990031766</t>
  </si>
  <si>
    <t>Rua Cruzeiro 12 / Quadra 07 (casa 03) Referencia: Quadra 07 Lote 12 Casa 03 Fundos. - CEP 23820170 - Amendoeira, Itaguaí, Rio de Janeiro</t>
  </si>
  <si>
    <t>Itaguaí</t>
  </si>
  <si>
    <t>23820170</t>
  </si>
  <si>
    <t>13 de novembro | 14:24</t>
  </si>
  <si>
    <t>MEL44055428635LMXDF01</t>
  </si>
  <si>
    <t>2000009773927542</t>
  </si>
  <si>
    <t>7 de novembro de 2024 14:40 hs.</t>
  </si>
  <si>
    <t>JOAO FLAVIO RIBEIRO PRADO RIBEIRO PRADO</t>
  </si>
  <si>
    <t>CPF 04627762631</t>
  </si>
  <si>
    <t>Rua Bom Jardim 35, Campo Grande - CEP: 79112330, Mato Grosso do Sul</t>
  </si>
  <si>
    <t>04627762631</t>
  </si>
  <si>
    <t>Rua Bom Jardim 35 / CEP 79112330 - Vila Palmira, Campo Grande, Mato Grosso do Sul</t>
  </si>
  <si>
    <t>79112330</t>
  </si>
  <si>
    <t>15 de novembro | 16:00</t>
  </si>
  <si>
    <t>MEL44055608320LMXDF01</t>
  </si>
  <si>
    <t>2000006592044379</t>
  </si>
  <si>
    <t>7 de novembro de 2024 14:12 hs.</t>
  </si>
  <si>
    <t xml:space="preserve">Jussara  Grzysczyszyn </t>
  </si>
  <si>
    <t>CPF 94082570900</t>
  </si>
  <si>
    <t>Rua 1730 Ricardo Gomes da Costa 1086 - Sobrado esquina, Itapoá - CEP: 89363186, Santa Catarina</t>
  </si>
  <si>
    <t>94082570900</t>
  </si>
  <si>
    <t>Rua 1730 Ricardo Gomes da Costa 1086 / Sobrado esquina - CEP 89363186 - Continental, Itapoá, Santa Catarina</t>
  </si>
  <si>
    <t>Itapoá</t>
  </si>
  <si>
    <t>89363186</t>
  </si>
  <si>
    <t>12 de novembro | 05:33</t>
  </si>
  <si>
    <t>17 de novembro | 10:56</t>
  </si>
  <si>
    <t>Redesul</t>
  </si>
  <si>
    <t>22882271082091</t>
  </si>
  <si>
    <t>https://ssw.inf.br/app/meli/22882271082091</t>
  </si>
  <si>
    <t>2000006591995339</t>
  </si>
  <si>
    <t>7 de novembro de 2024 14:05 hs.</t>
  </si>
  <si>
    <t xml:space="preserve">Adiles Bettoni Ferri </t>
  </si>
  <si>
    <t>CPF 51857871049</t>
  </si>
  <si>
    <t>RUA SÃO PAULO 211, Bento Gonçalves - CEP: 95700026, Rio Grande do Sul</t>
  </si>
  <si>
    <t>51857871049</t>
  </si>
  <si>
    <t>RUA SÃO PAULO 211 / SALA 101 - CEP 95700026 - Centro, Bento Gonçalves, Rio Grande do Sul</t>
  </si>
  <si>
    <t>95700026</t>
  </si>
  <si>
    <t>19 de novembro | 08:51</t>
  </si>
  <si>
    <t>MEL44055436758LMXDF01</t>
  </si>
  <si>
    <t>https://myaccount.mercadolivre.com.br/shipments/44055436758/detail</t>
  </si>
  <si>
    <t>2000009773549366</t>
  </si>
  <si>
    <t>2000009773568136</t>
  </si>
  <si>
    <t>2000009773523500</t>
  </si>
  <si>
    <t>7 de novembro de 2024 14:02 hs.</t>
  </si>
  <si>
    <t>josiane souza e silva</t>
  </si>
  <si>
    <t>CPF 21330908864</t>
  </si>
  <si>
    <t>AVENIDA DEPUTADO CANTÍDIO SAMPAIO 6005, São Paulo - CEP: 02860001, São Paulo</t>
  </si>
  <si>
    <t>21330908864</t>
  </si>
  <si>
    <t>AVENIDA DEPUTADO CANTÍDIO SAMPAIO 6005 / CEP 02860001 - Vila Souza, São Paulo, São Paulo</t>
  </si>
  <si>
    <t>02860001</t>
  </si>
  <si>
    <t>12 de novembro | 04:54</t>
  </si>
  <si>
    <t>19 de novembro | 13:41</t>
  </si>
  <si>
    <t>MEL44055232467LMXDF01</t>
  </si>
  <si>
    <t>https://myaccount.mercadolivre.com.br/shipments/44055232467/detail</t>
  </si>
  <si>
    <t>2000006591894773</t>
  </si>
  <si>
    <t>7 de novembro de 2024 13:49 hs.</t>
  </si>
  <si>
    <t>Bruno Henrique Aparecido Rodrigues Do Couto</t>
  </si>
  <si>
    <t>CPF 36477272881</t>
  </si>
  <si>
    <t>Rua Sete de Setembro 170, Itararé - CEP: 18460005, São Paulo</t>
  </si>
  <si>
    <t>36477272881</t>
  </si>
  <si>
    <t>Rua Sete de Setembro 170 / CEP 18460005 - Centro, Itararé, São Paulo</t>
  </si>
  <si>
    <t>Itararé</t>
  </si>
  <si>
    <t>18460005</t>
  </si>
  <si>
    <t>12 de novembro | 05:49</t>
  </si>
  <si>
    <t>14 de novembro | 13:11</t>
  </si>
  <si>
    <t>MEL44055163307LMXDF01</t>
  </si>
  <si>
    <t>2000006591893237</t>
  </si>
  <si>
    <t>7 de novembro de 2024 13:48 hs.</t>
  </si>
  <si>
    <t>Marisa Braz</t>
  </si>
  <si>
    <t>CPF 33664360850</t>
  </si>
  <si>
    <t>Rua Lectícia Bononcini Santos 1750 - Ap 36 bl 8, Pindamonhangaba - CEP: 12403620, São Paulo</t>
  </si>
  <si>
    <t>33664360850</t>
  </si>
  <si>
    <t>Rua Lectícia Bononcini Santos 1750 / Ap 36 bl 8 - CEP 12403620 - Residencial e Comercial Cidade Morumbi, Pindamonhangaba, São Paulo</t>
  </si>
  <si>
    <t>12403620</t>
  </si>
  <si>
    <t>13 de novembro | 10:42</t>
  </si>
  <si>
    <t>MEL44055353980LMXDF01</t>
  </si>
  <si>
    <t>2000009773371106</t>
  </si>
  <si>
    <t>2000009773374938</t>
  </si>
  <si>
    <t>2000009773300536</t>
  </si>
  <si>
    <t>7 de novembro de 2024 13:41 hs.</t>
  </si>
  <si>
    <t>Leila Patricia Indiani Conde</t>
  </si>
  <si>
    <t>CPF 05088934882</t>
  </si>
  <si>
    <t>Avenida Brigadeiro José Vicente de Faria Lima 211 - 32, Taubaté - CEP: 12070000, São Paulo</t>
  </si>
  <si>
    <t>05088934882</t>
  </si>
  <si>
    <t>Avenida Brigadeiro José Vicente de Faria Lima 211 / 32 Referencia: Renata Motors - CEP 12070000 - Jardim Maria Augusta, Taubaté, São Paulo</t>
  </si>
  <si>
    <t>12070000</t>
  </si>
  <si>
    <t>13 de novembro | 16:28</t>
  </si>
  <si>
    <t>MEL44055124931LMXDF01</t>
  </si>
  <si>
    <t>2000006591826753</t>
  </si>
  <si>
    <t>7 de novembro de 2024 13:39 hs.</t>
  </si>
  <si>
    <t>Mario Jose Protasiewytch</t>
  </si>
  <si>
    <t>CPF 29901375991</t>
  </si>
  <si>
    <t>Rua Benjamin Cavet 85, Curitiba - CEP: 82300340, Paraná</t>
  </si>
  <si>
    <t>29901375991</t>
  </si>
  <si>
    <t>Rua Benjamin Cavet 85 / CEP 82300340 - São Braz, Curitiba, Paraná</t>
  </si>
  <si>
    <t>82300340</t>
  </si>
  <si>
    <t>14 de novembro | 16:43</t>
  </si>
  <si>
    <t>MEL44055112013LMXDF01</t>
  </si>
  <si>
    <t>2000009773229198</t>
  </si>
  <si>
    <t>7 de novembro de 2024 13:35 hs.</t>
  </si>
  <si>
    <t>Simone Monteiro Teixeira Teixeira</t>
  </si>
  <si>
    <t>CPF 00640789730</t>
  </si>
  <si>
    <t>Rua Doutor Feliciano Sodré 240 - sobrado, São Gonçalo - CEP: 24440440, Rio de Janeiro</t>
  </si>
  <si>
    <t>00640789730</t>
  </si>
  <si>
    <t>Rua Doutor Feliciano Sodré 240 / sobrado Referencia: horário comercial - CEP 24440440 - Centro, São Gonçalo, Rio de Janeiro</t>
  </si>
  <si>
    <t>24440440</t>
  </si>
  <si>
    <t>12 de novembro | 00:21</t>
  </si>
  <si>
    <t>12 de novembro | 10:47</t>
  </si>
  <si>
    <t>MEL44055094419LMXDF01</t>
  </si>
  <si>
    <t>2000009773198464</t>
  </si>
  <si>
    <t>7 de novembro de 2024 13:34 hs.</t>
  </si>
  <si>
    <t>Ineves Silva</t>
  </si>
  <si>
    <t>CPF 44090137420</t>
  </si>
  <si>
    <t>Rua Pioneiro João Francalin 152 - B, Sarandi - CEP: 87114144, Paraná</t>
  </si>
  <si>
    <t>44090137420</t>
  </si>
  <si>
    <t>Rua Pioneiro João Francalin 152 / B Referencia: sobrado vermelho - CEP 87114144 - Jardim Ouro Verde II, Sarandi, Paraná</t>
  </si>
  <si>
    <t>Sarandi</t>
  </si>
  <si>
    <t>87114144</t>
  </si>
  <si>
    <t>12 de novembro | 05:46</t>
  </si>
  <si>
    <t>14 de novembro | 15:39</t>
  </si>
  <si>
    <t>MEL44055271868LMXDF01</t>
  </si>
  <si>
    <t>2000009772702874</t>
  </si>
  <si>
    <t>7 de novembro de 2024 12:48 hs.</t>
  </si>
  <si>
    <t>ana vitoria santos</t>
  </si>
  <si>
    <t>CPF 06884794305</t>
  </si>
  <si>
    <t>Travessa do Cruzeiro 398, Batalha - CEP: 64190000, Piauí</t>
  </si>
  <si>
    <t>06884794305</t>
  </si>
  <si>
    <t>Batalha</t>
  </si>
  <si>
    <t>64190000</t>
  </si>
  <si>
    <t>MEL44055048946FMDOF01</t>
  </si>
  <si>
    <t>2000009772623976</t>
  </si>
  <si>
    <t>7 de novembro de 2024 12:41 hs.</t>
  </si>
  <si>
    <t>Leandro de Oliveira Ferreira</t>
  </si>
  <si>
    <t>CPF 05137995916</t>
  </si>
  <si>
    <t>Rua Reynaldo Crozetta 673 - Casa 2, Pinhais - CEP: 83326180, Paraná</t>
  </si>
  <si>
    <t>05137995916</t>
  </si>
  <si>
    <t>Rua Reynaldo Crozetta 673 / Casa 2 - CEP 83326180 - Atuba, Pinhais, Paraná</t>
  </si>
  <si>
    <t>Pinhais</t>
  </si>
  <si>
    <t>83326180</t>
  </si>
  <si>
    <t>13 de novembro | 15:36</t>
  </si>
  <si>
    <t>MEL44054822929LMXDF01</t>
  </si>
  <si>
    <t>2000009772642014</t>
  </si>
  <si>
    <t>Adriana Pagliardi</t>
  </si>
  <si>
    <t>CPF 02948212871</t>
  </si>
  <si>
    <t>José Thomé 96, Laranjal Paulista - CEP: 18500000, São Paulo</t>
  </si>
  <si>
    <t>02948212871</t>
  </si>
  <si>
    <t>José Thomé 96 / CEP 18500000 - alto dos laranjais 1, Laranjal Paulista, São Paulo</t>
  </si>
  <si>
    <t>Laranjal Paulista</t>
  </si>
  <si>
    <t>18500000</t>
  </si>
  <si>
    <t>13 de novembro | 14:48</t>
  </si>
  <si>
    <t>MEL44055017066LMXDF01</t>
  </si>
  <si>
    <t>2000006591404145</t>
  </si>
  <si>
    <t>7 de novembro de 2024 12:34 hs.</t>
  </si>
  <si>
    <t>Ricardo de Oliveira Andreazzi</t>
  </si>
  <si>
    <t>CPF 28990097886</t>
  </si>
  <si>
    <t>Avenida Armando Ítalo Setti 300 - apto 151-C, São Bernardo do Campo - CEP: 09760280, São Paulo</t>
  </si>
  <si>
    <t>28990097886</t>
  </si>
  <si>
    <t>Avenida Armando Ítalo Setti 300 / apto 151-C - CEP 09760280 - Baeta Neves, São Bernardo do Campo, São Paulo</t>
  </si>
  <si>
    <t>09760280</t>
  </si>
  <si>
    <t>13 de novembro | 14:55</t>
  </si>
  <si>
    <t>MEL44054983196LMXDF01</t>
  </si>
  <si>
    <t>2000009772462678</t>
  </si>
  <si>
    <t>7 de novembro de 2024 12:28 hs.</t>
  </si>
  <si>
    <t>Maria Angelica Torres de Faria e Seixas</t>
  </si>
  <si>
    <t>CPF 32781822787</t>
  </si>
  <si>
    <t>Rua do Vintém 125 - casa, Vitória - CEP: 29015380, Espírito Santo</t>
  </si>
  <si>
    <t>32781822787</t>
  </si>
  <si>
    <t>Rua do Vintém 125 / casa Referencia: Rua (ladeira) atrás do posto de saúde da fonte grande - CEP 29015380 - Centro, Vitória, Espírito Santo</t>
  </si>
  <si>
    <t>Vitória</t>
  </si>
  <si>
    <t>29015380</t>
  </si>
  <si>
    <t>12 de novembro | 00:26</t>
  </si>
  <si>
    <t>12 de novembro | 18:47</t>
  </si>
  <si>
    <t>MEL44054939442LMXDF01</t>
  </si>
  <si>
    <t>2000009772487344</t>
  </si>
  <si>
    <t>gabye Trevisani</t>
  </si>
  <si>
    <t>CPF 07338770956</t>
  </si>
  <si>
    <t>Rua Adolfo Tallmann 310, Blumenau - CEP: 89012240, Santa Catarina</t>
  </si>
  <si>
    <t>07338770956</t>
  </si>
  <si>
    <t>Rua Adolfo Tallmann 310 / CEP 89012240 - Boa Vista, Blumenau, Santa Catarina</t>
  </si>
  <si>
    <t>89012240</t>
  </si>
  <si>
    <t>13 de novembro | 16:07</t>
  </si>
  <si>
    <t>MEL44054954580LMXDF01</t>
  </si>
  <si>
    <t>2000006591264475</t>
  </si>
  <si>
    <t>7 de novembro de 2024 12:12 hs.</t>
  </si>
  <si>
    <t>Thayla Maysa Ferreira De Lima</t>
  </si>
  <si>
    <t>CPF 10149433964</t>
  </si>
  <si>
    <t>01 de janeiro 2520 - Casa, Palotina - CEP: 85950000, Paraná</t>
  </si>
  <si>
    <t>10149433964</t>
  </si>
  <si>
    <t>01 de janeiro 2520 / Casa Referencia: Casa - CEP 85950000 - Jardim são Marcos, Palotina, Paraná</t>
  </si>
  <si>
    <t>15 de novembro | 15:01</t>
  </si>
  <si>
    <t>MEL44054875864LMXDF01</t>
  </si>
  <si>
    <t>2000009772143058</t>
  </si>
  <si>
    <t>7 de novembro de 2024 11:55 hs.</t>
  </si>
  <si>
    <t>Andreia Nair Lopes</t>
  </si>
  <si>
    <t>CPF 15906740813</t>
  </si>
  <si>
    <t>Rua Quinze de Novembro 59 - Ellox, Santos - CEP: 11010151, São Paulo</t>
  </si>
  <si>
    <t>15906740813</t>
  </si>
  <si>
    <t>Rua Quinze de Novembro 59 / Ellox Referencia: Ellox - CEP 11010151 - Centro, Santos, São Paulo</t>
  </si>
  <si>
    <t>11010151</t>
  </si>
  <si>
    <t>12 de novembro | 04:45</t>
  </si>
  <si>
    <t>13 de novembro | 12:51</t>
  </si>
  <si>
    <t>MEL44054603469LMXDF01</t>
  </si>
  <si>
    <t>2000006591074027</t>
  </si>
  <si>
    <t>7 de novembro de 2024 11:43 hs.</t>
  </si>
  <si>
    <t>Edna Jesus de Oliveira</t>
  </si>
  <si>
    <t>CPF 13299555600</t>
  </si>
  <si>
    <t>Rua Padre José Luiz 160 160, Nova Serrana - CEP: 35520022, Minas Gerais</t>
  </si>
  <si>
    <t>13299555600</t>
  </si>
  <si>
    <t>Rua Padre José Luiz 160 / CEP 35520022 - Centro, Nova Serrana, Minas Gerais</t>
  </si>
  <si>
    <t>Nova Serrana</t>
  </si>
  <si>
    <t>35520022</t>
  </si>
  <si>
    <t>12 de novembro | 02:58</t>
  </si>
  <si>
    <t>13 de novembro | 16:42</t>
  </si>
  <si>
    <t>MEL44054731276LMXDF01</t>
  </si>
  <si>
    <t>2000006590932399</t>
  </si>
  <si>
    <t>7 de novembro de 2024 11:22 hs.</t>
  </si>
  <si>
    <t>Rita Mc Taggart</t>
  </si>
  <si>
    <t>CPF 23559519500</t>
  </si>
  <si>
    <t>Avenida João José de Santana 1270, Aracaju - CEP: 49005420, Sergipe</t>
  </si>
  <si>
    <t>23559519500</t>
  </si>
  <si>
    <t>Avenida João José de Santana 1270 / CEP 49005420 - São José dos Náufragos, Aracaju, Sergipe</t>
  </si>
  <si>
    <t>49005420</t>
  </si>
  <si>
    <t>16 de novembro | 13:01</t>
  </si>
  <si>
    <t>MEL44054624092LMXDF01</t>
  </si>
  <si>
    <t>2000009771753450</t>
  </si>
  <si>
    <t>7 de novembro de 2024 11:21 hs.</t>
  </si>
  <si>
    <t>Tatiane Gomes da Silva</t>
  </si>
  <si>
    <t>CPF 07186176658</t>
  </si>
  <si>
    <t>Rua Pernambuco 865, Várzea da Palma - CEP: 39260000, Minas Gerais</t>
  </si>
  <si>
    <t>07186176658</t>
  </si>
  <si>
    <t>Rua Pernambuco 865 / CEP 39260000 - princesa 1, Várzea da Palma, Minas Gerais</t>
  </si>
  <si>
    <t>Várzea da Palma</t>
  </si>
  <si>
    <t>39260000</t>
  </si>
  <si>
    <t>13 de novembro | 16:10</t>
  </si>
  <si>
    <t>MEL44054620804LMXDF01</t>
  </si>
  <si>
    <t>2000006590847131</t>
  </si>
  <si>
    <t>7 de novembro de 2024 11:09 hs.</t>
  </si>
  <si>
    <t>Suely Santos Dias Xavier</t>
  </si>
  <si>
    <t>CPF 85626635149</t>
  </si>
  <si>
    <t>Rua Paranoá 18 - quadra 1 lote - casa, Luziânia - CEP: 72852575, Goiás</t>
  </si>
  <si>
    <t>85626635149</t>
  </si>
  <si>
    <t>Rua Paranoá 18 / quadra 1 lote - casa - CEP 72852575 - Jardim Flamboyant, Luziânia, Goiás</t>
  </si>
  <si>
    <t>Luziânia</t>
  </si>
  <si>
    <t>72852575</t>
  </si>
  <si>
    <t>12 de novembro | 00:55</t>
  </si>
  <si>
    <t>13 de novembro | 17:11</t>
  </si>
  <si>
    <t>MEL44054366381LMXDF01</t>
  </si>
  <si>
    <t>2000009771623806</t>
  </si>
  <si>
    <t xml:space="preserve">Antônia de maria Lopes Rodrigues </t>
  </si>
  <si>
    <t>CPF 06309296370</t>
  </si>
  <si>
    <t>Av presidente Castelo Branco 2721, Varjota - CEP: 62265000, Ceará</t>
  </si>
  <si>
    <t>06309296370</t>
  </si>
  <si>
    <t>Av presidente Castelo Branco 2721 / Referencia: No supermercado Central das balas - CEP 62265000 - Varjota, Varjota, Ceará</t>
  </si>
  <si>
    <t>Varjota</t>
  </si>
  <si>
    <t>62265000</t>
  </si>
  <si>
    <t>14 de novembro | 09:50</t>
  </si>
  <si>
    <t>MEL44054563162LMXDF01</t>
  </si>
  <si>
    <t>2000009710449372</t>
  </si>
  <si>
    <t>7 de novembro de 2024 11:02 hs.</t>
  </si>
  <si>
    <t>Kellene oliveira Silva</t>
  </si>
  <si>
    <t>CPF 05827350338</t>
  </si>
  <si>
    <t>Rua da União 18 - Casa da minha tia, Zé Doca - CEP: 65365000, Maranhão</t>
  </si>
  <si>
    <t>05827350338</t>
  </si>
  <si>
    <t>Zé Doca</t>
  </si>
  <si>
    <t>65365000</t>
  </si>
  <si>
    <t>2000009771442514</t>
  </si>
  <si>
    <t>7 de novembro de 2024 10:51 hs.</t>
  </si>
  <si>
    <t>daniela coqueiro coqueiro</t>
  </si>
  <si>
    <t>CPF 00603950957</t>
  </si>
  <si>
    <t>RUA LINDÓIA 203, Joinville - CEP: 89216300, Santa Catarina</t>
  </si>
  <si>
    <t>00603950957</t>
  </si>
  <si>
    <t>RUA LINDÓIA 203 / CEP 89216300 - Glória, Joinville, Santa Catarina</t>
  </si>
  <si>
    <t>89216300</t>
  </si>
  <si>
    <t>14 de novembro | 10:50</t>
  </si>
  <si>
    <t>MEL44054475470LMXDF01</t>
  </si>
  <si>
    <t>https://myaccount.mercadolivre.com.br/shipments/44054475470/detail</t>
  </si>
  <si>
    <t>2000006590651641</t>
  </si>
  <si>
    <t>7 de novembro de 2024 10:39 hs.</t>
  </si>
  <si>
    <t>Josimaria Pereira</t>
  </si>
  <si>
    <t>CPF 05207159500</t>
  </si>
  <si>
    <t>Rua Irmã Dulce 242 - Casa, Várzea Nova - CEP: 44690000, Bahia</t>
  </si>
  <si>
    <t>05207159500</t>
  </si>
  <si>
    <t>Várzea Nova</t>
  </si>
  <si>
    <t>44690000</t>
  </si>
  <si>
    <t>2000009770984036</t>
  </si>
  <si>
    <t>7 de novembro de 2024 10:05 hs.</t>
  </si>
  <si>
    <t>Maria de Lurdes Santana do carmo</t>
  </si>
  <si>
    <t>CPF 92150764172</t>
  </si>
  <si>
    <t>Rua Rio Preto Qd 72 L 01 3, Colinas do Sul - CEP: 73740000, Goiás</t>
  </si>
  <si>
    <t>92150764172</t>
  </si>
  <si>
    <t>Rua Rio Preto Qd 72 L 01 3 / CEP 73740000 - Colinas do Sul, Colinas do Sul, Goiás</t>
  </si>
  <si>
    <t>Colinas do Sul</t>
  </si>
  <si>
    <t>73740000</t>
  </si>
  <si>
    <t>14 de novembro | 11:43</t>
  </si>
  <si>
    <t>MEL44054063899LMXDF01</t>
  </si>
  <si>
    <t>2000009770851042</t>
  </si>
  <si>
    <t>7 de novembro de 2024 09:52 hs.</t>
  </si>
  <si>
    <t>Jesiane Martins</t>
  </si>
  <si>
    <t>CPF 09655714675</t>
  </si>
  <si>
    <t>Rua José Carlos da Fonseca 428 - casa ziquito, Lajinha - CEP: 36980000, Minas Gerais</t>
  </si>
  <si>
    <t>09655714675</t>
  </si>
  <si>
    <t>Rua José Carlos da Fonseca 428 / casa ziquito - CEP 36980000 - Santa Terezinha, Lajinha, Minas Gerais</t>
  </si>
  <si>
    <t>Lajinha</t>
  </si>
  <si>
    <t>36980000</t>
  </si>
  <si>
    <t>12 de novembro | 03:53</t>
  </si>
  <si>
    <t>MEL44054003985LMXDF01</t>
  </si>
  <si>
    <t>2000009770811488</t>
  </si>
  <si>
    <t>7 de novembro de 2024 09:47 hs.</t>
  </si>
  <si>
    <t>Katia Cristina Pauletti</t>
  </si>
  <si>
    <t>CPF 18814284865</t>
  </si>
  <si>
    <t>Rua Clodomiro Ferreira Camargo 341, Campinas - CEP: 13070155, São Paulo</t>
  </si>
  <si>
    <t>18814284865</t>
  </si>
  <si>
    <t>Rua Clodomiro Ferreira Camargo 341 / Referencia: horário comercial - CEP 13070155 - Jardim Chapadão, Campinas, São Paulo</t>
  </si>
  <si>
    <t>13070155</t>
  </si>
  <si>
    <t>12 de novembro | 04:48</t>
  </si>
  <si>
    <t>13 de novembro | 13:24</t>
  </si>
  <si>
    <t>MEL44054182584LMXDF01</t>
  </si>
  <si>
    <t>2000009770761236</t>
  </si>
  <si>
    <t>7 de novembro de 2024 09:42 hs.</t>
  </si>
  <si>
    <t>Eliane Silva Domingues</t>
  </si>
  <si>
    <t>CPF 38266322813</t>
  </si>
  <si>
    <t>Rua Floriano Alves da Silva 88 - Casa 2, São Bernardo do Campo - CEP: 09835559, São Paulo</t>
  </si>
  <si>
    <t>38266322813</t>
  </si>
  <si>
    <t>Rua Floriano Alves da Silva 88 / Casa 2 - CEP 09835559 - Santa Cruz, São Bernardo do Campo, São Paulo</t>
  </si>
  <si>
    <t>09835559</t>
  </si>
  <si>
    <t>13 de novembro | 11:56</t>
  </si>
  <si>
    <t>MEL44054158698LMXDF01</t>
  </si>
  <si>
    <t>2000006590235757</t>
  </si>
  <si>
    <t>7 de novembro de 2024 09:25 hs.</t>
  </si>
  <si>
    <t>26 de novembro | 16:33</t>
  </si>
  <si>
    <t>MEL44053895309LMXDF01</t>
  </si>
  <si>
    <t>2000009770610396</t>
  </si>
  <si>
    <t>7 de novembro de 2024 09:24 hs.</t>
  </si>
  <si>
    <t>iara barbosa</t>
  </si>
  <si>
    <t>CPF 62660020272</t>
  </si>
  <si>
    <t>Rua Neves da Fontoura 69, Manaus - CEP: 69057495, Amazonas</t>
  </si>
  <si>
    <t>62660020272</t>
  </si>
  <si>
    <t>Rua Neves da Fontoura 69 / n 69 - Condomínio ville de france - CEP 69057495 - Adrianópolis, Manaus, Amazonas</t>
  </si>
  <si>
    <t>69057495</t>
  </si>
  <si>
    <t>14 de novembro | 16:24</t>
  </si>
  <si>
    <t>MEL44054082572LMXDF01</t>
  </si>
  <si>
    <t>2000009770417124</t>
  </si>
  <si>
    <t>7 de novembro de 2024 09:04 hs.</t>
  </si>
  <si>
    <t>Laura Lopes</t>
  </si>
  <si>
    <t>CPF 99343649053</t>
  </si>
  <si>
    <t>Rua Francisco Hruschka 130 - apto 244, Jaraguá do Sul - CEP: 89253600, Santa Catarina</t>
  </si>
  <si>
    <t>99343649053</t>
  </si>
  <si>
    <t>Rua Francisco Hruschka 130 / apto 244 Referencia: Residencial São Luis,próximo à FUJAMA - CEP 89253600 - São Luís, Jaraguá do Sul, Santa Catarina</t>
  </si>
  <si>
    <t>Jaraguá do Sul</t>
  </si>
  <si>
    <t>89253600</t>
  </si>
  <si>
    <t>MEL44053995934LMXDF01</t>
  </si>
  <si>
    <t>2000006590040493</t>
  </si>
  <si>
    <t>7 de novembro de 2024 08:44 hs.</t>
  </si>
  <si>
    <t>Izalino Trindade</t>
  </si>
  <si>
    <t>CPF 30808200615</t>
  </si>
  <si>
    <t>Rua Aluízio Pereira Esteves 77, Governador Valadares - CEP: 35032010, Minas Gerais</t>
  </si>
  <si>
    <t>30808200615</t>
  </si>
  <si>
    <t>Rua Aluízio Pereira Esteves 77 / CEP 35032010 - Lourdes, Governador Valadares, Minas Gerais</t>
  </si>
  <si>
    <t>35032010</t>
  </si>
  <si>
    <t>12 de novembro | 03:01</t>
  </si>
  <si>
    <t>13 de novembro | 17:02</t>
  </si>
  <si>
    <t>MEL44053742639LMXDF01</t>
  </si>
  <si>
    <t>2000006590025947</t>
  </si>
  <si>
    <t>7 de novembro de 2024 08:40 hs.</t>
  </si>
  <si>
    <t>Edvaldo Pereira</t>
  </si>
  <si>
    <t>CPF 30075368803</t>
  </si>
  <si>
    <t>Rua José Santana 71 - casa, São Paulo - CEP: 08040390, São Paulo</t>
  </si>
  <si>
    <t>30075368803</t>
  </si>
  <si>
    <t>Rua José Santana 71 / casa - CEP 08040390 - Vila Reis, São Paulo, São Paulo</t>
  </si>
  <si>
    <t>08040390</t>
  </si>
  <si>
    <t>13 de novembro | 12:19</t>
  </si>
  <si>
    <t>MEL44053729061LMXDF01</t>
  </si>
  <si>
    <t>2000006571681369</t>
  </si>
  <si>
    <t>7 de novembro de 2024 08:28 hs.</t>
  </si>
  <si>
    <t>Adriana Izabel</t>
  </si>
  <si>
    <t>CPF 04020072981</t>
  </si>
  <si>
    <t>Rua Mário Garcia Theodoro 118, Londrina - CEP: 86044732, Paraná</t>
  </si>
  <si>
    <t>04020072981</t>
  </si>
  <si>
    <t>Rua Mário Garcia Theodoro 118 / CEP 86044732 - Conjunto Habitacional Jamile Dequech, Londrina, Paraná</t>
  </si>
  <si>
    <t>86044732</t>
  </si>
  <si>
    <t>MEL44053689279LMXDF01</t>
  </si>
  <si>
    <t>2000009770196412</t>
  </si>
  <si>
    <t>2000009770196414</t>
  </si>
  <si>
    <t>2000009770016012</t>
  </si>
  <si>
    <t>7 de novembro de 2024 08:01 hs.</t>
  </si>
  <si>
    <t>Antonio Fernando Fiaschi</t>
  </si>
  <si>
    <t>CPF 05684967876</t>
  </si>
  <si>
    <t>Rua Camargo Fleury 187, Sorocaba - CEP: 18076580, São Paulo</t>
  </si>
  <si>
    <t>05684967876</t>
  </si>
  <si>
    <t>Rua Camargo Fleury 187 / CEP 18076580 - Vila Fleury, Sorocaba, São Paulo</t>
  </si>
  <si>
    <t>18076580</t>
  </si>
  <si>
    <t>13 de novembro | 10:45</t>
  </si>
  <si>
    <t>MEL44053803282LMXDF01</t>
  </si>
  <si>
    <t>2000009769989838</t>
  </si>
  <si>
    <t>7 de novembro de 2024 07:58 hs.</t>
  </si>
  <si>
    <t>Sidimar da Silva</t>
  </si>
  <si>
    <t>CPF 00610196073</t>
  </si>
  <si>
    <t>Avenida Farrapos 539 - abastecedora três, Alpestre - CEP: 98480000, Rio Grande do Sul</t>
  </si>
  <si>
    <t>00610196073</t>
  </si>
  <si>
    <t>Avenida Farrapos 539 / abastecedora três Referencia: abastecedora três - CEP 98480000 - centro, Alpestre, Rio Grande do Sul</t>
  </si>
  <si>
    <t>Alpestre</t>
  </si>
  <si>
    <t>98480000</t>
  </si>
  <si>
    <t>16 de novembro | 17:45</t>
  </si>
  <si>
    <t>MEL44053594697LMXDF01</t>
  </si>
  <si>
    <t>2000006589870379</t>
  </si>
  <si>
    <t>7 de novembro de 2024 07:54 hs.</t>
  </si>
  <si>
    <t>Joyce Kelly de Sousa</t>
  </si>
  <si>
    <t>CPF 12607653932</t>
  </si>
  <si>
    <t>Rua das Carambolas 75 75, Palhoça - CEP: 88136311, Santa Catarina</t>
  </si>
  <si>
    <t>12607653932</t>
  </si>
  <si>
    <t>Rua Camboriú 202 / rua do mercado vn - CEP 88134220 - Barra do Aririú, Palhoça, Santa Catarina</t>
  </si>
  <si>
    <t>88134220</t>
  </si>
  <si>
    <t>13 de novembro | 18:22</t>
  </si>
  <si>
    <t>MEL44053787800LMXDF01</t>
  </si>
  <si>
    <t>2000009769990040</t>
  </si>
  <si>
    <t>7 de novembro de 2024 07:50 hs.</t>
  </si>
  <si>
    <t>Jose de Jesus</t>
  </si>
  <si>
    <t>CPF 98248502520</t>
  </si>
  <si>
    <t>Rua Antônio Valiate 127, Iconha - CEP: 29280000, Espírito Santo</t>
  </si>
  <si>
    <t>98248502520</t>
  </si>
  <si>
    <t>Rua Antônio Valiate 127 / Referencia: Perto do posto da polícia militar, casa de dois andar - CEP 29280000 - Jardim Jandira, Iconha, Espírito Santo</t>
  </si>
  <si>
    <t>Iconha</t>
  </si>
  <si>
    <t>29280000</t>
  </si>
  <si>
    <t>MEL44053585855LMXDF01</t>
  </si>
  <si>
    <t>2000009769738446</t>
  </si>
  <si>
    <t>7 de novembro de 2024 06:44 hs.</t>
  </si>
  <si>
    <t>Marcia de Sousa Carvalho</t>
  </si>
  <si>
    <t>CPF 96830158320</t>
  </si>
  <si>
    <t>Rua Flávio Antônio Correia Caracas 62 - Rua C casa 62, Parnaíba - CEP: 64207035, Piauí</t>
  </si>
  <si>
    <t>96830158320</t>
  </si>
  <si>
    <t>Rua Flávio Antônio Correia Caracas 62 / Rua C casa 62 Referencia: Próximo Campo do Viva - CEP 64207035 - Frei Higino, Parnaíba, Piauí</t>
  </si>
  <si>
    <t>Parnaíba</t>
  </si>
  <si>
    <t>64207035</t>
  </si>
  <si>
    <t>14 de novembro | 13:21</t>
  </si>
  <si>
    <t>MEL44053658666LMXDF01</t>
  </si>
  <si>
    <t>2000006589665311</t>
  </si>
  <si>
    <t>7 de novembro de 2024 05:48 hs.</t>
  </si>
  <si>
    <t>Amauri Bisognin</t>
  </si>
  <si>
    <t>CPF 30795699034</t>
  </si>
  <si>
    <t>Rua Fioravante Andreis 20, Erval Grande - CEP: 99750000, Rio Grande do Sul</t>
  </si>
  <si>
    <t>30795699034</t>
  </si>
  <si>
    <t>Rua Fioravante Andreis 20 / CEP 99750000 - Erval Grande, Erval Grande, Rio Grande do Sul</t>
  </si>
  <si>
    <t>Erval Grande</t>
  </si>
  <si>
    <t>99750000</t>
  </si>
  <si>
    <t>15 de novembro | 09:42</t>
  </si>
  <si>
    <t>MEL44053600704LMXDF01</t>
  </si>
  <si>
    <t>2000009769198608</t>
  </si>
  <si>
    <t>7 de novembro de 2024 01:48 hs.</t>
  </si>
  <si>
    <t>rogerio  Pontes Guimaraes</t>
  </si>
  <si>
    <t>CPF 95588620704</t>
  </si>
  <si>
    <t>Rua Nelson Pecegueiro do Amaral 1061 - Casa 1, Rio das Ostras - CEP: 28895294, Rio de Janeiro</t>
  </si>
  <si>
    <t>95588620704</t>
  </si>
  <si>
    <t>Rua Nelson Pecegueiro do Amaral 1061 / Casa 1 Referencia: Perto da pizzaria do samba - CEP 28895294 - Costazul, Rio das Ostras, Rio de Janeiro</t>
  </si>
  <si>
    <t>28895294</t>
  </si>
  <si>
    <t>12 de novembro | 00:24</t>
  </si>
  <si>
    <t>12 de novembro | 13:54</t>
  </si>
  <si>
    <t>MEL44053215773LMXDF01</t>
  </si>
  <si>
    <t>2000009768738506</t>
  </si>
  <si>
    <t>7 de novembro de 2024 00:17 hs.</t>
  </si>
  <si>
    <t>Maria Silvia Cristina Fernandes</t>
  </si>
  <si>
    <t>CPF 28135396864</t>
  </si>
  <si>
    <t>Rua Rozendo Alves de Souza 1523, Sumaré - CEP: 13181651, São Paulo</t>
  </si>
  <si>
    <t>28135396864</t>
  </si>
  <si>
    <t>Rua Rozendo Alves de Souza 1523 / CEP 13181651 - Jardim Bom Retiro (Nova Veneza), Sumaré, São Paulo</t>
  </si>
  <si>
    <t>13181651</t>
  </si>
  <si>
    <t>MEL44053223150LMXDF01</t>
  </si>
  <si>
    <t>2000009768691796</t>
  </si>
  <si>
    <t>7 de novembro de 2024 00:12 hs.</t>
  </si>
  <si>
    <t>Devolução finalizada com reembolso para o comprador</t>
  </si>
  <si>
    <t>Entendemos que você recebeu o produto conforme o esperado. Chegou sexta-feira, 6 de dezembro.</t>
  </si>
  <si>
    <t>Adriana Oliveira da Silva</t>
  </si>
  <si>
    <t>CPF 02033329380</t>
  </si>
  <si>
    <t>Rua Joaquim de Souza Aranha 148 - porta de madeira, São Paulo - CEP: 05211120, São Paulo</t>
  </si>
  <si>
    <t>02033329380</t>
  </si>
  <si>
    <t>12 de novembro | 04:47</t>
  </si>
  <si>
    <t>13 de novembro | 13:28</t>
  </si>
  <si>
    <t>MEL44053017053LMXDF01</t>
  </si>
  <si>
    <t>6 de dezembro | 01:06</t>
  </si>
  <si>
    <t>MEL44170515511LMXDR01</t>
  </si>
  <si>
    <t>2000006589016575</t>
  </si>
  <si>
    <t>7 de novembro de 2024 00:01 hs.</t>
  </si>
  <si>
    <t>Janaina Mathias</t>
  </si>
  <si>
    <t>CPF 36985825893</t>
  </si>
  <si>
    <t>AvenidaCaboPedroHoffman 425, Sumaré - CEP: 13178574, São Paulo</t>
  </si>
  <si>
    <t>36985825893</t>
  </si>
  <si>
    <t>AvenidaCaboPedroHoffman 425 / CEP 13178574 - Residencial Real Parque Sumaré, Sumaré, São Paulo</t>
  </si>
  <si>
    <t>13178574</t>
  </si>
  <si>
    <t>14 de novembro | 15:16</t>
  </si>
  <si>
    <t>MEL44052984925LMXDF01</t>
  </si>
  <si>
    <t>2000009768003828</t>
  </si>
  <si>
    <t>6 de novembro de 2024 22:59 hs.</t>
  </si>
  <si>
    <t>00260</t>
  </si>
  <si>
    <t>MLB3477001181</t>
  </si>
  <si>
    <t>Pantoformula Manipulado C/60 Cápsulas - Kit C/3 Unidades</t>
  </si>
  <si>
    <t>Maria Cristina de Souza Santos</t>
  </si>
  <si>
    <t>CPF 05693087476</t>
  </si>
  <si>
    <t>Avenida Rio das Pedras 2255, Piracicaba - CEP: 13425380, São Paulo</t>
  </si>
  <si>
    <t>05693087476</t>
  </si>
  <si>
    <t>Avenida Rio das Pedras 2255 / ap 204 bloco 8 Referencia: condominio parque piazza navona - CEP 13425380 - Pompéia, Piracicaba, São Paulo</t>
  </si>
  <si>
    <t>13425380</t>
  </si>
  <si>
    <t>13 de novembro | 15:19</t>
  </si>
  <si>
    <t>MEL44052734005LMXDF01</t>
  </si>
  <si>
    <t>2000009767921996</t>
  </si>
  <si>
    <t>6 de novembro de 2024 22:53 hs.</t>
  </si>
  <si>
    <t>Eva Vons</t>
  </si>
  <si>
    <t>CPF 76277070991</t>
  </si>
  <si>
    <t>Rua Rio Amazonas 703, Pinhais - CEP: 83322040, Paraná</t>
  </si>
  <si>
    <t>76277070991</t>
  </si>
  <si>
    <t>Rua Rio Amazonas 703 / CEP 83322040 - Weissópolis, Pinhais, Paraná</t>
  </si>
  <si>
    <t>83322040</t>
  </si>
  <si>
    <t>13 de novembro | 10:33</t>
  </si>
  <si>
    <t>MEL44052700987LMXDF01</t>
  </si>
  <si>
    <t>2000009767676112</t>
  </si>
  <si>
    <t>6 de novembro de 2024 22:32 hs.</t>
  </si>
  <si>
    <t>Ana Maria Araújo</t>
  </si>
  <si>
    <t>CPF 84321601134</t>
  </si>
  <si>
    <t>rua newton belo 794 - casa, Lima Campos - CEP: 65728000, Maranhão</t>
  </si>
  <si>
    <t>84321601134</t>
  </si>
  <si>
    <t>rua newton belo 794 / casa Referencia: sindicato dos trabalhadores rurais - CEP 65728000 - Centro, Lima Campos, Maranhão</t>
  </si>
  <si>
    <t>Lima Campos</t>
  </si>
  <si>
    <t>65728000</t>
  </si>
  <si>
    <t>26 de novembro | 10:27</t>
  </si>
  <si>
    <t>MEL44052587279LMXDF01</t>
  </si>
  <si>
    <t>2000009767689058</t>
  </si>
  <si>
    <t>6 de novembro de 2024 22:29 hs.</t>
  </si>
  <si>
    <t>Erivan Nascimento</t>
  </si>
  <si>
    <t>CPF 29232400812</t>
  </si>
  <si>
    <t>Rua Caieiras 252, Osasco - CEP: 06268060, São Paulo</t>
  </si>
  <si>
    <t>29232400812</t>
  </si>
  <si>
    <t>Rua Caieiras 252 / CEP 06268060 - Vila Menck, Osasco, São Paulo</t>
  </si>
  <si>
    <t>06268060</t>
  </si>
  <si>
    <t>13 de novembro | 12:02</t>
  </si>
  <si>
    <t>MEL44052793320LMXDF01</t>
  </si>
  <si>
    <t>2000006588284259</t>
  </si>
  <si>
    <t>6 de novembro de 2024 22:04 hs.</t>
  </si>
  <si>
    <t>Rita de Cassia de Freitas</t>
  </si>
  <si>
    <t>CPF 72171936134</t>
  </si>
  <si>
    <t>Quadra 107 Rua E 04 - apartamento 504, Brasília - CEP: 71920180, Distrito Federal</t>
  </si>
  <si>
    <t>72171936134</t>
  </si>
  <si>
    <t>Quadra 107 Rua E 04 / apartamento 504 Referencia: Edifício Dominium Residence, atrás dos postos da EPTG. - CEP 71920180 - Norte (Águas Claras), Brasília, Distrito Federal</t>
  </si>
  <si>
    <t>71920180</t>
  </si>
  <si>
    <t>14 de novembro | 08:07</t>
  </si>
  <si>
    <t>MEL44052668754LMXDF01</t>
  </si>
  <si>
    <t>2000009766959244</t>
  </si>
  <si>
    <t>6 de novembro de 2024 21:26 hs.</t>
  </si>
  <si>
    <t>Gleicivane Silva matos</t>
  </si>
  <si>
    <t>CPF 06133373520</t>
  </si>
  <si>
    <t>zona rural SN - casa, Quijingue - CEP: 48830000, Bahia</t>
  </si>
  <si>
    <t>06133373520</t>
  </si>
  <si>
    <t>zona rural SN / casa Referencia: povoado sítio - CEP 48830000 - povoado sítio, Quijingue, Bahia</t>
  </si>
  <si>
    <t>Quijingue</t>
  </si>
  <si>
    <t>48830000</t>
  </si>
  <si>
    <t>15 de novembro | 18:25</t>
  </si>
  <si>
    <t>MEL44052287065LMXDF01</t>
  </si>
  <si>
    <t>2000009766836234</t>
  </si>
  <si>
    <t>6 de novembro de 2024 21:14 hs.</t>
  </si>
  <si>
    <t>Ailton  Ramos</t>
  </si>
  <si>
    <t>CPF 15246884520</t>
  </si>
  <si>
    <t>R DEPUTADO HERCULANO MENEZES 39, Salvador - CEP: 41338800, Bahia</t>
  </si>
  <si>
    <t>15246884520</t>
  </si>
  <si>
    <t>R DEPUTADO HERCULANO MENEZES 39 / LOJA TERREO - CEP 41338800 - Cajazeiras Viii, Salvador, Bahia</t>
  </si>
  <si>
    <t>41338800</t>
  </si>
  <si>
    <t>14 de novembro | 14:48</t>
  </si>
  <si>
    <t>MEL44052227057LMXDF01</t>
  </si>
  <si>
    <t>https://myaccount.mercadolivre.com.br/shipments/44052227057/detail</t>
  </si>
  <si>
    <t>2000006587924245</t>
  </si>
  <si>
    <t>6 de novembro de 2024 21:11 hs.</t>
  </si>
  <si>
    <t>Euzebio Pereira Da Silva</t>
  </si>
  <si>
    <t>CPF 25561286315</t>
  </si>
  <si>
    <t>Rua Plutão SN, São Luís - CEP: 65070400, Maranhão</t>
  </si>
  <si>
    <t>25561286315</t>
  </si>
  <si>
    <t>Rua Plutão SN / BL 3 - COND PARK VINHAIS Referencia: PROXIMO A IGREJA BATISTA NACIONAL DA PALAVRA, BLOCO 3, APRTAMENTO 501 - CEP 65070400 - Recanto dos Vinhais, São Luís, Maranhão</t>
  </si>
  <si>
    <t>65070400</t>
  </si>
  <si>
    <t>16 de novembro | 10:07</t>
  </si>
  <si>
    <t>MEL44052400026LMXDF01</t>
  </si>
  <si>
    <t>2000009766779000</t>
  </si>
  <si>
    <t>2000009766782542</t>
  </si>
  <si>
    <t>2000006587838129</t>
  </si>
  <si>
    <t>6 de novembro de 2024 20:58 hs.</t>
  </si>
  <si>
    <t>Taiara Oliveira da Silva Mendes</t>
  </si>
  <si>
    <t>CPF 07418781512</t>
  </si>
  <si>
    <t>Rua da alegria 312 - casa, Ituberá - CEP: 45435000, Bahia</t>
  </si>
  <si>
    <t>07418781512</t>
  </si>
  <si>
    <t>Rua da alegria 312 / casa - CEP 45435000 - Bairro da paz, Ituberá, Bahia</t>
  </si>
  <si>
    <t>Ituberá</t>
  </si>
  <si>
    <t>45435000</t>
  </si>
  <si>
    <t>12 de novembro | 04:33</t>
  </si>
  <si>
    <t>15 de novembro | 15:57</t>
  </si>
  <si>
    <t>MEL44052331256LMXDF01</t>
  </si>
  <si>
    <t>2000006587823983</t>
  </si>
  <si>
    <t>6 de novembro de 2024 20:55 hs.</t>
  </si>
  <si>
    <t>Vitor Sardagna Poeta</t>
  </si>
  <si>
    <t>CPF 07643865906</t>
  </si>
  <si>
    <t>Rua Wenceslau Bráz 120, Tubarão - CEP: 88705070, Santa Catarina</t>
  </si>
  <si>
    <t>07643865906</t>
  </si>
  <si>
    <t>Rua Wenceslau Bráz 120 / Referencia: escritorio advocacia - CEP 88705070 - Vila Moema, Tubarão, Santa Catarina</t>
  </si>
  <si>
    <t>Tubarão</t>
  </si>
  <si>
    <t>88705070</t>
  </si>
  <si>
    <t>14 de novembro | 17:01</t>
  </si>
  <si>
    <t>MEL44052125677LMXDF01</t>
  </si>
  <si>
    <t>2000009766409010</t>
  </si>
  <si>
    <t>6 de novembro de 2024 20:38 hs.</t>
  </si>
  <si>
    <t>Karla Cristina Araujo Pereira</t>
  </si>
  <si>
    <t>CPF 28525504823</t>
  </si>
  <si>
    <t>R SALLES GOMES 366, São Paulo - CEP: 05211200, São Paulo</t>
  </si>
  <si>
    <t>28525504823</t>
  </si>
  <si>
    <t>R SALLES GOMES 366 / SLJ 1 - CEP 05211200 - Vila Perus, São Paulo, São Paulo</t>
  </si>
  <si>
    <t>05211200</t>
  </si>
  <si>
    <t>26 de novembro | 08:04</t>
  </si>
  <si>
    <t>MEL44052237152LMXDF01</t>
  </si>
  <si>
    <t>https://myaccount.mercadolivre.com.br/shipments/44052237152/detail</t>
  </si>
  <si>
    <t>2000006587607209</t>
  </si>
  <si>
    <t>6 de novembro de 2024 20:23 hs.</t>
  </si>
  <si>
    <t>Nubia Lourenco Moreira Lima</t>
  </si>
  <si>
    <t>CPF 86913050291</t>
  </si>
  <si>
    <t>Rua Marechal Rondon 705 - Salão da rose, Xinguara - CEP: 68555207, Pará</t>
  </si>
  <si>
    <t>86913050291</t>
  </si>
  <si>
    <t>Rua Marechal Rondon 705 / Salão da rose  Referencia: Salão da rose - CEP 68555207 - Centro, Xinguara, Pará</t>
  </si>
  <si>
    <t>Xinguara</t>
  </si>
  <si>
    <t>68555207</t>
  </si>
  <si>
    <t>12 de novembro | 04:23</t>
  </si>
  <si>
    <t>18 de novembro | 10:49</t>
  </si>
  <si>
    <t>MEL44052154460LMXDF01</t>
  </si>
  <si>
    <t>2000009766040878</t>
  </si>
  <si>
    <t>6 de novembro de 2024 20:10 hs.</t>
  </si>
  <si>
    <t>Fernando Maia Dos Santos</t>
  </si>
  <si>
    <t>CPF 95050973600</t>
  </si>
  <si>
    <t>Rua Olívio Villefort 123 - Casa, Itaúna - CEP: 35681280, Minas Gerais</t>
  </si>
  <si>
    <t>95050973600</t>
  </si>
  <si>
    <t>Rua Olívio Villefort 123 / Casa Referencia: Casa - CEP 35681280 - Residencial Veredas, Itaúna, Minas Gerais</t>
  </si>
  <si>
    <t>35681280</t>
  </si>
  <si>
    <t>12 de novembro | 01:47</t>
  </si>
  <si>
    <t>12 de novembro | 17:14</t>
  </si>
  <si>
    <t>MEL44051884075LMXDF01</t>
  </si>
  <si>
    <t>2000009765952148</t>
  </si>
  <si>
    <t>6 de novembro de 2024 19:59 hs.</t>
  </si>
  <si>
    <t>Tatiane Vieira</t>
  </si>
  <si>
    <t>CPF 35958010832</t>
  </si>
  <si>
    <t>Rua Diadema 797, Santo André - CEP: 09111510, São Paulo</t>
  </si>
  <si>
    <t>35958010832</t>
  </si>
  <si>
    <t>Rua Diadema 797 / Referencia: Próximo a Rua Glauber Rocha - CEP 09111510 - Cidade São Jorge, Santo André, São Paulo</t>
  </si>
  <si>
    <t>09111510</t>
  </si>
  <si>
    <t>13 de novembro | 11:24</t>
  </si>
  <si>
    <t>MEL44052033844LMXDF01</t>
  </si>
  <si>
    <t>2000009765622620</t>
  </si>
  <si>
    <t>6 de novembro de 2024 19:32 hs.</t>
  </si>
  <si>
    <t>Leonir Pereira De Souza Areias</t>
  </si>
  <si>
    <t>CPF 06535600955</t>
  </si>
  <si>
    <t>Rua José Cândido da Silva 220 - Casa Dos Fundos, Florianópolis - CEP: 88075250, Santa Catarina</t>
  </si>
  <si>
    <t>06535600955</t>
  </si>
  <si>
    <t>Rua José Cândido da Silva 220 / Casa Dos Fundos - CEP 88075250 - Balneário, Florianópolis, Santa Catarina</t>
  </si>
  <si>
    <t>88075250</t>
  </si>
  <si>
    <t>13 de novembro | 15:02</t>
  </si>
  <si>
    <t>MEL44051889124LMXDF01</t>
  </si>
  <si>
    <t>2000009765510096</t>
  </si>
  <si>
    <t>6 de novembro de 2024 19:20 hs.</t>
  </si>
  <si>
    <t>graziele silva</t>
  </si>
  <si>
    <t>CPF 03694711139</t>
  </si>
  <si>
    <t>rua rl 05 q 22 l 05 SN, Mozarlândia - CEP: 76700000, Goiás</t>
  </si>
  <si>
    <t>03694711139</t>
  </si>
  <si>
    <t>rua rl 05 q 22 l 05 SN / Referencia: proximo top gas - CEP 76700000 - setor dos lagos, Mozarlândia, Goiás</t>
  </si>
  <si>
    <t>Mozarlândia</t>
  </si>
  <si>
    <t>76700000</t>
  </si>
  <si>
    <t>12 de novembro | 02:51</t>
  </si>
  <si>
    <t>15 de novembro | 15:48</t>
  </si>
  <si>
    <t>MEL44051646951LMXDF01</t>
  </si>
  <si>
    <t>2000009765466756</t>
  </si>
  <si>
    <t>6 de novembro de 2024 19:16 hs.</t>
  </si>
  <si>
    <t>Lisangela de Oliveira</t>
  </si>
  <si>
    <t>CPF 34808741857</t>
  </si>
  <si>
    <t>Rua Orlando Ruza 100 - cohab, Santa Albertina - CEP: 15750000, São Paulo</t>
  </si>
  <si>
    <t>34808741857</t>
  </si>
  <si>
    <t>Rua Orlando Ruza 100 / cohab - CEP 15750000 - cohab 3, Santa Albertina, São Paulo</t>
  </si>
  <si>
    <t>Santa Albertina</t>
  </si>
  <si>
    <t>15750000</t>
  </si>
  <si>
    <t>12 de novembro | 00:56</t>
  </si>
  <si>
    <t>13 de novembro | 17:52</t>
  </si>
  <si>
    <t>MEL44051823300LMXDF01</t>
  </si>
  <si>
    <t>2000009765260284</t>
  </si>
  <si>
    <t>6 de novembro de 2024 18:56 hs.</t>
  </si>
  <si>
    <t>Vera Lucia Rizzolli</t>
  </si>
  <si>
    <t>CPF 16417062015</t>
  </si>
  <si>
    <t>Rua Marcelo Gama 511, Porto Alegre - CEP: 90540040, Rio Grande do Sul</t>
  </si>
  <si>
    <t>16417062015</t>
  </si>
  <si>
    <t>Rua Marcelo Gama 511 / 201 - CEP 90540040 - São João, Porto Alegre, Rio Grande do Sul</t>
  </si>
  <si>
    <t>90540040</t>
  </si>
  <si>
    <t>15 de novembro | 10:54</t>
  </si>
  <si>
    <t>MEL44051728710LMXDF01</t>
  </si>
  <si>
    <t>2000009765053748</t>
  </si>
  <si>
    <t>6 de novembro de 2024 18:39 hs.</t>
  </si>
  <si>
    <t>Maria Isabel Francisco Miranda</t>
  </si>
  <si>
    <t>CPF 20078291852</t>
  </si>
  <si>
    <t>Rua Manoel Victorino Rello de Araújo 453, Bauru - CEP: 17025660, São Paulo</t>
  </si>
  <si>
    <t>20078291852</t>
  </si>
  <si>
    <t>Rua Manoel Victorino Rello de Araújo 453 / CEP 17025660 - Núcleo Residencial Beija-Flor, Bauru, São Paulo</t>
  </si>
  <si>
    <t>17025660</t>
  </si>
  <si>
    <t>13 de novembro | 12:00</t>
  </si>
  <si>
    <t>MEL44051453773LMXDF01</t>
  </si>
  <si>
    <t>2000009765026018</t>
  </si>
  <si>
    <t>6 de novembro de 2024 18:37 hs.</t>
  </si>
  <si>
    <t>Sidineia Carvalho Ferreira</t>
  </si>
  <si>
    <t>CPF 43293168892</t>
  </si>
  <si>
    <t>Rua Silvestro Moser 279 - firma, Itajaí - CEP: 88311100, Santa Catarina</t>
  </si>
  <si>
    <t>43293168892</t>
  </si>
  <si>
    <t>Rua Silvestro Moser 279 / firma - CEP 88311100 - Cordeiros, Itajaí, Santa Catarina</t>
  </si>
  <si>
    <t>88311100</t>
  </si>
  <si>
    <t>MEL44051430107LMXDF01</t>
  </si>
  <si>
    <t>2000009764908776</t>
  </si>
  <si>
    <t>6 de novembro de 2024 18:25 hs.</t>
  </si>
  <si>
    <t>alexandre m  simoes</t>
  </si>
  <si>
    <t>CPF 39602281049</t>
  </si>
  <si>
    <t>AVENIDA PRIMEIRO DE MARÇO 2971, Novo Hamburgo - CEP: 93332043, Rio Grande do Sul</t>
  </si>
  <si>
    <t>39602281049</t>
  </si>
  <si>
    <t>AVENIDA PRIMEIRO DE MARÇO 2971 / Loja de peças - CEP 93332043 - IDEAL, Novo Hamburgo, Rio Grande do Sul</t>
  </si>
  <si>
    <t>Novo Hamburgo</t>
  </si>
  <si>
    <t>93332043</t>
  </si>
  <si>
    <t>19 de novembro | 17:54</t>
  </si>
  <si>
    <t>MEL44051383761LMXDF01</t>
  </si>
  <si>
    <t>https://myaccount.mercadolivre.com.br/shipments/44051383761/detail</t>
  </si>
  <si>
    <t>2000006586846825</t>
  </si>
  <si>
    <t>Luana Rodrigues Matos Gomes</t>
  </si>
  <si>
    <t>CPF 33715013885</t>
  </si>
  <si>
    <t>Rua Maria Letícia Rodrigues Laurentino 35 - frente, Campinas - CEP: 13053164, São Paulo</t>
  </si>
  <si>
    <t>33715013885</t>
  </si>
  <si>
    <t>Rua Maria Letícia Rodrigues Laurentino 35 / frente Referencia: entrada da casa é na viela - CEP 13053164 - Jardim Itaguaçu I, Campinas, São Paulo</t>
  </si>
  <si>
    <t>13053164</t>
  </si>
  <si>
    <t>12 de novembro | 04:55</t>
  </si>
  <si>
    <t>13 de novembro | 11:54</t>
  </si>
  <si>
    <t>MEL44051573146LMXDF01</t>
  </si>
  <si>
    <t>2000009764893046</t>
  </si>
  <si>
    <t>2000009764900992</t>
  </si>
  <si>
    <t>2000009764355780</t>
  </si>
  <si>
    <t>6 de novembro de 2024 17:34 hs.</t>
  </si>
  <si>
    <t>Patrick Luiz Vanzillotta da Silva</t>
  </si>
  <si>
    <t>CPF 15878947773</t>
  </si>
  <si>
    <t>ESTRADA DO OTAVIANO 252, Rio de Janeiro - CEP: 21540010, Rio de Janeiro</t>
  </si>
  <si>
    <t>15878947773</t>
  </si>
  <si>
    <t>ESTRADA DO OTAVIANO 252 / Loja B - CEP 21540010 - Turiaçu, Rio de Janeiro, Rio de Janeiro</t>
  </si>
  <si>
    <t>21540010</t>
  </si>
  <si>
    <t>12 de novembro | 00:14</t>
  </si>
  <si>
    <t>13 de novembro | 15:51</t>
  </si>
  <si>
    <t>MEL44051139605LMXDF01</t>
  </si>
  <si>
    <t>https://myaccount.mercadolivre.com.br/shipments/44051139605/detail</t>
  </si>
  <si>
    <t>2000009764042164</t>
  </si>
  <si>
    <t>6 de novembro de 2024 17:04 hs.</t>
  </si>
  <si>
    <t>Rosane da Silva perin</t>
  </si>
  <si>
    <t>CPF 72499460059</t>
  </si>
  <si>
    <t>Rua Doutor Vargas Neto 750, Porto Alegre - CEP: 91250000, Rio Grande do Sul</t>
  </si>
  <si>
    <t>72499460059</t>
  </si>
  <si>
    <t>Rua Doutor Vargas Neto 750 / casa - CEP 91250000 - Jardim Leopoldina, Porto Alegre, Rio Grande do Sul</t>
  </si>
  <si>
    <t>91250000</t>
  </si>
  <si>
    <t>14 de novembro | 14:57</t>
  </si>
  <si>
    <t>MEL44050982273LMXDF01</t>
  </si>
  <si>
    <t>2000006586254231</t>
  </si>
  <si>
    <t>6 de novembro de 2024 16:52 hs.</t>
  </si>
  <si>
    <t>Belinha Bela</t>
  </si>
  <si>
    <t>CPF 11785202855</t>
  </si>
  <si>
    <t>Estrada José Ribeiro Leite 1000 1000, Sorocaba - CEP: 18052604, São Paulo</t>
  </si>
  <si>
    <t>11785202855</t>
  </si>
  <si>
    <t>Estrada José Ribeiro Leite 1000 / AP 6 Referencia: sou cadeirante preciso de ajuda na hora da entrega
fica em frente ao frigorífico aliança - CEP 18052604 - Quintais do Imperador, Sorocaba, São Paulo</t>
  </si>
  <si>
    <t>18052604</t>
  </si>
  <si>
    <t>13 de novembro | 18:18</t>
  </si>
  <si>
    <t>MEL44051115394LMXDF01</t>
  </si>
  <si>
    <t>2000009763899594</t>
  </si>
  <si>
    <t>2000009763899596</t>
  </si>
  <si>
    <t>2000006586035419</t>
  </si>
  <si>
    <t>6 de novembro de 2024 16:20 hs.</t>
  </si>
  <si>
    <t>Gabriela Fernanda de Moura Pereira</t>
  </si>
  <si>
    <t>CPF 32402019840</t>
  </si>
  <si>
    <t>Rua Mato Grosso 418 418, Araraquara - CEP: 14811082, São Paulo</t>
  </si>
  <si>
    <t>32402019840</t>
  </si>
  <si>
    <t>Rua Manoel Clemente 958 / Q3 lt 33 - CEP 14805445 - Jardim Maria Luiza IV, Araraquara, São Paulo</t>
  </si>
  <si>
    <t>14805445</t>
  </si>
  <si>
    <t>MEL44050944266LMXDF01</t>
  </si>
  <si>
    <t>2000009763522856</t>
  </si>
  <si>
    <t>6 de novembro de 2024 16:17 hs.</t>
  </si>
  <si>
    <t>12 de novembro | 02:18</t>
  </si>
  <si>
    <t>12 de novembro | 12:01</t>
  </si>
  <si>
    <t>MEL44050739925LMXDF01</t>
  </si>
  <si>
    <t>2000006585991773</t>
  </si>
  <si>
    <t>6 de novembro de 2024 16:13 hs.</t>
  </si>
  <si>
    <t>Jose Eduardo Nardi Gasparoni</t>
  </si>
  <si>
    <t>CPF 12052732802</t>
  </si>
  <si>
    <t>Rua Saint Hilaire 298 - Casa, Campinas - CEP: 13026302, São Paulo</t>
  </si>
  <si>
    <t>12052732802</t>
  </si>
  <si>
    <t>Rua Saint Hilaire 298 / Casa Referencia: Travessa da Rua Uruguaiana - CEP 13026302 - Vila Jequitibás, Campinas, São Paulo</t>
  </si>
  <si>
    <t>13026302</t>
  </si>
  <si>
    <t>13 de novembro | 11:51</t>
  </si>
  <si>
    <t>MEL44050715209LMXDF01</t>
  </si>
  <si>
    <t>2000006585886287</t>
  </si>
  <si>
    <t>6 de novembro de 2024 15:57 hs.</t>
  </si>
  <si>
    <t>Joao Paulo Avelino</t>
  </si>
  <si>
    <t>CPF 08235062747</t>
  </si>
  <si>
    <t>Avenida Meridional 2100, Serra - CEP: 29164747, Espírito Santo</t>
  </si>
  <si>
    <t>08235062747</t>
  </si>
  <si>
    <t>Avenida Meridional 2100 / Bloco H 111 Referencia: Condomínio Vista de Bicanga - CEP 29164747 - Bicanga, Serra, Espírito Santo</t>
  </si>
  <si>
    <t>29164747</t>
  </si>
  <si>
    <t>12 de novembro | 20:19</t>
  </si>
  <si>
    <t>MEL44050827796LMXDF01</t>
  </si>
  <si>
    <t>2000006585817947</t>
  </si>
  <si>
    <t>6 de novembro de 2024 15:48 hs.</t>
  </si>
  <si>
    <t>Angelita Querubim Da Silva</t>
  </si>
  <si>
    <t>CPF 30773282831</t>
  </si>
  <si>
    <t>Rua Tiradentes 406, São José da Bela Vista - CEP: 14440000, São Paulo</t>
  </si>
  <si>
    <t>30773282831</t>
  </si>
  <si>
    <t>Rua Tiradentes 406 / Referencia: de frente a loja Parada da Moda - CEP 14440000 - centro, São José da Bela Vista, São Paulo</t>
  </si>
  <si>
    <t>São José da Bela Vista</t>
  </si>
  <si>
    <t>14440000</t>
  </si>
  <si>
    <t>13 de novembro | 12:47</t>
  </si>
  <si>
    <t>MEL44050580793LMXDF01</t>
  </si>
  <si>
    <t>2000009763184652</t>
  </si>
  <si>
    <t>2000009763186596</t>
  </si>
  <si>
    <t>2000009763055894</t>
  </si>
  <si>
    <t>6 de novembro de 2024 15:37 hs.</t>
  </si>
  <si>
    <t>Priscila Rodrigues de Oliveira</t>
  </si>
  <si>
    <t>CPF 03622211385</t>
  </si>
  <si>
    <t>Rua Jorge Guimarães 520 - Bloco 11 apto 202, Caucaia - CEP: 61650450, Ceará</t>
  </si>
  <si>
    <t>03622211385</t>
  </si>
  <si>
    <t>Rua Jorge Guimarães 520 / Bloco 11 apto 202 Referencia: Próximo ao Fogos Caruaru - CEP 61650450 - Parque Guadalajara (Jurema), Caucaia, Ceará</t>
  </si>
  <si>
    <t>Caucaia</t>
  </si>
  <si>
    <t>61650450</t>
  </si>
  <si>
    <t>MEL44050527297LMXDF01</t>
  </si>
  <si>
    <t>2000006585686371</t>
  </si>
  <si>
    <t>6 de novembro de 2024 15:30 hs.</t>
  </si>
  <si>
    <t>Devany Rocha</t>
  </si>
  <si>
    <t>CPF 03926673630</t>
  </si>
  <si>
    <t>Largo do Rosário 137, Sabará - CEP: 34516382, Minas Gerais</t>
  </si>
  <si>
    <t>03926673630</t>
  </si>
  <si>
    <t>Largo do Rosário 137 / Referencia: Próximo a agência do Correios - CEP 34516382 - Ravena, Sabará, Minas Gerais</t>
  </si>
  <si>
    <t>Sabará</t>
  </si>
  <si>
    <t>34516382</t>
  </si>
  <si>
    <t>12 de novembro | 01:20</t>
  </si>
  <si>
    <t>12 de novembro | 19:29</t>
  </si>
  <si>
    <t>MEL44050677778LMXDF01</t>
  </si>
  <si>
    <t>2000009762825776</t>
  </si>
  <si>
    <t>6 de novembro de 2024 15:17 hs.</t>
  </si>
  <si>
    <t>Valdecelia Maria Silva Dos Santos</t>
  </si>
  <si>
    <t>CPF 06371471465</t>
  </si>
  <si>
    <t>Rua Da Praia 5, Japaratinga - CEP: 57950000, Alagoas</t>
  </si>
  <si>
    <t>06371471465</t>
  </si>
  <si>
    <t>Rua Da Praia 5 / CEP 57950000 - Barreiras Do Boqueirao, Japaratinga, Alagoas</t>
  </si>
  <si>
    <t>Japaratinga</t>
  </si>
  <si>
    <t>57950000</t>
  </si>
  <si>
    <t>16 de novembro | 15:20</t>
  </si>
  <si>
    <t>MEL44050421881LMXDF01</t>
  </si>
  <si>
    <t>2000009762561704</t>
  </si>
  <si>
    <t>6 de novembro de 2024 14:55 hs.</t>
  </si>
  <si>
    <t>Suely Caetano Gomes da Silva</t>
  </si>
  <si>
    <t>CPF 07269675805</t>
  </si>
  <si>
    <t>Avenida Santana 179 - restaurante, Hortolândia - CEP: 13188000, São Paulo</t>
  </si>
  <si>
    <t>07269675805</t>
  </si>
  <si>
    <t>Avenida Santana 179 / restaurante - CEP 13188000 - Jardim Amanda I, Hortolândia, São Paulo</t>
  </si>
  <si>
    <t>13188000</t>
  </si>
  <si>
    <t>13 de novembro | 14:30</t>
  </si>
  <si>
    <t>MEL44050297389LMXDF01</t>
  </si>
  <si>
    <t>2000009762497742</t>
  </si>
  <si>
    <t>6 de novembro de 2024 14:49 hs.</t>
  </si>
  <si>
    <t>Antonia Izamara Souza</t>
  </si>
  <si>
    <t>CPF 02014562229</t>
  </si>
  <si>
    <t>Rua Plácido de Castro 291 - enfrente a lava car, Jaguapitã - CEP: 86610000, Paraná</t>
  </si>
  <si>
    <t>02014562229</t>
  </si>
  <si>
    <t>Rua Plácido de Castro 291 / enfrente a lava car - CEP 86610000 - centro, Jaguapitã, Paraná</t>
  </si>
  <si>
    <t>Jaguapitã</t>
  </si>
  <si>
    <t>86610000</t>
  </si>
  <si>
    <t>14 de novembro | 13:27</t>
  </si>
  <si>
    <t>MEL44050461308LMXDF01</t>
  </si>
  <si>
    <t>2000006585381113</t>
  </si>
  <si>
    <t>6 de novembro de 2024 14:47 hs.</t>
  </si>
  <si>
    <t>Juliane Barbosa Valadão</t>
  </si>
  <si>
    <t>CPF 13944946707</t>
  </si>
  <si>
    <t>Rua Milton Correia de Sá 20, Rio de Janeiro - CEP: 23585020, Rio de Janeiro</t>
  </si>
  <si>
    <t>13944946707</t>
  </si>
  <si>
    <t>Rua Milton Correia de Sá 20 / Referencia: portão de garagem de madeira (picape preta em frente) - CEP 23585020 - Paciência, Rio de Janeiro, Rio de Janeiro</t>
  </si>
  <si>
    <t>23585020</t>
  </si>
  <si>
    <t>12 de novembro | 13:59</t>
  </si>
  <si>
    <t>MEL44050251223LMXDF01</t>
  </si>
  <si>
    <t>2000009762394942</t>
  </si>
  <si>
    <t>6 de novembro de 2024 14:40 hs.</t>
  </si>
  <si>
    <t>Fabiane da Silva Gravena</t>
  </si>
  <si>
    <t>CPF 04663570950</t>
  </si>
  <si>
    <t>Rua Paulo Petri 447, Itaquiraí - CEP: 79965000, Mato Grosso do Sul</t>
  </si>
  <si>
    <t>04663570950</t>
  </si>
  <si>
    <t>Rua Paulo Petri 447 / CEP 79965000 - Centro, Itaquiraí, Mato Grosso do Sul</t>
  </si>
  <si>
    <t>Itaquiraí</t>
  </si>
  <si>
    <t>79965000</t>
  </si>
  <si>
    <t>14 de novembro | 15:08</t>
  </si>
  <si>
    <t>MEL44050411754LMXDF01</t>
  </si>
  <si>
    <t>2000009762235846</t>
  </si>
  <si>
    <t>6 de novembro de 2024 14:28 hs.</t>
  </si>
  <si>
    <t>Ana Paula Mezuran Dos Santos</t>
  </si>
  <si>
    <t>CPF 00715423967</t>
  </si>
  <si>
    <t>Rua Piauí 717 - Ap 1801, Londrina - CEP: 86020390, Paraná</t>
  </si>
  <si>
    <t>00715423967</t>
  </si>
  <si>
    <t>Rua Piauí 717 / Ap 1801 - CEP 86020390 - Centro, Londrina, Paraná</t>
  </si>
  <si>
    <t>86020390</t>
  </si>
  <si>
    <t>14 de novembro | 13:02</t>
  </si>
  <si>
    <t>MEL44050344696LMXDF01</t>
  </si>
  <si>
    <t>2000006585220143</t>
  </si>
  <si>
    <t>6 de novembro de 2024 14:25 hs.</t>
  </si>
  <si>
    <t>Luciane Maria Hartmann</t>
  </si>
  <si>
    <t>CPF 05392963927</t>
  </si>
  <si>
    <t>Rua 19 59 - Porão, Itá - CEP: 89760000, Santa Catarina</t>
  </si>
  <si>
    <t>05392963927</t>
  </si>
  <si>
    <t>Rua 19 59 / Porão Referencia: Perto do Hospital - CEP 89760000 - Natureza, Itá, Santa Catarina</t>
  </si>
  <si>
    <t>Itá</t>
  </si>
  <si>
    <t>89760000</t>
  </si>
  <si>
    <t>14 de novembro | 13:48</t>
  </si>
  <si>
    <t>MEL44050134107LMXDF01</t>
  </si>
  <si>
    <t>2000009762150950</t>
  </si>
  <si>
    <t>6 de novembro de 2024 14:21 hs.</t>
  </si>
  <si>
    <t>biancagomes0691 biancagomes0691</t>
  </si>
  <si>
    <t>CPF 00082938130</t>
  </si>
  <si>
    <t>Quadra 25 Conjunto G Casa 18 18, Brasília - CEP: 71572507, Distrito Federal</t>
  </si>
  <si>
    <t>00082938130</t>
  </si>
  <si>
    <t>Quadra 25 conjunto G casa 18 18 / Casa - CEP 71572507 - Paranoa, Brasília, Distrito Federal</t>
  </si>
  <si>
    <t>71572507</t>
  </si>
  <si>
    <t>16 de novembro | 13:24</t>
  </si>
  <si>
    <t>MEL44050106809LMXDF01</t>
  </si>
  <si>
    <t>2000006585131931</t>
  </si>
  <si>
    <t>6 de novembro de 2024 14:12 hs.</t>
  </si>
  <si>
    <t>Gabriela de Oliveira Martins</t>
  </si>
  <si>
    <t>CPF 44740232855</t>
  </si>
  <si>
    <t>Rua Joaquim da Costa Miranda 1, São Paulo - CEP: 05106020, São Paulo</t>
  </si>
  <si>
    <t>44740232855</t>
  </si>
  <si>
    <t>05106020</t>
  </si>
  <si>
    <t>2000006585122737</t>
  </si>
  <si>
    <t>Marta Joana Lago de Oliveira Freitas</t>
  </si>
  <si>
    <t>CPF 89875702900</t>
  </si>
  <si>
    <t>Rua Niterói 687 - casa, Francisco Beltrão - CEP: 85601231, Paraná</t>
  </si>
  <si>
    <t>89875702900</t>
  </si>
  <si>
    <t>Rua Niterói 687 / casa Referencia: prédio Scala contabilidade - CEP 85601231 - Alvorada, Francisco Beltrão, Paraná</t>
  </si>
  <si>
    <t>Francisco Beltrão</t>
  </si>
  <si>
    <t>85601231</t>
  </si>
  <si>
    <t>15 de novembro | 15:00</t>
  </si>
  <si>
    <t>MEL44050063713LMXDF01</t>
  </si>
  <si>
    <t>2000006585083833</t>
  </si>
  <si>
    <t>6 de novembro de 2024 14:05 hs.</t>
  </si>
  <si>
    <t>Aparecido Pereira de Souza</t>
  </si>
  <si>
    <t>CPF 16451736821</t>
  </si>
  <si>
    <t>Avenida Paulista 441 - pousada Aram, Paulicéia - CEP: 17990000, São Paulo</t>
  </si>
  <si>
    <t>16451736821</t>
  </si>
  <si>
    <t>Avenida Paulista 441 / pousada Aram - CEP 17990000 - porto, Paulicéia, São Paulo</t>
  </si>
  <si>
    <t>Paulicéia</t>
  </si>
  <si>
    <t>17990000</t>
  </si>
  <si>
    <t>13 de novembro | 16:11</t>
  </si>
  <si>
    <t>MEL44050223818LMXDF01</t>
  </si>
  <si>
    <t>2000009761945214</t>
  </si>
  <si>
    <t>vera gerits</t>
  </si>
  <si>
    <t>CPF 12137404877</t>
  </si>
  <si>
    <t>Rua Neide Maria Chaves Fernandes 76 - Casa, Guarujá - CEP: 11453040, São Paulo</t>
  </si>
  <si>
    <t>12137404877</t>
  </si>
  <si>
    <t>Rua Neide Maria Chaves Fernandes 76 / Casa - CEP 11453040 - Jardim Progresso (Vicente de Carvalho), Guarujá, São Paulo</t>
  </si>
  <si>
    <t>11453040</t>
  </si>
  <si>
    <t>13 de novembro | 13:58</t>
  </si>
  <si>
    <t>MEL44050210772LMXDF01</t>
  </si>
  <si>
    <t>2000009761863254</t>
  </si>
  <si>
    <t>6 de novembro de 2024 13:56 hs.</t>
  </si>
  <si>
    <t>vlademir  Ferreira de souza</t>
  </si>
  <si>
    <t>CPF 26244847873</t>
  </si>
  <si>
    <t>Rua João Da Cruz E Sousa 353, São Paulo - CEP: 05893000, São Paulo</t>
  </si>
  <si>
    <t>26244847873</t>
  </si>
  <si>
    <t>Rua João Da Cruz E Sousa 353 / CEP 05893000 - Jardim Das Rosas (Zona Sul), São Paulo, São Paulo</t>
  </si>
  <si>
    <t>05893000</t>
  </si>
  <si>
    <t>12 de novembro | 05:47</t>
  </si>
  <si>
    <t>14 de novembro | 10:48</t>
  </si>
  <si>
    <t>MEL44049980265LMXDF01</t>
  </si>
  <si>
    <t>https://myaccount.mercadolivre.com.br/shipments/44049980265/detail</t>
  </si>
  <si>
    <t>2000009761546594</t>
  </si>
  <si>
    <t>6 de novembro de 2024 13:29 hs.</t>
  </si>
  <si>
    <t>Taiane Fernanda Anacleto Barbosa</t>
  </si>
  <si>
    <t>CPF 12386505626</t>
  </si>
  <si>
    <t>Rua André Rodrigues da Silva 174 - Rua do potência, Conselheiro Lafaiete - CEP: 36400093, Minas Gerais</t>
  </si>
  <si>
    <t>12386505626</t>
  </si>
  <si>
    <t>Rua André Rodrigues da Silva 174 / Rua do potência - CEP 36400093 - Campo Alegre, Conselheiro Lafaiete, Minas Gerais</t>
  </si>
  <si>
    <t>Conselheiro Lafaiete</t>
  </si>
  <si>
    <t>36400093</t>
  </si>
  <si>
    <t>12 de novembro | 01:19</t>
  </si>
  <si>
    <t>13 de novembro | 14:52</t>
  </si>
  <si>
    <t>MEL44049830113LMXDF01</t>
  </si>
  <si>
    <t>2000006584749831</t>
  </si>
  <si>
    <t>6 de novembro de 2024 13:22 hs.</t>
  </si>
  <si>
    <t>Silvia Juliana de Sousa Cassago</t>
  </si>
  <si>
    <t>CPF 26045783875</t>
  </si>
  <si>
    <t>Rua Alfredo Pujol 1043 - Ap 65 Bloco C, São Paulo - CEP: 02017011, São Paulo</t>
  </si>
  <si>
    <t>26045783875</t>
  </si>
  <si>
    <t>Rua Alfredo Pujol 1043 / Ap 65 Bloco C - CEP 02017011 - Santana, São Paulo, São Paulo</t>
  </si>
  <si>
    <t>02017011</t>
  </si>
  <si>
    <t>MEL44049795047LMXDF01</t>
  </si>
  <si>
    <t>2000006584757129</t>
  </si>
  <si>
    <t>6 de novembro de 2024 13:21 hs.</t>
  </si>
  <si>
    <t>Gabriel Dias</t>
  </si>
  <si>
    <t>CPF 05321297339</t>
  </si>
  <si>
    <t>Rua da Engenharia 10 - enova energia, São Luís - CEP: 65074715, Maranhão</t>
  </si>
  <si>
    <t>05321297339</t>
  </si>
  <si>
    <t>Rua da Engenharia 10 / enova energia Referencia: Empresa enova energia - CEP 65074715 - Cohafuma, São Luís, Maranhão</t>
  </si>
  <si>
    <t>65074715</t>
  </si>
  <si>
    <t>18 de novembro | 11:21</t>
  </si>
  <si>
    <t>MEL44049784669LMXDF01</t>
  </si>
  <si>
    <t>2000009761408508</t>
  </si>
  <si>
    <t>6 de novembro de 2024 13:17 hs.</t>
  </si>
  <si>
    <t>Antonio Fernandes Fialho de Freitas</t>
  </si>
  <si>
    <t>CPF 42297753268</t>
  </si>
  <si>
    <t>Rua Castelo Branco 54, Igarapé-Açu - CEP: 68725000, Pará</t>
  </si>
  <si>
    <t>42297753268</t>
  </si>
  <si>
    <t>Rua Castelo Branco 54 / Próximo ao Campo do Cruzeiro - CEP 68725000 - Igarapé-Açu, Igarapé-Açu, Pará</t>
  </si>
  <si>
    <t>Igarapé-Açu</t>
  </si>
  <si>
    <t>68725000</t>
  </si>
  <si>
    <t>15 de novembro | 16:54</t>
  </si>
  <si>
    <t>MEL44049963280LMXDF01</t>
  </si>
  <si>
    <t>2000006584691429</t>
  </si>
  <si>
    <t>6 de novembro de 2024 13:11 hs.</t>
  </si>
  <si>
    <t>Cristina Silva</t>
  </si>
  <si>
    <t>CPF 09244262843</t>
  </si>
  <si>
    <t>Rua José Bianchi 555, Ribeirão Preto - CEP: 14096730, São Paulo</t>
  </si>
  <si>
    <t>09244262843</t>
  </si>
  <si>
    <t>Rua José Bianchi 555 / 16º andar  Sala 1613 Referencia: Edifício New Office - Deixar na Recepção - CEP 14096730 - Nova Ribeirânia, Ribeirão Preto, São Paulo</t>
  </si>
  <si>
    <t>14096730</t>
  </si>
  <si>
    <t>13 de novembro | 12:53</t>
  </si>
  <si>
    <t>MEL44049929248LMXDF01</t>
  </si>
  <si>
    <t>2000009761227732</t>
  </si>
  <si>
    <t>6 de novembro de 2024 13:04 hs.</t>
  </si>
  <si>
    <t>Edmilson Melo</t>
  </si>
  <si>
    <t>CPF 03237086762</t>
  </si>
  <si>
    <t>Rua Eufrásio Píres 441 - sobrado, Ituaçu - CEP: 46640000, Bahia</t>
  </si>
  <si>
    <t>03237086762</t>
  </si>
  <si>
    <t>Rua Eufrásio Píres 441 / sobrado Referencia: ao lado da serralheria do Jorge - CEP 46640000 - primavera, Ituaçu, Bahia</t>
  </si>
  <si>
    <t>Ituaçu</t>
  </si>
  <si>
    <t>46640000</t>
  </si>
  <si>
    <t>15 de novembro | 14:34</t>
  </si>
  <si>
    <t>MEL44049694905LMXDF01</t>
  </si>
  <si>
    <t>2000006584492761</t>
  </si>
  <si>
    <t>6 de novembro de 2024 12:42 hs.</t>
  </si>
  <si>
    <t>Gilsara da Silva Leite Aquino</t>
  </si>
  <si>
    <t>CPF 07802020409</t>
  </si>
  <si>
    <t>Estrada Itapecerica-Campo Limpo 587 - bloco 3 ap 32, Embu das Artes - CEP: 06820347, São Paulo</t>
  </si>
  <si>
    <t>07802020409</t>
  </si>
  <si>
    <t>Estrada Itapecerica-Campo Limpo 587 / bloco 3 ap 32 Referencia: condomínio Vila dos pássaros - CEP 06820347 - Jardim Júlia, Embu das Artes, São Paulo</t>
  </si>
  <si>
    <t>Embu das Artes</t>
  </si>
  <si>
    <t>06820347</t>
  </si>
  <si>
    <t>13 de novembro | 15:45</t>
  </si>
  <si>
    <t>MEL44049583265LMXDF01</t>
  </si>
  <si>
    <t>2000006584411359</t>
  </si>
  <si>
    <t>6 de novembro de 2024 12:32 hs.</t>
  </si>
  <si>
    <t>Ananda Oliveira Brotas</t>
  </si>
  <si>
    <t>CPF 40924847808</t>
  </si>
  <si>
    <t>Avenida Juscelino Kubitschek de Oliveira 1546 1546, Praia Grande - CEP: 11706440, São Paulo</t>
  </si>
  <si>
    <t>40924847808</t>
  </si>
  <si>
    <t>Rua Euclídes da Cunha 340 / Casa - CEP 44880000 - Centro, Cafarnaum, Bahia</t>
  </si>
  <si>
    <t>15 de novembro | 12:28</t>
  </si>
  <si>
    <t>MEL44049714776LMXDF01</t>
  </si>
  <si>
    <t>2000009760726328</t>
  </si>
  <si>
    <t>6 de novembro de 2024 12:19 hs.</t>
  </si>
  <si>
    <t>Alenir Aparecida Parreiras Vieira</t>
  </si>
  <si>
    <t>CPF 97084433600</t>
  </si>
  <si>
    <t>Rua Wilson de Oliveira 40 - Casa, Belo Horizonte - CEP: 30672460, Minas Gerais</t>
  </si>
  <si>
    <t>97084433600</t>
  </si>
  <si>
    <t>Rua Wilson de Oliveira 40 / Casa Referencia: casa - CEP 30672460 - Mineirão, Belo Horizonte, Minas Gerais</t>
  </si>
  <si>
    <t>30672460</t>
  </si>
  <si>
    <t>12 de novembro | 01:46</t>
  </si>
  <si>
    <t>12 de novembro | 20:27</t>
  </si>
  <si>
    <t>MEL44049458795LMXDF01</t>
  </si>
  <si>
    <t>2000006584024489</t>
  </si>
  <si>
    <t>6 de novembro de 2024 11:34 hs.</t>
  </si>
  <si>
    <t>Rosimar Moreira Sacramento Dos Anjos</t>
  </si>
  <si>
    <t>CPF 13978686864</t>
  </si>
  <si>
    <t>Estrada do Sapiantã 101 - torre p Apt 4, Itapevi - CEP: 06665022, São Paulo</t>
  </si>
  <si>
    <t>13978686864</t>
  </si>
  <si>
    <t>Estrada do Sapiantã 101 / torre p Apt 4 Referencia: Próximo ao Centro de Reabilitação em frente a empresa antiga mult - CEP 06665022 - Conjunto Habitacional - Setor A, Itapevi, São Paulo</t>
  </si>
  <si>
    <t>06665022</t>
  </si>
  <si>
    <t>13 de novembro | 12:45</t>
  </si>
  <si>
    <t>MEL44049418698LMXDF01</t>
  </si>
  <si>
    <t>2000009760166604</t>
  </si>
  <si>
    <t>6 de novembro de 2024 11:31 hs.</t>
  </si>
  <si>
    <t>Elizabeth Brito</t>
  </si>
  <si>
    <t>CPF 60066016720</t>
  </si>
  <si>
    <t>Rua Barão de Mesquita 442, Rio de Janeiro - CEP: 20540003, Rio de Janeiro</t>
  </si>
  <si>
    <t>60066016720</t>
  </si>
  <si>
    <t>Rua Barão de Mesquita 442 / CEP 20540003 - Tijuca, Rio de Janeiro, Rio de Janeiro</t>
  </si>
  <si>
    <t>20540003</t>
  </si>
  <si>
    <t>MEL44049209249LMXDF01</t>
  </si>
  <si>
    <t>https://myaccount.mercadolivre.com.br/shipments/44049209249/detail</t>
  </si>
  <si>
    <t>2000009759449376</t>
  </si>
  <si>
    <t>6 de novembro de 2024 11:07 hs.</t>
  </si>
  <si>
    <t>Eraldo Antonio De Souza</t>
  </si>
  <si>
    <t>CPF 03134925141</t>
  </si>
  <si>
    <t>Avenida VII SN - quadra 142 lote 38 Referencia: casinhas, Luziânia - CEP: 72836230, Goiás</t>
  </si>
  <si>
    <t>03134925141</t>
  </si>
  <si>
    <t>Avenida VII SN / quadra 142 lote 38 Referencia: casinhas - CEP 72836230 - Parque Alvorada I, Luziânia, Goiás</t>
  </si>
  <si>
    <t>72836230</t>
  </si>
  <si>
    <t>13 de novembro | 19:02</t>
  </si>
  <si>
    <t>MEL44048885029LMXDF01</t>
  </si>
  <si>
    <t>2000009759698282</t>
  </si>
  <si>
    <t>6 de novembro de 2024 10:49 hs.</t>
  </si>
  <si>
    <t>Tania Salles da Cruz</t>
  </si>
  <si>
    <t>CPF 03590597836</t>
  </si>
  <si>
    <t>Rua Luiz Otávio 2245 - Torre 2 ap 32, Campinas - CEP: 13087560, São Paulo</t>
  </si>
  <si>
    <t>03590597836</t>
  </si>
  <si>
    <t>Rua Luiz Otávio 2245 / Torre 2 ap 32 - CEP 13087560 - Parque Rural Fazenda Santa Cândida, Campinas, São Paulo</t>
  </si>
  <si>
    <t>13087560</t>
  </si>
  <si>
    <t>13 de novembro | 11:25</t>
  </si>
  <si>
    <t>MEL44049188834LMXDF01</t>
  </si>
  <si>
    <t>2000009759522878</t>
  </si>
  <si>
    <t>6 de novembro de 2024 10:33 hs.</t>
  </si>
  <si>
    <t>Chegou em 9 de novembro</t>
  </si>
  <si>
    <t>Denise de Oliveira Fernandes Mahfouz</t>
  </si>
  <si>
    <t>CPF 26885217808</t>
  </si>
  <si>
    <t>Rua Marret 97, Guarulhos - CEP: 07095140, São Paulo</t>
  </si>
  <si>
    <t>26885217808</t>
  </si>
  <si>
    <t>Rua Marret 97 / Apto. 173, 17º Andar, Vista Bela - CEP 07095140 - Vila Progresso, Guarulhos, São Paulo</t>
  </si>
  <si>
    <t>07095140</t>
  </si>
  <si>
    <t>8 de novembro | 04:48</t>
  </si>
  <si>
    <t>9 de novembro | 18:01</t>
  </si>
  <si>
    <t>MEL44049111204LMXDF01</t>
  </si>
  <si>
    <t>2000006583474503</t>
  </si>
  <si>
    <t>6 de novembro de 2024 10:09 hs.</t>
  </si>
  <si>
    <t>Lucimara Maria de Jesus Santos</t>
  </si>
  <si>
    <t>CPF 96733705591</t>
  </si>
  <si>
    <t>Rua Maria Preta SN SN, Fátima - CEP: 48415000, Bahia</t>
  </si>
  <si>
    <t>96733705591</t>
  </si>
  <si>
    <t>Rua Maria Preta SN / casa  Referencia: Vizinho ao consultório de Maycon Nutricionista - CEP 48415000 - centro, Fátima, Bahia</t>
  </si>
  <si>
    <t>8 de novembro | 02:53</t>
  </si>
  <si>
    <t>11 de novembro | 18:01</t>
  </si>
  <si>
    <t>MEL44048798063LMXDF01</t>
  </si>
  <si>
    <t>2000006583421201</t>
  </si>
  <si>
    <t>6 de novembro de 2024 10:00 hs.</t>
  </si>
  <si>
    <t>Chegou em 8 de novembro</t>
  </si>
  <si>
    <t>Monique Paranhos</t>
  </si>
  <si>
    <t>CPF 08041735754</t>
  </si>
  <si>
    <t>Rua Barão de Mesquita 850 - bloco B Apt 408, Rio de Janeiro - CEP: 20540004, Rio de Janeiro</t>
  </si>
  <si>
    <t>08041735754</t>
  </si>
  <si>
    <t>Rua Barão de Mesquita 850 / bloco B Apt 408 - CEP 20540004 - Grajaú, Rio de Janeiro, Rio de Janeiro</t>
  </si>
  <si>
    <t>20540004</t>
  </si>
  <si>
    <t>8 de novembro | 00:08</t>
  </si>
  <si>
    <t>8 de novembro | 20:55</t>
  </si>
  <si>
    <t>MEL44048755889LMXDF01</t>
  </si>
  <si>
    <t>2000009758886996</t>
  </si>
  <si>
    <t>6 de novembro de 2024 09:30 hs.</t>
  </si>
  <si>
    <t>marcos antonio balarini</t>
  </si>
  <si>
    <t>CPF 83496459891</t>
  </si>
  <si>
    <t>Rua dos Expedicionários 659, Capão Bonito - CEP: 18300470, São Paulo</t>
  </si>
  <si>
    <t>83496459891</t>
  </si>
  <si>
    <t>Rua dos Expedicionários 659 / Centro, Casa - CEP 18300470 - Centro, Capão Bonito, São Paulo</t>
  </si>
  <si>
    <t>18300470</t>
  </si>
  <si>
    <t>9 de novembro | 12:20</t>
  </si>
  <si>
    <t>MEL44048624579LMXDF01</t>
  </si>
  <si>
    <t>2000009758816552</t>
  </si>
  <si>
    <t>6 de novembro de 2024 09:22 hs.</t>
  </si>
  <si>
    <t>EDUARDO NOCELI JULIO</t>
  </si>
  <si>
    <t>CPF 51413442668</t>
  </si>
  <si>
    <t>Rua Valério Corrêa Neto 209, Tabuleiro - CEP: 36165000, Minas Gerais</t>
  </si>
  <si>
    <t>51413442668</t>
  </si>
  <si>
    <t>Rua Valério Corrêa Neto 209 / Casa - CEP 36165000 - Tabuleiro, Tabuleiro, Minas Gerais</t>
  </si>
  <si>
    <t>Tabuleiro</t>
  </si>
  <si>
    <t>36165000</t>
  </si>
  <si>
    <t>8 de novembro | 00:23</t>
  </si>
  <si>
    <t>8 de novembro | 14:43</t>
  </si>
  <si>
    <t>MEL44048588007LMXDF01</t>
  </si>
  <si>
    <t>2000006583188563</t>
  </si>
  <si>
    <t>6 de novembro de 2024 09:17 hs.</t>
  </si>
  <si>
    <t>SANTIAGO SAMPAIO</t>
  </si>
  <si>
    <t>CPF 22127490827</t>
  </si>
  <si>
    <t>Alameda Jaborandi 87, Votorantim - CEP: 18119429, São Paulo</t>
  </si>
  <si>
    <t>22127490827</t>
  </si>
  <si>
    <t>Alameda Jaborandi 87 / QUADRA B - LOTE 02 Referencia: FACHADA COM COLUNAS E VIGAS PRETAS - CEP 18119429 - Cyrela Landscape Esplanada, Votorantim, São Paulo</t>
  </si>
  <si>
    <t>18119429</t>
  </si>
  <si>
    <t>9 de novembro | 13:34</t>
  </si>
  <si>
    <t>MEL44048570993LMXDF01</t>
  </si>
  <si>
    <t>2000006583105545</t>
  </si>
  <si>
    <t>6 de novembro de 2024 09:00 hs.</t>
  </si>
  <si>
    <t>leonardo luna alves da silva</t>
  </si>
  <si>
    <t>CPF 09867648765</t>
  </si>
  <si>
    <t>RUA MANOEL MARTINS BASTOS 7, Anta - CEP: 25882000, Rio de Janeiro</t>
  </si>
  <si>
    <t>09867648765</t>
  </si>
  <si>
    <t>RUA MANOEL MARTINS BASTOS 7 / Centro Anta Referencia: Rua que sobe ao lado da igreja Wesleyana. - CEP 25882000 - Cantro-Anta, Anta, Rio de Janeiro</t>
  </si>
  <si>
    <t>Anta</t>
  </si>
  <si>
    <t>25882000</t>
  </si>
  <si>
    <t>8 de novembro | 00:51</t>
  </si>
  <si>
    <t>8 de novembro | 17:11</t>
  </si>
  <si>
    <t>MEL44048696490LMXDF01</t>
  </si>
  <si>
    <t>2000009758288148</t>
  </si>
  <si>
    <t>6 de novembro de 2024 08:09 hs.</t>
  </si>
  <si>
    <t>Marta Cristina Alves da Silva</t>
  </si>
  <si>
    <t>CPF 91131669487</t>
  </si>
  <si>
    <t>povoado Pindoba são Luiz do quitunde 57 - quadra 03, São Luís do Quitunde - CEP: 57920000, Alagoas</t>
  </si>
  <si>
    <t>91131669487</t>
  </si>
  <si>
    <t>povoado Pindoba são Luiz do quitunde 57 / quadra 03 - CEP 57920000 - centro, São Luís do Quitunde, Alagoas</t>
  </si>
  <si>
    <t>São Luís do Quitunde</t>
  </si>
  <si>
    <t>57920000</t>
  </si>
  <si>
    <t>8 de novembro | 05:48</t>
  </si>
  <si>
    <t>11 de novembro | 14:51</t>
  </si>
  <si>
    <t>MEL44048336027LMXDF01</t>
  </si>
  <si>
    <t>2000009758219150</t>
  </si>
  <si>
    <t>6 de novembro de 2024 07:58 hs.</t>
  </si>
  <si>
    <t>Meire Carvalho</t>
  </si>
  <si>
    <t>CPF 30403400856</t>
  </si>
  <si>
    <t>Rua Mário Rodrigues da Silva 323, Cunha - CEP: 12530000, São Paulo</t>
  </si>
  <si>
    <t>30403400856</t>
  </si>
  <si>
    <t>Rua Mário Rodrigues da Silva 323 / CEP 12530000 - Bexiga, Cunha, São Paulo</t>
  </si>
  <si>
    <t>Cunha</t>
  </si>
  <si>
    <t>12530000</t>
  </si>
  <si>
    <t>9 de novembro | 11:27</t>
  </si>
  <si>
    <t>MEL44048308545LMXDF01</t>
  </si>
  <si>
    <t>2000009758199648</t>
  </si>
  <si>
    <t>6 de novembro de 2024 07:55 hs.</t>
  </si>
  <si>
    <t>Roquelene Alves Soares</t>
  </si>
  <si>
    <t>CPF 35925892291</t>
  </si>
  <si>
    <t>Rua Rui Lino 186, Rio Branco - CEP: 69911426, Acre</t>
  </si>
  <si>
    <t>35925892291</t>
  </si>
  <si>
    <t>Rua Rui Lino 186 / CEP 69911426 - João Eduardo I, Rio Branco, Acre</t>
  </si>
  <si>
    <t>Rio Branco</t>
  </si>
  <si>
    <t>69911426</t>
  </si>
  <si>
    <t>13 de novembro | 14:25</t>
  </si>
  <si>
    <t>MEL44048301419LMXDF01</t>
  </si>
  <si>
    <t>2000009758198080</t>
  </si>
  <si>
    <t>6 de novembro de 2024 07:54 hs.</t>
  </si>
  <si>
    <t>Rosangela andrade alves</t>
  </si>
  <si>
    <t>CPF 34291447876</t>
  </si>
  <si>
    <t>Avenida Dom Pedro de Alcântara 282, São Bernardo do Campo - CEP: 09784000, São Paulo</t>
  </si>
  <si>
    <t>34291447876</t>
  </si>
  <si>
    <t>Avenida Dom Pedro de Alcântara 282 / Referencia: Apenas horário comercial Otica Golden mix - CEP 09784000 - Montanhão, São Bernardo do Campo, São Paulo</t>
  </si>
  <si>
    <t>09784000</t>
  </si>
  <si>
    <t>9 de novembro | 12:57</t>
  </si>
  <si>
    <t>MEL44048486604LMXDF01</t>
  </si>
  <si>
    <t>2000009758076392</t>
  </si>
  <si>
    <t>6 de novembro de 2024 07:26 hs.</t>
  </si>
  <si>
    <t>Eunice Aparecida Aquila</t>
  </si>
  <si>
    <t>CPF 00686837827</t>
  </si>
  <si>
    <t>Avenida Aricanduva 2688 - lado par - Casa, São Paulo - CEP: 03490000, São Paulo</t>
  </si>
  <si>
    <t>00686837827</t>
  </si>
  <si>
    <t>Avenida Aricanduva 2688 / lado par - Casa Referencia: Antes Do Semáforo Da Rua Manilha - CEP 03490000 - Vila Califórnia, São Paulo, São Paulo</t>
  </si>
  <si>
    <t>03490000</t>
  </si>
  <si>
    <t>10 de novembro | 12:55</t>
  </si>
  <si>
    <t>MEL44048235873LMXDF01</t>
  </si>
  <si>
    <t>2000009752202664</t>
  </si>
  <si>
    <t>6 de novembro de 2024 06:57 hs.</t>
  </si>
  <si>
    <t>Eliana Conceicao Dos Santos</t>
  </si>
  <si>
    <t>CPF 27337809808</t>
  </si>
  <si>
    <t>RUA ARCELINA TEIXEIRA DA SILVA 231, São Paulo - CEP: 04858465, São Paulo</t>
  </si>
  <si>
    <t>27337809808</t>
  </si>
  <si>
    <t>RUA ARCELINA TEIXEIRA DA SILVA 231 / Loja (Antiga Marybella) - CEP 04858465 - Parque Maria Fernandes, São Paulo, São Paulo</t>
  </si>
  <si>
    <t>04858465</t>
  </si>
  <si>
    <t>12 de novembro | 16:47</t>
  </si>
  <si>
    <t>MEL44045862020LMXDF01</t>
  </si>
  <si>
    <t>https://myaccount.mercadolivre.com.br/shipments/44045862020/detail</t>
  </si>
  <si>
    <t>2000009757933968</t>
  </si>
  <si>
    <t>6 de novembro de 2024 06:53 hs.</t>
  </si>
  <si>
    <t>Jacqueline Ribeiro da Silva</t>
  </si>
  <si>
    <t>CPF 09674154701</t>
  </si>
  <si>
    <t>Rua Ricardo 566 - Casa fundos, Mesquita - CEP: 26562031, Rio de Janeiro</t>
  </si>
  <si>
    <t>09674154701</t>
  </si>
  <si>
    <t>Rua Ricardo 566 / Casa fundos Referencia: Casa fundos - CEP 26562031 - Santo Elias, Mesquita, Rio de Janeiro</t>
  </si>
  <si>
    <t>Mesquita</t>
  </si>
  <si>
    <t>26562031</t>
  </si>
  <si>
    <t>8 de novembro | 00:42</t>
  </si>
  <si>
    <t>8 de novembro | 20:16</t>
  </si>
  <si>
    <t>MEL44048370058LMXDF01</t>
  </si>
  <si>
    <t>2000009757185548</t>
  </si>
  <si>
    <t>6 de novembro de 2024 01:08 hs.</t>
  </si>
  <si>
    <t>Daniele Oliveira</t>
  </si>
  <si>
    <t>CPF 29366983839</t>
  </si>
  <si>
    <t>Rua Coronel José Leopoldino 963, Divinolândia - CEP: 13780000, São Paulo</t>
  </si>
  <si>
    <t>29366983839</t>
  </si>
  <si>
    <t>Rua Coronel José Leopoldino 963 / CEP 13780000 - Centro, Divinolândia, São Paulo</t>
  </si>
  <si>
    <t>Divinolândia</t>
  </si>
  <si>
    <t>13780000</t>
  </si>
  <si>
    <t>8 de novembro | 04:49</t>
  </si>
  <si>
    <t>9 de novembro | 16:57</t>
  </si>
  <si>
    <t>MEL44048037808LMXDF01</t>
  </si>
  <si>
    <t>2000009756949030</t>
  </si>
  <si>
    <t>6 de novembro de 2024 00:24 hs.</t>
  </si>
  <si>
    <t>ercy signorini da matta</t>
  </si>
  <si>
    <t>CPF 03042701646</t>
  </si>
  <si>
    <t>Alameda Agassiz Jardim 215, Lagoa Santa - CEP: 33239098, Minas Gerais</t>
  </si>
  <si>
    <t>03042701646</t>
  </si>
  <si>
    <t>Alameda Agassiz Jardim 215 / CEP 33239098 - Lundcea, Lagoa Santa, Minas Gerais</t>
  </si>
  <si>
    <t>33239098</t>
  </si>
  <si>
    <t>8 de novembro | 01:25</t>
  </si>
  <si>
    <t>8 de novembro | 19:39</t>
  </si>
  <si>
    <t>MEL44047939322LMXDF01</t>
  </si>
  <si>
    <t>2000009756445338</t>
  </si>
  <si>
    <t>5 de novembro de 2024 23:23 hs.</t>
  </si>
  <si>
    <t>Mensty  Silva</t>
  </si>
  <si>
    <t>CPF 92553320159</t>
  </si>
  <si>
    <t>Rua Jesus José de Almeida 800, Posse - CEP: 73900058, Goiás</t>
  </si>
  <si>
    <t>92553320159</t>
  </si>
  <si>
    <t>Rua Jesus José de Almeida 800 / CEP 73900058 - Augusto José Valente, Posse, Goiás</t>
  </si>
  <si>
    <t>73900058</t>
  </si>
  <si>
    <t>8 de novembro | 00:56</t>
  </si>
  <si>
    <t>11 de novembro | 13:34</t>
  </si>
  <si>
    <t>MEL44047537987LMXDF01</t>
  </si>
  <si>
    <t>2000009756448760</t>
  </si>
  <si>
    <t>5 de novembro de 2024 23:21 hs.</t>
  </si>
  <si>
    <t>Salão Cabelo E Cia Cabelo E Cia</t>
  </si>
  <si>
    <t>CPF 21271196816</t>
  </si>
  <si>
    <t>Rua Previdência 201 - salão de cabeleireir, Embu das Artes - CEP: 06813200, São Paulo</t>
  </si>
  <si>
    <t>21271196816</t>
  </si>
  <si>
    <t>Rua Previdência 201 / salão de cabeleireir Referencia: salão comercial de cabeleireiro - CEP 06813200 - Jardim Santa Tereza, Embu das Artes, São Paulo</t>
  </si>
  <si>
    <t>06813200</t>
  </si>
  <si>
    <t>9 de novembro | 14:11</t>
  </si>
  <si>
    <t>MEL44047730482LMXDF01</t>
  </si>
  <si>
    <t>2000009756122040</t>
  </si>
  <si>
    <t>5 de novembro de 2024 22:47 hs.</t>
  </si>
  <si>
    <t>Maria Aparecida da Silveira Correia</t>
  </si>
  <si>
    <t>CPF 26028668818</t>
  </si>
  <si>
    <t>AVENIDA DOUTOR EDUARDO COTCHING 831, São Paulo - CEP: 03356000, São Paulo</t>
  </si>
  <si>
    <t>26028668818</t>
  </si>
  <si>
    <t>AVENIDA DOUTOR EDUARDO COTCHING 831 / LOJA A - CEP 03356000 - Vila Formosa, São Paulo, São Paulo</t>
  </si>
  <si>
    <t>03356000</t>
  </si>
  <si>
    <t>12 de novembro | 10:25</t>
  </si>
  <si>
    <t>MEL44047396093LMXDF01</t>
  </si>
  <si>
    <t>https://myaccount.mercadolivre.com.br/shipments/44047396093/detail</t>
  </si>
  <si>
    <t>2000009756101060</t>
  </si>
  <si>
    <t>5 de novembro de 2024 22:46 hs.</t>
  </si>
  <si>
    <t>Patricia Fernandes Morlim Borges</t>
  </si>
  <si>
    <t>CPF 04318582680</t>
  </si>
  <si>
    <t>Rua Ângela Siega de Oliveira 375, Uberaba - CEP: 38073157, Minas Gerais</t>
  </si>
  <si>
    <t>04318582680</t>
  </si>
  <si>
    <t>Rua Ângela Siega de Oliveira 375 / Referencia: Antiga Rua 15 - CEP 38073157 - Conjunto Uberaba, Uberaba, Minas Gerais</t>
  </si>
  <si>
    <t>Uberaba</t>
  </si>
  <si>
    <t>38073157</t>
  </si>
  <si>
    <t>8 de novembro | 02:52</t>
  </si>
  <si>
    <t>11 de novembro | 12:35</t>
  </si>
  <si>
    <t>MEL44047588182LMXDF01</t>
  </si>
  <si>
    <t>2000009755610876</t>
  </si>
  <si>
    <t>5 de novembro de 2024 22:02 hs.</t>
  </si>
  <si>
    <t>Tatiane Garcia</t>
  </si>
  <si>
    <t>CPF 12187773620</t>
  </si>
  <si>
    <t>Travessa Felício 702 - casa, Soledade de Minas - CEP: 37478000, Minas Gerais</t>
  </si>
  <si>
    <t>12187773620</t>
  </si>
  <si>
    <t>Travessa Felício 702 / casa Referencia: casa xanddy pedreiro - CEP 37478000 - corte, Soledade de Minas, Minas Gerais</t>
  </si>
  <si>
    <t>Soledade de Minas</t>
  </si>
  <si>
    <t>37478000</t>
  </si>
  <si>
    <t>8 de novembro | 02:27</t>
  </si>
  <si>
    <t>9 de novembro | 11:19</t>
  </si>
  <si>
    <t>MEL44047381468LMXDF01</t>
  </si>
  <si>
    <t>2000009755469618</t>
  </si>
  <si>
    <t>5 de novembro de 2024 21:52 hs.</t>
  </si>
  <si>
    <t>Márcia Nunes</t>
  </si>
  <si>
    <t>CPF 29387602800</t>
  </si>
  <si>
    <t>Rua Pedro José Senger 1237, Sorocaba - CEP: 18015000, São Paulo</t>
  </si>
  <si>
    <t>29387602800</t>
  </si>
  <si>
    <t>Rua Pedro José Senger 1237 / CEP 18015000 - Vila Haro, Sorocaba, São Paulo</t>
  </si>
  <si>
    <t>18015000</t>
  </si>
  <si>
    <t>11 de novembro | 16:05</t>
  </si>
  <si>
    <t>MEL44047324278LMXDF01</t>
  </si>
  <si>
    <t>https://myaccount.mercadolivre.com.br/shipments/44047324278/detail</t>
  </si>
  <si>
    <t>2000006581130221</t>
  </si>
  <si>
    <t>5 de novembro de 2024 21:40 hs.</t>
  </si>
  <si>
    <t>Natalia Peixoto de Lima de Angelis</t>
  </si>
  <si>
    <t>CPF 33975619813</t>
  </si>
  <si>
    <t>Rodovia Oswaldo Cruz SN SN, Taubaté - CEP: 12096010, São Paulo</t>
  </si>
  <si>
    <t>33975619813</t>
  </si>
  <si>
    <t>Rodovia Oswaldo Cruz SN / KM11 Referencia: Entrada depois do campo de futebol, no armazém N. Sra Piedade. Seguir as placas do Restaurante Caseh. Segunda casa lado direito. - CEP 12096010 - Registro, Taubaté, São Paulo</t>
  </si>
  <si>
    <t>12096010</t>
  </si>
  <si>
    <t>9 de novembro | 09:41</t>
  </si>
  <si>
    <t>MEL44047274948LMXDF01</t>
  </si>
  <si>
    <t>2000009755039712</t>
  </si>
  <si>
    <t>5 de novembro de 2024 21:13 hs.</t>
  </si>
  <si>
    <t>Glauciene Moreira Dos Santos</t>
  </si>
  <si>
    <t>CPF 09940479670</t>
  </si>
  <si>
    <t>Rua Sanitária 103, Coronel Fabriciano - CEP: 35171057, Minas Gerais</t>
  </si>
  <si>
    <t>09940479670</t>
  </si>
  <si>
    <t>Rua Sanitária 103 / CEP 35171057 - Alipinho, Coronel Fabriciano, Minas Gerais</t>
  </si>
  <si>
    <t>35171057</t>
  </si>
  <si>
    <t>9 de novembro | 11:10</t>
  </si>
  <si>
    <t>MEL44046945505LMXDF01</t>
  </si>
  <si>
    <t>2000009754960850</t>
  </si>
  <si>
    <t>5 de novembro de 2024 21:05 hs.</t>
  </si>
  <si>
    <t xml:space="preserve">Diego  Da Silva Freire </t>
  </si>
  <si>
    <t>CPF 17283786724</t>
  </si>
  <si>
    <t>Avenida Independência 27, Cabo Frio - CEP: 28925842, Rio de Janeiro</t>
  </si>
  <si>
    <t>17283786724</t>
  </si>
  <si>
    <t>Avenida Independência 27 / CEP 28925842 - Aquarius (Tamoios), Cabo Frio, Rio de Janeiro</t>
  </si>
  <si>
    <t>28925842</t>
  </si>
  <si>
    <t>8 de novembro | 00:24</t>
  </si>
  <si>
    <t>8 de novembro | 14:11</t>
  </si>
  <si>
    <t>MEL44046907991LMXDF01</t>
  </si>
  <si>
    <t>2000006580779861</t>
  </si>
  <si>
    <t>5 de novembro de 2024 20:49 hs.</t>
  </si>
  <si>
    <t>ALFREDO SOUZA Junior</t>
  </si>
  <si>
    <t>CPF 65505673430</t>
  </si>
  <si>
    <t>Rua Cinqüenta 3 - Casa, Volta Redonda - CEP: 27261040, Rio de Janeiro</t>
  </si>
  <si>
    <t>65505673430</t>
  </si>
  <si>
    <t>Rua Cinqüenta 3 / Casa - CEP 27261040 - Vila Santa Cecília, Volta Redonda, Rio de Janeiro</t>
  </si>
  <si>
    <t>27261040</t>
  </si>
  <si>
    <t>8 de novembro | 11:39</t>
  </si>
  <si>
    <t>MEL44047020268LMXDF01</t>
  </si>
  <si>
    <t>2000006580730693</t>
  </si>
  <si>
    <t>5 de novembro de 2024 20:42 hs.</t>
  </si>
  <si>
    <t>Lucimara Zavadzki</t>
  </si>
  <si>
    <t>CPF 97256412991</t>
  </si>
  <si>
    <t>Jacob nogueira 270 - unidade de saúde, Guaraniaçu - CEP: 85400000, Paraná</t>
  </si>
  <si>
    <t>97256412991</t>
  </si>
  <si>
    <t>Jacob nogueira 270 / unidade de saúde - CEP 85400000 - Jardim Planalto, Guaraniaçu, Paraná</t>
  </si>
  <si>
    <t>Guaraniaçu</t>
  </si>
  <si>
    <t>85400000</t>
  </si>
  <si>
    <t>8 de novembro | 05:53</t>
  </si>
  <si>
    <t>12 de novembro | 11:59</t>
  </si>
  <si>
    <t>MEL44046983484LMXDF01</t>
  </si>
  <si>
    <t>2000009754641526</t>
  </si>
  <si>
    <t>5 de novembro de 2024 20:38 hs.</t>
  </si>
  <si>
    <t>Cassio Ferreira da Silva</t>
  </si>
  <si>
    <t>CPF 29039199841</t>
  </si>
  <si>
    <t>Avenida Conde de Monte Cristo 915 - Casa 5, Suzano - CEP: 08670020, São Paulo</t>
  </si>
  <si>
    <t>29039199841</t>
  </si>
  <si>
    <t>Avenida Conde de Monte Cristo 915 / Casa 5 - CEP 08670020 - Jardim Monte Cristo, Suzano, São Paulo</t>
  </si>
  <si>
    <t>08670020</t>
  </si>
  <si>
    <t>9 de novembro | 14:45</t>
  </si>
  <si>
    <t>MEL44046773255LMXDF01</t>
  </si>
  <si>
    <t>2000009754571312</t>
  </si>
  <si>
    <t>5 de novembro de 2024 20:32 hs.</t>
  </si>
  <si>
    <t>Julio Cesar da Silva</t>
  </si>
  <si>
    <t>CPF 51640821953</t>
  </si>
  <si>
    <t>Rua Leopoldo Wilhelm 382, Blumenau - CEP: 89045140, Santa Catarina</t>
  </si>
  <si>
    <t>51640821953</t>
  </si>
  <si>
    <t>Rua Leopoldo Wilhelm 382 / CEP 89045140 - Velha, Blumenau, Santa Catarina</t>
  </si>
  <si>
    <t>89045140</t>
  </si>
  <si>
    <t>12 de novembro | 17:44</t>
  </si>
  <si>
    <t>MEL44046739497LMXDF01</t>
  </si>
  <si>
    <t>2000009754454444</t>
  </si>
  <si>
    <t>5 de novembro de 2024 20:21 hs.</t>
  </si>
  <si>
    <t>Edjane Barreto</t>
  </si>
  <si>
    <t>CPF 27878116806</t>
  </si>
  <si>
    <t>Rua Celso Mazzucatto 100, Sorocaba - CEP: 18055874, São Paulo</t>
  </si>
  <si>
    <t>27878116806</t>
  </si>
  <si>
    <t>Rua Celso Mazzucatto 100 / casa - CEP 18055874 - Jardim Wanel Ville IV, Sorocaba, São Paulo</t>
  </si>
  <si>
    <t>18055874</t>
  </si>
  <si>
    <t>9 de novembro | 17:25</t>
  </si>
  <si>
    <t>MEL44046687095LMXDF01</t>
  </si>
  <si>
    <t>2000009754448994</t>
  </si>
  <si>
    <t>5 de novembro de 2024 20:20 hs.</t>
  </si>
  <si>
    <t>Thais Silva Santos</t>
  </si>
  <si>
    <t>CPF 06627312557</t>
  </si>
  <si>
    <t>Rua Amântino Francisco da Silva 584 - casa, Palhoça - CEP: 88132850, Santa Catarina</t>
  </si>
  <si>
    <t>06627312557</t>
  </si>
  <si>
    <t>Rua Amântino Francisco da Silva 584 / casa - CEP 88132850 - Bela Vista, Palhoça, Santa Catarina</t>
  </si>
  <si>
    <t>88132850</t>
  </si>
  <si>
    <t>8 de novembro | 05:52</t>
  </si>
  <si>
    <t>9 de novembro | 18:54</t>
  </si>
  <si>
    <t>MEL44046684359LMXDF01</t>
  </si>
  <si>
    <t>2000009754354096</t>
  </si>
  <si>
    <t>5 de novembro de 2024 20:11 hs.</t>
  </si>
  <si>
    <t>Cristerson Barcellos</t>
  </si>
  <si>
    <t>CPF 32419814878</t>
  </si>
  <si>
    <t>Rua Noite Ilustrada 83, Campinas - CEP: 13054572, São Paulo</t>
  </si>
  <si>
    <t>32419814878</t>
  </si>
  <si>
    <t>Rua Noite Ilustrada 83 / CEP 13054572 - Dic V (Conjunto Habitacional Chico Mendes), Campinas, São Paulo</t>
  </si>
  <si>
    <t>13054572</t>
  </si>
  <si>
    <t>9 de novembro | 10:09</t>
  </si>
  <si>
    <t>MEL44046832958LMXDF01</t>
  </si>
  <si>
    <t>2000009754250874</t>
  </si>
  <si>
    <t>5 de novembro de 2024 20:03 hs.</t>
  </si>
  <si>
    <t>Nifla Soares</t>
  </si>
  <si>
    <t>CPF 00534230709</t>
  </si>
  <si>
    <t>Rua Dimas Alves dos Santos 10 - Pro dentário, Pedro Canário - CEP: 29970000, Espírito Santo</t>
  </si>
  <si>
    <t>00534230709</t>
  </si>
  <si>
    <t>Rua Dimas Alves dos Santos 10 / Pro dentário Referencia: Pró dentária - CEP 29970000 - Pedro Canário, Pedro Canário, Espírito Santo</t>
  </si>
  <si>
    <t>Pedro Canário</t>
  </si>
  <si>
    <t>29970000</t>
  </si>
  <si>
    <t>8 de novembro | 05:57</t>
  </si>
  <si>
    <t>9 de novembro | 15:09</t>
  </si>
  <si>
    <t>MEL44046597585LMXDF01</t>
  </si>
  <si>
    <t>2000009754020154</t>
  </si>
  <si>
    <t>5 de novembro de 2024 19:44 hs.</t>
  </si>
  <si>
    <t>Leandro HEINZ</t>
  </si>
  <si>
    <t>CPF 00575037962</t>
  </si>
  <si>
    <t>Rua Augusto Wolf 1207 - casa, Lontras - CEP: 89182000, Santa Catarina</t>
  </si>
  <si>
    <t>00575037962</t>
  </si>
  <si>
    <t>Rua Augusto Wolf 1207 / casa Referencia: casa de madeira - CEP 89182000 - Firma Haul, Lontras, Santa Catarina</t>
  </si>
  <si>
    <t>Lontras</t>
  </si>
  <si>
    <t>89182000</t>
  </si>
  <si>
    <t>7 de novembro | 05:37</t>
  </si>
  <si>
    <t>11 de novembro | 11:17</t>
  </si>
  <si>
    <t>MEL44046494011LMXDF01</t>
  </si>
  <si>
    <t>2000009753642388</t>
  </si>
  <si>
    <t>5 de novembro de 2024 19:08 hs.</t>
  </si>
  <si>
    <t>Roseli Dos Anjos Miranda</t>
  </si>
  <si>
    <t>CPF 10624721876</t>
  </si>
  <si>
    <t>Rua Caçaquera 74, São Paulo - CEP: 03412030, São Paulo</t>
  </si>
  <si>
    <t>10624721876</t>
  </si>
  <si>
    <t>Rua Caçaquera 74 / TERREO - CEP 03412030 - Tatuapé, São Paulo, São Paulo</t>
  </si>
  <si>
    <t>03412030</t>
  </si>
  <si>
    <t>7 de novembro | 04:46</t>
  </si>
  <si>
    <t>11 de novembro | 16:06</t>
  </si>
  <si>
    <t>MEL44046328303LMXDF01</t>
  </si>
  <si>
    <t>https://myaccount.mercadolivre.com.br/shipments/44046328303/detail</t>
  </si>
  <si>
    <t>2000006580110683</t>
  </si>
  <si>
    <t>5 de novembro de 2024 19:05 hs.</t>
  </si>
  <si>
    <t>Ingrid Machado</t>
  </si>
  <si>
    <t>CPF 06120710060</t>
  </si>
  <si>
    <t>Avenida Assis Brasil 4320 - cantina pastasciutta, Porto Alegre - CEP: 91110000, Rio Grande do Sul</t>
  </si>
  <si>
    <t>06120710060</t>
  </si>
  <si>
    <t>Avenida Assis Brasil 4320 / cantina pastasciutta Referencia: cantina pastasciutta loja 7 - CEP 91110000 - São Sebastião, Porto Alegre, Rio Grande do Sul</t>
  </si>
  <si>
    <t>91110000</t>
  </si>
  <si>
    <t>7 de novembro | 05:39</t>
  </si>
  <si>
    <t>11 de novembro | 12:27</t>
  </si>
  <si>
    <t>MEL44046313247LMXDF01</t>
  </si>
  <si>
    <t>2000009753552512</t>
  </si>
  <si>
    <t>5 de novembro de 2024 18:58 hs.</t>
  </si>
  <si>
    <t>Maria Aparecida de Lacerda</t>
  </si>
  <si>
    <t>CPF 04561668829</t>
  </si>
  <si>
    <t>Avenida João Batista de Toledo 282 - Casa 3, São Paulo - CEP: 03895000, São Paulo</t>
  </si>
  <si>
    <t>04561668829</t>
  </si>
  <si>
    <t>Avenida João Batista de Toledo 282 / Casa 3 - CEP 03895000 - Jardim Soraia, São Paulo, São Paulo</t>
  </si>
  <si>
    <t>03895000</t>
  </si>
  <si>
    <t>7 de novembro | 04:45</t>
  </si>
  <si>
    <t>8 de novembro | 14:23</t>
  </si>
  <si>
    <t>MEL44046480834LMXDF01</t>
  </si>
  <si>
    <t>2000009753070110</t>
  </si>
  <si>
    <t>5 de novembro de 2024 18:14 hs.</t>
  </si>
  <si>
    <t>Marcelo Augusto Ferreira</t>
  </si>
  <si>
    <t>CPF 33617597149</t>
  </si>
  <si>
    <t>Rua Mary Dalva França Tavares 196, Uberlândia - CEP: 38421639, Minas Gerais</t>
  </si>
  <si>
    <t>33617597149</t>
  </si>
  <si>
    <t>Rua Mary Dalva França Tavares 196 / CEP 38421639 - Residencial Lago Azul, Uberlândia, Minas Gerais</t>
  </si>
  <si>
    <t>38421639</t>
  </si>
  <si>
    <t>7 de novembro | 02:53</t>
  </si>
  <si>
    <t>9 de novembro | 10:28</t>
  </si>
  <si>
    <t>MEL44046072039LMXDF01</t>
  </si>
  <si>
    <t>2000006579687677</t>
  </si>
  <si>
    <t>5 de novembro de 2024 17:54 hs.</t>
  </si>
  <si>
    <t>Gezirlandia Alves Pereira</t>
  </si>
  <si>
    <t>CPF 27117009845</t>
  </si>
  <si>
    <t>Avenida Giustiniano Borin 900 - apartamento L 22, Jundiaí - CEP: 13218620, São Paulo</t>
  </si>
  <si>
    <t>27117009845</t>
  </si>
  <si>
    <t>Avenida Giustiniano Borin 900 / apartamento L 22 Referencia: prédios cor de Rosa - CEP 13218620 - Caxambu, Jundiaí, São Paulo</t>
  </si>
  <si>
    <t>13218620</t>
  </si>
  <si>
    <t>9 de novembro | 11:56</t>
  </si>
  <si>
    <t>MEL44045978177LMXDF01</t>
  </si>
  <si>
    <t>2000009752817886</t>
  </si>
  <si>
    <t>5 de novembro de 2024 17:52 hs.</t>
  </si>
  <si>
    <t>Jurema Helena Nazario</t>
  </si>
  <si>
    <t>CPF 67086543004</t>
  </si>
  <si>
    <t>RUA GRECIA 1277, Eldorado do Sul - CEP: 92990000, Rio Grande do Sul</t>
  </si>
  <si>
    <t>67086543004</t>
  </si>
  <si>
    <t>RUA GRECIA 1277 / CEP 92990000 - Centro Novo, Eldorado do Sul, Rio Grande do Sul</t>
  </si>
  <si>
    <t>Eldorado do Sul</t>
  </si>
  <si>
    <t>92990000</t>
  </si>
  <si>
    <t>12 de novembro | 13:49</t>
  </si>
  <si>
    <t>MEL44045962297LMXDF01</t>
  </si>
  <si>
    <t>https://myaccount.mercadolivre.com.br/shipments/44045962297/detail</t>
  </si>
  <si>
    <t>2000009741121378</t>
  </si>
  <si>
    <t>5 de novembro de 2024 17:37 hs.</t>
  </si>
  <si>
    <t>Alexandro Ladislau Dos Santos</t>
  </si>
  <si>
    <t>CPF 10385953712</t>
  </si>
  <si>
    <t>rua projetada 2 466 - quadra 1 lote 8, Jaguaré - CEP: 29950000, Espírito Santo</t>
  </si>
  <si>
    <t>10385953712</t>
  </si>
  <si>
    <t>rua projetada 2 466 / quadra 1 lote 8 Referencia: antigo hortao casa verde na frente da casa tem uma lixeira da prefeitura, procurar por carleandra ou Alex vigia da escola do nov - CEP 29950000 - novo tempo, Jaguaré, Espírito Santo</t>
  </si>
  <si>
    <t>Jaguaré</t>
  </si>
  <si>
    <t>29950000</t>
  </si>
  <si>
    <t>9 de novembro | 09:06</t>
  </si>
  <si>
    <t>MEL44040735007LMXDF01</t>
  </si>
  <si>
    <t>2000009752338228</t>
  </si>
  <si>
    <t>5 de novembro de 2024 17:02 hs.</t>
  </si>
  <si>
    <t>Kate Mendes Da Silva Pita</t>
  </si>
  <si>
    <t>CPF 00160142512</t>
  </si>
  <si>
    <t>Avenida Ayrton Senna da Silva 7671 - d45, Feira de Santana - CEP: 44059125, Bahia</t>
  </si>
  <si>
    <t>00160142512</t>
  </si>
  <si>
    <t>Avenida Ayrton Senna da Silva 7671 / d45 Referencia: condomínio viva mais avenida d45 , em frente ao cemitério são João Batista - CEP 44059125 - Papagaio, Feira de Santana, Bahia</t>
  </si>
  <si>
    <t>44059125</t>
  </si>
  <si>
    <t>11 de novembro | 08:49</t>
  </si>
  <si>
    <t>MEL44045730949LMXDF01</t>
  </si>
  <si>
    <t>2000006578942211</t>
  </si>
  <si>
    <t>5 de novembro de 2024 16:00 hs.</t>
  </si>
  <si>
    <t>Rodrigo Marcorin</t>
  </si>
  <si>
    <t>CPF 31549392883</t>
  </si>
  <si>
    <t>Avenida José Hoffmann 952, Sumaré - CEP: 13178550, São Paulo</t>
  </si>
  <si>
    <t>31549392883</t>
  </si>
  <si>
    <t>Avenida José Hoffmann 952 / CEP 13178550 - Residencial Real Parque Sumaré, Sumaré, São Paulo</t>
  </si>
  <si>
    <t>13178550</t>
  </si>
  <si>
    <t>8 de novembro | 04:50</t>
  </si>
  <si>
    <t>9 de novembro | 09:26</t>
  </si>
  <si>
    <t>MEL44045593222LMXDF01</t>
  </si>
  <si>
    <t>2000009751483904</t>
  </si>
  <si>
    <t>5 de novembro de 2024 15:47 hs.</t>
  </si>
  <si>
    <t>Selma Alves de Franca Sebastiao</t>
  </si>
  <si>
    <t>CPF 27071843813</t>
  </si>
  <si>
    <t>Rua José Vieira dos Santos 564 - bloco 12 AP 12, Sumaré - CEP: 13178724, São Paulo</t>
  </si>
  <si>
    <t>27071843813</t>
  </si>
  <si>
    <t>Rua José Vieira dos Santos 564 / bloco 12 AP 12 Referencia: Condomínio Porto feliz - CEP 13178724 - Jardim Recanto dos Sonhos, Sumaré, São Paulo</t>
  </si>
  <si>
    <t>13178724</t>
  </si>
  <si>
    <t>10 de novembro | 10:50</t>
  </si>
  <si>
    <t>MEL44045335449LMXDF01</t>
  </si>
  <si>
    <t>2000006578747939</t>
  </si>
  <si>
    <t>5 de novembro de 2024 15:31 hs.</t>
  </si>
  <si>
    <t>12 de novembro | 19:35</t>
  </si>
  <si>
    <t>MEL44045253571LMXDF01</t>
  </si>
  <si>
    <t>2000009751153980</t>
  </si>
  <si>
    <t>5 de novembro de 2024 15:19 hs.</t>
  </si>
  <si>
    <t>Antonio Goncalves Pereira</t>
  </si>
  <si>
    <t>CPF 51279754168</t>
  </si>
  <si>
    <t>Rua Floresta 1151, Buritis - CEP: 38660000, Minas Gerais</t>
  </si>
  <si>
    <t>51279754168</t>
  </si>
  <si>
    <t>Rua Floresta 1151 / Centro - CEP 38660000 - Buritis, Buritis, Minas Gerais</t>
  </si>
  <si>
    <t>Buritis</t>
  </si>
  <si>
    <t>38660000</t>
  </si>
  <si>
    <t>9 de novembro | 00:54</t>
  </si>
  <si>
    <t>12 de novembro | 11:55</t>
  </si>
  <si>
    <t>MEL44045383374LMXDF01</t>
  </si>
  <si>
    <t>2000009750907810</t>
  </si>
  <si>
    <t>5 de novembro de 2024 14:57 hs.</t>
  </si>
  <si>
    <t>Evaldo Jorge Leite</t>
  </si>
  <si>
    <t>CPF 04843703168</t>
  </si>
  <si>
    <t>Rua São Teodoro 432, São Paulo - CEP: 08290005, São Paulo</t>
  </si>
  <si>
    <t>04843703168</t>
  </si>
  <si>
    <t>Rua São Teodoro 432 / Apt 72B - CEP 08290005 - Vila Carmosina, São Paulo, São Paulo</t>
  </si>
  <si>
    <t>08290005</t>
  </si>
  <si>
    <t>12 de novembro | 11:24</t>
  </si>
  <si>
    <t>MEL44045071773LMXDF01</t>
  </si>
  <si>
    <t>2000009750884854</t>
  </si>
  <si>
    <t>5 de novembro de 2024 14:54 hs.</t>
  </si>
  <si>
    <t>Pablo Adonias da Silva Garcia</t>
  </si>
  <si>
    <t>CPF 30325802858</t>
  </si>
  <si>
    <t>Rua Belém 31, Santa Bárbara D'Oeste - CEP: 13454420, São Paulo</t>
  </si>
  <si>
    <t>30325802858</t>
  </si>
  <si>
    <t>Rua Belém 31 / CEP 13454420 - Cidade Nova, Santa Bárbara D'Oeste, São Paulo</t>
  </si>
  <si>
    <t>13454420</t>
  </si>
  <si>
    <t>10 de novembro | 12:01</t>
  </si>
  <si>
    <t>MEL44045250296LMXDF01</t>
  </si>
  <si>
    <t>2000009750822140</t>
  </si>
  <si>
    <t>5 de novembro de 2024 14:49 hs.</t>
  </si>
  <si>
    <t>Laura Luiza Schneider Rinaldi</t>
  </si>
  <si>
    <t>CPF 02790555958</t>
  </si>
  <si>
    <t>Rua Atayde Manoel de Mattos 21 - casa, São Sebastião - CEP: 11618375, São Paulo</t>
  </si>
  <si>
    <t>02790555958</t>
  </si>
  <si>
    <t>Rua Atayde Manoel de Mattos 21 / casa Referencia: primeira entrada esquerda depois do material de construção Circulo Maior - CEP 11618375 - Boiçucanga, São Sebastião, São Paulo</t>
  </si>
  <si>
    <t>11618375</t>
  </si>
  <si>
    <t>10 de novembro | 18:49</t>
  </si>
  <si>
    <t>MEL44045026567LMXDF01</t>
  </si>
  <si>
    <t>2000009750808596</t>
  </si>
  <si>
    <t>5 de novembro de 2024 14:48 hs.</t>
  </si>
  <si>
    <t>Zuleide Muniz de Souza</t>
  </si>
  <si>
    <t>CPF 01971413402</t>
  </si>
  <si>
    <t>Pau Brasil 11, Maragogi - CEP: 57955000, Alagoas</t>
  </si>
  <si>
    <t>01971413402</t>
  </si>
  <si>
    <t>Pau Brasil 11 / Referencia: peixe do baú  á sexta rua do lado esquerdo casa número 11 - CEP 57955000 - LT POUSADA São QD11 LT1 POVO PEROBA, Maragogi, Alagoas</t>
  </si>
  <si>
    <t>Maragogi</t>
  </si>
  <si>
    <t>57955000</t>
  </si>
  <si>
    <t>11 de novembro | 15:07</t>
  </si>
  <si>
    <t>MEL44045021855LMXDF01</t>
  </si>
  <si>
    <t>2000009750788506</t>
  </si>
  <si>
    <t>5 de novembro de 2024 14:46 hs.</t>
  </si>
  <si>
    <t>Deusilene Alcantara Souza Ferreira</t>
  </si>
  <si>
    <t>CPF 80931880297</t>
  </si>
  <si>
    <t>Rua Nossa Senhora Aparecida 1212, Dom Eliseu - CEP: 68633000, Pará</t>
  </si>
  <si>
    <t>80931880297</t>
  </si>
  <si>
    <t>Rua Nossa Senhora Aparecida 1212 / Referencia: casa de muro arredondado nas cores amarelo, laranja e azul, a duas casas da esquina - CEP 68633000 - centro, Dom Eliseu, Pará</t>
  </si>
  <si>
    <t>MEL44045010689LMXDF01</t>
  </si>
  <si>
    <t>2000006578373833</t>
  </si>
  <si>
    <t>5 de novembro de 2024 14:38 hs.</t>
  </si>
  <si>
    <t xml:space="preserve">sebastiana pires </t>
  </si>
  <si>
    <t>CPF 07386814585</t>
  </si>
  <si>
    <t>Sílvio dias pires 137 - Academia, Jacobina - CEP: 44700000, Bahia</t>
  </si>
  <si>
    <t>07386814585</t>
  </si>
  <si>
    <t>Sílvio dias pires 137 / Academia - CEP 44700000 - Peru, Jacobina, Bahia</t>
  </si>
  <si>
    <t>9 de novembro | 02:51</t>
  </si>
  <si>
    <t>12 de novembro | 15:21</t>
  </si>
  <si>
    <t>MEL44044972371LMXDF01</t>
  </si>
  <si>
    <t>2000009750687730</t>
  </si>
  <si>
    <t>2000009750683948</t>
  </si>
  <si>
    <t>2000009750696812</t>
  </si>
  <si>
    <t>2000009750611280</t>
  </si>
  <si>
    <t>5 de novembro de 2024 14:32 hs.</t>
  </si>
  <si>
    <t>Sueli Ernestina Couto Costa</t>
  </si>
  <si>
    <t>CPF 45738920953</t>
  </si>
  <si>
    <t>Rua Irene Sermann 91, Curitiba - CEP: 82950300, Paraná</t>
  </si>
  <si>
    <t>45738920953</t>
  </si>
  <si>
    <t>Rua Irene Sermann 91 / casa - CEP 82950300 - Cajuru, Curitiba, Paraná</t>
  </si>
  <si>
    <t>82950300</t>
  </si>
  <si>
    <t>10 de novembro | 12:37</t>
  </si>
  <si>
    <t>MEL44045129014LMXDF01</t>
  </si>
  <si>
    <t>2000009750360324</t>
  </si>
  <si>
    <t>5 de novembro de 2024 14:09 hs.</t>
  </si>
  <si>
    <t>Paloma Marcolino dos santos figueira</t>
  </si>
  <si>
    <t>CPF 12224397780</t>
  </si>
  <si>
    <t>Travessa Eunice 6 - Rua Miguel Machado, Rio de Janeiro - CEP: 23530092, Rio de Janeiro</t>
  </si>
  <si>
    <t>12224397780</t>
  </si>
  <si>
    <t>Travessa Eunice 6 / Rua Miguel Machado - CEP 23530092 - Sepetiba, Rio de Janeiro, Rio de Janeiro</t>
  </si>
  <si>
    <t>23530092</t>
  </si>
  <si>
    <t>10 de novembro | 12:07</t>
  </si>
  <si>
    <t>MEL44045011534LMXDF01</t>
  </si>
  <si>
    <t>2000009750325950</t>
  </si>
  <si>
    <t>5 de novembro de 2024 14:08 hs.</t>
  </si>
  <si>
    <t>Robson Jose Rodrigues Queiroz</t>
  </si>
  <si>
    <t>CPF 31395755809</t>
  </si>
  <si>
    <t>Rua José Gonçalves 180, São Paulo - CEP: 05727250, São Paulo</t>
  </si>
  <si>
    <t>31395755809</t>
  </si>
  <si>
    <t>Rua José Gonçalves 180 / CEP 05727250 - Vila Andrade, São Paulo, São Paulo</t>
  </si>
  <si>
    <t>05727250</t>
  </si>
  <si>
    <t>10 de novembro | 15:17</t>
  </si>
  <si>
    <t>MEL44045005686LMXDF01</t>
  </si>
  <si>
    <t>2000006578074401</t>
  </si>
  <si>
    <t>5 de novembro de 2024 13:58 hs.</t>
  </si>
  <si>
    <t>Ransley Sena</t>
  </si>
  <si>
    <t>CPF 33126202870</t>
  </si>
  <si>
    <t>VIA EXPRESSA MAURI SEBASTIÃO BARUFI 1570, Jandira - CEP: 06626170, São Paulo</t>
  </si>
  <si>
    <t>33126202870</t>
  </si>
  <si>
    <t>VIA EXPRESSA MAURI SEBASTIÃO BARUFI 1570 / Loja 4  Referencia: dentro do Lopes Supermercados - CEP 06626170 - Vila Mercedes, Jandira, São Paulo</t>
  </si>
  <si>
    <t>Jandira</t>
  </si>
  <si>
    <t>06626170</t>
  </si>
  <si>
    <t>12 de novembro | 15:17</t>
  </si>
  <si>
    <t>MEL44044749795LMXDF01</t>
  </si>
  <si>
    <t>https://myaccount.mercadolivre.com.br/shipments/44044749795/detail</t>
  </si>
  <si>
    <t>2000009750204732</t>
  </si>
  <si>
    <t>2000009750212084</t>
  </si>
  <si>
    <t>2000009750187954</t>
  </si>
  <si>
    <t>5 de novembro de 2024 13:56 hs.</t>
  </si>
  <si>
    <t>Chegará entre 20 e 27 de dezembro. Se houver algum problema, você pode nos avisar quando receber.</t>
  </si>
  <si>
    <t>Rosa Maria Barbosa</t>
  </si>
  <si>
    <t>CPF 31569984867</t>
  </si>
  <si>
    <t>Rua Marina Geralda Gonzalez 23 - residencia, Itaberá - CEP: 18440000, São Paulo</t>
  </si>
  <si>
    <t>31569984867</t>
  </si>
  <si>
    <t>9 de dezembro | 11:20</t>
  </si>
  <si>
    <t>AK771848227BR</t>
  </si>
  <si>
    <t>2000009750155342</t>
  </si>
  <si>
    <t>5 de novembro de 2024 13:54 hs.</t>
  </si>
  <si>
    <t>Rosângela Siqueira Lima Russo</t>
  </si>
  <si>
    <t>CPF 12575133890</t>
  </si>
  <si>
    <t>Estrada São Judas 190 - G18 A ap 73, Embu das Artes - CEP: 06817170, São Paulo</t>
  </si>
  <si>
    <t>12575133890</t>
  </si>
  <si>
    <t>Estrada São Judas 190 / G18 A ap 73 Referencia: Residencial Parque Firenze - CEP 06817170 - Parque Esplanada, Embu das Artes, São Paulo</t>
  </si>
  <si>
    <t>06817170</t>
  </si>
  <si>
    <t>MEL44044924226LMXDF01</t>
  </si>
  <si>
    <t>2000009750123290</t>
  </si>
  <si>
    <t>5 de novembro de 2024 13:51 hs.</t>
  </si>
  <si>
    <t>Lucas Xavier</t>
  </si>
  <si>
    <t>CPF 04455293000</t>
  </si>
  <si>
    <t>Avenida João Pessoa 75 - 423, Porto Alegre - CEP: 90040000, Rio Grande do Sul</t>
  </si>
  <si>
    <t>04455293000</t>
  </si>
  <si>
    <t>Avenida João Pessoa 75 / 423 - CEP 90040000 - Centro Histórico, Porto Alegre, Rio Grande do Sul</t>
  </si>
  <si>
    <t>11 de novembro | 15:19</t>
  </si>
  <si>
    <t>MEL44044910778LMXDF01</t>
  </si>
  <si>
    <t>2000009750025424</t>
  </si>
  <si>
    <t>5 de novembro de 2024 13:42 hs.</t>
  </si>
  <si>
    <t>Daiane  Corrá</t>
  </si>
  <si>
    <t>CPF 12659098735</t>
  </si>
  <si>
    <t>Rua Filgueiras Lima 20, Rio de Janeiro - CEP: 20950050, Rio de Janeiro</t>
  </si>
  <si>
    <t>12659098735</t>
  </si>
  <si>
    <t>Rua Filgueiras Lima 20 / Apt 202 Referencia: Prix do Riachuelo - CEP 20950050 - Riachuelo, Rio de Janeiro, Rio de Janeiro</t>
  </si>
  <si>
    <t>20950050</t>
  </si>
  <si>
    <t>8 de novembro | 23:54</t>
  </si>
  <si>
    <t>9 de novembro | 19:07</t>
  </si>
  <si>
    <t>MEL44044675621LMXDF01</t>
  </si>
  <si>
    <t>2000009749582450</t>
  </si>
  <si>
    <t>5 de novembro de 2024 13:03 hs.</t>
  </si>
  <si>
    <t>Luzilandy Rodrigues De Almeida</t>
  </si>
  <si>
    <t>CPF 08705994705</t>
  </si>
  <si>
    <t>Rua Canudeiro 97 - A, Manaus - CEP: 69093127, Amazonas</t>
  </si>
  <si>
    <t>08705994705</t>
  </si>
  <si>
    <t>Rua Canudeiro 97 / A Referencia: Caso não haja ninguém em casa pode entregar na casa ao lado (cor alaranjada) de número 97 para Sra. Elizabeth ou sr. Natã. - CEP 69093127 - Monte das Oliveiras, Manaus, Amazonas</t>
  </si>
  <si>
    <t>69093127</t>
  </si>
  <si>
    <t>11 de novembro | 15:15</t>
  </si>
  <si>
    <t>MEL44044668298LMXDF01</t>
  </si>
  <si>
    <t>2000006577550645</t>
  </si>
  <si>
    <t>5 de novembro de 2024 12:41 hs.</t>
  </si>
  <si>
    <t>lucimar dias dos santos</t>
  </si>
  <si>
    <t>CPF 08528907708</t>
  </si>
  <si>
    <t>Rua do Mangalô 519 - apto 704, Salvador - CEP: 41680048, Bahia</t>
  </si>
  <si>
    <t>08528907708</t>
  </si>
  <si>
    <t>Rua do Mangalô 519 / apto 704 Referencia: Ed. alta vista patamares - CEP 41680048 - Patamares, Salvador, Bahia</t>
  </si>
  <si>
    <t>41680048</t>
  </si>
  <si>
    <t>12 de novembro | 15:54</t>
  </si>
  <si>
    <t>MEL44044550958LMXDF01</t>
  </si>
  <si>
    <t>2000009749304752</t>
  </si>
  <si>
    <t>5 de novembro de 2024 12:39 hs.</t>
  </si>
  <si>
    <t>Roseli da Silva Santos</t>
  </si>
  <si>
    <t>CPF 01251882773</t>
  </si>
  <si>
    <t>Rua Padre Roma 525 - blo.2 apto 201, Rio de Janeiro - CEP: 20710270, Rio de Janeiro</t>
  </si>
  <si>
    <t>01251882773</t>
  </si>
  <si>
    <t>Rua Padre Roma 525 / blo.2 apto 201 - CEP 20710270 - Engenho Novo, Rio de Janeiro, Rio de Janeiro</t>
  </si>
  <si>
    <t>20710270</t>
  </si>
  <si>
    <t>9 de novembro | 17:16</t>
  </si>
  <si>
    <t>MEL44044350519LMXDF01</t>
  </si>
  <si>
    <t>2000006577435585</t>
  </si>
  <si>
    <t>5 de novembro de 2024 12:23 hs.</t>
  </si>
  <si>
    <t>Andreia Vanice</t>
  </si>
  <si>
    <t>CPF 02525342631</t>
  </si>
  <si>
    <t>Rua Maria Cecília 120 - casa 02, Contagem - CEP: 32042480, Minas Gerais</t>
  </si>
  <si>
    <t>02525342631</t>
  </si>
  <si>
    <t>Rua Maria Cecília 120 / casa 02 - CEP 32042480 - Alvorada, Contagem, Minas Gerais</t>
  </si>
  <si>
    <t>32042480</t>
  </si>
  <si>
    <t>9 de novembro | 02:55</t>
  </si>
  <si>
    <t>11 de novembro | 15:12</t>
  </si>
  <si>
    <t>MEL44044270809LMXDF01</t>
  </si>
  <si>
    <t>2000009749124050</t>
  </si>
  <si>
    <t>Rubia Celia Massena</t>
  </si>
  <si>
    <t>CPF 74074911787</t>
  </si>
  <si>
    <t>Rua Mário Agostinelli 100 - Bl.1  Apt 803, Rio de Janeiro - CEP: 22775046, Rio de Janeiro</t>
  </si>
  <si>
    <t>74074911787</t>
  </si>
  <si>
    <t>Rua Mário Agostinelli 100 / Bl.1  Apt 803 - CEP 22775046 - Barra Olímpica, Rio de Janeiro, Rio de Janeiro</t>
  </si>
  <si>
    <t>22775046</t>
  </si>
  <si>
    <t>9 de novembro | 02:22</t>
  </si>
  <si>
    <t>9 de novembro | 17:00</t>
  </si>
  <si>
    <t>MEL44044462294LMXDF01</t>
  </si>
  <si>
    <t>2000009749090328</t>
  </si>
  <si>
    <t>5 de novembro de 2024 12:20 hs.</t>
  </si>
  <si>
    <t>Jaqueline  Guedes</t>
  </si>
  <si>
    <t>CPF 83955836568</t>
  </si>
  <si>
    <t>Januario Ribeiro Da Silva 78 - Casa, São Sebastião Do Passé - CEP: 43850000, Bahia</t>
  </si>
  <si>
    <t>83955836568</t>
  </si>
  <si>
    <t>Januario ribeiro da silva 78 / Casa - CEP 43850000 - Jaime menezes, São Sebastião do Passé, Bahia</t>
  </si>
  <si>
    <t>São Sebastião do Passé</t>
  </si>
  <si>
    <t>43850000</t>
  </si>
  <si>
    <t>12 de novembro | 17:01</t>
  </si>
  <si>
    <t>MEL44044253399LMXDF01</t>
  </si>
  <si>
    <t>2000009748927630</t>
  </si>
  <si>
    <t>5 de novembro de 2024 12:18 hs.</t>
  </si>
  <si>
    <t>Maria Elena Teixeira de Oliveira</t>
  </si>
  <si>
    <t>CPF 56234244068</t>
  </si>
  <si>
    <t>Rua Escócia 128, Porto Alegre - CEP: 91787262, Rio Grande do Sul</t>
  </si>
  <si>
    <t>56234244068</t>
  </si>
  <si>
    <t>Rua Escócia 128 / CEP 91787262 - Belém Velho, Porto Alegre, Rio Grande do Sul</t>
  </si>
  <si>
    <t>91787262</t>
  </si>
  <si>
    <t>11 de novembro | 17:38</t>
  </si>
  <si>
    <t>MEL44044189107LMXDF01</t>
  </si>
  <si>
    <t>2000009748598318</t>
  </si>
  <si>
    <t>5 de novembro de 2024 11:36 hs.</t>
  </si>
  <si>
    <t>Manuela Arrais Zappacosta</t>
  </si>
  <si>
    <t>CPF 31545326843</t>
  </si>
  <si>
    <t>Rua Paulo Senhorini 652, Pirassununga - CEP: 13643305, São Paulo</t>
  </si>
  <si>
    <t>31545326843</t>
  </si>
  <si>
    <t>Rua Paulo Senhorini 652 / CEP 13643305 - Jardim Terras de San José, Pirassununga, São Paulo</t>
  </si>
  <si>
    <t>13643305</t>
  </si>
  <si>
    <t>10 de novembro | 17:20</t>
  </si>
  <si>
    <t>MEL44044037425LMXDF01</t>
  </si>
  <si>
    <t>2000009748580064</t>
  </si>
  <si>
    <t>5 de novembro de 2024 11:34 hs.</t>
  </si>
  <si>
    <t>Katianna Aparecida Soares</t>
  </si>
  <si>
    <t>CPF 03883637114</t>
  </si>
  <si>
    <t>Fernando Corrêa Da Costa 524, Pedra Preta - CEP: 78795000, Mato Grosso</t>
  </si>
  <si>
    <t>03883637114</t>
  </si>
  <si>
    <t>Fernando Corrêa Da Costa 524 / Referencia: Academia ATTOM - CEP 78795000 - Centro, Pedra Preta, Mato Grosso</t>
  </si>
  <si>
    <t>Pedra Preta</t>
  </si>
  <si>
    <t>78795000</t>
  </si>
  <si>
    <t>14 de novembro | 10:23</t>
  </si>
  <si>
    <t>MEL44044026733LMXDF01</t>
  </si>
  <si>
    <t>2000006577092523</t>
  </si>
  <si>
    <t>5 de novembro de 2024 11:32 hs.</t>
  </si>
  <si>
    <t>Nelice Langaro Tavares</t>
  </si>
  <si>
    <t>CPF 30653770987</t>
  </si>
  <si>
    <t>Rua Antônio Nouche 105, Osasco - CEP: 06070000, São Paulo</t>
  </si>
  <si>
    <t>30653770987</t>
  </si>
  <si>
    <t>Rua Antônio Nouche 105 / Casa - CEP 06070000 - Bela Vista, Osasco, São Paulo</t>
  </si>
  <si>
    <t>06070000</t>
  </si>
  <si>
    <t>10 de novembro | 13:12</t>
  </si>
  <si>
    <t>MEL44044207054LMXDF01</t>
  </si>
  <si>
    <t>2000009748502078</t>
  </si>
  <si>
    <t>5 de novembro de 2024 11:28 hs.</t>
  </si>
  <si>
    <t>Luciane Santana Jorge de Souza</t>
  </si>
  <si>
    <t>CPF 68805454591</t>
  </si>
  <si>
    <t>RUA GOIANÉSIA 739, Sumaré - CEP: 13178030, São Paulo</t>
  </si>
  <si>
    <t>68805454591</t>
  </si>
  <si>
    <t>RUA GOIANÉSIA 739 / CEP 13178030 - Jardim Dallorto, Sumaré, São Paulo</t>
  </si>
  <si>
    <t>13178030</t>
  </si>
  <si>
    <t>16 de novembro | 09:49</t>
  </si>
  <si>
    <t>MEL44044187330LMXDF01</t>
  </si>
  <si>
    <t>https://myaccount.mercadolivre.com.br/shipments/44044187330/detail</t>
  </si>
  <si>
    <t>2000009748426484</t>
  </si>
  <si>
    <t>5 de novembro de 2024 11:22 hs.</t>
  </si>
  <si>
    <t>Maria Terezinha Batalha</t>
  </si>
  <si>
    <t>CPF 80223893820</t>
  </si>
  <si>
    <t>Rua da Paz 20, Santos - CEP: 11045520, São Paulo</t>
  </si>
  <si>
    <t>80223893820</t>
  </si>
  <si>
    <t>Rua da Paz 20 / Ap Referencia: Rua Da Paz, 20 - Ap.127 - Boqueirao - Santos-Sp - CEP 11045520 - Boqueirão, Santos, São Paulo</t>
  </si>
  <si>
    <t>11045520</t>
  </si>
  <si>
    <t>10 de novembro | 15:34</t>
  </si>
  <si>
    <t>MEL44043962659LMXDF01</t>
  </si>
  <si>
    <t>2000009748396028</t>
  </si>
  <si>
    <t>5 de novembro de 2024 11:19 hs.</t>
  </si>
  <si>
    <t>Otoniel Bianchi</t>
  </si>
  <si>
    <t>CPF 53836375672</t>
  </si>
  <si>
    <t>Rua Guaporés SN, Cristalina - CEP: 73850000, Goiás</t>
  </si>
  <si>
    <t>53836375672</t>
  </si>
  <si>
    <t>Rua Guaporés SN / Q36 L01 Apto 01 Referencia: EDIFÍCIO DJANIRA (GUAPORÉS COM FLUORINA) - CEP 73850000 - SETOR SUL II, Cristalina, Goiás</t>
  </si>
  <si>
    <t>11 de novembro | 17:52</t>
  </si>
  <si>
    <t>MEL44044137536LMXDF01</t>
  </si>
  <si>
    <t>2000009748345044</t>
  </si>
  <si>
    <t>5 de novembro de 2024 11:14 hs.</t>
  </si>
  <si>
    <t>Alessandra Marsiglia Piovesan</t>
  </si>
  <si>
    <t>CPF 26216952803</t>
  </si>
  <si>
    <t>Rua Pascoal Vita 336, São Paulo - CEP: 05445000, São Paulo</t>
  </si>
  <si>
    <t>26216952803</t>
  </si>
  <si>
    <t>Rua Pascoal Vita 336 / Aptº 241 - CEP 05445000 - Vila Madalena, São Paulo, São Paulo</t>
  </si>
  <si>
    <t>05445000</t>
  </si>
  <si>
    <t>10 de novembro | 12:44</t>
  </si>
  <si>
    <t>MEL44043924155LMXDF01</t>
  </si>
  <si>
    <t>2000006576979137</t>
  </si>
  <si>
    <t>10 de novembro | 09:16</t>
  </si>
  <si>
    <t>MEL44043923723LMXDF01</t>
  </si>
  <si>
    <t>2000009748313162</t>
  </si>
  <si>
    <t>5 de novembro de 2024 11:12 hs.</t>
  </si>
  <si>
    <t>Jacy Costa de Oliveira Oliveira</t>
  </si>
  <si>
    <t>CPF 17733049091</t>
  </si>
  <si>
    <t>rua 7 setembro 107 - apartamento 301, Mutum - CEP: 36955000, Minas Gerais</t>
  </si>
  <si>
    <t>17733049091</t>
  </si>
  <si>
    <t>rua 7 setembro 107 / apartamento 301 Referencia: enfrente escritório 
 Copasa - CEP 36955000 - centro, Mutum, Minas Gerais</t>
  </si>
  <si>
    <t>Mutum</t>
  </si>
  <si>
    <t>36955000</t>
  </si>
  <si>
    <t>8 de novembro | 03:53</t>
  </si>
  <si>
    <t>9 de novembro | 16:23</t>
  </si>
  <si>
    <t>MEL44043913107LMXDF01</t>
  </si>
  <si>
    <t>2000009748258858</t>
  </si>
  <si>
    <t>5 de novembro de 2024 11:08 hs.</t>
  </si>
  <si>
    <t>Rita de Cássia Gomes Oliveira da Rocha</t>
  </si>
  <si>
    <t>CPF 26163601874</t>
  </si>
  <si>
    <t>26163601874</t>
  </si>
  <si>
    <t>Avenida Presidente João Goulart 2 / ED. Flórida apto 56 - CEP 06036048 - Umuarama, Osasco, São Paulo</t>
  </si>
  <si>
    <t>9 de novembro | 12:31</t>
  </si>
  <si>
    <t>MEL44043889633LMXDF01</t>
  </si>
  <si>
    <t>2000009748201494</t>
  </si>
  <si>
    <t>5 de novembro de 2024 11:04 hs.</t>
  </si>
  <si>
    <t>Fernando Spinelli</t>
  </si>
  <si>
    <t>CPF 29650064869</t>
  </si>
  <si>
    <t>Rua Francisco Alves 1298, Bauru - CEP: 17063250, São Paulo</t>
  </si>
  <si>
    <t>29650064869</t>
  </si>
  <si>
    <t>Rua Francisco Alves 1298 / CEP 17063250 - Parque União, Bauru, São Paulo</t>
  </si>
  <si>
    <t>17063250</t>
  </si>
  <si>
    <t>9 de novembro | 11:02</t>
  </si>
  <si>
    <t>MEL44043861993LMXDF01</t>
  </si>
  <si>
    <t>2000006576815597</t>
  </si>
  <si>
    <t>5 de novembro de 2024 10:49 hs.</t>
  </si>
  <si>
    <t>Juliana Maria Do Nascimento</t>
  </si>
  <si>
    <t>CPF 10308524489</t>
  </si>
  <si>
    <t>Rua Maria da Penha N e Silva 270 270, São Bernardo do Campo - CEP: 09854500, São Paulo</t>
  </si>
  <si>
    <t>10308524489</t>
  </si>
  <si>
    <t>Rua Maria da Penha N e Silva 270 / Casa 2 Referencia: Tem uma tornearia, em cima dela e uma salão de beleza chamado natyesverzute - CEP 09854500 - Alvarenga, São Bernardo do Campo, São Paulo</t>
  </si>
  <si>
    <t>09854500</t>
  </si>
  <si>
    <t>9 de novembro | 14:24</t>
  </si>
  <si>
    <t>MEL44043800889LMXDF01</t>
  </si>
  <si>
    <t>2000009747850454</t>
  </si>
  <si>
    <t>5 de novembro de 2024 10:28 hs.</t>
  </si>
  <si>
    <t>JORGE ALVES DE PAULA</t>
  </si>
  <si>
    <t>CPF 36997498191</t>
  </si>
  <si>
    <t>AVENIDA PLANÍCIE 8, Goiânia - CEP: 74692158, Goiás</t>
  </si>
  <si>
    <t>36997498191</t>
  </si>
  <si>
    <t>AVENIDA PLANÍCIE 8 / Q.08 L.10 - CEP 74692158 - Village Atalaia, Goiânia, Goiás</t>
  </si>
  <si>
    <t>74692158</t>
  </si>
  <si>
    <t>8 de novembro | 00:55</t>
  </si>
  <si>
    <t>11 de novembro | 16:44</t>
  </si>
  <si>
    <t>MEL44043693017LMXDF01</t>
  </si>
  <si>
    <t>https://myaccount.mercadolivre.com.br/shipments/44043693017/detail</t>
  </si>
  <si>
    <t>2000006576606281</t>
  </si>
  <si>
    <t>5 de novembro de 2024 10:15 hs.</t>
  </si>
  <si>
    <t>Andrea Goulart</t>
  </si>
  <si>
    <t>CPF 24558812884</t>
  </si>
  <si>
    <t>Rua Francisco Carlos Barbosa 169 169, São José dos Campos - CEP: 12232841, São Paulo</t>
  </si>
  <si>
    <t>24558812884</t>
  </si>
  <si>
    <t>rua dos lírios 3 179 / Ap 14 - CEP 45810000 - Village 1 Condomínio lá Corte N 179, Porto Seguro, Bahia</t>
  </si>
  <si>
    <t>11 de novembro | 13:38</t>
  </si>
  <si>
    <t>MEL44043635257LMXDF01</t>
  </si>
  <si>
    <t>2000009747609618</t>
  </si>
  <si>
    <t>5 de novembro de 2024 10:05 hs.</t>
  </si>
  <si>
    <t>Vanda Lucia Montes da Silva</t>
  </si>
  <si>
    <t>CPF 06019125602</t>
  </si>
  <si>
    <t>Prefeito José Monteiro 396 - casa, Laranjal - CEP: 36760000, Minas Gerais</t>
  </si>
  <si>
    <t>06019125602</t>
  </si>
  <si>
    <t>Prefeito José Monteiro 396 / casa Referencia: rua a baixo bar do Dico ,perguntar onde mora o Freitas - CEP 36760000 - coabe, Laranjal, Minas Gerais</t>
  </si>
  <si>
    <t>Laranjal</t>
  </si>
  <si>
    <t>36760000</t>
  </si>
  <si>
    <t>8 de novembro | 03:58</t>
  </si>
  <si>
    <t>9 de novembro | 14:19</t>
  </si>
  <si>
    <t>MEL44043782136LMXDF01</t>
  </si>
  <si>
    <t>2000009747608058</t>
  </si>
  <si>
    <t>5 de novembro de 2024 10:03 hs.</t>
  </si>
  <si>
    <t>Marco Antonio Bernardo</t>
  </si>
  <si>
    <t>CPF 65746031615</t>
  </si>
  <si>
    <t>AVENIDA LINCOLN WESTIN DA SILVEIRA 1419, Alfenas - CEP: 37131470, Minas Gerais</t>
  </si>
  <si>
    <t>65746031615</t>
  </si>
  <si>
    <t>AVENIDA LINCOLN WESTIN DA SILVEIRA 1419 / CEP 37131470 - Campinho, Alfenas, Minas Gerais</t>
  </si>
  <si>
    <t>37131470</t>
  </si>
  <si>
    <t>11 de novembro | 12:10</t>
  </si>
  <si>
    <t>MEL44043773874LMXDF01</t>
  </si>
  <si>
    <t>https://myaccount.mercadolivre.com.br/shipments/44043773874/detail</t>
  </si>
  <si>
    <t>2000009747436686</t>
  </si>
  <si>
    <t>5 de novembro de 2024 09:46 hs.</t>
  </si>
  <si>
    <t>Lisandra De Queiroz Gomes</t>
  </si>
  <si>
    <t>CPF 50543571149</t>
  </si>
  <si>
    <t>Rua Maria de Lourdes Brito 68 - casa 3 ou 5, Lauro de Freitas - CEP: 42709250, Bahia</t>
  </si>
  <si>
    <t>50543571149</t>
  </si>
  <si>
    <t>Rua Maria de Lourdes Brito 68 / casa 3 ou 5 Referencia: Fica na rua do Colégio Adventista
Condomimio Paradise Palms
Entregar a partir das 14 h. - CEP 42709250 - Buraquinho, Lauro de Freitas, Bahia</t>
  </si>
  <si>
    <t>42709250</t>
  </si>
  <si>
    <t>9 de novembro | 14:52</t>
  </si>
  <si>
    <t>MEL44043698492LMXDF01</t>
  </si>
  <si>
    <t>2000009747366314</t>
  </si>
  <si>
    <t>5 de novembro de 2024 09:40 hs.</t>
  </si>
  <si>
    <t>shirle aparecida de moura queiroz</t>
  </si>
  <si>
    <t>CPF 33437754874</t>
  </si>
  <si>
    <t>Rua D 70 - casa, Apiaí - CEP: 18320000, São Paulo</t>
  </si>
  <si>
    <t>33437754874</t>
  </si>
  <si>
    <t>Rua D 70 / casa Referencia: casa verde, portão branco - CEP 18320000 - Campininha, Apiaí, São Paulo</t>
  </si>
  <si>
    <t>18320000</t>
  </si>
  <si>
    <t>9 de novembro | 16:36</t>
  </si>
  <si>
    <t>MEL44043664796LMXDF01</t>
  </si>
  <si>
    <t>2000009747061512</t>
  </si>
  <si>
    <t>5 de novembro de 2024 09:03 hs.</t>
  </si>
  <si>
    <t>Ingrid Cabral de Figueiredo</t>
  </si>
  <si>
    <t>CPF 09572086189</t>
  </si>
  <si>
    <t>Avenida Manoel Rodrigues da Cruz 43 - mercado economia, Paraíso das Águas - CEP: 79556000, Mato Grosso do Sul</t>
  </si>
  <si>
    <t>09572086189</t>
  </si>
  <si>
    <t>Avenida Manoel Rodrigues da Cruz 43 / mercado economia - CEP 79556000 - Centro, Paraíso das Águas, Mato Grosso do Sul</t>
  </si>
  <si>
    <t>Paraíso das Águas</t>
  </si>
  <si>
    <t>79556000</t>
  </si>
  <si>
    <t>12 de novembro | 14:29</t>
  </si>
  <si>
    <t>MEL44043333951LMXDF01</t>
  </si>
  <si>
    <t>2000009747023916</t>
  </si>
  <si>
    <t>5 de novembro de 2024 08:58 hs.</t>
  </si>
  <si>
    <t>Simone Andreia Stolben</t>
  </si>
  <si>
    <t>CPF 01617588008</t>
  </si>
  <si>
    <t>Rua Carlos Schnorr 84, Santa Clara do Sul - CEP: 95915000, Rio Grande do Sul</t>
  </si>
  <si>
    <t>01617588008</t>
  </si>
  <si>
    <t>Rua Carlos Schnorr 84 / farmacia santa clara - CEP 95915000 - Centro, Santa Clara do Sul, Rio Grande do Sul</t>
  </si>
  <si>
    <t>Santa Clara do Sul</t>
  </si>
  <si>
    <t>95915000</t>
  </si>
  <si>
    <t>13 de novembro | 16:03</t>
  </si>
  <si>
    <t>MEL44043316905LMXDF01</t>
  </si>
  <si>
    <t>2000009746823600</t>
  </si>
  <si>
    <t>5 de novembro de 2024 08:31 hs.</t>
  </si>
  <si>
    <t>Alexis Thomaz Schroeder</t>
  </si>
  <si>
    <t>CPF 05735798901</t>
  </si>
  <si>
    <t>Rua Comandante Germano Rauert 457 - apto 302, Itajaí - CEP: 88309350, Santa Catarina</t>
  </si>
  <si>
    <t>05735798901</t>
  </si>
  <si>
    <t>Rua Comandante Germano Rauert 457 / apto 302 - CEP 88309350 - São Vicente, Itajaí, Santa Catarina</t>
  </si>
  <si>
    <t>88309350</t>
  </si>
  <si>
    <t>12 de novembro | 18:50</t>
  </si>
  <si>
    <t>MEL44043221533LMXDF01</t>
  </si>
  <si>
    <t>2000006576064369</t>
  </si>
  <si>
    <t>5 de novembro de 2024 08:25 hs.</t>
  </si>
  <si>
    <t>Marli Lima Padilha Silva</t>
  </si>
  <si>
    <t>CPF 61813940010</t>
  </si>
  <si>
    <t>Rua Professora Viero 1421 - são João Bosco, Caxias do Sul - CEP: 95040520, Rio Grande do Sul</t>
  </si>
  <si>
    <t>61813940010</t>
  </si>
  <si>
    <t>Rua Professora Viero 1421 / são João Bosco Referencia: Quando chegar se o interfone não estiver funcionando,  me ligue, por favor 981371223 , Marli, obrigada. - CEP 95040520 - Madureira, Caxias do Sul, Rio Grande do Sul</t>
  </si>
  <si>
    <t>95040520</t>
  </si>
  <si>
    <t>13 de novembro | 13:50</t>
  </si>
  <si>
    <t>MEL44043398330LMXDF01</t>
  </si>
  <si>
    <t>2000009720233032</t>
  </si>
  <si>
    <t>5 de novembro de 2024 08:07 hs.</t>
  </si>
  <si>
    <t>Poli Verona</t>
  </si>
  <si>
    <t>CPF 00479318174</t>
  </si>
  <si>
    <t>Avenida nossa senhora da aparecida 113 - Torneariacentroeste, Primavera do Leste - CEP: 78850000, Mato Grosso</t>
  </si>
  <si>
    <t>00479318174</t>
  </si>
  <si>
    <t>Avenida nossa senhora da aparecida 113 / Torneariacentroeste - CEP 78850000 - Castelândia, Primavera do Leste, Mato Grosso</t>
  </si>
  <si>
    <t>Primavera do Leste</t>
  </si>
  <si>
    <t>78850000</t>
  </si>
  <si>
    <t>12 de novembro | 16:16</t>
  </si>
  <si>
    <t>MEL44031886044LMXDF01</t>
  </si>
  <si>
    <t>2000006575906951</t>
  </si>
  <si>
    <t>5 de novembro de 2024 07:34 hs.</t>
  </si>
  <si>
    <t>ediellisdezidero ediellisdezidero</t>
  </si>
  <si>
    <t>CPF 01282286609</t>
  </si>
  <si>
    <t>Rua Agnelo Macedo 478 - Apto 402, Belo Horizonte - CEP: 30640120, Minas Gerais</t>
  </si>
  <si>
    <t>01282286609</t>
  </si>
  <si>
    <t>Rua Agnelo Macedo 478 / Apto 402 - CEP 30640120 - Barreiro, Belo Horizonte, Minas Gerais</t>
  </si>
  <si>
    <t>30640120</t>
  </si>
  <si>
    <t>8 de novembro | 01:51</t>
  </si>
  <si>
    <t>9 de novembro | 11:25</t>
  </si>
  <si>
    <t>MEL44043266462LMXDF01</t>
  </si>
  <si>
    <t>2000006575905897</t>
  </si>
  <si>
    <t>5 de novembro de 2024 07:32 hs.</t>
  </si>
  <si>
    <t>Sheila cardoso</t>
  </si>
  <si>
    <t>CPF 00365007986</t>
  </si>
  <si>
    <t>Servidão Manoel Laurindo 214 - A atrás da casa 214, Florianópolis - CEP: 88021062, Santa Catarina</t>
  </si>
  <si>
    <t>00365007986</t>
  </si>
  <si>
    <t>Servidão Manoel Laurindo 214 / A atrás da casa 214 Referencia: A - CEP 88021062 - José Mendes, Florianópolis, Santa Catarina</t>
  </si>
  <si>
    <t>88021062</t>
  </si>
  <si>
    <t>9 de novembro | 14:46</t>
  </si>
  <si>
    <t>MEL44043263132LMXDF01</t>
  </si>
  <si>
    <t>2000009746429576</t>
  </si>
  <si>
    <t>5 de novembro de 2024 07:10 hs.</t>
  </si>
  <si>
    <t>José Domingos Andradr Gomes Andrade</t>
  </si>
  <si>
    <t>CPF 08816477644</t>
  </si>
  <si>
    <t>Avenida do Contorno 843 - perto do hospital, Centralina - CEP: 38390000, Minas Gerais</t>
  </si>
  <si>
    <t>08816477644</t>
  </si>
  <si>
    <t>Avenida do Contorno 843 / perto do hospital - CEP 38390000 - centro, Centralina, Minas Gerais</t>
  </si>
  <si>
    <t>Centralina</t>
  </si>
  <si>
    <t>38390000</t>
  </si>
  <si>
    <t>MEL44043025745LMXDF01</t>
  </si>
  <si>
    <t>2000006575846063</t>
  </si>
  <si>
    <t>5 de novembro de 2024 07:03 hs.</t>
  </si>
  <si>
    <t>Elisangela Alves Dos Santos Pimpao</t>
  </si>
  <si>
    <t>CPF 31623384842</t>
  </si>
  <si>
    <t>Rua Domingos Conrado 274, Sumaré - CEP: 13181643, São Paulo</t>
  </si>
  <si>
    <t>31623384842</t>
  </si>
  <si>
    <t>Rua Domingos Conrado 274 / CEP 13181643 - Jardim Bom Retiro (Nova Veneza), Sumaré, São Paulo</t>
  </si>
  <si>
    <t>13181643</t>
  </si>
  <si>
    <t>9 de novembro | 17:55</t>
  </si>
  <si>
    <t>MEL44043207398LMXDF01</t>
  </si>
  <si>
    <t>2000009746246900</t>
  </si>
  <si>
    <t>5 de novembro de 2024 05:42 hs.</t>
  </si>
  <si>
    <t>Sheila Lima</t>
  </si>
  <si>
    <t>CPF 01558440160</t>
  </si>
  <si>
    <t>Rua Rosa Maria 9 - casa, São Paulo - CEP: 02253050, São Paulo</t>
  </si>
  <si>
    <t>01558440160</t>
  </si>
  <si>
    <t>Rua Rosa Maria 9 / casa Referencia: rua sem saida...entrega depois da 17h pfvr - CEP 02253050 - Vila Gustavo, São Paulo, São Paulo</t>
  </si>
  <si>
    <t>02253050</t>
  </si>
  <si>
    <t>9 de novembro | 13:08</t>
  </si>
  <si>
    <t>MEL44043123848LMXDF01</t>
  </si>
  <si>
    <t>2000006575482119</t>
  </si>
  <si>
    <t>5 de novembro de 2024 01:49 hs.</t>
  </si>
  <si>
    <t>Guilherme Jordão</t>
  </si>
  <si>
    <t>CPF 11614990751</t>
  </si>
  <si>
    <t>Rua Heitor Fontes 96, Engenheiro Paulo de Frontin - CEP: 26650000, Rio de Janeiro</t>
  </si>
  <si>
    <t>11614990751</t>
  </si>
  <si>
    <t>Rua Heitor Fontes 96 / em frente ao posto de saude - CEP 26650000 - Jardim novo rodeio, Engenheiro Paulo de Frontin, Rio de Janeiro</t>
  </si>
  <si>
    <t>Engenheiro Paulo de Frontin</t>
  </si>
  <si>
    <t>26650000</t>
  </si>
  <si>
    <t>8 de novembro | 01:24</t>
  </si>
  <si>
    <t>8 de novembro | 18:40</t>
  </si>
  <si>
    <t>MEL44042748989LMXDF01</t>
  </si>
  <si>
    <t>2000009745417416</t>
  </si>
  <si>
    <t>5 de novembro de 2024 00:26 hs.</t>
  </si>
  <si>
    <t>Priscila Santiago de Souza</t>
  </si>
  <si>
    <t>CPF 27138821840</t>
  </si>
  <si>
    <t>Rua Piratininga 118 - bloco 2 apto 73, São Caetano do Sul - CEP: 09550160, São Paulo</t>
  </si>
  <si>
    <t>27138821840</t>
  </si>
  <si>
    <t>Rua Piratininga 118 / bloco 2 apto 73 - CEP 09550160 - Barcelona, São Caetano do Sul, São Paulo</t>
  </si>
  <si>
    <t>09550160</t>
  </si>
  <si>
    <t>9 de novembro | 16:54</t>
  </si>
  <si>
    <t>MEL44042588191LMXDF01</t>
  </si>
  <si>
    <t>2000009744844944</t>
  </si>
  <si>
    <t>4 de novembro de 2024 23:13 hs.</t>
  </si>
  <si>
    <t>Kelvin Arfeli Zorzi</t>
  </si>
  <si>
    <t>CPF 08249682980</t>
  </si>
  <si>
    <t>Rua Elias Rickli 507 - prédio verde Referencia: pizzaria em baixo, prédio verde, Turvo - CEP: 85150000, Paraná</t>
  </si>
  <si>
    <t>08249682980</t>
  </si>
  <si>
    <t>Rua Elias Rickli 507 / prédio verde Referencia: pizzaria em baixo, prédio verde - CEP 85150000 - JD Filadélfia, Turvo, Paraná</t>
  </si>
  <si>
    <t>Turvo</t>
  </si>
  <si>
    <t>85150000</t>
  </si>
  <si>
    <t>12 de novembro | 10:56</t>
  </si>
  <si>
    <t>MEL44042351651LMXDF01</t>
  </si>
  <si>
    <t>2000006574857837</t>
  </si>
  <si>
    <t>4 de novembro de 2024 23:12 hs.</t>
  </si>
  <si>
    <t>00368</t>
  </si>
  <si>
    <t>MLB5070940048</t>
  </si>
  <si>
    <t>Lisina 500mg Suplemento Para Prevenção De Herpes - 90 Cáps</t>
  </si>
  <si>
    <t>Amauri Antonio Paulini</t>
  </si>
  <si>
    <t>CPF 52646815972</t>
  </si>
  <si>
    <t>Rua Primavera 211 - casa, Sorriso - CEP: 78890194, Mato Grosso</t>
  </si>
  <si>
    <t>52646815972</t>
  </si>
  <si>
    <t>Rua Primavera 211 / casa - CEP 78890194 - Centro-Norte, Sorriso, Mato Grosso</t>
  </si>
  <si>
    <t>Sorriso</t>
  </si>
  <si>
    <t>78890194</t>
  </si>
  <si>
    <t>12 de novembro | 10:21</t>
  </si>
  <si>
    <t>MEL44042346423LMXDF01</t>
  </si>
  <si>
    <t>2000006574606359</t>
  </si>
  <si>
    <t>4 de novembro de 2024 22:31 hs.</t>
  </si>
  <si>
    <t>Edna Cristina Lima Alves Sigesmundo</t>
  </si>
  <si>
    <t>CPF 10380500817</t>
  </si>
  <si>
    <t>Rua Doutor Nogueira de Noronha 520, São Paulo - CEP: 03239080, São Paulo</t>
  </si>
  <si>
    <t>10380500817</t>
  </si>
  <si>
    <t>Rua Doutor Nogueira de Noronha 520 / Referencia: rua posto de saúde de parque São Lucas.
travessa avenida do oratório 2400 - CEP 03239080 - Parque São Lucas, São Paulo, São Paulo</t>
  </si>
  <si>
    <t>03239080</t>
  </si>
  <si>
    <t>MEL44042369754LMXDF01</t>
  </si>
  <si>
    <t>2000009744280362</t>
  </si>
  <si>
    <t>4 de novembro de 2024 22:18 hs.</t>
  </si>
  <si>
    <t>Luciene Luciene do N. D. Barros</t>
  </si>
  <si>
    <t>CPF 71224599420</t>
  </si>
  <si>
    <t>Rua das Jaqueiras 10, Nova Iguaçu - CEP: 26277750, Rio de Janeiro</t>
  </si>
  <si>
    <t>71224599420</t>
  </si>
  <si>
    <t>Rua das Jaqueiras 10 / Referencia: próximo a clínica da família - CEP 26277750 - Jardim Palmares, Nova Iguaçu, Rio de Janeiro</t>
  </si>
  <si>
    <t>26277750</t>
  </si>
  <si>
    <t>8 de novembro | 10:18</t>
  </si>
  <si>
    <t>MEL44042117069LMXDF01</t>
  </si>
  <si>
    <t>2000009744272330</t>
  </si>
  <si>
    <t>4 de novembro de 2024 22:17 hs.</t>
  </si>
  <si>
    <t>Helem Caroline Moreira de Jesus</t>
  </si>
  <si>
    <t>CPF 13403498760</t>
  </si>
  <si>
    <t>Rua Professor Sousa Moreira 19 - entrada b, Rio de Janeiro - CEP: 23059540, Rio de Janeiro</t>
  </si>
  <si>
    <t>13403498760</t>
  </si>
  <si>
    <t>Rua Professor Sousa Moreira 19 / entrada b - CEP 23059540 - Inhoaíba, Rio de Janeiro, Rio de Janeiro</t>
  </si>
  <si>
    <t>23059540</t>
  </si>
  <si>
    <t>8 de novembro | 00:54</t>
  </si>
  <si>
    <t>8 de novembro | 12:42</t>
  </si>
  <si>
    <t>MEL44042113037LMXDF01</t>
  </si>
  <si>
    <t>2000009744268212</t>
  </si>
  <si>
    <t>4 de novembro de 2024 22:16 hs.</t>
  </si>
  <si>
    <t>Rafael Caetano Favero</t>
  </si>
  <si>
    <t>CPF 36526108814</t>
  </si>
  <si>
    <t>Rua Pastor Octávio Scholl 113 - antiga Ru 13 de maio, Engenheiro Coelho - CEP: 13445015, São Paulo</t>
  </si>
  <si>
    <t>36526108814</t>
  </si>
  <si>
    <t>Rua Pastor Octávio Scholl 113 / antiga Ru 13 de maio Referencia: Ao lado clínica Dr cristiane.
pode ligar pra mim também 
19 99740-2977 - CEP 13445015 - Centro, Engenheiro Coelho, São Paulo</t>
  </si>
  <si>
    <t>Engenheiro Coelho</t>
  </si>
  <si>
    <t>13445015</t>
  </si>
  <si>
    <t>9 de novembro | 10:23</t>
  </si>
  <si>
    <t>MEL44042110955LMXDF01</t>
  </si>
  <si>
    <t>2000006574500115</t>
  </si>
  <si>
    <t>4 de novembro de 2024 22:14 hs.</t>
  </si>
  <si>
    <t>Maria Vanderléia Barros da Silva</t>
  </si>
  <si>
    <t>CPF 57720967291</t>
  </si>
  <si>
    <t>Travessa Joaquim Dionísio 288, Ourém - CEP: 68640000, Pará</t>
  </si>
  <si>
    <t>57720967291</t>
  </si>
  <si>
    <t>Travessa Joaquim Dionísio 288 / CEP 68640000 - centro, Ourém, Pará</t>
  </si>
  <si>
    <t>Ourém</t>
  </si>
  <si>
    <t>68640000</t>
  </si>
  <si>
    <t>12 de novembro | 16:54</t>
  </si>
  <si>
    <t>MEL44042101965LMXDF01</t>
  </si>
  <si>
    <t>2000006574439299</t>
  </si>
  <si>
    <t>4 de novembro de 2024 22:05 hs.</t>
  </si>
  <si>
    <t>maria aparecida damascena</t>
  </si>
  <si>
    <t>CPF 86918893149</t>
  </si>
  <si>
    <t>Quadra 6 Conjunto J 17, Brasília - CEP: 73360610, Distrito Federal</t>
  </si>
  <si>
    <t>86918893149</t>
  </si>
  <si>
    <t>Quadra 6 Conjunto J 17 / CEP 73360610 - Setor Residencial Leste (Planaltina), Brasília, Distrito Federal</t>
  </si>
  <si>
    <t>73360610</t>
  </si>
  <si>
    <t>11 de novembro | 13:43</t>
  </si>
  <si>
    <t>MEL44042057865LMXDF01</t>
  </si>
  <si>
    <t>2000006574175599</t>
  </si>
  <si>
    <t>4 de novembro de 2024 21:26 hs.</t>
  </si>
  <si>
    <t>Ana Claudia de Souza</t>
  </si>
  <si>
    <t>CPF 28121409845</t>
  </si>
  <si>
    <t>Rua João Victor Atisani 75 - Altos - Ap 143 Milão, Jundiaí - CEP: 13219201, São Paulo</t>
  </si>
  <si>
    <t>28121409845</t>
  </si>
  <si>
    <t>Rua João Victor Atisani 75 / Altos - Ap 143 Milão Referencia: RESIDENCIAL ALTOS DO PACAEMBU II CONDOMÍNIO MILÃO APTO 143 - CEP 13219201 - Jardim Tamoio, Jundiaí, São Paulo</t>
  </si>
  <si>
    <t>13219201</t>
  </si>
  <si>
    <t>9 de novembro | 10:07</t>
  </si>
  <si>
    <t>MEL44042063484LMXDF01</t>
  </si>
  <si>
    <t>2000006574108177</t>
  </si>
  <si>
    <t>4 de novembro de 2024 21:17 hs.</t>
  </si>
  <si>
    <t>Wilson Henrique Dos Santos</t>
  </si>
  <si>
    <t>CPF 60508132720</t>
  </si>
  <si>
    <t>Rua Marcelina Cardoso 14 14, Nilópolis - CEP: 26545680, Rio de Janeiro</t>
  </si>
  <si>
    <t>60508132720</t>
  </si>
  <si>
    <t>RUA CASTELO BRANCO 40 / Loja ao lado do Cosme da bateria e em frente a casa de  - CEP 28925586 - Santo Antônio (tamoios), Cabo Frio, Rio de Janeiro</t>
  </si>
  <si>
    <t>28925586</t>
  </si>
  <si>
    <t>8 de novembro | 16:04</t>
  </si>
  <si>
    <t>MEL44042014106LMXDF01</t>
  </si>
  <si>
    <t>https://myaccount.mercadolivre.com.br/shipments/44042014106/detail</t>
  </si>
  <si>
    <t>2000006574106897</t>
  </si>
  <si>
    <t>4 de novembro de 2024 21:16 hs.</t>
  </si>
  <si>
    <t>Gilson Romano Spader</t>
  </si>
  <si>
    <t>CPF 16577353034</t>
  </si>
  <si>
    <t>Rua das Acácias Negras 590, Viamão - CEP: 94576442, Rio Grande do Sul</t>
  </si>
  <si>
    <t>16577353034</t>
  </si>
  <si>
    <t>Rua das Acácias Negras 590 / Cond. Rancho Alegre Referencia: RS040 KM30 Parada91 Viamão/RS - CEP 94576442 - Rancho Alegre (Águas Claras), Viamão, Rio Grande do Sul</t>
  </si>
  <si>
    <t>Viamão</t>
  </si>
  <si>
    <t>94576442</t>
  </si>
  <si>
    <t>11 de novembro | 19:16</t>
  </si>
  <si>
    <t>MEL44041821363LMXDF01</t>
  </si>
  <si>
    <t>2000009743521344</t>
  </si>
  <si>
    <t>4 de novembro de 2024 21:12 hs.</t>
  </si>
  <si>
    <t>Rosely rodrigues de Carvalho</t>
  </si>
  <si>
    <t>CPF 87595095891</t>
  </si>
  <si>
    <t>Rua Giovani Recordati 242, São Paulo - CEP: 05125010, São Paulo</t>
  </si>
  <si>
    <t>87595095891</t>
  </si>
  <si>
    <t>Rua Giovani Recordati 242 / CASA. Referencia: 1 trav. a direita da Rua : Brig. Henrique fontinelle. - CEP 05125010 - Parque São Domingos, São Paulo, São Paulo</t>
  </si>
  <si>
    <t>05125010</t>
  </si>
  <si>
    <t>9 de novembro | 11:28</t>
  </si>
  <si>
    <t>MEL44041803689LMXDF01</t>
  </si>
  <si>
    <t>2000006574029455</t>
  </si>
  <si>
    <t>4 de novembro de 2024 21:04 hs.</t>
  </si>
  <si>
    <t>Rodovia Amaral Peixoto 131, Cabo Frio - CEP: 28929510, Rio de Janeiro</t>
  </si>
  <si>
    <t>28929510</t>
  </si>
  <si>
    <t>2000009743015726</t>
  </si>
  <si>
    <t>4 de novembro de 2024 20:30 hs.</t>
  </si>
  <si>
    <t>karla rodrigues</t>
  </si>
  <si>
    <t>CPF 01668664313</t>
  </si>
  <si>
    <t>Rua 70 171, Pacatuba - CEP: 61814300, Ceará</t>
  </si>
  <si>
    <t>01668664313</t>
  </si>
  <si>
    <t>Rua 70 171 / A - CEP 61814300 - Senador Carlos Jereissati, Pacatuba, Ceará</t>
  </si>
  <si>
    <t>61814300</t>
  </si>
  <si>
    <t>10 de novembro | 10:39</t>
  </si>
  <si>
    <t>MEL44041782724LMXDF01</t>
  </si>
  <si>
    <t>2000009742935724</t>
  </si>
  <si>
    <t>4 de novembro de 2024 20:25 hs.</t>
  </si>
  <si>
    <t>Andreia carla bechtloff Bechtloff</t>
  </si>
  <si>
    <t>CPF 35715578833</t>
  </si>
  <si>
    <t>Rua Pintado 36 - travessa da bagre, Itapevi - CEP: 06694480, São Paulo</t>
  </si>
  <si>
    <t>35715578833</t>
  </si>
  <si>
    <t>Rua Pintado 36 / travessa da bagre Referencia: serralheria santiago rua pintado 36 travessa da bagre lado direito rua sem saida - CEP 06694480 - Jardim São Carlos, Itapevi, São Paulo</t>
  </si>
  <si>
    <t>06694480</t>
  </si>
  <si>
    <t>9 de novembro | 13:12</t>
  </si>
  <si>
    <t>MEL44041750020LMXDF01</t>
  </si>
  <si>
    <t>2000009742646344</t>
  </si>
  <si>
    <t>4 de novembro de 2024 19:55 hs.</t>
  </si>
  <si>
    <t>MANOEL REGINALDO SILVA</t>
  </si>
  <si>
    <t>CPF 05253247394</t>
  </si>
  <si>
    <t>Sítio Bom Princípio 1 - próximo ao campo, Deputado Irapuan Pinheiro - CEP: 63645000, Ceará</t>
  </si>
  <si>
    <t>05253247394</t>
  </si>
  <si>
    <t>Sítio Bom Princípio 1 / próximo ao campo - CEP 63645000 - Distrito De Baixio, Deputado Irapuan Pinheiro, Ceará</t>
  </si>
  <si>
    <t>Deputado Irapuan Pinheiro</t>
  </si>
  <si>
    <t>63645000</t>
  </si>
  <si>
    <t>12 de novembro | 17:52</t>
  </si>
  <si>
    <t>MEL44041615306LMXDF01</t>
  </si>
  <si>
    <t>2000009742631456</t>
  </si>
  <si>
    <t>Jefferson de Paula Castilho</t>
  </si>
  <si>
    <t>CPF 97304492104</t>
  </si>
  <si>
    <t>Avenida José Barbosa Rodrigues 528, Campo Grande - CEP: 79107312, Mato Grosso do Sul</t>
  </si>
  <si>
    <t>97304492104</t>
  </si>
  <si>
    <t>Avenida José Barbosa Rodrigues 528 / Referencia: Primeiro av. do bairro. - CEP 79107312 - Jardim do Zé Pereira, Campo Grande, Mato Grosso do Sul</t>
  </si>
  <si>
    <t>79107312</t>
  </si>
  <si>
    <t>MEL44041418927LMXDF01</t>
  </si>
  <si>
    <t>2000006573351435</t>
  </si>
  <si>
    <t>4 de novembro de 2024 19:24 hs.</t>
  </si>
  <si>
    <t>Eliane Cristina Rodrigues</t>
  </si>
  <si>
    <t>CPF 13684174858</t>
  </si>
  <si>
    <t>Rua Tauro 320, São Paulo - CEP: 08381770, São Paulo</t>
  </si>
  <si>
    <t>13684174858</t>
  </si>
  <si>
    <t>Rua Tauro 320 / CEP 08381770 - Recanto Verde do Sol, São Paulo, São Paulo</t>
  </si>
  <si>
    <t>08381770</t>
  </si>
  <si>
    <t>9 de novembro | 11:48</t>
  </si>
  <si>
    <t>MEL44041256237LMXDF01</t>
  </si>
  <si>
    <t>2000009741552908</t>
  </si>
  <si>
    <t>4 de novembro de 2024 18:18 hs.</t>
  </si>
  <si>
    <t>Marcia Assis da Costa</t>
  </si>
  <si>
    <t>CPF 10670141798</t>
  </si>
  <si>
    <t>Rua das Flores 106, Porto Seguro - CEP: 45810000, Bahia</t>
  </si>
  <si>
    <t>10670141798</t>
  </si>
  <si>
    <t>Rua das Flores 106 / CEP 45810000 - baianão, Porto Seguro, Bahia</t>
  </si>
  <si>
    <t>11 de novembro | 18:08</t>
  </si>
  <si>
    <t>MEL44041124420LMXDF01</t>
  </si>
  <si>
    <t>2000009741438384</t>
  </si>
  <si>
    <t>4 de novembro de 2024 18:07 hs.</t>
  </si>
  <si>
    <t>Helena Lucas Damaceno Varoto</t>
  </si>
  <si>
    <t>CPF 03399110936</t>
  </si>
  <si>
    <t>Rua Henrique Spagolla 1195 - casa, Santa Mariana - CEP: 86350000, Paraná</t>
  </si>
  <si>
    <t>03399110936</t>
  </si>
  <si>
    <t>Rua Henrique Spagolla 1195 / casa - CEP 86350000 - vila trevo, Santa Mariana, Paraná</t>
  </si>
  <si>
    <t>Santa Mariana</t>
  </si>
  <si>
    <t>86350000</t>
  </si>
  <si>
    <t>12 de novembro | 11:35</t>
  </si>
  <si>
    <t>MEL44041069746LMXDF01</t>
  </si>
  <si>
    <t>2000006572836269</t>
  </si>
  <si>
    <t>4 de novembro de 2024 18:02 hs.</t>
  </si>
  <si>
    <t>Antonio Valter Colasso de Sousa</t>
  </si>
  <si>
    <t>CPF 02670466770</t>
  </si>
  <si>
    <t>Rua Vinte e Oito 304 - 304 A, Itatiaia - CEP: 27580000, Rio de Janeiro</t>
  </si>
  <si>
    <t>02670466770</t>
  </si>
  <si>
    <t>Rua Vinte e Oito 304 / 304 A - CEP 27580000 - Jardim Itatiaia, Itatiaia, Rio de Janeiro</t>
  </si>
  <si>
    <t>Itatiaia</t>
  </si>
  <si>
    <t>27580000</t>
  </si>
  <si>
    <t>8 de novembro | 11:31</t>
  </si>
  <si>
    <t>MEL44041044314LMXDF01</t>
  </si>
  <si>
    <t>2000009741350040</t>
  </si>
  <si>
    <t>4 de novembro de 2024 17:59 hs.</t>
  </si>
  <si>
    <t>Vera Andrade</t>
  </si>
  <si>
    <t>CPF 04257034440</t>
  </si>
  <si>
    <t>Rua Thomaz Antônio Gonzaga 41 - casa, Rio de Janeiro - CEP: 21640260, Rio de Janeiro</t>
  </si>
  <si>
    <t>04257034440</t>
  </si>
  <si>
    <t>Rua Thomaz Antônio Gonzaga 41 / casa - CEP 21640260 - Ricardo de Albuquerque, Rio de Janeiro, Rio de Janeiro</t>
  </si>
  <si>
    <t>21640260</t>
  </si>
  <si>
    <t>8 de novembro | 18:54</t>
  </si>
  <si>
    <t>MEL44041029162LMXDF01</t>
  </si>
  <si>
    <t>2000009740538026</t>
  </si>
  <si>
    <t>4 de novembro de 2024 16:47 hs.</t>
  </si>
  <si>
    <t>ENIOMAR dal bello</t>
  </si>
  <si>
    <t>CPF 89805305953</t>
  </si>
  <si>
    <t>Rua Vicente Zanandréa 086, Xavantina - CEP: 89780000, Santa Catarina</t>
  </si>
  <si>
    <t>89805305953</t>
  </si>
  <si>
    <t>Rua Vicente Zanandréa 086 / Praça - CEP 89780000 - Xavantina, Xavantina, Santa Catarina</t>
  </si>
  <si>
    <t>Xavantina</t>
  </si>
  <si>
    <t>89780000</t>
  </si>
  <si>
    <t>13 de novembro | 13:43</t>
  </si>
  <si>
    <t>MEL44040462619LMXDF01</t>
  </si>
  <si>
    <t>2000009740419216</t>
  </si>
  <si>
    <t>4 de novembro de 2024 16:34 hs.</t>
  </si>
  <si>
    <t>Devolvido no dia 18 de novembro</t>
  </si>
  <si>
    <t>Dulce Elena Vicente de Oliveira</t>
  </si>
  <si>
    <t>CPF 00479034737</t>
  </si>
  <si>
    <t>Av. Brasil 61999 rua H 75 casa 2 75 - conj recanto feliz, Rio de Janeiro - CEP: 23570028, Rio de Janeiro</t>
  </si>
  <si>
    <t>00479034737</t>
  </si>
  <si>
    <t>23570028</t>
  </si>
  <si>
    <t>MEL44040605928LMXDF01</t>
  </si>
  <si>
    <t>2000006572214645</t>
  </si>
  <si>
    <t>4 de novembro de 2024 16:28 hs.</t>
  </si>
  <si>
    <t>Rua Camboriú 202 - rua do mercado vn, Palhoça - CEP: 88134220, Santa Catarina</t>
  </si>
  <si>
    <t>2000009740070072</t>
  </si>
  <si>
    <t>4 de novembro de 2024 16:03 hs.</t>
  </si>
  <si>
    <t>Neide Ramos</t>
  </si>
  <si>
    <t>CPF 26676957809</t>
  </si>
  <si>
    <t>Rua Um 111, Itaquaquecetuba - CEP: 08596750, São Paulo</t>
  </si>
  <si>
    <t>26676957809</t>
  </si>
  <si>
    <t>Rua Um 111 / Referencia: Em Frente A Escola Jardim Santa Rita II - CEP 08596750 - Jardim Santa Rita II, Itaquaquecetuba, São Paulo</t>
  </si>
  <si>
    <t>08596750</t>
  </si>
  <si>
    <t>10 de novembro | 09:47</t>
  </si>
  <si>
    <t>MEL44040240193LMXDF01</t>
  </si>
  <si>
    <t>2000009739592030</t>
  </si>
  <si>
    <t>4 de novembro de 2024 15:22 hs.</t>
  </si>
  <si>
    <t>Celio Aparecido De Deus</t>
  </si>
  <si>
    <t>CPF 15455938843</t>
  </si>
  <si>
    <t>Rua Wilsom Sossai 30 - casa, Espírito Santo do Pinhal - CEP: 13990000, São Paulo</t>
  </si>
  <si>
    <t>15455938843</t>
  </si>
  <si>
    <t>Rua Wilsom Sossai 30 / casa Referencia: Praça zuleika da mota e silva Gonsalves - CEP 13990000 - agreste, Espírito Santo do Pinhal, São Paulo</t>
  </si>
  <si>
    <t>9 de novembro | 08:55</t>
  </si>
  <si>
    <t>MEL44040017739LMXDF01</t>
  </si>
  <si>
    <t>2000006571717341</t>
  </si>
  <si>
    <t>4 de novembro de 2024 15:17 hs.</t>
  </si>
  <si>
    <t>Andressa Silva</t>
  </si>
  <si>
    <t>CPF 11601419678</t>
  </si>
  <si>
    <t>Rua Dalila Maia 20, Belo Horizonte - CEP: 30642360, Minas Gerais</t>
  </si>
  <si>
    <t>11601419678</t>
  </si>
  <si>
    <t>Rua Dalila Maia 20 / CEP 30642360 - Santa Helena (Barreiro), Belo Horizonte, Minas Gerais</t>
  </si>
  <si>
    <t>30642360</t>
  </si>
  <si>
    <t>8 de novembro | 16:01</t>
  </si>
  <si>
    <t>MEL44040181592LMXDF01</t>
  </si>
  <si>
    <t>2000009739270196</t>
  </si>
  <si>
    <t>4 de novembro de 2024 14:55 hs.</t>
  </si>
  <si>
    <t>Bernadete Conceicao</t>
  </si>
  <si>
    <t>CPF 08314821500</t>
  </si>
  <si>
    <t>Avenida Alcobaça 236, Teixeira de Freitas - CEP: 45988460, Bahia</t>
  </si>
  <si>
    <t>08314821500</t>
  </si>
  <si>
    <t>Avenida Alcobaça 236 / CEP 45988460 - Nova América, Teixeira de Freitas, Bahia</t>
  </si>
  <si>
    <t>45988460</t>
  </si>
  <si>
    <t>11 de novembro | 17:12</t>
  </si>
  <si>
    <t>MEL44039870243LMXDF01</t>
  </si>
  <si>
    <t>2000006571171671</t>
  </si>
  <si>
    <t>4 de novembro de 2024 14:01 hs.</t>
  </si>
  <si>
    <t>claudete paiva</t>
  </si>
  <si>
    <t>CPF 00383442974</t>
  </si>
  <si>
    <t>Rua Frei Hilário 102 - Apt 1408, São José - CEP: 88101310, Santa Catarina</t>
  </si>
  <si>
    <t>00383442974</t>
  </si>
  <si>
    <t>Rua Frei Hilário 102 / Apt 1408 Referencia: Próximo ao supermercado Giassi - CEP 88101310 - Campinas, São José, Santa Catarina</t>
  </si>
  <si>
    <t>88101310</t>
  </si>
  <si>
    <t>10 de novembro | 08:46</t>
  </si>
  <si>
    <t>MEL44039768438LMXDF01</t>
  </si>
  <si>
    <t>2000009738611490</t>
  </si>
  <si>
    <t>2000009738613098</t>
  </si>
  <si>
    <t>2000006571044601</t>
  </si>
  <si>
    <t>4 de novembro de 2024 13:54 hs.</t>
  </si>
  <si>
    <t>José Manuel Santos Magalhães</t>
  </si>
  <si>
    <t>CPF 19045336715</t>
  </si>
  <si>
    <t>Estrada Professor Leandro Faria Sarzedas 9500, Rio das Ostras - CEP: 28899853, Rio de Janeiro</t>
  </si>
  <si>
    <t>19045336715</t>
  </si>
  <si>
    <t>Estrada Professor Leandro Faria Sarzedas 9500 / Rua dos Ipês casa 11 Referencia: prox. ao quebra molas da Bromélia.       rua ao lado da lanchonete nova. - CEP 28899853 - Cantagalo, Rio das Ostras, Rio de Janeiro</t>
  </si>
  <si>
    <t>28899853</t>
  </si>
  <si>
    <t>8 de novembro | 14:37</t>
  </si>
  <si>
    <t>MEL44039727428LMXDF01</t>
  </si>
  <si>
    <t>2000006570856455</t>
  </si>
  <si>
    <t>4 de novembro de 2024 13:18 hs.</t>
  </si>
  <si>
    <t>Eleonora Barros de Freitas</t>
  </si>
  <si>
    <t>CPF 12215004738</t>
  </si>
  <si>
    <t>Avenida Marechal Floriano Peixoto 1618, Nova Iguaçu - CEP: 26220060, Rio de Janeiro</t>
  </si>
  <si>
    <t>12215004738</t>
  </si>
  <si>
    <t>Avenida Marechal Floriano Peixoto 1618 / vida real pet shop - CEP 26220060 - Centro, Nova Iguaçu, Rio de Janeiro</t>
  </si>
  <si>
    <t>26220060</t>
  </si>
  <si>
    <t>8 de novembro | 16:11</t>
  </si>
  <si>
    <t>MEL44039339971LMXDF01</t>
  </si>
  <si>
    <t>https://myaccount.mercadolivre.com.br/shipments/44039339971/detail</t>
  </si>
  <si>
    <t>2000009737786256</t>
  </si>
  <si>
    <t>4 de novembro de 2024 12:51 hs.</t>
  </si>
  <si>
    <t>Helio de Almeida</t>
  </si>
  <si>
    <t>CPF 27157622831</t>
  </si>
  <si>
    <t>Praça Pio XII 88, Atibaia - CEP: 12940160, São Paulo</t>
  </si>
  <si>
    <t>27157622831</t>
  </si>
  <si>
    <t>Praça Pio XII 88 / Referencia: H Almeida afiação - CEP 12940160 - Jardim Brasil, Atibaia, São Paulo</t>
  </si>
  <si>
    <t>Atibaia</t>
  </si>
  <si>
    <t>12940160</t>
  </si>
  <si>
    <t>9 de novembro | 10:34</t>
  </si>
  <si>
    <t>MEL44039392246LMXDF01</t>
  </si>
  <si>
    <t>2000009737472946</t>
  </si>
  <si>
    <t>4 de novembro de 2024 12:26 hs.</t>
  </si>
  <si>
    <t>Elizangela Maria De Sordi</t>
  </si>
  <si>
    <t>CPF 16831726801</t>
  </si>
  <si>
    <t>Rua Almeida Júnior 74 - apto 132, Indaiatuba - CEP: 13330500, São Paulo</t>
  </si>
  <si>
    <t>16831726801</t>
  </si>
  <si>
    <t>Rua Almeida Júnior 74 / apto 132 - CEP 13330500 - Jardim Pau Preto, Indaiatuba, São Paulo</t>
  </si>
  <si>
    <t>13330500</t>
  </si>
  <si>
    <t>9 de novembro | 15:59</t>
  </si>
  <si>
    <t>MEL44039255222LMXDF01</t>
  </si>
  <si>
    <t>2000009737461242</t>
  </si>
  <si>
    <t>4 de novembro de 2024 12:24 hs.</t>
  </si>
  <si>
    <t>Caroline Ferreira</t>
  </si>
  <si>
    <t>CPF 13595240707</t>
  </si>
  <si>
    <t>Rua das Laranjeiras 146 - Casa, Resende - CEP: 27525330, Rio de Janeiro</t>
  </si>
  <si>
    <t>13595240707</t>
  </si>
  <si>
    <t>Rua das Laranjeiras 146 / Casa Referencia: Casa - CEP 27525330 - Cidade Alegria, Resende, Rio de Janeiro</t>
  </si>
  <si>
    <t>Resende</t>
  </si>
  <si>
    <t>27525330</t>
  </si>
  <si>
    <t>8 de novembro | 11:53</t>
  </si>
  <si>
    <t>MEL44039249750LMXDF01</t>
  </si>
  <si>
    <t>2000006570255147</t>
  </si>
  <si>
    <t>4 de novembro de 2024 11:47 hs.</t>
  </si>
  <si>
    <t>Eduardo de Lima Barbosa</t>
  </si>
  <si>
    <t>CPF 64743101115</t>
  </si>
  <si>
    <t>AV QNE 6 01, Brasília - CEP: 72125060, Distrito Federal</t>
  </si>
  <si>
    <t>64743101115</t>
  </si>
  <si>
    <t>AV QNE 6 01 / LOTE 01;LOJA 01 - CEP 72125060 - Taguatinga Norte (taguatinga), Brasília, Distrito Federal</t>
  </si>
  <si>
    <t>72125060</t>
  </si>
  <si>
    <t>12 de novembro | 09:42</t>
  </si>
  <si>
    <t>MEL44038864789LMXDF01</t>
  </si>
  <si>
    <t>https://myaccount.mercadolivre.com.br/shipments/44038864789/detail</t>
  </si>
  <si>
    <t>2000009735222012</t>
  </si>
  <si>
    <t>4 de novembro de 2024 10:29 hs.</t>
  </si>
  <si>
    <t>Dijanira Zuleide Pereira da Silva</t>
  </si>
  <si>
    <t>CPF 46102396120</t>
  </si>
  <si>
    <t>Rua Olavo Bilac 748 - frente área verde., Juína - CEP: 78320000, Mato Grosso</t>
  </si>
  <si>
    <t>46102396120</t>
  </si>
  <si>
    <t>Rua Olavo Bilac 748 / frente área verde. - CEP 78320000 - palmiteira, Juína, Mato Grosso</t>
  </si>
  <si>
    <t>Juína</t>
  </si>
  <si>
    <t>78320000</t>
  </si>
  <si>
    <t>12 de novembro | 10:00</t>
  </si>
  <si>
    <t>MEL44038018365LMXDF01</t>
  </si>
  <si>
    <t>2000006569498343</t>
  </si>
  <si>
    <t>4 de novembro de 2024 09:46 hs.</t>
  </si>
  <si>
    <t>Dalma Mannes Guesser</t>
  </si>
  <si>
    <t>CPF 34469397920</t>
  </si>
  <si>
    <t>Rua Vereador Batista Pereira 641 - apto 604, Florianópolis - CEP: 88075525, Santa Catarina</t>
  </si>
  <si>
    <t>34469397920</t>
  </si>
  <si>
    <t>Rua Vereador Batista Pereira 641 / apto 604 - CEP 88075525 - Balneário, Florianópolis, Santa Catarina</t>
  </si>
  <si>
    <t>88075525</t>
  </si>
  <si>
    <t>10 de novembro | 10:31</t>
  </si>
  <si>
    <t>MEL44038258991LMXDF01</t>
  </si>
  <si>
    <t>2000009735298716</t>
  </si>
  <si>
    <t>4 de novembro de 2024 08:55 hs.</t>
  </si>
  <si>
    <t>Jessica Bruna Teles Vitor</t>
  </si>
  <si>
    <t>CPF 70383355451</t>
  </si>
  <si>
    <t>Rua Antônio Gomes Neto 70 - A, Petrolina - CEP: 56315030, Pernambuco</t>
  </si>
  <si>
    <t>70383355451</t>
  </si>
  <si>
    <t>Rua Antônio Gomes Neto 70 / A Referencia: portão pequeno de grade em cima marron - CEP 56315030 - Alto do Cocar, Petrolina, Pernambuco</t>
  </si>
  <si>
    <t>56315030</t>
  </si>
  <si>
    <t>7 de novembro | 02:49</t>
  </si>
  <si>
    <t>10 de novembro | 14:00</t>
  </si>
  <si>
    <t>MEL44038047923LMXDF01</t>
  </si>
  <si>
    <t>2000009735163058</t>
  </si>
  <si>
    <t>4 de novembro de 2024 08:31 hs.</t>
  </si>
  <si>
    <t>Chegou em 7 de novembro</t>
  </si>
  <si>
    <t>vagner alves</t>
  </si>
  <si>
    <t>CPF 96247428715</t>
  </si>
  <si>
    <t>Travessa Jacaré 12, Rio de Janeiro - CEP: 20975070, Rio de Janeiro</t>
  </si>
  <si>
    <t>96247428715</t>
  </si>
  <si>
    <t>Travessa Jacaré 12 / casa Referencia: casa - CEP 20975070 - Jacarezinho, Rio de Janeiro, Rio de Janeiro</t>
  </si>
  <si>
    <t>20975070</t>
  </si>
  <si>
    <t>6 de novembro | 23:49</t>
  </si>
  <si>
    <t>7 de novembro | 17:00</t>
  </si>
  <si>
    <t>MEL44038175968LMXDF01</t>
  </si>
  <si>
    <t>2000009735146592</t>
  </si>
  <si>
    <t>4 de novembro de 2024 08:28 hs.</t>
  </si>
  <si>
    <t>7 de novembro | 04:50</t>
  </si>
  <si>
    <t>MEL44038168348LMXDF01</t>
  </si>
  <si>
    <t>2000006567774141</t>
  </si>
  <si>
    <t>4 de novembro de 2024 06:48 hs.</t>
  </si>
  <si>
    <t>Ana Lira</t>
  </si>
  <si>
    <t>CPF 01689604514</t>
  </si>
  <si>
    <t>Rua Rio Branco 562, Nova Odessa - CEP: 13385003, São Paulo</t>
  </si>
  <si>
    <t>01689604514</t>
  </si>
  <si>
    <t>Rua Rio Branco 562 / CEP 13385003 - Jardim Bela Vista, Nova Odessa, São Paulo</t>
  </si>
  <si>
    <t>13385003</t>
  </si>
  <si>
    <t>9 de novembro | 09:21</t>
  </si>
  <si>
    <t>MEL44037778943LMXDF01</t>
  </si>
  <si>
    <t>https://myaccount.mercadolivre.com.br/shipments/44037778943/detail</t>
  </si>
  <si>
    <t>2000009734723180</t>
  </si>
  <si>
    <t>4 de novembro de 2024 06:39 hs.</t>
  </si>
  <si>
    <t>fabio  berneculli berneculli</t>
  </si>
  <si>
    <t>CPF 21521155895</t>
  </si>
  <si>
    <t>Avenida dos Canários 35 - 3 Irmaos, Fernandópolis - CEP: 15608056, São Paulo</t>
  </si>
  <si>
    <t>21521155895</t>
  </si>
  <si>
    <t>Avenida dos Canários 35 / 3 Irmaos Referencia: 3 irmaos - CEP 15608056 - Jardim Araguaia, Fernandópolis, São Paulo</t>
  </si>
  <si>
    <t>Fernandópolis</t>
  </si>
  <si>
    <t>15608056</t>
  </si>
  <si>
    <t>7 de novembro | 00:50</t>
  </si>
  <si>
    <t>8 de novembro | 10:34</t>
  </si>
  <si>
    <t>MEL44037961368LMXDF01</t>
  </si>
  <si>
    <t>2000009734595992</t>
  </si>
  <si>
    <t>4 de novembro de 2024 05:13 hs.</t>
  </si>
  <si>
    <t>Patricia Rodrigues Garcia</t>
  </si>
  <si>
    <t>CPF 00880231920</t>
  </si>
  <si>
    <t>Rua São Salvador 198 - Apto 02, Pontal do Paraná - CEP: 83255000, Paraná</t>
  </si>
  <si>
    <t>00880231920</t>
  </si>
  <si>
    <t>Rua São Salvador 198 / Apto 02 Referencia: Predio cinza, 1 quadra antes do mar - CEP 83255000 - Guarapari, Pontal do Paraná, Paraná</t>
  </si>
  <si>
    <t>8 de novembro | 14:13</t>
  </si>
  <si>
    <t>MEL44037906446LMXDF01</t>
  </si>
  <si>
    <t>2000009734364792</t>
  </si>
  <si>
    <t>4 de novembro de 2024 02:24 hs.</t>
  </si>
  <si>
    <t>Eziquiel José Rocha</t>
  </si>
  <si>
    <t>CPF 01923376888</t>
  </si>
  <si>
    <t>Rua João Abílio da Costa 29, Jacareí - CEP: 12328040, São Paulo</t>
  </si>
  <si>
    <t>01923376888</t>
  </si>
  <si>
    <t>Rua João Abílio da Costa 29 / Referencia: casa - CEP 12328040 - Jardim Santa Maria, Jacareí, São Paulo</t>
  </si>
  <si>
    <t>12328040</t>
  </si>
  <si>
    <t>7 de novembro | 05:14</t>
  </si>
  <si>
    <t>8 de novembro | 12:01</t>
  </si>
  <si>
    <t>MEL44037608645LMXDF01</t>
  </si>
  <si>
    <t>2000006568324341</t>
  </si>
  <si>
    <t>4 de novembro de 2024 00:07 hs.</t>
  </si>
  <si>
    <t>Helena Marçal</t>
  </si>
  <si>
    <t>CPF 37260418850</t>
  </si>
  <si>
    <t>Rua Glicério 301 - apto 1805, São Paulo - CEP: 01514000, São Paulo</t>
  </si>
  <si>
    <t>37260418850</t>
  </si>
  <si>
    <t>Rua Glicério 301 / apto 1805 Referencia: apto 1805 condominio New Way - CEP 01514000 - Liberdade, São Paulo, São Paulo</t>
  </si>
  <si>
    <t>01514000</t>
  </si>
  <si>
    <t>8 de novembro | 15:40</t>
  </si>
  <si>
    <t>MEL44037374473LMXDF01</t>
  </si>
  <si>
    <t>2000006568314597</t>
  </si>
  <si>
    <t>4 de novembro de 2024 00:04 hs.</t>
  </si>
  <si>
    <t>Marcio Nercessian Marques Canario</t>
  </si>
  <si>
    <t>CPF 01420465740</t>
  </si>
  <si>
    <t>Rua Campos Novos 74, Rio de Janeiro - CEP: 22620400, Rio de Janeiro</t>
  </si>
  <si>
    <t>01420465740</t>
  </si>
  <si>
    <t>Rua Campos Novos 74 / 101 Bloco A Referencia: Proximo a DP Homicidios - CEP 22620400 - Barra da Tijuca, Rio de Janeiro, Rio de Janeiro</t>
  </si>
  <si>
    <t>22620400</t>
  </si>
  <si>
    <t>7 de novembro | 02:12</t>
  </si>
  <si>
    <t>7 de novembro | 16:48</t>
  </si>
  <si>
    <t>MEL44037369011LMXDF01</t>
  </si>
  <si>
    <t>2000009733667884</t>
  </si>
  <si>
    <t>3 de novembro de 2024 23:52 hs.</t>
  </si>
  <si>
    <t>CARLOS VINICIUS SILVA DE PONTES</t>
  </si>
  <si>
    <t>CPF 09217130702</t>
  </si>
  <si>
    <t>Rua Maurício da Costa Faria 655 - Apto 102, Rio de Janeiro - CEP: 22790285, Rio de Janeiro</t>
  </si>
  <si>
    <t>09217130702</t>
  </si>
  <si>
    <t>Rua Maurício da Costa Faria 655 / Apto 102 Referencia: Não temos porteiro. Por conta desse motivo peço para que toque direto no Apto 102 sempre há alguém presente. - CEP 22790285 - Recreio dos Bandeirantes, Rio de Janeiro, Rio de Janeiro</t>
  </si>
  <si>
    <t>22790285</t>
  </si>
  <si>
    <t>7 de novembro | 15:56</t>
  </si>
  <si>
    <t>MEL44037339247LMXDF01</t>
  </si>
  <si>
    <t>2000009733657716</t>
  </si>
  <si>
    <t>3 de novembro de 2024 23:49 hs.</t>
  </si>
  <si>
    <t>Vera Lúcia Panno de Araújo</t>
  </si>
  <si>
    <t>CPF 78503264749</t>
  </si>
  <si>
    <t>Rua Jornalista Luiz Eduardo Lobo 261 - casa 85, Rio de Janeiro - CEP: 22783410, Rio de Janeiro</t>
  </si>
  <si>
    <t>78503264749</t>
  </si>
  <si>
    <t>Rua Jornalista Luiz Eduardo Lobo 261 / casa 85 - CEP 22783410 - Vargem Pequena, Rio de Janeiro, Rio de Janeiro</t>
  </si>
  <si>
    <t>22783410</t>
  </si>
  <si>
    <t>7 de novembro | 18:00</t>
  </si>
  <si>
    <t>MEL44037335009LMXDF01</t>
  </si>
  <si>
    <t>2000006568152215</t>
  </si>
  <si>
    <t>3 de novembro de 2024 23:23 hs.</t>
  </si>
  <si>
    <t>Thiago Salomao Claudino de Melo</t>
  </si>
  <si>
    <t>CPF 05294400405</t>
  </si>
  <si>
    <t>Rua Walfrido de Moraes 386, Paulista - CEP: 53437100, Pernambuco</t>
  </si>
  <si>
    <t>05294400405</t>
  </si>
  <si>
    <t>53437100</t>
  </si>
  <si>
    <t>MEL44037265183FMDOF01</t>
  </si>
  <si>
    <t>2000009733444020</t>
  </si>
  <si>
    <t>3 de novembro de 2024 23:14 hs.</t>
  </si>
  <si>
    <t>Claudia Maria Sorrentino</t>
  </si>
  <si>
    <t>CPF 11176993828</t>
  </si>
  <si>
    <t>Avenida Brigadeiro Luís Antônio 2808 - ap 92, São Paulo - CEP: 01402000, São Paulo</t>
  </si>
  <si>
    <t>11176993828</t>
  </si>
  <si>
    <t>Avenida Brigadeiro Luís Antônio 2808 / ap 92 - CEP 01402000 - Jardim Paulista, São Paulo, São Paulo</t>
  </si>
  <si>
    <t>01402000</t>
  </si>
  <si>
    <t>8 de novembro | 15:13</t>
  </si>
  <si>
    <t>MEL44037433528LMXDF01</t>
  </si>
  <si>
    <t>2000009733404258</t>
  </si>
  <si>
    <t>3 de novembro de 2024 23:07 hs.</t>
  </si>
  <si>
    <t>Patricia Martins Batista</t>
  </si>
  <si>
    <t>CPF 04389214616</t>
  </si>
  <si>
    <t>Rua Bogotá 815, Belo Horizonte - CEP: 30421392, Minas Gerais</t>
  </si>
  <si>
    <t>04389214616</t>
  </si>
  <si>
    <t>Rua Bogotá 815 / 815 - Casa - CEP 30421392 - Jardim América, Belo Horizonte, Minas Gerais</t>
  </si>
  <si>
    <t>30421392</t>
  </si>
  <si>
    <t>7 de novembro | 01:48</t>
  </si>
  <si>
    <t>7 de novembro | 21:13</t>
  </si>
  <si>
    <t>MEL44037416264LMXDF01</t>
  </si>
  <si>
    <t>2000009732996222</t>
  </si>
  <si>
    <t>3 de novembro de 2024 22:14 hs.</t>
  </si>
  <si>
    <t>7 de novembro | 03:53</t>
  </si>
  <si>
    <t>8 de novembro | 17:15</t>
  </si>
  <si>
    <t>MEL44037061237LMXDF01</t>
  </si>
  <si>
    <t>2000006567775409</t>
  </si>
  <si>
    <t>3 de novembro de 2024 22:05 hs.</t>
  </si>
  <si>
    <t>Daniel Nacif E Souza</t>
  </si>
  <si>
    <t>CPF 26479318870</t>
  </si>
  <si>
    <t>AVENIDA CRESCÊNCIO SILVEIRA 453, Vitória da Conquista - CEP: 45000720, Bahia</t>
  </si>
  <si>
    <t>26479318870</t>
  </si>
  <si>
    <t>AVENIDA CRESCÊNCIO SILVEIRA 453 / CEP 45000720 - Centro, Vitória da Conquista, Bahia</t>
  </si>
  <si>
    <t>45000720</t>
  </si>
  <si>
    <t>18 de novembro | 17:59</t>
  </si>
  <si>
    <t>MEL44037220688LMXDF01</t>
  </si>
  <si>
    <t>https://myaccount.mercadolivre.com.br/shipments/44037220688/detail</t>
  </si>
  <si>
    <t>2000009732561094</t>
  </si>
  <si>
    <t>3 de novembro de 2024 21:25 hs.</t>
  </si>
  <si>
    <t>Neidi Cristina Sardo Soares</t>
  </si>
  <si>
    <t>CPF 03425189921</t>
  </si>
  <si>
    <t>Rua Professor Henrique Heise 179 - casa, Jaraguá do Sul - CEP: 89264410, Santa Catarina</t>
  </si>
  <si>
    <t>03425189921</t>
  </si>
  <si>
    <t>Rua Professor Henrique Heise 179 / casa - CEP 89264410 - Rio da Luz, Jaraguá do Sul, Santa Catarina</t>
  </si>
  <si>
    <t>89264410</t>
  </si>
  <si>
    <t>8 de novembro | 12:35</t>
  </si>
  <si>
    <t>MEL44037089736LMXDF01</t>
  </si>
  <si>
    <t>2000009732359534</t>
  </si>
  <si>
    <t>3 de novembro de 2024 21:03 hs.</t>
  </si>
  <si>
    <t>Gizela Silva De Sousa Rodrigues Francisco</t>
  </si>
  <si>
    <t>CPF 00558827730</t>
  </si>
  <si>
    <t>Rua Olária 56 - casa, Lima Duarte - CEP: 36140000, Minas Gerais</t>
  </si>
  <si>
    <t>00558827730</t>
  </si>
  <si>
    <t>Rua Olária 56 / casa Referencia: calçada que tem um pinheirinho - CEP 36140000 - vila cruzeiro, Lima Duarte, Minas Gerais</t>
  </si>
  <si>
    <t>Lima Duarte</t>
  </si>
  <si>
    <t>36140000</t>
  </si>
  <si>
    <t>7 de novembro | 00:22</t>
  </si>
  <si>
    <t>7 de novembro | 13:52</t>
  </si>
  <si>
    <t>MEL44036819837LMXDF01</t>
  </si>
  <si>
    <t>2000009731948762</t>
  </si>
  <si>
    <t>3 de novembro de 2024 20:13 hs.</t>
  </si>
  <si>
    <t>Elisabete Reis Mendonca de Freitas</t>
  </si>
  <si>
    <t>CPF 10194806880</t>
  </si>
  <si>
    <t>Rua José Roschel Schunck 37, Embu Guaçu - CEP: 06900055, São Paulo</t>
  </si>
  <si>
    <t>10194806880</t>
  </si>
  <si>
    <t>Rua José Roschel Schunck 37 / Referencia: próximo ao Ginásio dê esporte - CEP 06900055 - Centro, Embu Guaçu, São Paulo</t>
  </si>
  <si>
    <t>06900055</t>
  </si>
  <si>
    <t>8 de novembro | 17:24</t>
  </si>
  <si>
    <t>MEL44036650319LMXDF01</t>
  </si>
  <si>
    <t>2000006567181685</t>
  </si>
  <si>
    <t>3 de novembro de 2024 20:08 hs.</t>
  </si>
  <si>
    <t>Camilla Cabral</t>
  </si>
  <si>
    <t>CPF 40400661896</t>
  </si>
  <si>
    <t>ESTRADA DO M BOI MIRIM 6200, São Paulo - CEP: 04948030, São Paulo</t>
  </si>
  <si>
    <t>40400661896</t>
  </si>
  <si>
    <t>ESTRADA DO M BOI MIRIM 6200 / Em frente ao depósito baretama - CEP 04948030 - Parque Do Lago, São Paulo, São Paulo</t>
  </si>
  <si>
    <t>04948030</t>
  </si>
  <si>
    <t>9 de novembro | 15:37</t>
  </si>
  <si>
    <t>MEL44036629781LMXDF01</t>
  </si>
  <si>
    <t>https://myaccount.mercadolivre.com.br/shipments/44036629781/detail</t>
  </si>
  <si>
    <t>2000009731633836</t>
  </si>
  <si>
    <t>3 de novembro de 2024 19:38 hs.</t>
  </si>
  <si>
    <t>Aurilia Parreira De Freitas</t>
  </si>
  <si>
    <t>CPF 69136998672</t>
  </si>
  <si>
    <t>Rua Antônio Bonato dos Santos 341, Santa Vitória - CEP: 38320000, Minas Gerais</t>
  </si>
  <si>
    <t>69136998672</t>
  </si>
  <si>
    <t>Rua Antônio Bonato dos Santos 341 / CEP 38320000 - Veneza, Santa Vitória, Minas Gerais</t>
  </si>
  <si>
    <t>Santa Vitória</t>
  </si>
  <si>
    <t>38320000</t>
  </si>
  <si>
    <t>9 de novembro | 13:40</t>
  </si>
  <si>
    <t>MEL44036534085LMXDF01</t>
  </si>
  <si>
    <t>2000009731473812</t>
  </si>
  <si>
    <t>3 de novembro de 2024 19:18 hs.</t>
  </si>
  <si>
    <t>Vera Lucia Teixeira Guimaraes de Aguiar</t>
  </si>
  <si>
    <t>CPF 01294193708</t>
  </si>
  <si>
    <t>Rodovia Ernani do Amaral Peixoto 262 - em frente ao dpo, Maricá - CEP: 24942375, Rio de Janeiro</t>
  </si>
  <si>
    <t>01294193708</t>
  </si>
  <si>
    <t>Rodovia Ernani do Amaral Peixoto 262 / em frente ao dpo Referencia: barbearia de inoa - CEP 24942375 - Inoã (Inoã), Maricá, Rio de Janeiro</t>
  </si>
  <si>
    <t>24942375</t>
  </si>
  <si>
    <t>7 de novembro | 14:04</t>
  </si>
  <si>
    <t>MEL44036467629LMXDF01</t>
  </si>
  <si>
    <t>2000009731317886</t>
  </si>
  <si>
    <t>3 de novembro de 2024 19:00 hs.</t>
  </si>
  <si>
    <t>Karine Menezes</t>
  </si>
  <si>
    <t>CPF 10272156612</t>
  </si>
  <si>
    <t>Rua Padre João Porto 706 - 2 andar, Pompéu - CEP: 35640000, Minas Gerais</t>
  </si>
  <si>
    <t>10272156612</t>
  </si>
  <si>
    <t>Rua Padre João Porto 706 / 2 andar Referencia: Carpeu - CEP 35640000 - centro, Pompéu, Minas Gerais</t>
  </si>
  <si>
    <t>Pompéu</t>
  </si>
  <si>
    <t>35640000</t>
  </si>
  <si>
    <t>8 de novembro | 17:09</t>
  </si>
  <si>
    <t>MEL44036405335LMXDF01</t>
  </si>
  <si>
    <t>2000009721263632</t>
  </si>
  <si>
    <t>3 de novembro de 2024 18:46 hs.</t>
  </si>
  <si>
    <t>Geane Andrade</t>
  </si>
  <si>
    <t>CPF 01406099546</t>
  </si>
  <si>
    <t>Rua Portal do Mar 111, Teixeira de Freitas - CEP: 45991176, Bahia</t>
  </si>
  <si>
    <t>01406099546</t>
  </si>
  <si>
    <t>Rua Portal do Mar 111 / CEP 45991176 - Portal Sul, Teixeira de Freitas, Bahia</t>
  </si>
  <si>
    <t>45991176</t>
  </si>
  <si>
    <t>7 de novembro | 05:51</t>
  </si>
  <si>
    <t>19 de novembro | 16:20</t>
  </si>
  <si>
    <t>MEL44032365228LMXDF01</t>
  </si>
  <si>
    <t>2000009730822088</t>
  </si>
  <si>
    <t>3 de novembro de 2024 17:49 hs.</t>
  </si>
  <si>
    <t>Áurea Berbel</t>
  </si>
  <si>
    <t>CPF 75825996834</t>
  </si>
  <si>
    <t>Rua Antônio Rodrigues de Carvalho 1010 - casa, Mirandópolis - CEP: 16800000, São Paulo</t>
  </si>
  <si>
    <t>75825996834</t>
  </si>
  <si>
    <t>Rua Antônio Rodrigues de Carvalho 1010 / casa Referencia: rua paralela  da av. Nove de Julho - CEP 16800000 - Jd. Sampaio, Mirandópolis, São Paulo</t>
  </si>
  <si>
    <t>Mirandópolis</t>
  </si>
  <si>
    <t>16800000</t>
  </si>
  <si>
    <t>8 de novembro | 17:01</t>
  </si>
  <si>
    <t>MEL44036379048LMXDF01</t>
  </si>
  <si>
    <t>2000006566487459</t>
  </si>
  <si>
    <t>3 de novembro de 2024 17:40 hs.</t>
  </si>
  <si>
    <t>Álysson Dias</t>
  </si>
  <si>
    <t>CPF 04851557450</t>
  </si>
  <si>
    <t>Rua Rubens Saldanha 560, Campina Grande - CEP: 58407568, Paraíba</t>
  </si>
  <si>
    <t>04851557450</t>
  </si>
  <si>
    <t>Rua Rubens Saldanha 560 / Referencia: Duas Ruas Por Trás Do Shopping Do Automóvel - CEP 58407568 - Mirante, Campina Grande, Paraíba</t>
  </si>
  <si>
    <t>58407568</t>
  </si>
  <si>
    <t>11 de novembro | 12:05</t>
  </si>
  <si>
    <t>MEL44036350636LMXDF01</t>
  </si>
  <si>
    <t>2000006566406299</t>
  </si>
  <si>
    <t>3 de novembro de 2024 17:26 hs.</t>
  </si>
  <si>
    <t>Marcela soares</t>
  </si>
  <si>
    <t>CPF 39906565896</t>
  </si>
  <si>
    <t>Rua Várzea Da Palma 273 - Casa 03 Referencia: Casa 03, São Paulo - CEP: 08080560, São Paulo</t>
  </si>
  <si>
    <t>39906565896</t>
  </si>
  <si>
    <t>Rua Várzea da Palma 273 / Casa 03 Referencia: Casa 03 - CEP 08080560 - Parque Paulistano, São Paulo, São Paulo</t>
  </si>
  <si>
    <t>08080560</t>
  </si>
  <si>
    <t>8 de novembro | 10:37</t>
  </si>
  <si>
    <t>MEL44036111177LMXDF01</t>
  </si>
  <si>
    <t>2000006566265053</t>
  </si>
  <si>
    <t>3 de novembro de 2024 16:53 hs.</t>
  </si>
  <si>
    <t>Sidney Moreira Trindade</t>
  </si>
  <si>
    <t>CPF 87172631234</t>
  </si>
  <si>
    <t>Rua Frederico Pontarolo 556 - rua do Varejão, Governador Nunes Freire - CEP: 65284000, Maranhão</t>
  </si>
  <si>
    <t>87172631234</t>
  </si>
  <si>
    <t>Rua Frederico Pontarolo 556 / rua do Varejão Referencia: esquina com a rua da estrela, próximo ao antigo presídio - CEP 65284000 - Centro, Governador Nunes Freire, Maranhão</t>
  </si>
  <si>
    <t>Governador Nunes Freire</t>
  </si>
  <si>
    <t>65284000</t>
  </si>
  <si>
    <t>10 de novembro | 20:23</t>
  </si>
  <si>
    <t>MEL44036004563LMXDF01</t>
  </si>
  <si>
    <t>2000006566237473</t>
  </si>
  <si>
    <t>3 de novembro de 2024 16:46 hs.</t>
  </si>
  <si>
    <t>Rosita Fedrigo</t>
  </si>
  <si>
    <t>CPF 22141634920</t>
  </si>
  <si>
    <t>Servidão Canto do Tucano 236, Florianópolis - CEP: 88063084, Santa Catarina</t>
  </si>
  <si>
    <t>22141634920</t>
  </si>
  <si>
    <t>Servidão Canto do Tucano 236 / Ultima casa a direita - CEP 88063084 - Campeche, Florianópolis, Santa Catarina</t>
  </si>
  <si>
    <t>88063084</t>
  </si>
  <si>
    <t>8 de novembro | 20:25</t>
  </si>
  <si>
    <t>MEL44036182866LMXDF01</t>
  </si>
  <si>
    <t>2000009730336824</t>
  </si>
  <si>
    <t>2000009730336822</t>
  </si>
  <si>
    <t>00349</t>
  </si>
  <si>
    <t>MLB4859730856</t>
  </si>
  <si>
    <t>Anti Queda Max Colágeno Hidrolisado, Vit C, Biotina C/60 Cap</t>
  </si>
  <si>
    <t>2000006566021355</t>
  </si>
  <si>
    <t>3 de novembro de 2024 15:59 hs.</t>
  </si>
  <si>
    <t>vivian simoes</t>
  </si>
  <si>
    <t>CPF 10778487652</t>
  </si>
  <si>
    <t>Rua Francisco Oliveira de Sousa 116 - Casa, Itaúna - CEP: 35681052, Minas Gerais</t>
  </si>
  <si>
    <t>10778487652</t>
  </si>
  <si>
    <t>35681052</t>
  </si>
  <si>
    <t>2000006565800083</t>
  </si>
  <si>
    <t>3 de novembro de 2024 15:09 hs.</t>
  </si>
  <si>
    <t>Flávio Mendonça</t>
  </si>
  <si>
    <t>CPF 33928253875</t>
  </si>
  <si>
    <t>Rua Camilo 182, São Paulo - CEP: 05045020, São Paulo</t>
  </si>
  <si>
    <t>33928253875</t>
  </si>
  <si>
    <t>Rua Camilo 182 / Ap 14 - CEP 05045020 - Vila Romana, São Paulo, São Paulo</t>
  </si>
  <si>
    <t>05045020</t>
  </si>
  <si>
    <t>8 de novembro | 12:09</t>
  </si>
  <si>
    <t>MEL44035695461LMXDF01</t>
  </si>
  <si>
    <t>2000006565758455</t>
  </si>
  <si>
    <t>3 de novembro de 2024 14:59 hs.</t>
  </si>
  <si>
    <t>Ludmilla Da Costa Silveira</t>
  </si>
  <si>
    <t>CPF 10962582778</t>
  </si>
  <si>
    <t>Rua Pedro Lago 81 - apto 201, Rio de Janeiro - CEP: 22621110, Rio de Janeiro</t>
  </si>
  <si>
    <t>10962582778</t>
  </si>
  <si>
    <t>Rua Pedro Lago 81 / apto 201 - CEP 22621110 - Barra da Tijuca, Rio de Janeiro, Rio de Janeiro</t>
  </si>
  <si>
    <t>22621110</t>
  </si>
  <si>
    <t>7 de novembro | 16:47</t>
  </si>
  <si>
    <t>MEL44035666675LMXDF01</t>
  </si>
  <si>
    <t>2000009729528716</t>
  </si>
  <si>
    <t>Milca Veronica Larroza Estigarribia</t>
  </si>
  <si>
    <t>CPF 71401703127</t>
  </si>
  <si>
    <t>Rua Nely Todeschini 1095 - quitinete, Dourados - CEP: 79833310, Mato Grosso do Sul</t>
  </si>
  <si>
    <t>71401703127</t>
  </si>
  <si>
    <t>Rua Nely Todeschini 1095 / quitinete Referencia: favor ligar antes da entrega obrigada - CEP 79833310 - Jardim Santa Maria, Dourados, Mato Grosso do Sul</t>
  </si>
  <si>
    <t>Dourados</t>
  </si>
  <si>
    <t>79833310</t>
  </si>
  <si>
    <t>9 de novembro | 10:13</t>
  </si>
  <si>
    <t>MEL44035856616LMXDF01</t>
  </si>
  <si>
    <t>2000006565521259</t>
  </si>
  <si>
    <t>3 de novembro de 2024 14:04 hs.</t>
  </si>
  <si>
    <t xml:space="preserve">Daniel  Yamasaki </t>
  </si>
  <si>
    <t>CPF 34514671860</t>
  </si>
  <si>
    <t>Rua Xavier Krauss 640, São Paulo - CEP: 05313000, São Paulo</t>
  </si>
  <si>
    <t>34514671860</t>
  </si>
  <si>
    <t>Rua Xavier Krauss 640 / Apto 509 Torre 2 - CEP 05313000 - Vila Leopoldina, São Paulo, São Paulo</t>
  </si>
  <si>
    <t>05313000</t>
  </si>
  <si>
    <t>8 de novembro | 19:26</t>
  </si>
  <si>
    <t>MEL44035698246LMXDF01</t>
  </si>
  <si>
    <t>2000009729139344</t>
  </si>
  <si>
    <t>2000009729141074</t>
  </si>
  <si>
    <t>2000009729128206</t>
  </si>
  <si>
    <t>3 de novembro de 2024 14:01 hs.</t>
  </si>
  <si>
    <t>Gleique Lima</t>
  </si>
  <si>
    <t>CPF 71798013304</t>
  </si>
  <si>
    <t>Rua Fé em Deus 70, São Luís - CEP: 65055190, Maranhão</t>
  </si>
  <si>
    <t>71798013304</t>
  </si>
  <si>
    <t>Rua Fé em Deus 70 / Quadra 139 na churrascaria Espetao de Ouro - CEP 65055190 - Jardim São Cristóvão, São Luís, Maranhão</t>
  </si>
  <si>
    <t>65055190</t>
  </si>
  <si>
    <t>9 de novembro | 13:13</t>
  </si>
  <si>
    <t>MEL44035687996LMXDF01</t>
  </si>
  <si>
    <t>2000009728900920</t>
  </si>
  <si>
    <t>3 de novembro de 2024 13:30 hs.</t>
  </si>
  <si>
    <t>Leandro Pereira da Silva</t>
  </si>
  <si>
    <t>CPF 18147387890</t>
  </si>
  <si>
    <t>José Morato de Toledo 4275 - Casa, Palmeira D'Oeste - CEP: 15720000, São Paulo</t>
  </si>
  <si>
    <t>18147387890</t>
  </si>
  <si>
    <t>José Morato de Toledo 4275 / Casa - CEP 15720000 - Alto das palmeiras, Palmeira D'Oeste, São Paulo</t>
  </si>
  <si>
    <t>Palmeira D'Oeste</t>
  </si>
  <si>
    <t>15720000</t>
  </si>
  <si>
    <t>8 de novembro | 12:50</t>
  </si>
  <si>
    <t>MEL44035599466LMXDF01</t>
  </si>
  <si>
    <t>2000009728552800</t>
  </si>
  <si>
    <t>3 de novembro de 2024 12:42 hs.</t>
  </si>
  <si>
    <t>Maria Luiza de Aguiar</t>
  </si>
  <si>
    <t>CPF 21851689672</t>
  </si>
  <si>
    <t>Rua Cristóvão Jacques 486, Ipatinga - CEP: 35160253, Minas Gerais</t>
  </si>
  <si>
    <t>21851689672</t>
  </si>
  <si>
    <t>Rua Cristóvão Jacques 486 / CEP 35160253 - Imbaúbas, Ipatinga, Minas Gerais</t>
  </si>
  <si>
    <t>35160253</t>
  </si>
  <si>
    <t>7 de novembro | 02:54</t>
  </si>
  <si>
    <t>8 de novembro | 09:48</t>
  </si>
  <si>
    <t>MEL44035261313LMXDF01</t>
  </si>
  <si>
    <t>2000009728226966</t>
  </si>
  <si>
    <t>3 de novembro de 2024 11:54 hs.</t>
  </si>
  <si>
    <t>Sueli Emilia Clemente Pires</t>
  </si>
  <si>
    <t>CPF 07916403889</t>
  </si>
  <si>
    <t>Avenida Sul Americana 400 - casa 2 fundos, Carapicuíba - CEP: 06397030, São Paulo</t>
  </si>
  <si>
    <t>07916403889</t>
  </si>
  <si>
    <t>Carapicuíba</t>
  </si>
  <si>
    <t>06397030</t>
  </si>
  <si>
    <t>MEL44035322854FMDOF01</t>
  </si>
  <si>
    <t>2000009728159166</t>
  </si>
  <si>
    <t>3 de novembro de 2024 11:43 hs.</t>
  </si>
  <si>
    <t>Claudia Ipolito</t>
  </si>
  <si>
    <t>CPF 73108731904</t>
  </si>
  <si>
    <t>Rua Sérgio Lamarca 240 - apto 114 bloco 1, Sorocaba - CEP: 18046370, São Paulo</t>
  </si>
  <si>
    <t>73108731904</t>
  </si>
  <si>
    <t>Rua Sérgio Lamarca 240 / apto 114 bloco 1 - CEP 18046370 - Jardim São Carlos, Sorocaba, São Paulo</t>
  </si>
  <si>
    <t>18046370</t>
  </si>
  <si>
    <t>8 de novembro | 12:59</t>
  </si>
  <si>
    <t>MEL44035294682LMXDF01</t>
  </si>
  <si>
    <t>2000006564896977</t>
  </si>
  <si>
    <t>3 de novembro de 2024 11:33 hs.</t>
  </si>
  <si>
    <t>Gelson Varella Gomes</t>
  </si>
  <si>
    <t>CPF 29888557904</t>
  </si>
  <si>
    <t>Rua Ângelo Bonato 72, Campo Magro - CEP: 83535000, Paraná</t>
  </si>
  <si>
    <t>29888557904</t>
  </si>
  <si>
    <t>Rua Ângelo Bonato 72 / CEP 83535000 - Mato Limpo, Campo Magro, Paraná</t>
  </si>
  <si>
    <t>Campo Magro</t>
  </si>
  <si>
    <t>83535000</t>
  </si>
  <si>
    <t>8 de novembro | 18:05</t>
  </si>
  <si>
    <t>MEL44035069939LMXDF01</t>
  </si>
  <si>
    <t>2000009727907392</t>
  </si>
  <si>
    <t>3 de novembro de 2024 11:06 hs.</t>
  </si>
  <si>
    <t>Roberto carlos lopes lopes</t>
  </si>
  <si>
    <t>CPF 07230657806</t>
  </si>
  <si>
    <t>RUA MINISTRO MOACYR AMARAL SANTOS 71, Sorocaba - CEP: 18078400, São Paulo</t>
  </si>
  <si>
    <t>07230657806</t>
  </si>
  <si>
    <t>RUA MINISTRO MOACYR AMARAL SANTOS 71 / Ao lado do mercado JCR - CEP 18078400 - Parque Vitória Régia, Sorocaba, São Paulo</t>
  </si>
  <si>
    <t>18078400</t>
  </si>
  <si>
    <t>9 de novembro | 11:01</t>
  </si>
  <si>
    <t>MEL44034999593LMXDF01</t>
  </si>
  <si>
    <t>https://myaccount.mercadolivre.com.br/shipments/44034999593/detail</t>
  </si>
  <si>
    <t>2000006564650335</t>
  </si>
  <si>
    <t>3 de novembro de 2024 10:21 hs.</t>
  </si>
  <si>
    <t>André Brito Soares</t>
  </si>
  <si>
    <t>CPF 14702611895</t>
  </si>
  <si>
    <t>Estrada Nossa Senhora da Fonte 479 - Casa 01, São Paulo - CEP: 08410440, São Paulo</t>
  </si>
  <si>
    <t>14702611895</t>
  </si>
  <si>
    <t>Estrada Nossa Senhora da Fonte 479 / Casa 01 Referencia: Esquina com rua Padre Eduardo de Jesus
Paralela rua Dr. Pedro Batista
tem um bar do lado, Sr. Jose esta autorizado a receber. - CEP 08410440 - Guaianazes, São Paulo, São Paulo</t>
  </si>
  <si>
    <t>08410440</t>
  </si>
  <si>
    <t>8 de novembro | 15:48</t>
  </si>
  <si>
    <t>MEL44035081404LMXDF01</t>
  </si>
  <si>
    <t>2000009727645748</t>
  </si>
  <si>
    <t>2000009727651238</t>
  </si>
  <si>
    <t>2000009727646256</t>
  </si>
  <si>
    <t>3 de novembro de 2024 10:20 hs.</t>
  </si>
  <si>
    <t>Simone De Jesus Silva</t>
  </si>
  <si>
    <t>CPF 04725206520</t>
  </si>
  <si>
    <t>Rua Luiz Moreira dos Santos 251, Barra do Choça - CEP: 45120000, Bahia</t>
  </si>
  <si>
    <t>04725206520</t>
  </si>
  <si>
    <t>Rua Luiz Moreira dos Santos 251 / próxima a creche Fidelis pereira de barra nova Referencia: Entregar Na Padaria De Cazuza Pra Zito Ou Cazuza - CEP 45120000 - Edgar Brito Barra Nova, Barra do Choça, Bahia</t>
  </si>
  <si>
    <t>Barra do Choça</t>
  </si>
  <si>
    <t>45120000</t>
  </si>
  <si>
    <t>10 de novembro | 10:49</t>
  </si>
  <si>
    <t>MEL44035077808LMXDF01</t>
  </si>
  <si>
    <t>2000009727545420</t>
  </si>
  <si>
    <t>3 de novembro de 2024 10:02 hs.</t>
  </si>
  <si>
    <t>Maria Raquel de Oliveira Ferreira</t>
  </si>
  <si>
    <t>CPF 07157515490</t>
  </si>
  <si>
    <t>Rua Francisco dos Santos Aquino 115, Serrinha dos Pintos - CEP: 59808000, Rio Grande do Norte</t>
  </si>
  <si>
    <t>07157515490</t>
  </si>
  <si>
    <t>Rua Francisco dos Santos Aquino 115 / CEP 59808000 - Camarão, Serrinha dos Pintos, Rio Grande do Norte</t>
  </si>
  <si>
    <t>Serrinha dos Pintos</t>
  </si>
  <si>
    <t>59808000</t>
  </si>
  <si>
    <t>14 de novembro | 15:34</t>
  </si>
  <si>
    <t>MEL44035037620LMXDF01</t>
  </si>
  <si>
    <t>2000009727417456</t>
  </si>
  <si>
    <t>3 de novembro de 2024 09:36 hs.</t>
  </si>
  <si>
    <t>7 de novembro | 02:18</t>
  </si>
  <si>
    <t>8 de novembro | 12:57</t>
  </si>
  <si>
    <t>MEL44034791707LMXDF01</t>
  </si>
  <si>
    <t>2000009727304474</t>
  </si>
  <si>
    <t>3 de novembro de 2024 09:02 hs.</t>
  </si>
  <si>
    <t>Andressa Braga Muzi</t>
  </si>
  <si>
    <t>CPF 11895936705</t>
  </si>
  <si>
    <t>Rua Geraldina Gonçalves Gama 17 - casa, Magé - CEP: 25912161, Rio de Janeiro</t>
  </si>
  <si>
    <t>11895936705</t>
  </si>
  <si>
    <t>Rua Geraldina Gonçalves Gama 17 / casa Referencia: próximo a loteria - CEP 25912161 - Vila Velha (Santo Aleixo), Magé, Rio de Janeiro</t>
  </si>
  <si>
    <t>25912161</t>
  </si>
  <si>
    <t>7 de novembro | 15:10</t>
  </si>
  <si>
    <t>MEL44034932416LMXDF01</t>
  </si>
  <si>
    <t>2000009727080702</t>
  </si>
  <si>
    <t>3 de novembro de 2024 07:36 hs.</t>
  </si>
  <si>
    <t>Francisca Valdene Da Silva Melo</t>
  </si>
  <si>
    <t>CPF 06275845350</t>
  </si>
  <si>
    <t>Rua José Gonçalves Torres 65, Cubatão - CEP: 11500300, São Paulo</t>
  </si>
  <si>
    <t>06275845350</t>
  </si>
  <si>
    <t>Rua José Gonçalves Torres 65 / CEP 11500300 - Parque Fernando Jorge, Cubatão, São Paulo</t>
  </si>
  <si>
    <t>11500300</t>
  </si>
  <si>
    <t>8 de novembro | 13:57</t>
  </si>
  <si>
    <t>MEL44034834130LMXDF01</t>
  </si>
  <si>
    <t>2000009726811476</t>
  </si>
  <si>
    <t>3 de novembro de 2024 02:55 hs.</t>
  </si>
  <si>
    <t>Igor Luciano de Assis Silva</t>
  </si>
  <si>
    <t>CPF 01284228231</t>
  </si>
  <si>
    <t>Rua Bolívia 392 - casa dos fundos, Juara - CEP: 78575000, Mato Grosso</t>
  </si>
  <si>
    <t>01284228231</t>
  </si>
  <si>
    <t>MEL44034527861FMDOF01</t>
  </si>
  <si>
    <t>2000009726151122</t>
  </si>
  <si>
    <t>2 de novembro de 2024 23:18 hs.</t>
  </si>
  <si>
    <t>LUCAS PETRONILIO VASCO</t>
  </si>
  <si>
    <t>CPF 06523233596</t>
  </si>
  <si>
    <t>Rua Rafael Trocoli 29 - mercado pague menos, Valença - CEP: 45400000, Bahia</t>
  </si>
  <si>
    <t>06523233596</t>
  </si>
  <si>
    <t>Rua Rafael Trocoli 29 / mercado pague menos - CEP 45400000 - tento, Valença, Bahia</t>
  </si>
  <si>
    <t>10 de novembro | 17:23</t>
  </si>
  <si>
    <t>MEL44034459138LMXDF01</t>
  </si>
  <si>
    <t>2000006563707281</t>
  </si>
  <si>
    <t>2 de novembro de 2024 23:04 hs.</t>
  </si>
  <si>
    <t>HELIO FERREIRA</t>
  </si>
  <si>
    <t>CPF 03173837444</t>
  </si>
  <si>
    <t>1 Paralela Santa Fé 165 - 1 andar, Jaboatão dos Guararapes - CEP: 54330674, Pernambuco</t>
  </si>
  <si>
    <t>03173837444</t>
  </si>
  <si>
    <t>1 Paralela Santa Fé 165 / 1 andar Referencia: Próximo ao centro dos idosos. - CEP 54330674 - Cajueiro Seco, Jaboatão dos Guararapes, Pernambuco</t>
  </si>
  <si>
    <t>54330674</t>
  </si>
  <si>
    <t>8 de novembro | 15:28</t>
  </si>
  <si>
    <t>MEL44034239297LMXDF01</t>
  </si>
  <si>
    <t>2000009726096648</t>
  </si>
  <si>
    <t>2000009726089876</t>
  </si>
  <si>
    <t>00297</t>
  </si>
  <si>
    <t>MLB4379627174</t>
  </si>
  <si>
    <t>Ômega 3 - Epa 660mg E Dha 440mg - Kit C/ 2 Und - C/90 Cáp</t>
  </si>
  <si>
    <t>Sabor : Neutro</t>
  </si>
  <si>
    <t>2000006563639847</t>
  </si>
  <si>
    <t>2 de novembro de 2024 22:47 hs.</t>
  </si>
  <si>
    <t>Ronaldo A  Serafim</t>
  </si>
  <si>
    <t>CPF 70223394149</t>
  </si>
  <si>
    <t>RUA ANTÔNIO OZÓRIO MENEZES BATISTA 181, Porto Seguro - CEP: 45810000, Bahia</t>
  </si>
  <si>
    <t>70223394149</t>
  </si>
  <si>
    <t>RUA ANTÔNIO OZÓRIO MENEZES BATISTA 181 / CEP 45810000 - Centro, Porto Seguro, Bahia</t>
  </si>
  <si>
    <t>13 de novembro | 16:38</t>
  </si>
  <si>
    <t>MEL44034391096LMXDF01</t>
  </si>
  <si>
    <t>https://myaccount.mercadolivre.com.br/shipments/44034391096/detail</t>
  </si>
  <si>
    <t>2000009725893556</t>
  </si>
  <si>
    <t>2 de novembro de 2024 22:29 hs.</t>
  </si>
  <si>
    <t>Izolete Teresinha Moter</t>
  </si>
  <si>
    <t>CPF 45414122849</t>
  </si>
  <si>
    <t>Avenida Paes de Barros 1685 - 91, São Paulo - CEP: 03115001, São Paulo</t>
  </si>
  <si>
    <t>45414122849</t>
  </si>
  <si>
    <t>Avenida Paes de Barros 1685 / 91 - CEP 03115001 - Mooca, São Paulo, São Paulo</t>
  </si>
  <si>
    <t>03115001</t>
  </si>
  <si>
    <t>8 de novembro | 14:39</t>
  </si>
  <si>
    <t>MEL44034355360LMXDF01</t>
  </si>
  <si>
    <t>2000006563384913</t>
  </si>
  <si>
    <t>2 de novembro de 2024 21:34 hs.</t>
  </si>
  <si>
    <t>ELIEZE MACHADO VIEIRA</t>
  </si>
  <si>
    <t>CPF 16733646757</t>
  </si>
  <si>
    <t>Rua São Pedro 8 - Rua Do Valão, L8 Q10 Referencia: Próximo A Igreja Evangélica - Ministério Semeando, Japeri - CEP: 26440060, Rio de Janeiro</t>
  </si>
  <si>
    <t>16733646757</t>
  </si>
  <si>
    <t>Rua São Pedro 8 / Rua do valão, L8 Q10 Referencia: Próximo a igreja evangélica - Ministério semeando - CEP 26440060 - Cidade Senhor do Bonfim, Japeri, Rio de Janeiro</t>
  </si>
  <si>
    <t>26440060</t>
  </si>
  <si>
    <t>7 de novembro | 00:30</t>
  </si>
  <si>
    <t>7 de novembro | 14:56</t>
  </si>
  <si>
    <t>MEL44034025393LMXDF01</t>
  </si>
  <si>
    <t>2000009725579016</t>
  </si>
  <si>
    <t>2000009725579018</t>
  </si>
  <si>
    <t>2000006563231677</t>
  </si>
  <si>
    <t>2 de novembro de 2024 20:53 hs.</t>
  </si>
  <si>
    <t>Marcos David Santana</t>
  </si>
  <si>
    <t>CPF 00743861582</t>
  </si>
  <si>
    <t>Avenida José Brandão do Nascimento 352, Antônio Cardoso - CEP: 44180000, Bahia</t>
  </si>
  <si>
    <t>00743861582</t>
  </si>
  <si>
    <t>Avenida José Brandão do Nascimento 352 / CEP 44180000 - Centro, Antônio Cardoso, Bahia</t>
  </si>
  <si>
    <t>10 de novembro | 11:06</t>
  </si>
  <si>
    <t>MEL44033915867LMXDF01</t>
  </si>
  <si>
    <t>2000009725205566</t>
  </si>
  <si>
    <t>2 de novembro de 2024 20:38 hs.</t>
  </si>
  <si>
    <t>Andreia Maria Rambo</t>
  </si>
  <si>
    <t>CPF 01802441085</t>
  </si>
  <si>
    <t>Rua Lasi Franke 329 - Lot. Bella Vista II, Chapada - CEP: 99530000, Rio Grande do Sul</t>
  </si>
  <si>
    <t>01802441085</t>
  </si>
  <si>
    <t>Rua Lasi Franke 329 / Lot. Bella Vista II Referencia: Loteamento localizado aos fundos da Paiol Pizzaria. - CEP 99530000 - Santa Lúcia, Chapada, Rio Grande do Sul</t>
  </si>
  <si>
    <t>Chapada</t>
  </si>
  <si>
    <t>99530000</t>
  </si>
  <si>
    <t>9 de novembro | 13:18</t>
  </si>
  <si>
    <t>MEL44033873089LMXDF01</t>
  </si>
  <si>
    <t>2000006563027349</t>
  </si>
  <si>
    <t>2 de novembro de 2024 20:01 hs.</t>
  </si>
  <si>
    <t>Sirlene Paulino da Costa Silva</t>
  </si>
  <si>
    <t>CPF 32069750850</t>
  </si>
  <si>
    <t>Rua Ana Soares Barcelos 355, Guarulhos - CEP: 07031070, São Paulo</t>
  </si>
  <si>
    <t>32069750850</t>
  </si>
  <si>
    <t>Rua Ana Soares Barcelos 355 / torre 3 ap 27 - CEP 07031070 - Vila Venditti, Guarulhos, São Paulo</t>
  </si>
  <si>
    <t>07031070</t>
  </si>
  <si>
    <t>8 de novembro | 12:20</t>
  </si>
  <si>
    <t>MEL44033962604LMXDF01</t>
  </si>
  <si>
    <t>2000009724776188</t>
  </si>
  <si>
    <t>2 de novembro de 2024 19:31 hs.</t>
  </si>
  <si>
    <t>francisca jackline guilherme de oliveira</t>
  </si>
  <si>
    <t>CPF 80121110125</t>
  </si>
  <si>
    <t>Conjunto SHA Conjunto 6 Chácara 14 2 - Solar das Palmeiras, Brasília - CEP: 71996100, Distrito Federal</t>
  </si>
  <si>
    <t>80121110125</t>
  </si>
  <si>
    <t>71996100</t>
  </si>
  <si>
    <t>2000009724702652</t>
  </si>
  <si>
    <t>2 de novembro de 2024 19:23 hs.</t>
  </si>
  <si>
    <t>Neide Geraldo</t>
  </si>
  <si>
    <t>CPF 78018978972</t>
  </si>
  <si>
    <t>Rua Laguna 973 - ap.301, Balneário Rincão - CEP: 88828000, Santa Catarina</t>
  </si>
  <si>
    <t>78018978972</t>
  </si>
  <si>
    <t>Rua Laguna 973 / ap.301 Referencia: edifício Dona Eucredia, prédio amarelo - CEP 88828000 - centro, Balneário Rincão, Santa Catarina</t>
  </si>
  <si>
    <t>11 de novembro | 10:00</t>
  </si>
  <si>
    <t>MEL44033850150LMXDF01</t>
  </si>
  <si>
    <t>2000009723830214</t>
  </si>
  <si>
    <t>2 de novembro de 2024 17:09 hs.</t>
  </si>
  <si>
    <t>Alvaro Santana</t>
  </si>
  <si>
    <t>CPF 00035230550</t>
  </si>
  <si>
    <t>Rua Hidelbrando calixto da Mota 126 - proximo mercadinho, Conceição do Coité - CEP: 48730000, Bahia</t>
  </si>
  <si>
    <t>00035230550</t>
  </si>
  <si>
    <t>Rua Hidelbrando calixto da Mota 126 / proximo mercadinho Referencia: Em Frente as Moradas Edmundo Gomes - CEP 48730000 - Quadra, Conceição do Coité, Bahia</t>
  </si>
  <si>
    <t>10 de novembro | 15:13</t>
  </si>
  <si>
    <t>MEL44033468784LMXDF01</t>
  </si>
  <si>
    <t>2000009723645302</t>
  </si>
  <si>
    <t>2 de novembro de 2024 16:44 hs.</t>
  </si>
  <si>
    <t>Bianca de Souza</t>
  </si>
  <si>
    <t>CPF 02884594078</t>
  </si>
  <si>
    <t>Rua Professor Artur Ramos 213 - Apartamento 81, São Paulo - CEP: 01454011, São Paulo</t>
  </si>
  <si>
    <t>02884594078</t>
  </si>
  <si>
    <t>Rua Professor Artur Ramos 213 / Apartamento 81 Referencia: Edifício Nice - CEP 01454011 - Jardim Paulistano, São Paulo, São Paulo</t>
  </si>
  <si>
    <t>01454011</t>
  </si>
  <si>
    <t>8 de novembro | 18:28</t>
  </si>
  <si>
    <t>MEL44033202051LMXDF01</t>
  </si>
  <si>
    <t>2000006562229643</t>
  </si>
  <si>
    <t>2 de novembro de 2024 16:42 hs.</t>
  </si>
  <si>
    <t>Valdileia Pereira Dias</t>
  </si>
  <si>
    <t>CPF 09839110616</t>
  </si>
  <si>
    <t>Rua alameda dos cajueiros 120 120, Pará de Minas - CEP: 35661283, Minas Gerais</t>
  </si>
  <si>
    <t>09839110616</t>
  </si>
  <si>
    <t>Rua Alameda Dos Cajueiros 120 / CEP 35661283 - Jardim Serra Verde, Pará de Minas, Minas Gerais</t>
  </si>
  <si>
    <t>35661283</t>
  </si>
  <si>
    <t>7 de novembro | 01:49</t>
  </si>
  <si>
    <t>7 de novembro | 20:03</t>
  </si>
  <si>
    <t>MEL44033386876LMXDF01</t>
  </si>
  <si>
    <t>2000009723124340</t>
  </si>
  <si>
    <t>2 de novembro de 2024 15:27 hs.</t>
  </si>
  <si>
    <t>Marcelo Fernando Rabelo</t>
  </si>
  <si>
    <t>CPF 90952723620</t>
  </si>
  <si>
    <t>Rua Professor Xanico 64, Andradas - CEP: 37838026, Minas Gerais</t>
  </si>
  <si>
    <t>90952723620</t>
  </si>
  <si>
    <t>Rua Professor Xanico 64 / Referencia: Casa atrás do varejão das fábricas - CEP 37838026 - Centro, Andradas, Minas Gerais</t>
  </si>
  <si>
    <t>Andradas</t>
  </si>
  <si>
    <t>37838026</t>
  </si>
  <si>
    <t>9 de novembro | 12:01</t>
  </si>
  <si>
    <t>MEL44033163044LMXDF01</t>
  </si>
  <si>
    <t>2000009722999480</t>
  </si>
  <si>
    <t>2 de novembro de 2024 15:14 hs.</t>
  </si>
  <si>
    <t>Elaine Sampaio</t>
  </si>
  <si>
    <t>CPF 04112558279</t>
  </si>
  <si>
    <t>Rua Piauí 0706 - Casa, Sena Madureira - CEP: 69940000, Acre</t>
  </si>
  <si>
    <t>04112558279</t>
  </si>
  <si>
    <t>Rua Piauí 0706 / Casa Referencia: Barbearia silva - CEP 69940000 - Coab, Sena Madureira, Acre</t>
  </si>
  <si>
    <t>12 de novembro | 15:20</t>
  </si>
  <si>
    <t>MEL44033114704LMXDF01</t>
  </si>
  <si>
    <t>2000009722972780</t>
  </si>
  <si>
    <t>2 de novembro de 2024 15:05 hs.</t>
  </si>
  <si>
    <t>Edvania Nunes de Lima</t>
  </si>
  <si>
    <t>CPF 33150363810</t>
  </si>
  <si>
    <t>Rua Ivan Popov 148 - casa 5, São Paulo - CEP: 05571130, São Paulo</t>
  </si>
  <si>
    <t>33150363810</t>
  </si>
  <si>
    <t>Rua Ivan Popov 148 / casa 5 - CEP 05571130 - Parque Ipê, São Paulo, São Paulo</t>
  </si>
  <si>
    <t>05571130</t>
  </si>
  <si>
    <t>8 de novembro | 13:47</t>
  </si>
  <si>
    <t>MEL44033099898LMXDF01</t>
  </si>
  <si>
    <t>2000009722920112</t>
  </si>
  <si>
    <t>2 de novembro de 2024 14:57 hs.</t>
  </si>
  <si>
    <t>Renata Martins Nascimento</t>
  </si>
  <si>
    <t>CPF 15774615847</t>
  </si>
  <si>
    <t>Rua Sagres 102 - 122, Bragança Paulista - CEP: 12917020, São Paulo</t>
  </si>
  <si>
    <t>15774615847</t>
  </si>
  <si>
    <t>Rua Sagres 102 / 122 - CEP 12917020 - Condomínio Residencial Euroville, Bragança Paulista, São Paulo</t>
  </si>
  <si>
    <t>12917020</t>
  </si>
  <si>
    <t>8 de novembro | 12:12</t>
  </si>
  <si>
    <t>MEL44033074618LMXDF01</t>
  </si>
  <si>
    <t>2000006561536417</t>
  </si>
  <si>
    <t>2 de novembro de 2024 13:53 hs.</t>
  </si>
  <si>
    <t>Denilson Goncalves Dos Santos</t>
  </si>
  <si>
    <t>CPF 27745611830</t>
  </si>
  <si>
    <t>Rua Manoel Rodrigues de Oliveira 59, Várzea Paulista - CEP: 13223180, São Paulo</t>
  </si>
  <si>
    <t>27745611830</t>
  </si>
  <si>
    <t>Rua Manoel Rodrigues de Oliveira 59 / CEP 13223180 - Jardim Promeca, Várzea Paulista, São Paulo</t>
  </si>
  <si>
    <t>13223180</t>
  </si>
  <si>
    <t>MEL44032690325LMXDF01</t>
  </si>
  <si>
    <t>2000009722397080</t>
  </si>
  <si>
    <t>2 de novembro de 2024 13:43 hs.</t>
  </si>
  <si>
    <t>Valquiria de Farias Buique</t>
  </si>
  <si>
    <t>CPF 07429736467</t>
  </si>
  <si>
    <t>Rua Professor Artur Ramos 204, Batalha - CEP: 57420000, Alagoas</t>
  </si>
  <si>
    <t>07429736467</t>
  </si>
  <si>
    <t>Rua Professor Artur Ramos 204 / Referencia: por trás do mercado de Gil - CEP 57420000 - Centro, Batalha, Alagoas</t>
  </si>
  <si>
    <t>57420000</t>
  </si>
  <si>
    <t>MEL44032853686LMXDF01</t>
  </si>
  <si>
    <t>2000006561493167</t>
  </si>
  <si>
    <t>2 de novembro de 2024 13:42 hs.</t>
  </si>
  <si>
    <t>Vanessa Oliveira Simoes</t>
  </si>
  <si>
    <t>CPF 33963027886</t>
  </si>
  <si>
    <t>RUA RUBENS DE OLIVEIRA 431, São Paulo - CEP: 04849210, São Paulo</t>
  </si>
  <si>
    <t>33963027886</t>
  </si>
  <si>
    <t>RUA RUBENS DE OLIVEIRA 431 / Loja - De frente a Casas Bahia - CEP 04849210 - Parque Residencial Cocaia, São Paulo, São Paulo</t>
  </si>
  <si>
    <t>04849210</t>
  </si>
  <si>
    <t>14 de novembro | 16:25</t>
  </si>
  <si>
    <t>MEL44032850042LMXDF01</t>
  </si>
  <si>
    <t>https://myaccount.mercadolivre.com.br/shipments/44032850042/detail</t>
  </si>
  <si>
    <t>2000009722309548</t>
  </si>
  <si>
    <t>2 de novembro de 2024 13:32 hs.</t>
  </si>
  <si>
    <t>Kelliane Sousa</t>
  </si>
  <si>
    <t>CPF 61762488337</t>
  </si>
  <si>
    <t>rua cel.Sebastião Gomes 58 - acade. força e ação, Presidente Dutra - CEP: 65760000, Maranhão</t>
  </si>
  <si>
    <t>61762488337</t>
  </si>
  <si>
    <t>rua cel.Sebastião Gomes 58 / acade. força e ação Referencia: academia força e ação mesma rua da caixa econômica final da rua - CEP 65760000 - Centro, Presidente Dutra, Maranhão</t>
  </si>
  <si>
    <t>Presidente Dutra</t>
  </si>
  <si>
    <t>65760000</t>
  </si>
  <si>
    <t>10 de novembro | 11:38</t>
  </si>
  <si>
    <t>MEL44032818180LMXDF01</t>
  </si>
  <si>
    <t>2000006561444151</t>
  </si>
  <si>
    <t>2 de novembro de 2024 13:30 hs.</t>
  </si>
  <si>
    <t>Cristiane da Cruz Silva</t>
  </si>
  <si>
    <t>CPF 25310260889</t>
  </si>
  <si>
    <t>Rua da Saudade 1225 - CASA, Sabino - CEP: 16440021, São Paulo</t>
  </si>
  <si>
    <t>25310260889</t>
  </si>
  <si>
    <t>Rua da Saudade 1225 / CASA Referencia: Rua do cemitério - CEP 16440021 - Centro, Sabino, São Paulo</t>
  </si>
  <si>
    <t>Sabino</t>
  </si>
  <si>
    <t>16440021</t>
  </si>
  <si>
    <t>8 de novembro | 15:04</t>
  </si>
  <si>
    <t>MEL44032812400LMXDF01</t>
  </si>
  <si>
    <t>2000009722242688</t>
  </si>
  <si>
    <t>2 de novembro de 2024 13:20 hs.</t>
  </si>
  <si>
    <t>Ana Lilian Bono Grillo</t>
  </si>
  <si>
    <t>CPF 13445591822</t>
  </si>
  <si>
    <t>Avenida Marechal Floriano Peixoto 236 - 244, Santos - CEP: 11060302, São Paulo</t>
  </si>
  <si>
    <t>13445591822</t>
  </si>
  <si>
    <t>Avenida Marechal Floriano Peixoto 236 / 244 Referencia: entre C1 e C2 - CEP 11060302 - Pompéia, Santos, São Paulo</t>
  </si>
  <si>
    <t>11060302</t>
  </si>
  <si>
    <t>8 de novembro | 11:37</t>
  </si>
  <si>
    <t>MEL44032590211LMXDF01</t>
  </si>
  <si>
    <t>2000006561316753</t>
  </si>
  <si>
    <t>2 de novembro de 2024 12:59 hs.</t>
  </si>
  <si>
    <t>Patricia Janaina de Oliveira Barbosa Pires</t>
  </si>
  <si>
    <t>CPF 32276178892</t>
  </si>
  <si>
    <t>Rua Expedicionário Antônio Puga 152 - fábrica, Brodowski - CEP: 14340000, São Paulo</t>
  </si>
  <si>
    <t>32276178892</t>
  </si>
  <si>
    <t>Rua Expedicionário Antônio Puga 152 / fábrica - CEP 14340000 - João Luiz de Vicente, Brodowski, São Paulo</t>
  </si>
  <si>
    <t>Brodowski</t>
  </si>
  <si>
    <t>14340000</t>
  </si>
  <si>
    <t>8 de novembro | 15:24</t>
  </si>
  <si>
    <t>MEL44032525609LMXDF01</t>
  </si>
  <si>
    <t>2000009722091422</t>
  </si>
  <si>
    <t>2000009722098724</t>
  </si>
  <si>
    <t>2000009721845144</t>
  </si>
  <si>
    <t>2 de novembro de 2024 12:26 hs.</t>
  </si>
  <si>
    <t>jardel batista</t>
  </si>
  <si>
    <t>CPF 05101193950</t>
  </si>
  <si>
    <t>Rua Germano Puff 26, Blumenau - CEP: 89070775, Santa Catarina</t>
  </si>
  <si>
    <t>05101193950</t>
  </si>
  <si>
    <t>Rua Germano Puff 26 / casa - CEP 89070775 - Badenfurt, Blumenau, Santa Catarina</t>
  </si>
  <si>
    <t>89070775</t>
  </si>
  <si>
    <t>8 de novembro | 11:42</t>
  </si>
  <si>
    <t>MEL44032614914LMXDF01</t>
  </si>
  <si>
    <t>2000006561169217</t>
  </si>
  <si>
    <t>2 de novembro de 2024 12:24 hs.</t>
  </si>
  <si>
    <t>Aniele Belote</t>
  </si>
  <si>
    <t>CPF 39437499837</t>
  </si>
  <si>
    <t>Rua Estados Unidos 143 - Casa 2, Santa Fé do Sul - CEP: 15775000, São Paulo</t>
  </si>
  <si>
    <t>39437499837</t>
  </si>
  <si>
    <t>Rua Estados Unidos 143 / Casa 2 Referencia: tel 17 996683884  casa 2 virando a esquina rua sem saída - CEP 15775000 - Alto da bela vista, Santa Fé do Sul, São Paulo</t>
  </si>
  <si>
    <t>8 de novembro | 10:50</t>
  </si>
  <si>
    <t>MEL44032414459LMXDF01</t>
  </si>
  <si>
    <t>2000009721566824</t>
  </si>
  <si>
    <t>2 de novembro de 2024 11:46 hs.</t>
  </si>
  <si>
    <t>Manoel Alves da Silva Silva</t>
  </si>
  <si>
    <t>CPF 44601816815</t>
  </si>
  <si>
    <t>Rua Lausanne 339, Indaiatuba - CEP: 13333492, São Paulo</t>
  </si>
  <si>
    <t>44601816815</t>
  </si>
  <si>
    <t>Rua Lausanne 339 / casa - CEP 13333492 - Jardim Residencial Villa Suíça, Indaiatuba, São Paulo</t>
  </si>
  <si>
    <t>13333492</t>
  </si>
  <si>
    <t>8 de novembro | 11:57</t>
  </si>
  <si>
    <t>MEL44032299099LMXDF01</t>
  </si>
  <si>
    <t>2000009721538518</t>
  </si>
  <si>
    <t>2 de novembro de 2024 11:42 hs.</t>
  </si>
  <si>
    <t>MEL44032287385LMXDF01</t>
  </si>
  <si>
    <t>2000006560993063</t>
  </si>
  <si>
    <t>2 de novembro de 2024 11:41 hs.</t>
  </si>
  <si>
    <t>itzed lorena  ochoa rodriguez</t>
  </si>
  <si>
    <t>CPF 90204610877</t>
  </si>
  <si>
    <t>Rua Floresta Club 323 323, São Paulo - CEP: 04256320, São Paulo</t>
  </si>
  <si>
    <t>90204610877</t>
  </si>
  <si>
    <t>Rua Floresta Club 323 / CEP 04256320 - São João Clímaco, São Paulo, São Paulo</t>
  </si>
  <si>
    <t>04256320</t>
  </si>
  <si>
    <t>8 de novembro | 14:02</t>
  </si>
  <si>
    <t>MEL44032474332LMXDF01</t>
  </si>
  <si>
    <t>2000009721282574</t>
  </si>
  <si>
    <t>2 de novembro de 2024 11:07 hs.</t>
  </si>
  <si>
    <t>Jurandyr Kenes Junior</t>
  </si>
  <si>
    <t>CPF 09005760818</t>
  </si>
  <si>
    <t>Rua Sinésio de Melo Oliveira 665, Campinas - CEP: 13100017, São Paulo</t>
  </si>
  <si>
    <t>09005760818</t>
  </si>
  <si>
    <t>Rua Sinésio de Melo Oliveira 665 / Referencia: Jone Ribeiro Cqbelos - CEP 13100017 - Jardim Paraíso, Campinas, São Paulo</t>
  </si>
  <si>
    <t>13100017</t>
  </si>
  <si>
    <t>8 de novembro | 11:59</t>
  </si>
  <si>
    <t>MEL44032368332LMXDF01</t>
  </si>
  <si>
    <t>2000009721229238</t>
  </si>
  <si>
    <t>2 de novembro de 2024 10:58 hs.</t>
  </si>
  <si>
    <t>Elizabeth Chaves Campos</t>
  </si>
  <si>
    <t>CPF 36326020778</t>
  </si>
  <si>
    <t>Rua Comendador Queiroz 50, Niterói - CEP: 24230220, Rio de Janeiro</t>
  </si>
  <si>
    <t>36326020778</t>
  </si>
  <si>
    <t>Rua Comendador Queiroz 50 / 805 - CEP 24230220 - Icaraí, Niterói, Rio de Janeiro</t>
  </si>
  <si>
    <t>24230220</t>
  </si>
  <si>
    <t>7 de novembro | 11:18</t>
  </si>
  <si>
    <t>MEL44032156219LMXDF01</t>
  </si>
  <si>
    <t>2000009721209724</t>
  </si>
  <si>
    <t>2 de novembro de 2024 10:56 hs.</t>
  </si>
  <si>
    <t>Flavia Aparecida Lemos Viscondi</t>
  </si>
  <si>
    <t>CPF 33847114832</t>
  </si>
  <si>
    <t>10A RUA CARMEM RODRIGUES CANAVEZ 726, Restinga - CEP: 14430000, São Paulo</t>
  </si>
  <si>
    <t>33847114832</t>
  </si>
  <si>
    <t>10A RUA CARMEM RODRIGUES CANAVEZ 726 / RUA CARMEM RODRIGUES CANAVEZ - MOGIANA - 2º QUISQUE DA - CEP 14430000 - Mogiana, Restinga, São Paulo</t>
  </si>
  <si>
    <t>Restinga</t>
  </si>
  <si>
    <t>14430000</t>
  </si>
  <si>
    <t>MEL44032150255LMXDF01</t>
  </si>
  <si>
    <t>https://myaccount.mercadolivre.com.br/shipments/44032150255/detail</t>
  </si>
  <si>
    <t>2000009721106152</t>
  </si>
  <si>
    <t>2 de novembro de 2024 10:37 hs.</t>
  </si>
  <si>
    <t>8 de novembro | 13:31</t>
  </si>
  <si>
    <t>MEL44032292658LMXDF01</t>
  </si>
  <si>
    <t>2000006560606679</t>
  </si>
  <si>
    <t>2 de novembro de 2024 09:56 hs.</t>
  </si>
  <si>
    <t>Thammy Bensberg</t>
  </si>
  <si>
    <t>CPF 06147671995</t>
  </si>
  <si>
    <t>Rua Marechal Floriano 636, Imbituva - CEP: 84430000, Paraná</t>
  </si>
  <si>
    <t>06147671995</t>
  </si>
  <si>
    <t>Rua Marechal Floriano 636 / Clinica Veterinária Imbivet - CEP 84430000 - Imbituva, Imbituva, Paraná</t>
  </si>
  <si>
    <t>Imbituva</t>
  </si>
  <si>
    <t>84430000</t>
  </si>
  <si>
    <t>8 de novembro | 15:33</t>
  </si>
  <si>
    <t>MEL44032181772LMXDF01</t>
  </si>
  <si>
    <t>2000009720826122</t>
  </si>
  <si>
    <t>2 de novembro de 2024 09:50 hs.</t>
  </si>
  <si>
    <t>matheus Dumar Molina</t>
  </si>
  <si>
    <t>CPF 11169766765</t>
  </si>
  <si>
    <t>Rua Senador Vergueiro 192 - 101, Rio de Janeiro - CEP: 22230001, Rio de Janeiro</t>
  </si>
  <si>
    <t>11169766765</t>
  </si>
  <si>
    <t>Rua Senador Vergueiro 192 / 101 Referencia: Em frente o mister pizza - CEP 22230001 - Flamengo, Rio de Janeiro, Rio de Janeiro</t>
  </si>
  <si>
    <t>22230001</t>
  </si>
  <si>
    <t>7 de novembro | 17:15</t>
  </si>
  <si>
    <t>MEL44032165966LMXDF01</t>
  </si>
  <si>
    <t>2000009720779584</t>
  </si>
  <si>
    <t>2 de novembro de 2024 09:42 hs.</t>
  </si>
  <si>
    <t>idarlene souza</t>
  </si>
  <si>
    <t>CPF 52058220234</t>
  </si>
  <si>
    <t>Avenida Almerindo S. Farias 599, Macapá - CEP: 68904780, Amapá</t>
  </si>
  <si>
    <t>52058220234</t>
  </si>
  <si>
    <t>Avenida Almerindo S. Farias 599 / CEP 68904780 - Novo Buritizal, Macapá, Amapá</t>
  </si>
  <si>
    <t>Macapá</t>
  </si>
  <si>
    <t>68904780</t>
  </si>
  <si>
    <t>25 de novembro | 14:43</t>
  </si>
  <si>
    <t>12582700191943</t>
  </si>
  <si>
    <t>https://www.jadlog.com.br/trackingml.jsp?pedido=12582700191943</t>
  </si>
  <si>
    <t>2000006560499875</t>
  </si>
  <si>
    <t>2 de novembro de 2024 09:15 hs.</t>
  </si>
  <si>
    <t>alex de souza moraes</t>
  </si>
  <si>
    <t>CPF 00847105270</t>
  </si>
  <si>
    <t>Rua Barão de Paranapiacaba 139 - Casa de alvenaria, Manaus - CEP: 69058210, Amazonas</t>
  </si>
  <si>
    <t>00847105270</t>
  </si>
  <si>
    <t>Rua Barão de Paranapiacaba 139 / Casa de alvenaria Referencia: Terreno com duas casa no fundo - CEP 69058210 - Flores, Manaus, Amazonas</t>
  </si>
  <si>
    <t>69058210</t>
  </si>
  <si>
    <t>9 de novembro | 12:34</t>
  </si>
  <si>
    <t>MEL44032092556LMXDF01</t>
  </si>
  <si>
    <t>2000006560443625</t>
  </si>
  <si>
    <t>2 de novembro de 2024 08:50 hs.</t>
  </si>
  <si>
    <t>Juliana de Fatima Tartara</t>
  </si>
  <si>
    <t>CPF 97753343904</t>
  </si>
  <si>
    <t>Rua Chile 892 892, Fazenda Rio Grande - CEP: 83823092, Paraná</t>
  </si>
  <si>
    <t>97753343904</t>
  </si>
  <si>
    <t>Rua Chile 892 / CEP 83823092 - Nações, Fazenda Rio Grande, Paraná</t>
  </si>
  <si>
    <t>83823092</t>
  </si>
  <si>
    <t>8 de novembro | 10:06</t>
  </si>
  <si>
    <t>MEL44032046022LMXDF01</t>
  </si>
  <si>
    <t>2000009720545682</t>
  </si>
  <si>
    <t>Marco Aurelio Viana Galvao</t>
  </si>
  <si>
    <t>CPF 07098389803</t>
  </si>
  <si>
    <t>Rua Taques Alvim 394, São Paulo - CEP: 05671030, São Paulo</t>
  </si>
  <si>
    <t>07098389803</t>
  </si>
  <si>
    <t>Rua Taques Alvim 394 / CEP 05671030 - Cidade Jardim, São Paulo, São Paulo</t>
  </si>
  <si>
    <t>05671030</t>
  </si>
  <si>
    <t>8 de novembro | 16:38</t>
  </si>
  <si>
    <t>MEL44031852937LMXDF01</t>
  </si>
  <si>
    <t>2000009720440258</t>
  </si>
  <si>
    <t>2 de novembro de 2024 08:15 hs.</t>
  </si>
  <si>
    <t>Fernanda Ferreira Gomes</t>
  </si>
  <si>
    <t>CPF 05161915609</t>
  </si>
  <si>
    <t>Rua Atalaia 203, Belo Horizonte - CEP: 31748400, Minas Gerais</t>
  </si>
  <si>
    <t>05161915609</t>
  </si>
  <si>
    <t>Rua Atalaia 203 / Casa - CEP 31748400 - Jaqueline, Belo Horizonte, Minas Gerais</t>
  </si>
  <si>
    <t>31748400</t>
  </si>
  <si>
    <t>7 de novembro | 01:26</t>
  </si>
  <si>
    <t>7 de novembro | 18:54</t>
  </si>
  <si>
    <t>MEL44031987580LMXDF01</t>
  </si>
  <si>
    <t>2000009720260552</t>
  </si>
  <si>
    <t>2 de novembro de 2024 06:56 hs.</t>
  </si>
  <si>
    <t>Thiago Feitosa Dantas</t>
  </si>
  <si>
    <t>CPF 01927543517</t>
  </si>
  <si>
    <t>Rua São Vicente 30 - Apartamento, Itabuna - CEP: 45603025, Bahia</t>
  </si>
  <si>
    <t>01927543517</t>
  </si>
  <si>
    <t>Rua São Vicente 30 / Apartamento - CEP 45603025 - Pontalzinho, Itabuna, Bahia</t>
  </si>
  <si>
    <t>Itabuna</t>
  </si>
  <si>
    <t>45603025</t>
  </si>
  <si>
    <t>10 de novembro | 10:19</t>
  </si>
  <si>
    <t>MEL44031898144LMXDF01</t>
  </si>
  <si>
    <t>2000006560239695</t>
  </si>
  <si>
    <t>2 de novembro de 2024 06:00 hs.</t>
  </si>
  <si>
    <t>Jose Wilmer Quispe Mismi</t>
  </si>
  <si>
    <t>CPF 23326154828</t>
  </si>
  <si>
    <t>Rua Aléia 813 - casa 2, São Paulo - CEP: 08226015, São Paulo</t>
  </si>
  <si>
    <t>23326154828</t>
  </si>
  <si>
    <t>Rua Aléia 813 / casa 2 Referencia: em frente à padaria vipao - CEP 08226015 - Cidade Antônio Estevão de Carvalho, São Paulo, São Paulo</t>
  </si>
  <si>
    <t>08226015</t>
  </si>
  <si>
    <t>8 de novembro | 16:51</t>
  </si>
  <si>
    <t>MEL44031860134LMXDF01</t>
  </si>
  <si>
    <t>2000009720161276</t>
  </si>
  <si>
    <t>2 de novembro de 2024 05:34 hs.</t>
  </si>
  <si>
    <t>Bruno Francisco Costa</t>
  </si>
  <si>
    <t>CPF 03411555947</t>
  </si>
  <si>
    <t>Rua Coletor Irineu Comelli 150 - casa, São José - CEP: 88106105, Santa Catarina</t>
  </si>
  <si>
    <t>03411555947</t>
  </si>
  <si>
    <t>Rua Coletor Irineu Comelli 150 / casa Referencia: Casa - CEP 88106105 - Picadas do Sul, São José, Santa Catarina</t>
  </si>
  <si>
    <t>88106105</t>
  </si>
  <si>
    <t>8 de novembro | 13:44</t>
  </si>
  <si>
    <t>MEL44031655347LMXDF01</t>
  </si>
  <si>
    <t>2000006560106861</t>
  </si>
  <si>
    <t>2 de novembro de 2024 02:38 hs.</t>
  </si>
  <si>
    <t>Diana Ramos Soares de Mello</t>
  </si>
  <si>
    <t>CPF 11723862770</t>
  </si>
  <si>
    <t>Avenida Beira Mar 2920 2920, Saquarema - CEP: 28998890, Rio de Janeiro</t>
  </si>
  <si>
    <t>11723862770</t>
  </si>
  <si>
    <t>Avenida Beira Mar 2920 / Casa - CEP 28998890 - Jaconé (Sampaio Correia), Saquarema, Rio de Janeiro</t>
  </si>
  <si>
    <t>28998890</t>
  </si>
  <si>
    <t>7 de novembro | 16:11</t>
  </si>
  <si>
    <t>MEL44031759142LMXDF01</t>
  </si>
  <si>
    <t>2000009719988942</t>
  </si>
  <si>
    <t>2000009719988944</t>
  </si>
  <si>
    <t>2000009719990682</t>
  </si>
  <si>
    <t>2000006559792611</t>
  </si>
  <si>
    <t>1 de novembro de 2024 23:56 hs.</t>
  </si>
  <si>
    <t>Shelite Araujo de Oliveira</t>
  </si>
  <si>
    <t>CPF 26734782808</t>
  </si>
  <si>
    <t>Avenida Pirineus 30 30, Ribeirão Pires - CEP: 09416030, São Paulo</t>
  </si>
  <si>
    <t>26734782808</t>
  </si>
  <si>
    <t>Avenida Pirineus 30 / CEP 09416030 - Represa, Ribeirão Pires, São Paulo</t>
  </si>
  <si>
    <t>09416030</t>
  </si>
  <si>
    <t>8 de novembro | 10:53</t>
  </si>
  <si>
    <t>MEL44031363591LMXDF01</t>
  </si>
  <si>
    <t>2000009719473586</t>
  </si>
  <si>
    <t>1 de novembro de 2024 23:51 hs.</t>
  </si>
  <si>
    <t>adriana lima</t>
  </si>
  <si>
    <t>CPF 93579306049</t>
  </si>
  <si>
    <t>Rua Vinte e Cinco de Julho 133 - prefeitura municipal, Santo Cristo - CEP: 98960000, Rio Grande do Sul</t>
  </si>
  <si>
    <t>93579306049</t>
  </si>
  <si>
    <t>Rua Vinte e Cinco de Julho 133 / prefeitura municipal - CEP 98960000 - centro, Santo Cristo, Rio Grande do Sul</t>
  </si>
  <si>
    <t>Santo Cristo</t>
  </si>
  <si>
    <t>98960000</t>
  </si>
  <si>
    <t>11 de novembro | 11:14</t>
  </si>
  <si>
    <t>MEL44031549168LMXDF01</t>
  </si>
  <si>
    <t>2000006559703601</t>
  </si>
  <si>
    <t>1 de novembro de 2024 23:27 hs.</t>
  </si>
  <si>
    <t>Tania Andrea Mitsuzawa</t>
  </si>
  <si>
    <t>CPF 13621835806</t>
  </si>
  <si>
    <t>Estrada Nossa Senhora do Pilar 1357 - chácara do capitão, Mauá - CEP: 09330555, São Paulo</t>
  </si>
  <si>
    <t>13621835806</t>
  </si>
  <si>
    <t>Estrada Nossa Senhora do Pilar 1357 / chácara do capitão Referencia: próximo a antiga estância Santa Luzia - CEP 09330555 - Recanto Vital Brasil, Mauá, São Paulo</t>
  </si>
  <si>
    <t>09330555</t>
  </si>
  <si>
    <t>8 de novembro | 14:08</t>
  </si>
  <si>
    <t>MEL44031496788LMXDF01</t>
  </si>
  <si>
    <t>2000009719298768</t>
  </si>
  <si>
    <t>1 de novembro de 2024 23:14 hs.</t>
  </si>
  <si>
    <t>MEL44031469970LMXDF01</t>
  </si>
  <si>
    <t>2000009719211430</t>
  </si>
  <si>
    <t>1 de novembro de 2024 22:59 hs.</t>
  </si>
  <si>
    <t>Iara  Fontoura Gusmao</t>
  </si>
  <si>
    <t>CPF 15139666774</t>
  </si>
  <si>
    <t>Rua Almirante Grenfall 260 - Bl 3 Ap 1306, Duque de Caxias - CEP: 25085135, Rio de Janeiro</t>
  </si>
  <si>
    <t>15139666774</t>
  </si>
  <si>
    <t>Rua Almirante Grenfall 260 / Bl 3 Ap 1306 Referencia: Atrás do Mc Donalts . Residencial Dali . - CEP 25085135 - Parque Duque, Duque de Caxias, Rio de Janeiro</t>
  </si>
  <si>
    <t>25085135</t>
  </si>
  <si>
    <t>7 de novembro | 15:25</t>
  </si>
  <si>
    <t>MEL44031243521LMXDF01</t>
  </si>
  <si>
    <t>2000009719071446</t>
  </si>
  <si>
    <t>1 de novembro de 2024 22:37 hs.</t>
  </si>
  <si>
    <t>Iris Pereira Linhares Ribeiro</t>
  </si>
  <si>
    <t>CPF 71594418691</t>
  </si>
  <si>
    <t>Rua São Sebastião do Maranhão 109 - A, Belo Horizonte - CEP: 31540200, Minas Gerais</t>
  </si>
  <si>
    <t>71594418691</t>
  </si>
  <si>
    <t>Rua São Sebastião do Maranhão 109 / A Referencia: Quase em frente a Oficina Rezende - CEP 31540200 - Jardim Leblon, Belo Horizonte, Minas Gerais</t>
  </si>
  <si>
    <t>31540200</t>
  </si>
  <si>
    <t>7 de novembro | 16:29</t>
  </si>
  <si>
    <t>MEL44031185885LMXDF01</t>
  </si>
  <si>
    <t>2000009718891010</t>
  </si>
  <si>
    <t>1 de novembro de 2024 22:05 hs.</t>
  </si>
  <si>
    <t>Barbara Cristina de Souza Cunha</t>
  </si>
  <si>
    <t>CPF 36173183803</t>
  </si>
  <si>
    <t>Avenida Rio Grande do Sul 651 - Souza carnes, Ubatuba - CEP: 11690404, São Paulo</t>
  </si>
  <si>
    <t>36173183803</t>
  </si>
  <si>
    <t>Avenida Rio Grande do Sul 651 / Souza carnes - CEP 11690404 - Umuarama, Ubatuba, São Paulo</t>
  </si>
  <si>
    <t>11690404</t>
  </si>
  <si>
    <t>8 de novembro | 13:16</t>
  </si>
  <si>
    <t>MEL44031299866LMXDF01</t>
  </si>
  <si>
    <t>2000009718737762</t>
  </si>
  <si>
    <t>1 de novembro de 2024 21:44 hs.</t>
  </si>
  <si>
    <t>Wal Mandaji</t>
  </si>
  <si>
    <t>CPF 09177486897</t>
  </si>
  <si>
    <t>Rua dos Democratas 277 - Apto 134, São Paulo - CEP: 04305000, São Paulo</t>
  </si>
  <si>
    <t>09177486897</t>
  </si>
  <si>
    <t>Rua dos Democratas 277 / Apto 134 - CEP 04305000 - Vila Monte Alegre, São Paulo, São Paulo</t>
  </si>
  <si>
    <t>04305000</t>
  </si>
  <si>
    <t>7 de novembro | 05:25</t>
  </si>
  <si>
    <t>8 de novembro | 14:33</t>
  </si>
  <si>
    <t>MEL44031043843LMXDF01</t>
  </si>
  <si>
    <t>2000009718606850</t>
  </si>
  <si>
    <t>1 de novembro de 2024 21:24 hs.</t>
  </si>
  <si>
    <t>Joao Souza Dos Santos</t>
  </si>
  <si>
    <t>CPF 27432583811</t>
  </si>
  <si>
    <t>Rua José Bezerra Neto 188 - casa, Quijingue - CEP: 48830000, Bahia</t>
  </si>
  <si>
    <t>27432583811</t>
  </si>
  <si>
    <t>Rua José Bezerra Neto 188 / casa Referencia: ao lado do mercado do João, casa do seu nenem - CEP 48830000 - centro, Quijingue, Bahia</t>
  </si>
  <si>
    <t>10 de novembro | 20:18</t>
  </si>
  <si>
    <t>MEL44030984055LMXDF01</t>
  </si>
  <si>
    <t>2000009718485174</t>
  </si>
  <si>
    <t>1 de novembro de 2024 21:04 hs.</t>
  </si>
  <si>
    <t>Cristiane Matos</t>
  </si>
  <si>
    <t>CPF 98770250944</t>
  </si>
  <si>
    <t>Rua João do Amaral Filho 57, São Francisco do Sul - CEP: 89240000, Santa Catarina</t>
  </si>
  <si>
    <t>98770250944</t>
  </si>
  <si>
    <t>Rua João do Amaral Filho 57 / CEP 89240000 - São Francisco do Sul, São Francisco do Sul, Santa Catarina</t>
  </si>
  <si>
    <t>São Francisco do Sul</t>
  </si>
  <si>
    <t>89240000</t>
  </si>
  <si>
    <t>8 de novembro | 15:26</t>
  </si>
  <si>
    <t>MEL44031123810LMXDF01</t>
  </si>
  <si>
    <t>2000009718482176</t>
  </si>
  <si>
    <t>1 de novembro de 2024 21:02 hs.</t>
  </si>
  <si>
    <t>Nilton Cesar Guedes</t>
  </si>
  <si>
    <t>CPF 04400814670</t>
  </si>
  <si>
    <t>Rua Antônio Pereira Leite 2168, Itanhandu - CEP: 37464000, Minas Gerais</t>
  </si>
  <si>
    <t>04400814670</t>
  </si>
  <si>
    <t>Rua Antônio Pereira Leite 2168 / Ponte Alta - CEP 37464000 - Itanhandu, Itanhandu, Minas Gerais</t>
  </si>
  <si>
    <t>Itanhandu</t>
  </si>
  <si>
    <t>37464000</t>
  </si>
  <si>
    <t>7 de novembro | 02:19</t>
  </si>
  <si>
    <t>8 de novembro | 10:52</t>
  </si>
  <si>
    <t>MEL44031116512LMXDF01</t>
  </si>
  <si>
    <t>2000006559152999</t>
  </si>
  <si>
    <t>1 de novembro de 2024 20:59 hs.</t>
  </si>
  <si>
    <t>Igor de Oliveira Vilarim</t>
  </si>
  <si>
    <t>CPF 46753614800</t>
  </si>
  <si>
    <t>Rua Cidade Praia Grande 216 - Casa Da Esquina, Igarapava - CEP: 14540000, São Paulo</t>
  </si>
  <si>
    <t>46753614800</t>
  </si>
  <si>
    <t>Rua Cidade Praia Grande 216 / Casa Da Esquina - CEP 14540000 - waldir, Igarapava, São Paulo</t>
  </si>
  <si>
    <t>Igarapava</t>
  </si>
  <si>
    <t>14540000</t>
  </si>
  <si>
    <t>8 de novembro | 12:44</t>
  </si>
  <si>
    <t>MEL44030914393LMXDF01</t>
  </si>
  <si>
    <t>2000009718445962</t>
  </si>
  <si>
    <t>2000009718458056</t>
  </si>
  <si>
    <t>2000009718423556</t>
  </si>
  <si>
    <t>1 de novembro de 2024 20:56 hs.</t>
  </si>
  <si>
    <t>CPF 05520560307</t>
  </si>
  <si>
    <t>Rua Antonio Fernandes Lima 327 - Casa, Farias Brito - CEP: 63185000, Ceará</t>
  </si>
  <si>
    <t>05520560307</t>
  </si>
  <si>
    <t>Rua Antonio Fernandes Lima 327 / Casa Referencia: Casa em frente da secretaria de Educação - CEP 63185000 - Centro, Farias Brito, Ceará</t>
  </si>
  <si>
    <t>Farias Brito</t>
  </si>
  <si>
    <t>63185000</t>
  </si>
  <si>
    <t>12 de novembro | 16:08</t>
  </si>
  <si>
    <t>MEL44031100634LMXDF01</t>
  </si>
  <si>
    <t>2000006559031391</t>
  </si>
  <si>
    <t>1 de novembro de 2024 20:30 hs.</t>
  </si>
  <si>
    <t>Luciana país de barros Lucia</t>
  </si>
  <si>
    <t>CPF 02766149414</t>
  </si>
  <si>
    <t>Praça Agamenon Magalhães 66 - casa, Saloá - CEP: 55350000, Pernambuco</t>
  </si>
  <si>
    <t>02766149414</t>
  </si>
  <si>
    <t>praça Agamenon Magalhães 66 / casa - CEP 55350000 - certo, Saloá, Pernambuco</t>
  </si>
  <si>
    <t>Saloá</t>
  </si>
  <si>
    <t>55350000</t>
  </si>
  <si>
    <t>11 de novembro | 13:57</t>
  </si>
  <si>
    <t>MEL44031018068LMXDF01</t>
  </si>
  <si>
    <t>2000006558737895</t>
  </si>
  <si>
    <t>1 de novembro de 2024 19:20 hs.</t>
  </si>
  <si>
    <t>Rua Clapp Filho 70 70, Rio de Janeiro - CEP: 20785270, Rio de Janeiro</t>
  </si>
  <si>
    <t>MEL44030798268LMXDF01</t>
  </si>
  <si>
    <t>2000006558626209</t>
  </si>
  <si>
    <t>1 de novembro de 2024 18:57 hs.</t>
  </si>
  <si>
    <t>Larissa Barbosa</t>
  </si>
  <si>
    <t>CPF 01190584212</t>
  </si>
  <si>
    <t>Rua João Elias de Souza 4762, Porto Velho - CEP: 76810486, Rondônia</t>
  </si>
  <si>
    <t>01190584212</t>
  </si>
  <si>
    <t>Rua João Elias de Souza 4762 / CEP 76810486 - Cidade do Lobo, Porto Velho, Rondônia</t>
  </si>
  <si>
    <t>76810486</t>
  </si>
  <si>
    <t>11 de novembro | 15:27</t>
  </si>
  <si>
    <t>MEL44030529941LMXDF01</t>
  </si>
  <si>
    <t>2000006558451269</t>
  </si>
  <si>
    <t>1 de novembro de 2024 18:12 hs.</t>
  </si>
  <si>
    <t>Julio Cesar Barboza Cuna</t>
  </si>
  <si>
    <t>CPF 63998289020</t>
  </si>
  <si>
    <t>Avenida Francisco Reverbel de Araújo Góes 539, Santana do Livramento - CEP: 97574733, Rio Grande do Sul</t>
  </si>
  <si>
    <t>63998289020</t>
  </si>
  <si>
    <t>Avenida Francisco Reverbel de Araújo Góes 539 / CEP 97574733 - Umbu, Santana do Livramento, Rio Grande do Sul</t>
  </si>
  <si>
    <t>Santana do Livramento</t>
  </si>
  <si>
    <t>97574733</t>
  </si>
  <si>
    <t>11 de novembro | 12:30</t>
  </si>
  <si>
    <t>MEL44030578624LMXDF01</t>
  </si>
  <si>
    <t>2000006558389395</t>
  </si>
  <si>
    <t>1 de novembro de 2024 17:59 hs.</t>
  </si>
  <si>
    <t>Luiz Andre Patricio</t>
  </si>
  <si>
    <t>CPF 01257204750</t>
  </si>
  <si>
    <t>Rua Ceres 440, Rio de Janeiro - CEP: 21862070, Rio de Janeiro</t>
  </si>
  <si>
    <t>01257204750</t>
  </si>
  <si>
    <t>Rua Ceres 440 / CEP 21862070 - Bangu, Rio de Janeiro, Rio de Janeiro</t>
  </si>
  <si>
    <t>21862070</t>
  </si>
  <si>
    <t>7 de novembro | 00:54</t>
  </si>
  <si>
    <t>7 de novembro | 10:43</t>
  </si>
  <si>
    <t>MEL44030337507LMXDF01</t>
  </si>
  <si>
    <t>2000009717101724</t>
  </si>
  <si>
    <t>1 de novembro de 2024 17:52 hs.</t>
  </si>
  <si>
    <t xml:space="preserve">Regina cristina Costa melo Cristina </t>
  </si>
  <si>
    <t>CPF 88142370697</t>
  </si>
  <si>
    <t>Rua Francisco Gonçalves Mariano 312, Juiz de Fora - CEP: 36032660, Minas Gerais</t>
  </si>
  <si>
    <t>88142370697</t>
  </si>
  <si>
    <t>Rua Francisco Gonçalves Mariano 312 / Referencia: rua sem saída - CEP 36032660 - Ipiranga, Juiz de Fora, Minas Gerais</t>
  </si>
  <si>
    <t>Juiz de Fora</t>
  </si>
  <si>
    <t>36032660</t>
  </si>
  <si>
    <t>7 de novembro | 00:23</t>
  </si>
  <si>
    <t>7 de novembro | 11:26</t>
  </si>
  <si>
    <t>MEL44030316219LMXDF01</t>
  </si>
  <si>
    <t>2000009716005126</t>
  </si>
  <si>
    <t>1 de novembro de 2024 15:36 hs.</t>
  </si>
  <si>
    <t>Joao Henrique Emidio da Silveira</t>
  </si>
  <si>
    <t>CPF 05053635935</t>
  </si>
  <si>
    <t>Rua Arnoldo Pereira 175 - Casa Verde, São Francisco do Sul - CEP: 89240000, Santa Catarina</t>
  </si>
  <si>
    <t>05053635935</t>
  </si>
  <si>
    <t>Rua Arnoldo Pereira 175 / Casa Verde - CEP 89240000 - Rocio Pequeno, São Francisco do Sul, Santa Catarina</t>
  </si>
  <si>
    <t>8 de novembro | 14:34</t>
  </si>
  <si>
    <t>MEL44029788881LMXDF01</t>
  </si>
  <si>
    <t>2000009715916384</t>
  </si>
  <si>
    <t>1 de novembro de 2024 15:25 hs.</t>
  </si>
  <si>
    <t>givanildo loli menegasso</t>
  </si>
  <si>
    <t>CPF 01718294921</t>
  </si>
  <si>
    <t>Rua Olávo Lemos 2 - próximo a igreja, Pedras Grandes - CEP: 88720000, Santa Catarina</t>
  </si>
  <si>
    <t>01718294921</t>
  </si>
  <si>
    <t>Rua Olávo Lemos 2 / próximo a igreja - CEP 88720000 - Pedras Grandes, Pedras Grandes, Santa Catarina</t>
  </si>
  <si>
    <t>Pedras Grandes</t>
  </si>
  <si>
    <t>88720000</t>
  </si>
  <si>
    <t>9 de novembro | 12:10</t>
  </si>
  <si>
    <t>MEL44029936444LMXDF01</t>
  </si>
  <si>
    <t>2000009715785180</t>
  </si>
  <si>
    <t>1 de novembro de 2024 15:09 hs.</t>
  </si>
  <si>
    <t>Caio Fabio Evangelista Dos Santos</t>
  </si>
  <si>
    <t>CPF 14856609718</t>
  </si>
  <si>
    <t>Rua Androcles 378 - apto 201, Rio de Janeiro - CEP: 22780791, Rio de Janeiro</t>
  </si>
  <si>
    <t>14856609718</t>
  </si>
  <si>
    <t>Rua Androcles 378 / apto 201 - CEP 22780791 - Curicica, Rio de Janeiro, Rio de Janeiro</t>
  </si>
  <si>
    <t>22780791</t>
  </si>
  <si>
    <t>7 de novembro | 16:36</t>
  </si>
  <si>
    <t>MEL44029686107LMXDF01</t>
  </si>
  <si>
    <t>2000009715610932</t>
  </si>
  <si>
    <t>1 de novembro de 2024 14:59 hs.</t>
  </si>
  <si>
    <t>patricia rodrigues</t>
  </si>
  <si>
    <t>CPF 11058875965</t>
  </si>
  <si>
    <t>Rua Ari Ferraz de Souza 801 - Casa Branca esquina, Luiziana - CEP: 87290000, Paraná</t>
  </si>
  <si>
    <t>11058875965</t>
  </si>
  <si>
    <t>Rua Ari Ferraz de Souza 801 / Casa Branca esquina  Referencia: Perto do bar do cê-cê casa de esquina branca - CEP 87290000 - Centro, Luiziana, Paraná</t>
  </si>
  <si>
    <t>Luiziana</t>
  </si>
  <si>
    <t>87290000</t>
  </si>
  <si>
    <t>MEL44029795436LMXDF01</t>
  </si>
  <si>
    <t>2000009715573704</t>
  </si>
  <si>
    <t>1 de novembro de 2024 14:44 hs.</t>
  </si>
  <si>
    <t>DAIANE COSTA RODRIGUES</t>
  </si>
  <si>
    <t>CPF 92534120204</t>
  </si>
  <si>
    <t>Rua Aloísio Chaves 108 - Casa, São Domingos do Araguaia - CEP: 68520000, Pará</t>
  </si>
  <si>
    <t>92534120204</t>
  </si>
  <si>
    <t>Rua Aloísio Chaves 108 / Casa Referencia: sim ..do lado da secretaria de transportes - CEP 68520000 - Aldenira frota, São Domingos do Araguaia, Pará</t>
  </si>
  <si>
    <t>São Domingos do Araguaia</t>
  </si>
  <si>
    <t>68520000</t>
  </si>
  <si>
    <t>5 de novembro | 00:56</t>
  </si>
  <si>
    <t>10 de novembro | 17:28</t>
  </si>
  <si>
    <t>MEL44029778878LMXDF01</t>
  </si>
  <si>
    <t>2000006557320939</t>
  </si>
  <si>
    <t>1 de novembro de 2024 14:23 hs.</t>
  </si>
  <si>
    <t>Evandro Borges Emerin</t>
  </si>
  <si>
    <t>CPF 84649984904</t>
  </si>
  <si>
    <t>Rua Salvador 255 - Bloco 4 -ap 302, Criciúma - CEP: 88813150, Santa Catarina</t>
  </si>
  <si>
    <t>84649984904</t>
  </si>
  <si>
    <t>Rua Salvador 255 / Bloco 4 -ap 302 Referencia: ligar no momento da entrega.
Residencial vivendas de Barcelona. - CEP 88813150 - Brasília, Criciúma, Santa Catarina</t>
  </si>
  <si>
    <t>Criciúma</t>
  </si>
  <si>
    <t>88813150</t>
  </si>
  <si>
    <t>5 de novembro | 05:48</t>
  </si>
  <si>
    <t>7 de novembro | 12:23</t>
  </si>
  <si>
    <t>MEL44029501623LMXDF01</t>
  </si>
  <si>
    <t>2000009715217920</t>
  </si>
  <si>
    <t>1 de novembro de 2024 14:04 hs.</t>
  </si>
  <si>
    <t>Chegou em 5 de novembro</t>
  </si>
  <si>
    <t>Aryadne Suelen Roque</t>
  </si>
  <si>
    <t>CPF 07609387681</t>
  </si>
  <si>
    <t>Rua Tia Amélia 20 - Fundos da Igreja, Contagem - CEP: 32052010, Minas Gerais</t>
  </si>
  <si>
    <t>07609387681</t>
  </si>
  <si>
    <t>Rua Tia Amélia 20 / Fundos da Igreja Referencia: Fundos da Igreja Pentecostal Guerreiros De Fogo. Entregar para Alecir Natalina Raminho Roque - CEP 32052010 - Vila Renascer, Contagem, Minas Gerais</t>
  </si>
  <si>
    <t>32052010</t>
  </si>
  <si>
    <t>5 de novembro | 02:46</t>
  </si>
  <si>
    <t>5 de novembro | 17:31</t>
  </si>
  <si>
    <t>MEL44029612632LMXDF01</t>
  </si>
  <si>
    <t>2000009715209956</t>
  </si>
  <si>
    <t>1 de novembro de 2024 14:02 hs.</t>
  </si>
  <si>
    <t>alice vogado</t>
  </si>
  <si>
    <t>CPF 09052675910</t>
  </si>
  <si>
    <t>Avenida Vereador Antônio Bortolotto 859, Maringá - CEP: 87103005, Paraná</t>
  </si>
  <si>
    <t>09052675910</t>
  </si>
  <si>
    <t>Avenida Vereador Antônio Bortolotto 859 / Lava jato - CEP 87103005 - Distrito de Iguatemi (Iguatemi), Maringá, Paraná</t>
  </si>
  <si>
    <t>87103005</t>
  </si>
  <si>
    <t>7 de novembro | 09:33</t>
  </si>
  <si>
    <t>MEL44029612190LMXDF01</t>
  </si>
  <si>
    <t>2000009714863834</t>
  </si>
  <si>
    <t>1 de novembro de 2024 13:21 hs.</t>
  </si>
  <si>
    <t>Alberto dos Santos Ledur</t>
  </si>
  <si>
    <t>CPF 16570790072</t>
  </si>
  <si>
    <t>RUA BENTO GONÇALVES 428, São Leopoldo - CEP: 93010220, Rio Grande do Sul</t>
  </si>
  <si>
    <t>16570790072</t>
  </si>
  <si>
    <t>RUA BENTO GONÇALVES 428 / Sala 8 - CEP 93010220 - Centro, São Leopoldo, Rio Grande do Sul</t>
  </si>
  <si>
    <t>93010220</t>
  </si>
  <si>
    <t>5 de novembro | 05:28</t>
  </si>
  <si>
    <t>11 de novembro | 11:37</t>
  </si>
  <si>
    <t>MEL44029252313LMXDF01</t>
  </si>
  <si>
    <t>https://myaccount.mercadolivre.com.br/shipments/44029252313/detail</t>
  </si>
  <si>
    <t>2000009713516638</t>
  </si>
  <si>
    <t>1 de novembro de 2024 10:40 hs.</t>
  </si>
  <si>
    <t>Claudiene Silva Souza</t>
  </si>
  <si>
    <t>CPF 05275562543</t>
  </si>
  <si>
    <t>Antônio davi 66 - casa, Medeiros Neto - CEP: 45960000, Bahia</t>
  </si>
  <si>
    <t>05275562543</t>
  </si>
  <si>
    <t>Antônio davi 66 / casa - CEP 45960000 - planalto 2, Medeiros Neto, Bahia</t>
  </si>
  <si>
    <t>Medeiros Neto</t>
  </si>
  <si>
    <t>45960000</t>
  </si>
  <si>
    <t>5 de novembro | 05:47</t>
  </si>
  <si>
    <t>7 de novembro | 13:58</t>
  </si>
  <si>
    <t>MEL44028809164LMXDF01</t>
  </si>
  <si>
    <t>2000006556209221</t>
  </si>
  <si>
    <t>1 de novembro de 2024 10:39 hs.</t>
  </si>
  <si>
    <t>Chegou em 6 de novembro</t>
  </si>
  <si>
    <t>Rita de Cassia Guedes</t>
  </si>
  <si>
    <t>CPF 03561359850</t>
  </si>
  <si>
    <t>Av. Cursino 3231 3231, São Paulo - CEP: 04133300, São Paulo</t>
  </si>
  <si>
    <t>03561359850</t>
  </si>
  <si>
    <t>Av. Cursino 3231 / Referencia: em frente a óticas carol
casa 1 andar - CEP 04133300 - Saúde, São Paulo, São Paulo</t>
  </si>
  <si>
    <t>04133300</t>
  </si>
  <si>
    <t>5 de novembro | 04:50</t>
  </si>
  <si>
    <t>6 de novembro | 12:21</t>
  </si>
  <si>
    <t>MEL44028617529LMXDF01</t>
  </si>
  <si>
    <t>2000006556192673</t>
  </si>
  <si>
    <t>1 de novembro de 2024 10:36 hs.</t>
  </si>
  <si>
    <t>Kamila Oliveira Facio Machado</t>
  </si>
  <si>
    <t>CPF 30717332837</t>
  </si>
  <si>
    <t>Rua Visconde de Cairu 989 - Casa 3, Guarulhos - CEP: 07083120, São Paulo</t>
  </si>
  <si>
    <t>30717332837</t>
  </si>
  <si>
    <t>Rua Visconde de Cairu 989 / Casa 3 Referencia: Avenida Transguarulhense - CEP 07083120 - Jardim Paulista, Guarulhos, São Paulo</t>
  </si>
  <si>
    <t>07083120</t>
  </si>
  <si>
    <t>5 de novembro | 04:59</t>
  </si>
  <si>
    <t>7 de novembro | 10:16</t>
  </si>
  <si>
    <t>MEL44028605621LMXDF01</t>
  </si>
  <si>
    <t>2000009713487380</t>
  </si>
  <si>
    <t>2000009713487382</t>
  </si>
  <si>
    <t>2000006556122449</t>
  </si>
  <si>
    <t>1 de novembro de 2024 10:21 hs.</t>
  </si>
  <si>
    <t>Luiz Isaac Fardin</t>
  </si>
  <si>
    <t>CPF 07159047796</t>
  </si>
  <si>
    <t>Avenida Paulino Muller 815, Vitória - CEP: 29040715, Espírito Santo</t>
  </si>
  <si>
    <t>07159047796</t>
  </si>
  <si>
    <t>Avenida Paulino Muller 815 / CEP 29040715 - Jucutuquara, Vitória, Espírito Santo</t>
  </si>
  <si>
    <t>29040715</t>
  </si>
  <si>
    <t>5 de novembro | 00:22</t>
  </si>
  <si>
    <t>5 de novembro | 19:18</t>
  </si>
  <si>
    <t>MEL44028549073LMXDF01</t>
  </si>
  <si>
    <t>2000006555980049</t>
  </si>
  <si>
    <t>1 de novembro de 2024 09:47 hs.</t>
  </si>
  <si>
    <t>Luiz Torres</t>
  </si>
  <si>
    <t>CPF 42800625104</t>
  </si>
  <si>
    <t>Rua Athos Astolfi 338, Campinas - CEP: 13052577, São Paulo</t>
  </si>
  <si>
    <t>42800625104</t>
  </si>
  <si>
    <t>Rua Athos Astolfi 338 / CASA - CEP 13052577 - Jardim San Diego, Campinas, São Paulo</t>
  </si>
  <si>
    <t>13052577</t>
  </si>
  <si>
    <t>5 de novembro | 04:44</t>
  </si>
  <si>
    <t>6 de novembro | 10:41</t>
  </si>
  <si>
    <t>MEL44028432595LMXDF01</t>
  </si>
  <si>
    <t>2000009713063302</t>
  </si>
  <si>
    <t>1 de novembro de 2024 09:41 hs.</t>
  </si>
  <si>
    <t>Janinha Kuhne</t>
  </si>
  <si>
    <t>CPF 65023137015</t>
  </si>
  <si>
    <t>Rua Senador Alberto Pasqualine 597 - casa, Redentora - CEP: 98550000, Rio Grande do Sul</t>
  </si>
  <si>
    <t>65023137015</t>
  </si>
  <si>
    <t>Rua Senador Alberto Pasqualine 597 / casa Referencia: Posto Casagrande - CEP 98550000 - centro, Redentora, Rio Grande do Sul</t>
  </si>
  <si>
    <t>Redentora</t>
  </si>
  <si>
    <t>98550000</t>
  </si>
  <si>
    <t>8 de novembro | 13:33</t>
  </si>
  <si>
    <t>MEL44028596834LMXDF01</t>
  </si>
  <si>
    <t>2000009712969542</t>
  </si>
  <si>
    <t>1 de novembro de 2024 09:25 hs.</t>
  </si>
  <si>
    <t>Jucelia Do Nascimento Dos Santos</t>
  </si>
  <si>
    <t>CPF 08048775484</t>
  </si>
  <si>
    <t>Povoado capim SN - Povoado capim, Pariconha - CEP: 57475000, Alagoas</t>
  </si>
  <si>
    <t>08048775484</t>
  </si>
  <si>
    <t>Povoado capim SN / Povoado capim - CEP 57475000 - SONA RURAL, Pariconha, Alagoas</t>
  </si>
  <si>
    <t>Pariconha</t>
  </si>
  <si>
    <t>57475000</t>
  </si>
  <si>
    <t>5 de novembro | 04:49</t>
  </si>
  <si>
    <t>9 de novembro | 15:44</t>
  </si>
  <si>
    <t>MEL44028359937LMXDF01</t>
  </si>
  <si>
    <t>2000009712919320</t>
  </si>
  <si>
    <t>1 de novembro de 2024 09:16 hs.</t>
  </si>
  <si>
    <t>Dalila Oliveira</t>
  </si>
  <si>
    <t>CPF 61566459346</t>
  </si>
  <si>
    <t>Rua Sete de Setembro SN - br 119, Altamira do Maranhão - CEP: 65310000, Maranhão</t>
  </si>
  <si>
    <t>61566459346</t>
  </si>
  <si>
    <t>Rua Sete de Setembro SN / br 119 Referencia: povoado duas barracas municipil Santa luzia do tide, última casa do lado direito depois da escola, em frente ao chafariz. - CEP 65310000 - centro, Altamira do Maranhão, Maranhão</t>
  </si>
  <si>
    <t>Altamira do Maranhão</t>
  </si>
  <si>
    <t>65310000</t>
  </si>
  <si>
    <t>5 de novembro | 05:29</t>
  </si>
  <si>
    <t>10 de novembro | 17:43</t>
  </si>
  <si>
    <t>MEL44028528382LMXDF01</t>
  </si>
  <si>
    <t>2000009712369006</t>
  </si>
  <si>
    <t>1 de novembro de 2024 07:10 hs.</t>
  </si>
  <si>
    <t>Daniele Ventura</t>
  </si>
  <si>
    <t>CPF 31124152806</t>
  </si>
  <si>
    <t>Rua Benjamin Figueiredo 1662, Botucatu - CEP: 18608045, São Paulo</t>
  </si>
  <si>
    <t>31124152806</t>
  </si>
  <si>
    <t>Rua Benjamin Figueiredo 1662 / Referencia: próximo ao depósito de bebidas os Gordinhos - CEP 18608045 - Jardim Continental, Botucatu, São Paulo</t>
  </si>
  <si>
    <t>18608045</t>
  </si>
  <si>
    <t>5 de novembro | 04:47</t>
  </si>
  <si>
    <t>6 de novembro | 12:32</t>
  </si>
  <si>
    <t>MEL44028054761LMXDF01</t>
  </si>
  <si>
    <t>2000009712339514</t>
  </si>
  <si>
    <t>1 de novembro de 2024 07:01 hs.</t>
  </si>
  <si>
    <t>maria aparecida telles lobo Lobo</t>
  </si>
  <si>
    <t>CPF 51789833604</t>
  </si>
  <si>
    <t>Avenida Quinta Avenida 403, Nova Lima - CEP: 34011093, Minas Gerais</t>
  </si>
  <si>
    <t>51789833604</t>
  </si>
  <si>
    <t>Avenida Quinta Avenida 403 / Referencia: Avenida principal do bairro. - CEP 34011093 - Vale do Sol, Nova Lima, Minas Gerais</t>
  </si>
  <si>
    <t>Nova Lima</t>
  </si>
  <si>
    <t>34011093</t>
  </si>
  <si>
    <t>5 de novembro | 01:23</t>
  </si>
  <si>
    <t>5 de novembro | 17:15</t>
  </si>
  <si>
    <t>MEL44028043339LMXDF01</t>
  </si>
  <si>
    <t>2000009712348126</t>
  </si>
  <si>
    <t>1 de novembro de 2024 06:58 hs.</t>
  </si>
  <si>
    <t>manuela Lurdes Vivian</t>
  </si>
  <si>
    <t>CPF 76104478972</t>
  </si>
  <si>
    <t>Albino Vivian 196, Iraceminha - CEP: 89891000, Santa Catarina</t>
  </si>
  <si>
    <t>76104478972</t>
  </si>
  <si>
    <t>Albino Vivian 196 / CEP 89891000 - centro, Iraceminha, Santa Catarina</t>
  </si>
  <si>
    <t>Iraceminha</t>
  </si>
  <si>
    <t>89891000</t>
  </si>
  <si>
    <t>7 de novembro | 13:32</t>
  </si>
  <si>
    <t>MEL44028039491LMXDF01</t>
  </si>
  <si>
    <t>2000009712262920</t>
  </si>
  <si>
    <t>1 de novembro de 2024 06:24 hs.</t>
  </si>
  <si>
    <t>Felipe Meaurio Loureiro</t>
  </si>
  <si>
    <t>CPF 06887649160</t>
  </si>
  <si>
    <t>Avenida das Mansões 595, Campo Grande - CEP: 79091160, Mato Grosso do Sul</t>
  </si>
  <si>
    <t>06887649160</t>
  </si>
  <si>
    <t>Avenida das Mansões 595 / CEP 79091160 - Bonjardim, Campo Grande, Mato Grosso do Sul</t>
  </si>
  <si>
    <t>79091160</t>
  </si>
  <si>
    <t>5 de novembro | 04:48</t>
  </si>
  <si>
    <t>7 de novembro | 11:48</t>
  </si>
  <si>
    <t>MEL44028000149LMXDF01</t>
  </si>
  <si>
    <t>2000009712159422</t>
  </si>
  <si>
    <t>1 de novembro de 2024 04:56 hs.</t>
  </si>
  <si>
    <t>Alexandra Rodrigues Correa</t>
  </si>
  <si>
    <t>CPF 21719739862</t>
  </si>
  <si>
    <t>RUA ITACOLOMI 3220, Votuporanga - CEP: 15500467, São Paulo</t>
  </si>
  <si>
    <t>21719739862</t>
  </si>
  <si>
    <t>RUA ITACOLOMI 3220 / Loja Franham Soluções - CEP 15500467 - Vila Marim, Votuporanga, São Paulo</t>
  </si>
  <si>
    <t>Votuporanga</t>
  </si>
  <si>
    <t>15500467</t>
  </si>
  <si>
    <t>5 de novembro | 01:00</t>
  </si>
  <si>
    <t>6 de novembro | 16:51</t>
  </si>
  <si>
    <t>MEL44028144080LMXDF01</t>
  </si>
  <si>
    <t>https://myaccount.mercadolivre.com.br/shipments/44028144080/detail</t>
  </si>
  <si>
    <t>2000009711537820</t>
  </si>
  <si>
    <t>1 de novembro de 2024 00:09 hs.</t>
  </si>
  <si>
    <t xml:space="preserve">jaqueline santos  petersen </t>
  </si>
  <si>
    <t>CPF 33770335805</t>
  </si>
  <si>
    <t>Rua Cardoso de Almeida 840 - Apto 1412, São Paulo - CEP: 05013001, São Paulo</t>
  </si>
  <si>
    <t>33770335805</t>
  </si>
  <si>
    <t>Rua Cardoso de Almeida 840 / Apto 1412 - CEP 05013001 - Perdizes, São Paulo, São Paulo</t>
  </si>
  <si>
    <t>05013001</t>
  </si>
  <si>
    <t>5 de novembro | 04:53</t>
  </si>
  <si>
    <t>6 de novembro | 11:46</t>
  </si>
  <si>
    <t>MEL44027675015LMXDF01</t>
  </si>
  <si>
    <t>TOTAL BRUTO</t>
  </si>
  <si>
    <t>TOTAL RECEBIDO</t>
  </si>
  <si>
    <t>TAXA DO SIMPLES</t>
  </si>
  <si>
    <t>TOTAL DE TARIFAS</t>
  </si>
  <si>
    <t>PUBLICIADE</t>
  </si>
  <si>
    <t>CUSTO/PRODUÇÃO</t>
  </si>
  <si>
    <t>TOTAL PAGO AO MERCADO LIVRE</t>
  </si>
  <si>
    <t xml:space="preserve">RECEITA LIQUIDO </t>
  </si>
  <si>
    <t>MARGEM DE LUCRO BRUTA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</si>
</sst>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R$&quot;\ * #,##0.00_-;\-&quot;R$&quot;\ * #,##0.00_-;_-&quot;R$&quot;\ * &quot;-&quot;??_-;_-@"/>
  </numFmts>
  <fonts count="11">
    <font>
      <sz val="11.0"/>
      <color rgb="FF000000"/>
      <name val="Calibri"/>
      <scheme val="minor"/>
    </font>
    <font>
      <b/>
      <sz val="9.0"/>
      <color theme="1"/>
      <name val="Calibri"/>
    </font>
    <font>
      <u/>
      <sz val="10.0"/>
      <color rgb="FF1218DC"/>
      <name val="Calibri"/>
    </font>
    <font>
      <sz val="10.0"/>
      <color theme="1"/>
      <name val="Calibri"/>
    </font>
    <font>
      <b/>
      <u/>
      <sz val="10.0"/>
      <color rgb="FF1218DC"/>
      <name val="Calibri"/>
    </font>
    <font>
      <b/>
      <sz val="10.0"/>
      <color theme="1"/>
      <name val="Calibri"/>
    </font>
    <font>
      <b/>
      <sz val="9.0"/>
      <color rgb="FFA61C00"/>
      <name val="Calibri"/>
    </font>
    <font>
      <u/>
      <sz val="10.0"/>
      <color rgb="FF1218DC"/>
      <name val="Calibri"/>
    </font>
    <font>
      <b/>
      <u/>
      <sz val="10.0"/>
      <color rgb="FF1218DC"/>
      <name val="Calibri"/>
    </font>
    <font>
      <sz val="10.0"/>
      <color rgb="FF1218DC"/>
      <name val="Calibri"/>
    </font>
    <font>
      <sz val="11.0"/>
      <color rgb="FF00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AB86FF"/>
        <bgColor rgb="FFAB86FF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B1DA9F"/>
        <bgColor rgb="FFB1DA9F"/>
      </patternFill>
    </fill>
    <fill>
      <patternFill patternType="solid">
        <fgColor rgb="FF6FA8DC"/>
        <bgColor rgb="FF6FA8DC"/>
      </patternFill>
    </fill>
    <fill>
      <patternFill patternType="solid">
        <fgColor rgb="FFC27BA0"/>
        <bgColor rgb="FFC27BA0"/>
      </patternFill>
    </fill>
    <fill>
      <patternFill patternType="solid">
        <fgColor rgb="FF76A5AF"/>
        <bgColor rgb="FF76A5AF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</fills>
  <borders count="4">
    <border/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  <border>
      <left/>
      <right/>
      <top/>
      <bottom/>
    </border>
    <border>
      <left style="thin">
        <color rgb="FFA61C00"/>
      </left>
      <right style="thin">
        <color rgb="FFA61C00"/>
      </right>
      <top style="thin">
        <color rgb="FFA61C00"/>
      </top>
      <bottom style="thin">
        <color rgb="FFA61C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right" vertical="center"/>
    </xf>
    <xf borderId="2" fillId="10" fontId="4" numFmtId="0" xfId="0" applyAlignment="1" applyBorder="1" applyFill="1" applyFont="1">
      <alignment vertical="center"/>
    </xf>
    <xf borderId="2" fillId="10" fontId="5" numFmtId="0" xfId="0" applyAlignment="1" applyBorder="1" applyFont="1">
      <alignment vertical="center"/>
    </xf>
    <xf borderId="2" fillId="10" fontId="5" numFmtId="0" xfId="0" applyAlignment="1" applyBorder="1" applyFont="1">
      <alignment horizontal="right" vertical="center"/>
    </xf>
    <xf borderId="1" fillId="11" fontId="6" numFmtId="0" xfId="0" applyAlignment="1" applyBorder="1" applyFill="1" applyFont="1">
      <alignment horizontal="center" shrinkToFit="0" vertical="center" wrapText="1"/>
    </xf>
    <xf borderId="2" fillId="12" fontId="7" numFmtId="0" xfId="0" applyAlignment="1" applyBorder="1" applyFill="1" applyFont="1">
      <alignment vertical="center"/>
    </xf>
    <xf borderId="2" fillId="12" fontId="3" numFmtId="0" xfId="0" applyAlignment="1" applyBorder="1" applyFont="1">
      <alignment vertical="center"/>
    </xf>
    <xf borderId="2" fillId="12" fontId="3" numFmtId="0" xfId="0" applyAlignment="1" applyBorder="1" applyFont="1">
      <alignment horizontal="right" vertical="center"/>
    </xf>
    <xf borderId="3" fillId="10" fontId="8" numFmtId="0" xfId="0" applyAlignment="1" applyBorder="1" applyFont="1">
      <alignment vertical="center"/>
    </xf>
    <xf borderId="2" fillId="12" fontId="9" numFmtId="0" xfId="0" applyAlignment="1" applyBorder="1" applyFont="1">
      <alignment vertical="center"/>
    </xf>
    <xf borderId="0" fillId="12" fontId="3" numFmtId="0" xfId="0" applyAlignment="1" applyFont="1">
      <alignment horizontal="right" vertical="center"/>
    </xf>
    <xf borderId="0" fillId="0" fontId="10" numFmtId="164" xfId="0" applyFont="1" applyNumberFormat="1"/>
    <xf borderId="0" fillId="0" fontId="10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mercadolivre.com.br/vendas/2000006692451075/detalhe" TargetMode="External"/><Relationship Id="rId391" Type="http://schemas.openxmlformats.org/officeDocument/2006/relationships/hyperlink" Target="https://www.mercadolivre.com.br/vendas/2000006692471721/detalhe" TargetMode="External"/><Relationship Id="rId390" Type="http://schemas.openxmlformats.org/officeDocument/2006/relationships/hyperlink" Target="https://www.mercadolivre.com.br/vendas/2000009935425318/detalhe" TargetMode="External"/><Relationship Id="rId1" Type="http://schemas.openxmlformats.org/officeDocument/2006/relationships/hyperlink" Target="https://www.mercadolivre.com.br/vendas/2000006741373511/detalhe" TargetMode="External"/><Relationship Id="rId2" Type="http://schemas.openxmlformats.org/officeDocument/2006/relationships/hyperlink" Target="https://www.mercadolivre.com.br/vendas/2000010013294446/detalhe" TargetMode="External"/><Relationship Id="rId3" Type="http://schemas.openxmlformats.org/officeDocument/2006/relationships/hyperlink" Target="https://www.mercadolivre.com.br/vendas/2000010012686402/detalhe" TargetMode="External"/><Relationship Id="rId4" Type="http://schemas.openxmlformats.org/officeDocument/2006/relationships/hyperlink" Target="https://www.mercadolivre.com.br/vendas/2000006740880969/detalhe" TargetMode="External"/><Relationship Id="rId9" Type="http://schemas.openxmlformats.org/officeDocument/2006/relationships/hyperlink" Target="https://www.mercadolivre.com.br/vendas/2000010011738256/detalhe" TargetMode="External"/><Relationship Id="rId385" Type="http://schemas.openxmlformats.org/officeDocument/2006/relationships/hyperlink" Target="https://www.mercadolivre.com.br/vendas/2000009936148368/detalhe" TargetMode="External"/><Relationship Id="rId384" Type="http://schemas.openxmlformats.org/officeDocument/2006/relationships/hyperlink" Target="https://www.mercadolivre.com.br/vendas/2000006693294547/detalhe" TargetMode="External"/><Relationship Id="rId383" Type="http://schemas.openxmlformats.org/officeDocument/2006/relationships/hyperlink" Target="https://www.mercadolivre.com.br/vendas/2000006693298927/detalhe" TargetMode="External"/><Relationship Id="rId382" Type="http://schemas.openxmlformats.org/officeDocument/2006/relationships/hyperlink" Target="https://www.mercadolivre.com.br/vendas/2000009936707008/detalhe" TargetMode="External"/><Relationship Id="rId5" Type="http://schemas.openxmlformats.org/officeDocument/2006/relationships/hyperlink" Target="https://www.mercadolivre.com.br/vendas/2000010012686278/detalhe" TargetMode="External"/><Relationship Id="rId389" Type="http://schemas.openxmlformats.org/officeDocument/2006/relationships/hyperlink" Target="https://www.mercadolivre.com.br/vendas/2000009935909148/detalhe" TargetMode="External"/><Relationship Id="rId6" Type="http://schemas.openxmlformats.org/officeDocument/2006/relationships/hyperlink" Target="https://www.mercadolivre.com.br/vendas/2000006740862195/detalhe" TargetMode="External"/><Relationship Id="rId388" Type="http://schemas.openxmlformats.org/officeDocument/2006/relationships/hyperlink" Target="https://www.mercadolivre.com.br/vendas/2000009935941518/detalhe" TargetMode="External"/><Relationship Id="rId7" Type="http://schemas.openxmlformats.org/officeDocument/2006/relationships/hyperlink" Target="https://www.mercadolivre.com.br/vendas/2000010012329750/detalhe" TargetMode="External"/><Relationship Id="rId387" Type="http://schemas.openxmlformats.org/officeDocument/2006/relationships/hyperlink" Target="https://www.mercadolivre.com.br/vendas/2000009936075736/detalhe" TargetMode="External"/><Relationship Id="rId8" Type="http://schemas.openxmlformats.org/officeDocument/2006/relationships/hyperlink" Target="https://www.mercadolivre.com.br/vendas/2000006740632507/detalhe" TargetMode="External"/><Relationship Id="rId386" Type="http://schemas.openxmlformats.org/officeDocument/2006/relationships/hyperlink" Target="https://www.mercadolivre.com.br/vendas/2000006693142715/detalhe" TargetMode="External"/><Relationship Id="rId381" Type="http://schemas.openxmlformats.org/officeDocument/2006/relationships/hyperlink" Target="https://www.mercadolivre.com.br/vendas/2000006693504781/detalhe" TargetMode="External"/><Relationship Id="rId380" Type="http://schemas.openxmlformats.org/officeDocument/2006/relationships/hyperlink" Target="https://www.mercadolivre.com.br/vendas/2000009937000490/detalhe" TargetMode="External"/><Relationship Id="rId379" Type="http://schemas.openxmlformats.org/officeDocument/2006/relationships/hyperlink" Target="https://www.mercadolivre.com.br/vendas/2000009937201364/detalhe" TargetMode="External"/><Relationship Id="rId374" Type="http://schemas.openxmlformats.org/officeDocument/2006/relationships/hyperlink" Target="https://www.mercadolivre.com.br/vendas/2000006694407801/detalhe" TargetMode="External"/><Relationship Id="rId373" Type="http://schemas.openxmlformats.org/officeDocument/2006/relationships/hyperlink" Target="https://www.mercadolivre.com.br/vendas/2000009938303044/detalhe" TargetMode="External"/><Relationship Id="rId372" Type="http://schemas.openxmlformats.org/officeDocument/2006/relationships/hyperlink" Target="https://www.mercadolivre.com.br/vendas/2000006694470419/detalhe" TargetMode="External"/><Relationship Id="rId371" Type="http://schemas.openxmlformats.org/officeDocument/2006/relationships/hyperlink" Target="https://www.mercadolivre.com.br/vendas/2000009938823956/detalhe" TargetMode="External"/><Relationship Id="rId378" Type="http://schemas.openxmlformats.org/officeDocument/2006/relationships/hyperlink" Target="https://www.mercadolivre.com.br/vendas/2000009937341034/detalhe" TargetMode="External"/><Relationship Id="rId377" Type="http://schemas.openxmlformats.org/officeDocument/2006/relationships/hyperlink" Target="https://www.mercadolivre.com.br/vendas/2000009937756668/detalhe" TargetMode="External"/><Relationship Id="rId376" Type="http://schemas.openxmlformats.org/officeDocument/2006/relationships/hyperlink" Target="https://www.mercadolivre.com.br/vendas/2000009938020618/detalhe" TargetMode="External"/><Relationship Id="rId375" Type="http://schemas.openxmlformats.org/officeDocument/2006/relationships/hyperlink" Target="https://www.mercadolivre.com.br/vendas/2000009938109352/detalhe" TargetMode="External"/><Relationship Id="rId396" Type="http://schemas.openxmlformats.org/officeDocument/2006/relationships/hyperlink" Target="https://www.mercadolivre.com.br/vendas/2000009934771842/detalhe" TargetMode="External"/><Relationship Id="rId395" Type="http://schemas.openxmlformats.org/officeDocument/2006/relationships/hyperlink" Target="https://www.mercadolivre.com.br/vendas/2000009934912352/detalhe" TargetMode="External"/><Relationship Id="rId394" Type="http://schemas.openxmlformats.org/officeDocument/2006/relationships/hyperlink" Target="https://www.mercadolivre.com.br/vendas/2000009934915910/detalhe" TargetMode="External"/><Relationship Id="rId393" Type="http://schemas.openxmlformats.org/officeDocument/2006/relationships/hyperlink" Target="https://www.mercadolivre.com.br/vendas/2000006692387419/detalhe" TargetMode="External"/><Relationship Id="rId399" Type="http://schemas.openxmlformats.org/officeDocument/2006/relationships/hyperlink" Target="https://www.mercadolivre.com.br/vendas/2000006691603107/detalhe" TargetMode="External"/><Relationship Id="rId398" Type="http://schemas.openxmlformats.org/officeDocument/2006/relationships/hyperlink" Target="https://www.mercadolivre.com.br/vendas/2000006691916637/detalhe" TargetMode="External"/><Relationship Id="rId397" Type="http://schemas.openxmlformats.org/officeDocument/2006/relationships/hyperlink" Target="https://www.mercadolivre.com.br/vendas/2000009934746484/detalhe" TargetMode="External"/><Relationship Id="rId1730" Type="http://schemas.openxmlformats.org/officeDocument/2006/relationships/hyperlink" Target="https://www.mercadolivre.com.br/vendas/2000006560499875/detalhe" TargetMode="External"/><Relationship Id="rId1731" Type="http://schemas.openxmlformats.org/officeDocument/2006/relationships/hyperlink" Target="https://www.mercadolivre.com.br/vendas/2000006560443625/detalhe" TargetMode="External"/><Relationship Id="rId1732" Type="http://schemas.openxmlformats.org/officeDocument/2006/relationships/hyperlink" Target="https://www.mercadolivre.com.br/vendas/2000009720545682/detalhe" TargetMode="External"/><Relationship Id="rId1733" Type="http://schemas.openxmlformats.org/officeDocument/2006/relationships/hyperlink" Target="https://www.mercadolivre.com.br/vendas/2000009720440258/detalhe" TargetMode="External"/><Relationship Id="rId1734" Type="http://schemas.openxmlformats.org/officeDocument/2006/relationships/hyperlink" Target="https://www.mercadolivre.com.br/vendas/2000009720260552/detalhe" TargetMode="External"/><Relationship Id="rId1735" Type="http://schemas.openxmlformats.org/officeDocument/2006/relationships/hyperlink" Target="https://www.mercadolivre.com.br/vendas/2000006560239695/detalhe" TargetMode="External"/><Relationship Id="rId1736" Type="http://schemas.openxmlformats.org/officeDocument/2006/relationships/hyperlink" Target="https://www.mercadolivre.com.br/vendas/2000009720161276/detalhe" TargetMode="External"/><Relationship Id="rId1737" Type="http://schemas.openxmlformats.org/officeDocument/2006/relationships/hyperlink" Target="https://www.mercadolivre.com.br/vendas/2000006560106861/detalhe" TargetMode="External"/><Relationship Id="rId1738" Type="http://schemas.openxmlformats.org/officeDocument/2006/relationships/hyperlink" Target="https://www.mercadolivre.com.br/vendas/2000006560106861/detalhe" TargetMode="External"/><Relationship Id="rId1739" Type="http://schemas.openxmlformats.org/officeDocument/2006/relationships/hyperlink" Target="https://www.mercadolivre.com.br/vendas/2000006560106861/detalhe" TargetMode="External"/><Relationship Id="rId1720" Type="http://schemas.openxmlformats.org/officeDocument/2006/relationships/hyperlink" Target="https://www.mercadolivre.com.br/vendas/2000009721566824/detalhe" TargetMode="External"/><Relationship Id="rId1721" Type="http://schemas.openxmlformats.org/officeDocument/2006/relationships/hyperlink" Target="https://www.mercadolivre.com.br/vendas/2000009721538518/detalhe" TargetMode="External"/><Relationship Id="rId1722" Type="http://schemas.openxmlformats.org/officeDocument/2006/relationships/hyperlink" Target="https://www.mercadolivre.com.br/vendas/2000006560993063/detalhe" TargetMode="External"/><Relationship Id="rId1723" Type="http://schemas.openxmlformats.org/officeDocument/2006/relationships/hyperlink" Target="https://www.mercadolivre.com.br/vendas/2000009721282574/detalhe" TargetMode="External"/><Relationship Id="rId1724" Type="http://schemas.openxmlformats.org/officeDocument/2006/relationships/hyperlink" Target="https://www.mercadolivre.com.br/vendas/2000009721229238/detalhe" TargetMode="External"/><Relationship Id="rId1725" Type="http://schemas.openxmlformats.org/officeDocument/2006/relationships/hyperlink" Target="https://www.mercadolivre.com.br/vendas/2000009721209724/detalhe" TargetMode="External"/><Relationship Id="rId1726" Type="http://schemas.openxmlformats.org/officeDocument/2006/relationships/hyperlink" Target="https://www.mercadolivre.com.br/vendas/2000009721106152/detalhe" TargetMode="External"/><Relationship Id="rId1727" Type="http://schemas.openxmlformats.org/officeDocument/2006/relationships/hyperlink" Target="https://www.mercadolivre.com.br/vendas/2000006560606679/detalhe" TargetMode="External"/><Relationship Id="rId1728" Type="http://schemas.openxmlformats.org/officeDocument/2006/relationships/hyperlink" Target="https://www.mercadolivre.com.br/vendas/2000009720826122/detalhe" TargetMode="External"/><Relationship Id="rId1729" Type="http://schemas.openxmlformats.org/officeDocument/2006/relationships/hyperlink" Target="https://www.mercadolivre.com.br/vendas/2000009720779584/detalhe" TargetMode="External"/><Relationship Id="rId1752" Type="http://schemas.openxmlformats.org/officeDocument/2006/relationships/hyperlink" Target="https://www.mercadolivre.com.br/vendas/2000006559152999/detalhe" TargetMode="External"/><Relationship Id="rId1753" Type="http://schemas.openxmlformats.org/officeDocument/2006/relationships/hyperlink" Target="https://www.mercadolivre.com.br/vendas/2000006559152999/detalhe" TargetMode="External"/><Relationship Id="rId1754" Type="http://schemas.openxmlformats.org/officeDocument/2006/relationships/hyperlink" Target="https://www.mercadolivre.com.br/vendas/2000006559152999/detalhe" TargetMode="External"/><Relationship Id="rId1755" Type="http://schemas.openxmlformats.org/officeDocument/2006/relationships/hyperlink" Target="https://www.mercadolivre.com.br/vendas/2000009718423556/detalhe" TargetMode="External"/><Relationship Id="rId1756" Type="http://schemas.openxmlformats.org/officeDocument/2006/relationships/hyperlink" Target="https://www.mercadolivre.com.br/vendas/2000006559031391/detalhe" TargetMode="External"/><Relationship Id="rId1757" Type="http://schemas.openxmlformats.org/officeDocument/2006/relationships/hyperlink" Target="https://www.mercadolivre.com.br/vendas/2000006558737895/detalhe" TargetMode="External"/><Relationship Id="rId1758" Type="http://schemas.openxmlformats.org/officeDocument/2006/relationships/hyperlink" Target="https://www.mercadolivre.com.br/vendas/2000006558626209/detalhe" TargetMode="External"/><Relationship Id="rId1759" Type="http://schemas.openxmlformats.org/officeDocument/2006/relationships/hyperlink" Target="https://www.mercadolivre.com.br/vendas/2000006558451269/detalhe" TargetMode="External"/><Relationship Id="rId808" Type="http://schemas.openxmlformats.org/officeDocument/2006/relationships/hyperlink" Target="https://www.mercadolivre.com.br/vendas/2000009858995342/detalhe" TargetMode="External"/><Relationship Id="rId807" Type="http://schemas.openxmlformats.org/officeDocument/2006/relationships/hyperlink" Target="https://www.mercadolivre.com.br/vendas/2000009859140046/detalhe" TargetMode="External"/><Relationship Id="rId806" Type="http://schemas.openxmlformats.org/officeDocument/2006/relationships/hyperlink" Target="https://www.mercadolivre.com.br/vendas/2000009859186346/detalhe" TargetMode="External"/><Relationship Id="rId805" Type="http://schemas.openxmlformats.org/officeDocument/2006/relationships/hyperlink" Target="https://www.mercadolivre.com.br/vendas/2000009859185562/detalhe" TargetMode="External"/><Relationship Id="rId809" Type="http://schemas.openxmlformats.org/officeDocument/2006/relationships/hyperlink" Target="https://www.mercadolivre.com.br/vendas/2000009858757632/detalhe" TargetMode="External"/><Relationship Id="rId800" Type="http://schemas.openxmlformats.org/officeDocument/2006/relationships/hyperlink" Target="https://www.mercadolivre.com.br/vendas/2000009859908360/detalhe" TargetMode="External"/><Relationship Id="rId804" Type="http://schemas.openxmlformats.org/officeDocument/2006/relationships/hyperlink" Target="https://www.mercadolivre.com.br/vendas/2000009859186880/detalhe" TargetMode="External"/><Relationship Id="rId803" Type="http://schemas.openxmlformats.org/officeDocument/2006/relationships/hyperlink" Target="https://www.mercadolivre.com.br/vendas/2000006644615053/detalhe" TargetMode="External"/><Relationship Id="rId802" Type="http://schemas.openxmlformats.org/officeDocument/2006/relationships/hyperlink" Target="https://www.mercadolivre.com.br/vendas/2000006644827755/detalhe" TargetMode="External"/><Relationship Id="rId801" Type="http://schemas.openxmlformats.org/officeDocument/2006/relationships/hyperlink" Target="https://www.mercadolivre.com.br/vendas/2000009859789212/detalhe" TargetMode="External"/><Relationship Id="rId1750" Type="http://schemas.openxmlformats.org/officeDocument/2006/relationships/hyperlink" Target="https://www.mercadolivre.com.br/vendas/2000009718485174/detalhe" TargetMode="External"/><Relationship Id="rId1751" Type="http://schemas.openxmlformats.org/officeDocument/2006/relationships/hyperlink" Target="https://www.mercadolivre.com.br/vendas/2000009718482176/detalhe" TargetMode="External"/><Relationship Id="rId1741" Type="http://schemas.openxmlformats.org/officeDocument/2006/relationships/hyperlink" Target="https://www.mercadolivre.com.br/vendas/2000006559792611/detalhe" TargetMode="External"/><Relationship Id="rId1742" Type="http://schemas.openxmlformats.org/officeDocument/2006/relationships/hyperlink" Target="https://www.mercadolivre.com.br/vendas/2000009719473586/detalhe" TargetMode="External"/><Relationship Id="rId1743" Type="http://schemas.openxmlformats.org/officeDocument/2006/relationships/hyperlink" Target="https://www.mercadolivre.com.br/vendas/2000006559703601/detalhe" TargetMode="External"/><Relationship Id="rId1744" Type="http://schemas.openxmlformats.org/officeDocument/2006/relationships/hyperlink" Target="https://www.mercadolivre.com.br/vendas/2000009719298768/detalhe" TargetMode="External"/><Relationship Id="rId1745" Type="http://schemas.openxmlformats.org/officeDocument/2006/relationships/hyperlink" Target="https://www.mercadolivre.com.br/vendas/2000009719211430/detalhe" TargetMode="External"/><Relationship Id="rId1746" Type="http://schemas.openxmlformats.org/officeDocument/2006/relationships/hyperlink" Target="https://www.mercadolivre.com.br/vendas/2000009719071446/detalhe" TargetMode="External"/><Relationship Id="rId1747" Type="http://schemas.openxmlformats.org/officeDocument/2006/relationships/hyperlink" Target="https://www.mercadolivre.com.br/vendas/2000009718891010/detalhe" TargetMode="External"/><Relationship Id="rId1748" Type="http://schemas.openxmlformats.org/officeDocument/2006/relationships/hyperlink" Target="https://www.mercadolivre.com.br/vendas/2000009718737762/detalhe" TargetMode="External"/><Relationship Id="rId1749" Type="http://schemas.openxmlformats.org/officeDocument/2006/relationships/hyperlink" Target="https://www.mercadolivre.com.br/vendas/2000009718606850/detalhe" TargetMode="External"/><Relationship Id="rId1740" Type="http://schemas.openxmlformats.org/officeDocument/2006/relationships/hyperlink" Target="https://www.mercadolivre.com.br/vendas/2000006560106861/detalhe" TargetMode="External"/><Relationship Id="rId1710" Type="http://schemas.openxmlformats.org/officeDocument/2006/relationships/hyperlink" Target="https://www.mercadolivre.com.br/vendas/2000009722397080/detalhe" TargetMode="External"/><Relationship Id="rId1711" Type="http://schemas.openxmlformats.org/officeDocument/2006/relationships/hyperlink" Target="https://www.mercadolivre.com.br/vendas/2000006561493167/detalhe" TargetMode="External"/><Relationship Id="rId1712" Type="http://schemas.openxmlformats.org/officeDocument/2006/relationships/hyperlink" Target="https://www.mercadolivre.com.br/vendas/2000009722309548/detalhe" TargetMode="External"/><Relationship Id="rId1713" Type="http://schemas.openxmlformats.org/officeDocument/2006/relationships/hyperlink" Target="https://www.mercadolivre.com.br/vendas/2000006561444151/detalhe" TargetMode="External"/><Relationship Id="rId1714" Type="http://schemas.openxmlformats.org/officeDocument/2006/relationships/hyperlink" Target="https://www.mercadolivre.com.br/vendas/2000009722242688/detalhe" TargetMode="External"/><Relationship Id="rId1715" Type="http://schemas.openxmlformats.org/officeDocument/2006/relationships/hyperlink" Target="https://www.mercadolivre.com.br/vendas/2000006561316753/detalhe" TargetMode="External"/><Relationship Id="rId1716" Type="http://schemas.openxmlformats.org/officeDocument/2006/relationships/hyperlink" Target="https://www.mercadolivre.com.br/vendas/2000006561316753/detalhe" TargetMode="External"/><Relationship Id="rId1717" Type="http://schemas.openxmlformats.org/officeDocument/2006/relationships/hyperlink" Target="https://www.mercadolivre.com.br/vendas/2000006561316753/detalhe" TargetMode="External"/><Relationship Id="rId1718" Type="http://schemas.openxmlformats.org/officeDocument/2006/relationships/hyperlink" Target="https://www.mercadolivre.com.br/vendas/2000009721845144/detalhe" TargetMode="External"/><Relationship Id="rId1719" Type="http://schemas.openxmlformats.org/officeDocument/2006/relationships/hyperlink" Target="https://www.mercadolivre.com.br/vendas/2000006561169217/detalhe" TargetMode="External"/><Relationship Id="rId1700" Type="http://schemas.openxmlformats.org/officeDocument/2006/relationships/hyperlink" Target="https://www.mercadolivre.com.br/vendas/2000009724776188/detalhe" TargetMode="External"/><Relationship Id="rId1701" Type="http://schemas.openxmlformats.org/officeDocument/2006/relationships/hyperlink" Target="https://www.mercadolivre.com.br/vendas/2000009724702652/detalhe" TargetMode="External"/><Relationship Id="rId1702" Type="http://schemas.openxmlformats.org/officeDocument/2006/relationships/hyperlink" Target="https://www.mercadolivre.com.br/vendas/2000009723830214/detalhe" TargetMode="External"/><Relationship Id="rId1703" Type="http://schemas.openxmlformats.org/officeDocument/2006/relationships/hyperlink" Target="https://www.mercadolivre.com.br/vendas/2000009723645302/detalhe" TargetMode="External"/><Relationship Id="rId1704" Type="http://schemas.openxmlformats.org/officeDocument/2006/relationships/hyperlink" Target="https://www.mercadolivre.com.br/vendas/2000006562229643/detalhe" TargetMode="External"/><Relationship Id="rId1705" Type="http://schemas.openxmlformats.org/officeDocument/2006/relationships/hyperlink" Target="https://www.mercadolivre.com.br/vendas/2000009723124340/detalhe" TargetMode="External"/><Relationship Id="rId1706" Type="http://schemas.openxmlformats.org/officeDocument/2006/relationships/hyperlink" Target="https://www.mercadolivre.com.br/vendas/2000009722999480/detalhe" TargetMode="External"/><Relationship Id="rId1707" Type="http://schemas.openxmlformats.org/officeDocument/2006/relationships/hyperlink" Target="https://www.mercadolivre.com.br/vendas/2000009722972780/detalhe" TargetMode="External"/><Relationship Id="rId1708" Type="http://schemas.openxmlformats.org/officeDocument/2006/relationships/hyperlink" Target="https://www.mercadolivre.com.br/vendas/2000009722920112/detalhe" TargetMode="External"/><Relationship Id="rId1709" Type="http://schemas.openxmlformats.org/officeDocument/2006/relationships/hyperlink" Target="https://www.mercadolivre.com.br/vendas/2000006561536417/detalhe" TargetMode="External"/><Relationship Id="rId40" Type="http://schemas.openxmlformats.org/officeDocument/2006/relationships/hyperlink" Target="https://www.mercadolivre.com.br/vendas/2000006736129501/detalhe" TargetMode="External"/><Relationship Id="rId1334" Type="http://schemas.openxmlformats.org/officeDocument/2006/relationships/hyperlink" Target="https://www.mercadolivre.com.br/vendas/2000009778543196/detalhe" TargetMode="External"/><Relationship Id="rId1335" Type="http://schemas.openxmlformats.org/officeDocument/2006/relationships/hyperlink" Target="https://www.mercadolivre.com.br/vendas/2000009778231598/detalhe" TargetMode="External"/><Relationship Id="rId42" Type="http://schemas.openxmlformats.org/officeDocument/2006/relationships/hyperlink" Target="https://www.mercadolivre.com.br/vendas/2000010004314926/detalhe" TargetMode="External"/><Relationship Id="rId1336" Type="http://schemas.openxmlformats.org/officeDocument/2006/relationships/hyperlink" Target="https://www.mercadolivre.com.br/vendas/2000009778222422/detalhe" TargetMode="External"/><Relationship Id="rId41" Type="http://schemas.openxmlformats.org/officeDocument/2006/relationships/hyperlink" Target="https://www.mercadolivre.com.br/vendas/2000010004745890/detalhe" TargetMode="External"/><Relationship Id="rId1337" Type="http://schemas.openxmlformats.org/officeDocument/2006/relationships/hyperlink" Target="https://www.mercadolivre.com.br/vendas/2000006594782063/detalhe" TargetMode="External"/><Relationship Id="rId44" Type="http://schemas.openxmlformats.org/officeDocument/2006/relationships/hyperlink" Target="https://www.mercadolivre.com.br/vendas/2000010004203346/detalhe" TargetMode="External"/><Relationship Id="rId1338" Type="http://schemas.openxmlformats.org/officeDocument/2006/relationships/hyperlink" Target="https://www.mercadolivre.com.br/vendas/2000006594746059/detalhe" TargetMode="External"/><Relationship Id="rId43" Type="http://schemas.openxmlformats.org/officeDocument/2006/relationships/hyperlink" Target="https://www.mercadolivre.com.br/vendas/2000010004258034/detalhe" TargetMode="External"/><Relationship Id="rId1339" Type="http://schemas.openxmlformats.org/officeDocument/2006/relationships/hyperlink" Target="https://www.mercadolivre.com.br/vendas/2000009777970688/detalhe" TargetMode="External"/><Relationship Id="rId46" Type="http://schemas.openxmlformats.org/officeDocument/2006/relationships/hyperlink" Target="https://www.mercadolivre.com.br/vendas/2000010003539484/detalhe" TargetMode="External"/><Relationship Id="rId45" Type="http://schemas.openxmlformats.org/officeDocument/2006/relationships/hyperlink" Target="https://www.mercadolivre.com.br/vendas/2000006735401781/detalhe" TargetMode="External"/><Relationship Id="rId745" Type="http://schemas.openxmlformats.org/officeDocument/2006/relationships/hyperlink" Target="https://www.mercadolivre.com.br/vendas/2000006652041999/detalhe" TargetMode="External"/><Relationship Id="rId744" Type="http://schemas.openxmlformats.org/officeDocument/2006/relationships/hyperlink" Target="https://www.mercadolivre.com.br/vendas/2000009870914688/detalhe" TargetMode="External"/><Relationship Id="rId743" Type="http://schemas.openxmlformats.org/officeDocument/2006/relationships/hyperlink" Target="https://www.mercadolivre.com.br/vendas/2000009870934890/detalhe" TargetMode="External"/><Relationship Id="rId742" Type="http://schemas.openxmlformats.org/officeDocument/2006/relationships/hyperlink" Target="https://www.mercadolivre.com.br/vendas/2000009870975544/detalhe" TargetMode="External"/><Relationship Id="rId749" Type="http://schemas.openxmlformats.org/officeDocument/2006/relationships/hyperlink" Target="https://www.mercadolivre.com.br/vendas/2000006651781243/detalhe" TargetMode="External"/><Relationship Id="rId748" Type="http://schemas.openxmlformats.org/officeDocument/2006/relationships/hyperlink" Target="https://www.mercadolivre.com.br/vendas/2000006651849691/detalhe" TargetMode="External"/><Relationship Id="rId747" Type="http://schemas.openxmlformats.org/officeDocument/2006/relationships/hyperlink" Target="https://www.mercadolivre.com.br/vendas/2000006652041999/detalhe" TargetMode="External"/><Relationship Id="rId746" Type="http://schemas.openxmlformats.org/officeDocument/2006/relationships/hyperlink" Target="https://www.mercadolivre.com.br/vendas/2000006652041999/detalhe" TargetMode="External"/><Relationship Id="rId48" Type="http://schemas.openxmlformats.org/officeDocument/2006/relationships/hyperlink" Target="https://www.mercadolivre.com.br/vendas/2000010002724432/detalhe" TargetMode="External"/><Relationship Id="rId47" Type="http://schemas.openxmlformats.org/officeDocument/2006/relationships/hyperlink" Target="https://www.mercadolivre.com.br/vendas/2000006734830119/detalhe" TargetMode="External"/><Relationship Id="rId49" Type="http://schemas.openxmlformats.org/officeDocument/2006/relationships/hyperlink" Target="https://www.mercadolivre.com.br/vendas/2000010002614114/detalhe" TargetMode="External"/><Relationship Id="rId741" Type="http://schemas.openxmlformats.org/officeDocument/2006/relationships/hyperlink" Target="https://www.mercadolivre.com.br/vendas/2000009871030498/detalhe" TargetMode="External"/><Relationship Id="rId1330" Type="http://schemas.openxmlformats.org/officeDocument/2006/relationships/hyperlink" Target="https://www.mercadolivre.com.br/vendas/2000006595069853/detalhe" TargetMode="External"/><Relationship Id="rId740" Type="http://schemas.openxmlformats.org/officeDocument/2006/relationships/hyperlink" Target="https://www.mercadolivre.com.br/vendas/2000006652572461/detalhe" TargetMode="External"/><Relationship Id="rId1331" Type="http://schemas.openxmlformats.org/officeDocument/2006/relationships/hyperlink" Target="https://www.mercadolivre.com.br/vendas/2000006595069853/detalhe" TargetMode="External"/><Relationship Id="rId1332" Type="http://schemas.openxmlformats.org/officeDocument/2006/relationships/hyperlink" Target="https://www.mercadolivre.com.br/vendas/2000006595069853/detalhe" TargetMode="External"/><Relationship Id="rId1333" Type="http://schemas.openxmlformats.org/officeDocument/2006/relationships/hyperlink" Target="https://www.mercadolivre.com.br/vendas/2000009773706710/detalhe" TargetMode="External"/><Relationship Id="rId1323" Type="http://schemas.openxmlformats.org/officeDocument/2006/relationships/hyperlink" Target="https://www.mercadolivre.com.br/vendas/2000009780524982/detalhe" TargetMode="External"/><Relationship Id="rId1324" Type="http://schemas.openxmlformats.org/officeDocument/2006/relationships/hyperlink" Target="https://www.mercadolivre.com.br/vendas/2000009780484184/detalhe" TargetMode="External"/><Relationship Id="rId31" Type="http://schemas.openxmlformats.org/officeDocument/2006/relationships/hyperlink" Target="https://www.mercadolivre.com.br/vendas/2000010006442030/detalhe" TargetMode="External"/><Relationship Id="rId1325" Type="http://schemas.openxmlformats.org/officeDocument/2006/relationships/hyperlink" Target="https://www.mercadolivre.com.br/vendas/2000006596230841/detalhe" TargetMode="External"/><Relationship Id="rId30" Type="http://schemas.openxmlformats.org/officeDocument/2006/relationships/hyperlink" Target="https://www.mercadolivre.com.br/vendas/2000006737089463/detalhe" TargetMode="External"/><Relationship Id="rId1326" Type="http://schemas.openxmlformats.org/officeDocument/2006/relationships/hyperlink" Target="https://www.mercadolivre.com.br/vendas/2000009780279150/detalhe" TargetMode="External"/><Relationship Id="rId33" Type="http://schemas.openxmlformats.org/officeDocument/2006/relationships/hyperlink" Target="https://www.mercadolivre.com.br/vendas/2000010005928202/detalhe" TargetMode="External"/><Relationship Id="rId1327" Type="http://schemas.openxmlformats.org/officeDocument/2006/relationships/hyperlink" Target="https://www.mercadolivre.com.br/vendas/2000006595848887/detalhe" TargetMode="External"/><Relationship Id="rId32" Type="http://schemas.openxmlformats.org/officeDocument/2006/relationships/hyperlink" Target="https://www.mercadolivre.com.br/vendas/2000006736907057/detalhe" TargetMode="External"/><Relationship Id="rId1328" Type="http://schemas.openxmlformats.org/officeDocument/2006/relationships/hyperlink" Target="https://www.mercadolivre.com.br/vendas/2000009779202308/detalhe" TargetMode="External"/><Relationship Id="rId35" Type="http://schemas.openxmlformats.org/officeDocument/2006/relationships/hyperlink" Target="https://www.mercadolivre.com.br/vendas/2000010005551556/detalhe" TargetMode="External"/><Relationship Id="rId1329" Type="http://schemas.openxmlformats.org/officeDocument/2006/relationships/hyperlink" Target="https://www.mercadolivre.com.br/vendas/2000006595347189/detalhe" TargetMode="External"/><Relationship Id="rId34" Type="http://schemas.openxmlformats.org/officeDocument/2006/relationships/hyperlink" Target="https://www.mercadolivre.com.br/vendas/2000010005910730/detalhe" TargetMode="External"/><Relationship Id="rId739" Type="http://schemas.openxmlformats.org/officeDocument/2006/relationships/hyperlink" Target="https://www.mercadolivre.com.br/vendas/2000006652858559/detalhe" TargetMode="External"/><Relationship Id="rId734" Type="http://schemas.openxmlformats.org/officeDocument/2006/relationships/hyperlink" Target="https://www.mercadolivre.com.br/vendas/2000009874179286/detalhe" TargetMode="External"/><Relationship Id="rId733" Type="http://schemas.openxmlformats.org/officeDocument/2006/relationships/hyperlink" Target="https://www.mercadolivre.com.br/vendas/2000006654447567/detalhe" TargetMode="External"/><Relationship Id="rId732" Type="http://schemas.openxmlformats.org/officeDocument/2006/relationships/hyperlink" Target="https://www.mercadolivre.com.br/vendas/2000009875084478/detalhe" TargetMode="External"/><Relationship Id="rId731" Type="http://schemas.openxmlformats.org/officeDocument/2006/relationships/hyperlink" Target="https://www.mercadolivre.com.br/vendas/2000009875400948/detalhe" TargetMode="External"/><Relationship Id="rId738" Type="http://schemas.openxmlformats.org/officeDocument/2006/relationships/hyperlink" Target="https://www.mercadolivre.com.br/vendas/2000006653311333/detalhe" TargetMode="External"/><Relationship Id="rId737" Type="http://schemas.openxmlformats.org/officeDocument/2006/relationships/hyperlink" Target="https://www.mercadolivre.com.br/vendas/2000009873082380/detalhe" TargetMode="External"/><Relationship Id="rId736" Type="http://schemas.openxmlformats.org/officeDocument/2006/relationships/hyperlink" Target="https://www.mercadolivre.com.br/vendas/2000006653477097/detalhe" TargetMode="External"/><Relationship Id="rId735" Type="http://schemas.openxmlformats.org/officeDocument/2006/relationships/hyperlink" Target="https://www.mercadolivre.com.br/vendas/2000009873441040/detalhe" TargetMode="External"/><Relationship Id="rId37" Type="http://schemas.openxmlformats.org/officeDocument/2006/relationships/hyperlink" Target="https://www.mercadolivre.com.br/vendas/2000010005375482/detalhe" TargetMode="External"/><Relationship Id="rId36" Type="http://schemas.openxmlformats.org/officeDocument/2006/relationships/hyperlink" Target="https://www.mercadolivre.com.br/vendas/2000006736248969/detalhe" TargetMode="External"/><Relationship Id="rId39" Type="http://schemas.openxmlformats.org/officeDocument/2006/relationships/hyperlink" Target="https://www.mercadolivre.com.br/vendas/2000010005016534/detalhe" TargetMode="External"/><Relationship Id="rId38" Type="http://schemas.openxmlformats.org/officeDocument/2006/relationships/hyperlink" Target="https://www.mercadolivre.com.br/vendas/2000010005124340/detalhe" TargetMode="External"/><Relationship Id="rId730" Type="http://schemas.openxmlformats.org/officeDocument/2006/relationships/hyperlink" Target="https://www.mercadolivre.com.br/vendas/2000006645107731/detalhe" TargetMode="External"/><Relationship Id="rId1320" Type="http://schemas.openxmlformats.org/officeDocument/2006/relationships/hyperlink" Target="https://www.mercadolivre.com.br/vendas/2000009780791082/detalhe" TargetMode="External"/><Relationship Id="rId1321" Type="http://schemas.openxmlformats.org/officeDocument/2006/relationships/hyperlink" Target="https://www.mercadolivre.com.br/vendas/2000006596393293/detalhe" TargetMode="External"/><Relationship Id="rId1322" Type="http://schemas.openxmlformats.org/officeDocument/2006/relationships/hyperlink" Target="https://www.mercadolivre.com.br/vendas/2000006596322883/detalhe" TargetMode="External"/><Relationship Id="rId1356" Type="http://schemas.openxmlformats.org/officeDocument/2006/relationships/hyperlink" Target="https://www.mercadolivre.com.br/vendas/2000009775926438/detalhe" TargetMode="External"/><Relationship Id="rId1357" Type="http://schemas.openxmlformats.org/officeDocument/2006/relationships/hyperlink" Target="https://www.mercadolivre.com.br/vendas/2000009775853796/detalhe" TargetMode="External"/><Relationship Id="rId20" Type="http://schemas.openxmlformats.org/officeDocument/2006/relationships/hyperlink" Target="https://www.mercadolivre.com.br/vendas/2000010008963740/detalhe" TargetMode="External"/><Relationship Id="rId1358" Type="http://schemas.openxmlformats.org/officeDocument/2006/relationships/hyperlink" Target="https://www.mercadolivre.com.br/vendas/2000009775841374/detalhe" TargetMode="External"/><Relationship Id="rId1359" Type="http://schemas.openxmlformats.org/officeDocument/2006/relationships/hyperlink" Target="https://www.mercadolivre.com.br/vendas/2000009775598018/detalhe" TargetMode="External"/><Relationship Id="rId22" Type="http://schemas.openxmlformats.org/officeDocument/2006/relationships/hyperlink" Target="https://www.mercadolivre.com.br/vendas/2000010008450756/detalhe" TargetMode="External"/><Relationship Id="rId21" Type="http://schemas.openxmlformats.org/officeDocument/2006/relationships/hyperlink" Target="https://www.mercadolivre.com.br/vendas/2000010008708824/detalhe" TargetMode="External"/><Relationship Id="rId24" Type="http://schemas.openxmlformats.org/officeDocument/2006/relationships/hyperlink" Target="https://www.mercadolivre.com.br/vendas/2000006738048501/detalhe" TargetMode="External"/><Relationship Id="rId23" Type="http://schemas.openxmlformats.org/officeDocument/2006/relationships/hyperlink" Target="https://www.mercadolivre.com.br/vendas/2000006738207151/detalhe" TargetMode="External"/><Relationship Id="rId767" Type="http://schemas.openxmlformats.org/officeDocument/2006/relationships/hyperlink" Target="https://www.mercadolivre.com.br/vendas/2000009867240964/detalhe" TargetMode="External"/><Relationship Id="rId766" Type="http://schemas.openxmlformats.org/officeDocument/2006/relationships/hyperlink" Target="https://www.mercadolivre.com.br/vendas/2000009867303690/detalhe" TargetMode="External"/><Relationship Id="rId765" Type="http://schemas.openxmlformats.org/officeDocument/2006/relationships/hyperlink" Target="https://www.mercadolivre.com.br/vendas/2000009867323628/detalhe" TargetMode="External"/><Relationship Id="rId764" Type="http://schemas.openxmlformats.org/officeDocument/2006/relationships/hyperlink" Target="https://www.mercadolivre.com.br/vendas/2000006649818969/detalhe" TargetMode="External"/><Relationship Id="rId769" Type="http://schemas.openxmlformats.org/officeDocument/2006/relationships/hyperlink" Target="https://www.mercadolivre.com.br/vendas/2000009867129608/detalhe" TargetMode="External"/><Relationship Id="rId768" Type="http://schemas.openxmlformats.org/officeDocument/2006/relationships/hyperlink" Target="https://www.mercadolivre.com.br/vendas/2000006649705349/detalhe" TargetMode="External"/><Relationship Id="rId26" Type="http://schemas.openxmlformats.org/officeDocument/2006/relationships/hyperlink" Target="https://www.mercadolivre.com.br/vendas/2000010007154548/detalhe" TargetMode="External"/><Relationship Id="rId25" Type="http://schemas.openxmlformats.org/officeDocument/2006/relationships/hyperlink" Target="https://www.mercadolivre.com.br/vendas/2000010007938804/detalhe" TargetMode="External"/><Relationship Id="rId28" Type="http://schemas.openxmlformats.org/officeDocument/2006/relationships/hyperlink" Target="https://www.mercadolivre.com.br/vendas/2000006737274379/detalhe" TargetMode="External"/><Relationship Id="rId1350" Type="http://schemas.openxmlformats.org/officeDocument/2006/relationships/hyperlink" Target="https://www.mercadolivre.com.br/vendas/2000009776134032/detalhe" TargetMode="External"/><Relationship Id="rId27" Type="http://schemas.openxmlformats.org/officeDocument/2006/relationships/hyperlink" Target="https://www.mercadolivre.com.br/vendas/2000010006815962/detalhe" TargetMode="External"/><Relationship Id="rId1351" Type="http://schemas.openxmlformats.org/officeDocument/2006/relationships/hyperlink" Target="https://www.mercadolivre.com.br/vendas/2000006593565667/detalhe" TargetMode="External"/><Relationship Id="rId763" Type="http://schemas.openxmlformats.org/officeDocument/2006/relationships/hyperlink" Target="https://www.mercadolivre.com.br/vendas/2000009867715332/detalhe" TargetMode="External"/><Relationship Id="rId1352" Type="http://schemas.openxmlformats.org/officeDocument/2006/relationships/hyperlink" Target="https://www.mercadolivre.com.br/vendas/2000006593565667/detalhe" TargetMode="External"/><Relationship Id="rId29" Type="http://schemas.openxmlformats.org/officeDocument/2006/relationships/hyperlink" Target="https://www.mercadolivre.com.br/vendas/2000006737210165/detalhe" TargetMode="External"/><Relationship Id="rId762" Type="http://schemas.openxmlformats.org/officeDocument/2006/relationships/hyperlink" Target="https://www.mercadolivre.com.br/vendas/2000009867731696/detalhe" TargetMode="External"/><Relationship Id="rId1353" Type="http://schemas.openxmlformats.org/officeDocument/2006/relationships/hyperlink" Target="https://www.mercadolivre.com.br/vendas/2000006593565667/detalhe" TargetMode="External"/><Relationship Id="rId761" Type="http://schemas.openxmlformats.org/officeDocument/2006/relationships/hyperlink" Target="https://www.mercadolivre.com.br/vendas/2000009867844062/detalhe" TargetMode="External"/><Relationship Id="rId1354" Type="http://schemas.openxmlformats.org/officeDocument/2006/relationships/hyperlink" Target="https://www.mercadolivre.com.br/vendas/2000006593565667/detalhe" TargetMode="External"/><Relationship Id="rId760" Type="http://schemas.openxmlformats.org/officeDocument/2006/relationships/hyperlink" Target="https://www.mercadolivre.com.br/vendas/2000009867984410/detalhe" TargetMode="External"/><Relationship Id="rId1355" Type="http://schemas.openxmlformats.org/officeDocument/2006/relationships/hyperlink" Target="https://www.mercadolivre.com.br/vendas/2000009776001984/detalhe" TargetMode="External"/><Relationship Id="rId1345" Type="http://schemas.openxmlformats.org/officeDocument/2006/relationships/hyperlink" Target="https://www.mercadolivre.com.br/vendas/2000009777150926/detalhe" TargetMode="External"/><Relationship Id="rId1346" Type="http://schemas.openxmlformats.org/officeDocument/2006/relationships/hyperlink" Target="https://www.mercadolivre.com.br/vendas/2000009777010162/detalhe" TargetMode="External"/><Relationship Id="rId1347" Type="http://schemas.openxmlformats.org/officeDocument/2006/relationships/hyperlink" Target="https://www.mercadolivre.com.br/vendas/2000009776880958/detalhe" TargetMode="External"/><Relationship Id="rId1348" Type="http://schemas.openxmlformats.org/officeDocument/2006/relationships/hyperlink" Target="https://www.mercadolivre.com.br/vendas/2000006594014463/detalhe" TargetMode="External"/><Relationship Id="rId11" Type="http://schemas.openxmlformats.org/officeDocument/2006/relationships/hyperlink" Target="https://www.mercadolivre.com.br/vendas/2000006740210063/detalhe" TargetMode="External"/><Relationship Id="rId1349" Type="http://schemas.openxmlformats.org/officeDocument/2006/relationships/hyperlink" Target="https://www.mercadolivre.com.br/vendas/2000009776638460/detalhe" TargetMode="External"/><Relationship Id="rId10" Type="http://schemas.openxmlformats.org/officeDocument/2006/relationships/hyperlink" Target="https://www.mercadolivre.com.br/vendas/2000010011671460/detalhe" TargetMode="External"/><Relationship Id="rId13" Type="http://schemas.openxmlformats.org/officeDocument/2006/relationships/hyperlink" Target="https://www.mercadolivre.com.br/vendas/2000006740040313/detalhe" TargetMode="External"/><Relationship Id="rId12" Type="http://schemas.openxmlformats.org/officeDocument/2006/relationships/hyperlink" Target="https://www.mercadolivre.com.br/vendas/2000010011595448/detalhe" TargetMode="External"/><Relationship Id="rId756" Type="http://schemas.openxmlformats.org/officeDocument/2006/relationships/hyperlink" Target="https://www.mercadolivre.com.br/vendas/2000006650399003/detalhe" TargetMode="External"/><Relationship Id="rId755" Type="http://schemas.openxmlformats.org/officeDocument/2006/relationships/hyperlink" Target="https://www.mercadolivre.com.br/vendas/2000009868488408/detalhe" TargetMode="External"/><Relationship Id="rId754" Type="http://schemas.openxmlformats.org/officeDocument/2006/relationships/hyperlink" Target="https://www.mercadolivre.com.br/vendas/2000009869003730/detalhe" TargetMode="External"/><Relationship Id="rId753" Type="http://schemas.openxmlformats.org/officeDocument/2006/relationships/hyperlink" Target="https://www.mercadolivre.com.br/vendas/2000009869099564/detalhe" TargetMode="External"/><Relationship Id="rId759" Type="http://schemas.openxmlformats.org/officeDocument/2006/relationships/hyperlink" Target="https://www.mercadolivre.com.br/vendas/2000009868049204/detalhe" TargetMode="External"/><Relationship Id="rId758" Type="http://schemas.openxmlformats.org/officeDocument/2006/relationships/hyperlink" Target="https://www.mercadolivre.com.br/vendas/2000009868101452/detalhe" TargetMode="External"/><Relationship Id="rId757" Type="http://schemas.openxmlformats.org/officeDocument/2006/relationships/hyperlink" Target="https://www.mercadolivre.com.br/vendas/2000009868172042/detalhe" TargetMode="External"/><Relationship Id="rId15" Type="http://schemas.openxmlformats.org/officeDocument/2006/relationships/hyperlink" Target="https://www.mercadolivre.com.br/vendas/2000010010787020/detalhe" TargetMode="External"/><Relationship Id="rId14" Type="http://schemas.openxmlformats.org/officeDocument/2006/relationships/hyperlink" Target="https://www.mercadolivre.com.br/vendas/2000010010857416/detalhe" TargetMode="External"/><Relationship Id="rId17" Type="http://schemas.openxmlformats.org/officeDocument/2006/relationships/hyperlink" Target="https://www.mercadolivre.com.br/vendas/2000010009921460/detalhe" TargetMode="External"/><Relationship Id="rId16" Type="http://schemas.openxmlformats.org/officeDocument/2006/relationships/hyperlink" Target="https://www.mercadolivre.com.br/vendas/2000006739381547/detalhe" TargetMode="External"/><Relationship Id="rId1340" Type="http://schemas.openxmlformats.org/officeDocument/2006/relationships/hyperlink" Target="https://www.mercadolivre.com.br/vendas/2000009777861550/detalhe" TargetMode="External"/><Relationship Id="rId19" Type="http://schemas.openxmlformats.org/officeDocument/2006/relationships/hyperlink" Target="https://www.mercadolivre.com.br/vendas/2000006738670805/detalhe" TargetMode="External"/><Relationship Id="rId752" Type="http://schemas.openxmlformats.org/officeDocument/2006/relationships/hyperlink" Target="https://www.mercadolivre.com.br/vendas/2000006651327357/detalhe" TargetMode="External"/><Relationship Id="rId1341" Type="http://schemas.openxmlformats.org/officeDocument/2006/relationships/hyperlink" Target="https://www.mercadolivre.com.br/vendas/2000009777787300/detalhe" TargetMode="External"/><Relationship Id="rId18" Type="http://schemas.openxmlformats.org/officeDocument/2006/relationships/hyperlink" Target="https://www.mercadolivre.com.br/vendas/2000006738848735/detalhe" TargetMode="External"/><Relationship Id="rId751" Type="http://schemas.openxmlformats.org/officeDocument/2006/relationships/hyperlink" Target="https://www.mercadolivre.com.br/vendas/2000006651545887/detalhe" TargetMode="External"/><Relationship Id="rId1342" Type="http://schemas.openxmlformats.org/officeDocument/2006/relationships/hyperlink" Target="https://www.mercadolivre.com.br/vendas/2000009777648172/detalhe" TargetMode="External"/><Relationship Id="rId750" Type="http://schemas.openxmlformats.org/officeDocument/2006/relationships/hyperlink" Target="https://www.mercadolivre.com.br/vendas/2000009870326222/detalhe" TargetMode="External"/><Relationship Id="rId1343" Type="http://schemas.openxmlformats.org/officeDocument/2006/relationships/hyperlink" Target="https://www.mercadolivre.com.br/vendas/2000009777616066/detalhe" TargetMode="External"/><Relationship Id="rId1344" Type="http://schemas.openxmlformats.org/officeDocument/2006/relationships/hyperlink" Target="https://www.mercadolivre.com.br/vendas/2000006594285355/detalhe" TargetMode="External"/><Relationship Id="rId84" Type="http://schemas.openxmlformats.org/officeDocument/2006/relationships/hyperlink" Target="https://www.mercadolivre.com.br/vendas/2000009996650978/detalhe" TargetMode="External"/><Relationship Id="rId1774" Type="http://schemas.openxmlformats.org/officeDocument/2006/relationships/hyperlink" Target="https://www.mercadolivre.com.br/vendas/2000006556192673/detalhe" TargetMode="External"/><Relationship Id="rId83" Type="http://schemas.openxmlformats.org/officeDocument/2006/relationships/hyperlink" Target="https://www.mercadolivre.com.br/vendas/2000006731131003/detalhe" TargetMode="External"/><Relationship Id="rId1775" Type="http://schemas.openxmlformats.org/officeDocument/2006/relationships/hyperlink" Target="https://www.mercadolivre.com.br/vendas/2000006556192673/detalhe" TargetMode="External"/><Relationship Id="rId86" Type="http://schemas.openxmlformats.org/officeDocument/2006/relationships/hyperlink" Target="https://www.mercadolivre.com.br/vendas/2000006730737377/detalhe" TargetMode="External"/><Relationship Id="rId1776" Type="http://schemas.openxmlformats.org/officeDocument/2006/relationships/hyperlink" Target="https://www.mercadolivre.com.br/vendas/2000006556122449/detalhe" TargetMode="External"/><Relationship Id="rId85" Type="http://schemas.openxmlformats.org/officeDocument/2006/relationships/hyperlink" Target="https://www.mercadolivre.com.br/vendas/2000009996527242/detalhe" TargetMode="External"/><Relationship Id="rId1777" Type="http://schemas.openxmlformats.org/officeDocument/2006/relationships/hyperlink" Target="https://www.mercadolivre.com.br/vendas/2000006555980049/detalhe" TargetMode="External"/><Relationship Id="rId88" Type="http://schemas.openxmlformats.org/officeDocument/2006/relationships/hyperlink" Target="https://www.mercadolivre.com.br/vendas/2000009994344356/detalhe" TargetMode="External"/><Relationship Id="rId1778" Type="http://schemas.openxmlformats.org/officeDocument/2006/relationships/hyperlink" Target="https://www.mercadolivre.com.br/vendas/2000009713063302/detalhe" TargetMode="External"/><Relationship Id="rId87" Type="http://schemas.openxmlformats.org/officeDocument/2006/relationships/hyperlink" Target="https://www.mercadolivre.com.br/vendas/2000009994864438/detalhe" TargetMode="External"/><Relationship Id="rId1779" Type="http://schemas.openxmlformats.org/officeDocument/2006/relationships/hyperlink" Target="https://www.mercadolivre.com.br/vendas/2000009712969542/detalhe" TargetMode="External"/><Relationship Id="rId89" Type="http://schemas.openxmlformats.org/officeDocument/2006/relationships/hyperlink" Target="https://www.mercadolivre.com.br/vendas/2000009994215530/detalhe" TargetMode="External"/><Relationship Id="rId709" Type="http://schemas.openxmlformats.org/officeDocument/2006/relationships/hyperlink" Target="https://www.mercadolivre.com.br/vendas/2000009879549636/detalhe" TargetMode="External"/><Relationship Id="rId708" Type="http://schemas.openxmlformats.org/officeDocument/2006/relationships/hyperlink" Target="https://www.mercadolivre.com.br/vendas/2000009879602506/detalhe" TargetMode="External"/><Relationship Id="rId707" Type="http://schemas.openxmlformats.org/officeDocument/2006/relationships/hyperlink" Target="https://www.mercadolivre.com.br/vendas/2000006657687023/detalhe" TargetMode="External"/><Relationship Id="rId706" Type="http://schemas.openxmlformats.org/officeDocument/2006/relationships/hyperlink" Target="https://www.mercadolivre.com.br/vendas/2000009879966970/detalhe" TargetMode="External"/><Relationship Id="rId80" Type="http://schemas.openxmlformats.org/officeDocument/2006/relationships/hyperlink" Target="https://www.mercadolivre.com.br/vendas/2000009997695986/detalhe" TargetMode="External"/><Relationship Id="rId82" Type="http://schemas.openxmlformats.org/officeDocument/2006/relationships/hyperlink" Target="https://www.mercadolivre.com.br/vendas/2000009997057666/detalhe" TargetMode="External"/><Relationship Id="rId81" Type="http://schemas.openxmlformats.org/officeDocument/2006/relationships/hyperlink" Target="https://www.mercadolivre.com.br/vendas/2000009997203970/detalhe" TargetMode="External"/><Relationship Id="rId701" Type="http://schemas.openxmlformats.org/officeDocument/2006/relationships/hyperlink" Target="https://www.mercadolivre.com.br/vendas/2000006659153307/detalhe" TargetMode="External"/><Relationship Id="rId700" Type="http://schemas.openxmlformats.org/officeDocument/2006/relationships/hyperlink" Target="https://www.mercadolivre.com.br/vendas/2000006659186311/detalhe" TargetMode="External"/><Relationship Id="rId705" Type="http://schemas.openxmlformats.org/officeDocument/2006/relationships/hyperlink" Target="https://www.mercadolivre.com.br/vendas/2000009880134270/detalhe" TargetMode="External"/><Relationship Id="rId704" Type="http://schemas.openxmlformats.org/officeDocument/2006/relationships/hyperlink" Target="https://www.mercadolivre.com.br/vendas/2000009880352772/detalhe" TargetMode="External"/><Relationship Id="rId703" Type="http://schemas.openxmlformats.org/officeDocument/2006/relationships/hyperlink" Target="https://www.mercadolivre.com.br/vendas/2000009881162290/detalhe" TargetMode="External"/><Relationship Id="rId702" Type="http://schemas.openxmlformats.org/officeDocument/2006/relationships/hyperlink" Target="https://www.mercadolivre.com.br/vendas/2000009881519384/detalhe" TargetMode="External"/><Relationship Id="rId1770" Type="http://schemas.openxmlformats.org/officeDocument/2006/relationships/hyperlink" Target="https://www.mercadolivre.com.br/vendas/2000009714863834/detalhe" TargetMode="External"/><Relationship Id="rId1771" Type="http://schemas.openxmlformats.org/officeDocument/2006/relationships/hyperlink" Target="https://www.mercadolivre.com.br/vendas/2000009713516638/detalhe" TargetMode="External"/><Relationship Id="rId1772" Type="http://schemas.openxmlformats.org/officeDocument/2006/relationships/hyperlink" Target="https://www.mercadolivre.com.br/vendas/2000006556209221/detalhe" TargetMode="External"/><Relationship Id="rId1773" Type="http://schemas.openxmlformats.org/officeDocument/2006/relationships/hyperlink" Target="https://www.mercadolivre.com.br/vendas/2000006556192673/detalhe" TargetMode="External"/><Relationship Id="rId73" Type="http://schemas.openxmlformats.org/officeDocument/2006/relationships/hyperlink" Target="https://www.mercadolivre.com.br/vendas/2000009999920758/detalhe" TargetMode="External"/><Relationship Id="rId1763" Type="http://schemas.openxmlformats.org/officeDocument/2006/relationships/hyperlink" Target="https://www.mercadolivre.com.br/vendas/2000009715916384/detalhe" TargetMode="External"/><Relationship Id="rId72" Type="http://schemas.openxmlformats.org/officeDocument/2006/relationships/hyperlink" Target="https://www.mercadolivre.com.br/vendas/2000006733103103/detalhe" TargetMode="External"/><Relationship Id="rId1764" Type="http://schemas.openxmlformats.org/officeDocument/2006/relationships/hyperlink" Target="https://www.mercadolivre.com.br/vendas/2000009715785180/detalhe" TargetMode="External"/><Relationship Id="rId75" Type="http://schemas.openxmlformats.org/officeDocument/2006/relationships/hyperlink" Target="https://www.mercadolivre.com.br/vendas/2000009999510612/detalhe" TargetMode="External"/><Relationship Id="rId1765" Type="http://schemas.openxmlformats.org/officeDocument/2006/relationships/hyperlink" Target="https://www.mercadolivre.com.br/vendas/2000009715610932/detalhe" TargetMode="External"/><Relationship Id="rId74" Type="http://schemas.openxmlformats.org/officeDocument/2006/relationships/hyperlink" Target="https://www.mercadolivre.com.br/vendas/2000009999749386/detalhe" TargetMode="External"/><Relationship Id="rId1766" Type="http://schemas.openxmlformats.org/officeDocument/2006/relationships/hyperlink" Target="https://www.mercadolivre.com.br/vendas/2000009715573704/detalhe" TargetMode="External"/><Relationship Id="rId77" Type="http://schemas.openxmlformats.org/officeDocument/2006/relationships/hyperlink" Target="https://www.mercadolivre.com.br/vendas/2000006732625651/detalhe" TargetMode="External"/><Relationship Id="rId1767" Type="http://schemas.openxmlformats.org/officeDocument/2006/relationships/hyperlink" Target="https://www.mercadolivre.com.br/vendas/2000006557320939/detalhe" TargetMode="External"/><Relationship Id="rId76" Type="http://schemas.openxmlformats.org/officeDocument/2006/relationships/hyperlink" Target="https://www.mercadolivre.com.br/vendas/2000009999538720/detalhe" TargetMode="External"/><Relationship Id="rId1768" Type="http://schemas.openxmlformats.org/officeDocument/2006/relationships/hyperlink" Target="https://www.mercadolivre.com.br/vendas/2000009715217920/detalhe" TargetMode="External"/><Relationship Id="rId79" Type="http://schemas.openxmlformats.org/officeDocument/2006/relationships/hyperlink" Target="https://www.mercadolivre.com.br/vendas/2000009998155814/detalhe" TargetMode="External"/><Relationship Id="rId1769" Type="http://schemas.openxmlformats.org/officeDocument/2006/relationships/hyperlink" Target="https://www.mercadolivre.com.br/vendas/2000009715209956/detalhe" TargetMode="External"/><Relationship Id="rId78" Type="http://schemas.openxmlformats.org/officeDocument/2006/relationships/hyperlink" Target="https://www.mercadolivre.com.br/vendas/2000009999176584/detalhe" TargetMode="External"/><Relationship Id="rId71" Type="http://schemas.openxmlformats.org/officeDocument/2006/relationships/hyperlink" Target="https://www.mercadolivre.com.br/vendas/2000006733144431/detalhe" TargetMode="External"/><Relationship Id="rId70" Type="http://schemas.openxmlformats.org/officeDocument/2006/relationships/hyperlink" Target="https://www.mercadolivre.com.br/vendas/2000006733144431/detalhe" TargetMode="External"/><Relationship Id="rId1760" Type="http://schemas.openxmlformats.org/officeDocument/2006/relationships/hyperlink" Target="https://www.mercadolivre.com.br/vendas/2000006558389395/detalhe" TargetMode="External"/><Relationship Id="rId1761" Type="http://schemas.openxmlformats.org/officeDocument/2006/relationships/hyperlink" Target="https://www.mercadolivre.com.br/vendas/2000009717101724/detalhe" TargetMode="External"/><Relationship Id="rId1762" Type="http://schemas.openxmlformats.org/officeDocument/2006/relationships/hyperlink" Target="https://www.mercadolivre.com.br/vendas/2000009716005126/detalhe" TargetMode="External"/><Relationship Id="rId62" Type="http://schemas.openxmlformats.org/officeDocument/2006/relationships/hyperlink" Target="https://www.mercadolivre.com.br/vendas/2000010001128736/detalhe" TargetMode="External"/><Relationship Id="rId1312" Type="http://schemas.openxmlformats.org/officeDocument/2006/relationships/hyperlink" Target="https://www.mercadolivre.com.br/vendas/2000009781370616/detalhe" TargetMode="External"/><Relationship Id="rId61" Type="http://schemas.openxmlformats.org/officeDocument/2006/relationships/hyperlink" Target="https://www.mercadolivre.com.br/vendas/2000010001155128/detalhe" TargetMode="External"/><Relationship Id="rId1313" Type="http://schemas.openxmlformats.org/officeDocument/2006/relationships/hyperlink" Target="https://www.mercadolivre.com.br/vendas/2000009781229864/detalhe" TargetMode="External"/><Relationship Id="rId64" Type="http://schemas.openxmlformats.org/officeDocument/2006/relationships/hyperlink" Target="https://www.mercadolivre.com.br/vendas/2000010000777494/detalhe" TargetMode="External"/><Relationship Id="rId1314" Type="http://schemas.openxmlformats.org/officeDocument/2006/relationships/hyperlink" Target="https://www.mercadolivre.com.br/vendas/2000006596632203/detalhe" TargetMode="External"/><Relationship Id="rId63" Type="http://schemas.openxmlformats.org/officeDocument/2006/relationships/hyperlink" Target="https://www.mercadolivre.com.br/vendas/2000010000821750/detalhe" TargetMode="External"/><Relationship Id="rId1315" Type="http://schemas.openxmlformats.org/officeDocument/2006/relationships/hyperlink" Target="https://www.mercadolivre.com.br/vendas/2000009781139544/detalhe" TargetMode="External"/><Relationship Id="rId66" Type="http://schemas.openxmlformats.org/officeDocument/2006/relationships/hyperlink" Target="https://www.mercadolivre.com.br/vendas/2000010000545534/detalhe" TargetMode="External"/><Relationship Id="rId1316" Type="http://schemas.openxmlformats.org/officeDocument/2006/relationships/hyperlink" Target="https://www.mercadolivre.com.br/vendas/2000006596556749/detalhe" TargetMode="External"/><Relationship Id="rId65" Type="http://schemas.openxmlformats.org/officeDocument/2006/relationships/hyperlink" Target="https://www.mercadolivre.com.br/vendas/2000010000615740/detalhe" TargetMode="External"/><Relationship Id="rId1317" Type="http://schemas.openxmlformats.org/officeDocument/2006/relationships/hyperlink" Target="https://www.mercadolivre.com.br/vendas/2000009781048060/detalhe" TargetMode="External"/><Relationship Id="rId68" Type="http://schemas.openxmlformats.org/officeDocument/2006/relationships/hyperlink" Target="https://www.mercadolivre.com.br/vendas/2000006733154875/detalhe" TargetMode="External"/><Relationship Id="rId1318" Type="http://schemas.openxmlformats.org/officeDocument/2006/relationships/hyperlink" Target="https://www.mercadolivre.com.br/vendas/2000009780991668/detalhe" TargetMode="External"/><Relationship Id="rId67" Type="http://schemas.openxmlformats.org/officeDocument/2006/relationships/hyperlink" Target="https://www.mercadolivre.com.br/vendas/2000010000307602/detalhe" TargetMode="External"/><Relationship Id="rId1319" Type="http://schemas.openxmlformats.org/officeDocument/2006/relationships/hyperlink" Target="https://www.mercadolivre.com.br/vendas/2000009775672132/detalhe" TargetMode="External"/><Relationship Id="rId729" Type="http://schemas.openxmlformats.org/officeDocument/2006/relationships/hyperlink" Target="https://www.mercadolivre.com.br/vendas/2000009876357566/detalhe" TargetMode="External"/><Relationship Id="rId728" Type="http://schemas.openxmlformats.org/officeDocument/2006/relationships/hyperlink" Target="https://www.mercadolivre.com.br/vendas/2000006655754599/detalhe" TargetMode="External"/><Relationship Id="rId60" Type="http://schemas.openxmlformats.org/officeDocument/2006/relationships/hyperlink" Target="https://www.mercadolivre.com.br/vendas/2000010001632730/detalhe" TargetMode="External"/><Relationship Id="rId723" Type="http://schemas.openxmlformats.org/officeDocument/2006/relationships/hyperlink" Target="https://www.mercadolivre.com.br/vendas/2000006656243705/detalhe" TargetMode="External"/><Relationship Id="rId722" Type="http://schemas.openxmlformats.org/officeDocument/2006/relationships/hyperlink" Target="https://www.mercadolivre.com.br/vendas/2000006656304445/detalhe" TargetMode="External"/><Relationship Id="rId721" Type="http://schemas.openxmlformats.org/officeDocument/2006/relationships/hyperlink" Target="https://www.mercadolivre.com.br/vendas/2000006656304445/detalhe" TargetMode="External"/><Relationship Id="rId720" Type="http://schemas.openxmlformats.org/officeDocument/2006/relationships/hyperlink" Target="https://www.mercadolivre.com.br/vendas/2000006656304445/detalhe" TargetMode="External"/><Relationship Id="rId727" Type="http://schemas.openxmlformats.org/officeDocument/2006/relationships/hyperlink" Target="https://www.mercadolivre.com.br/vendas/2000009876475778/detalhe" TargetMode="External"/><Relationship Id="rId726" Type="http://schemas.openxmlformats.org/officeDocument/2006/relationships/hyperlink" Target="https://www.mercadolivre.com.br/vendas/2000009876496858/detalhe" TargetMode="External"/><Relationship Id="rId725" Type="http://schemas.openxmlformats.org/officeDocument/2006/relationships/hyperlink" Target="https://www.mercadolivre.com.br/vendas/2000009876752116/detalhe" TargetMode="External"/><Relationship Id="rId724" Type="http://schemas.openxmlformats.org/officeDocument/2006/relationships/hyperlink" Target="https://www.mercadolivre.com.br/vendas/2000009876888510/detalhe" TargetMode="External"/><Relationship Id="rId69" Type="http://schemas.openxmlformats.org/officeDocument/2006/relationships/hyperlink" Target="https://www.mercadolivre.com.br/vendas/2000006733144431/detalhe" TargetMode="External"/><Relationship Id="rId1310" Type="http://schemas.openxmlformats.org/officeDocument/2006/relationships/hyperlink" Target="https://www.mercadolivre.com.br/vendas/2000009781629240/detalhe" TargetMode="External"/><Relationship Id="rId1311" Type="http://schemas.openxmlformats.org/officeDocument/2006/relationships/hyperlink" Target="https://www.mercadolivre.com.br/vendas/2000006596825487/detalhe" TargetMode="External"/><Relationship Id="rId51" Type="http://schemas.openxmlformats.org/officeDocument/2006/relationships/hyperlink" Target="https://www.mercadolivre.com.br/vendas/2000006734446387/detalhe" TargetMode="External"/><Relationship Id="rId1301" Type="http://schemas.openxmlformats.org/officeDocument/2006/relationships/hyperlink" Target="https://www.mercadolivre.com.br/vendas/2000009783031248/detalhe" TargetMode="External"/><Relationship Id="rId1785" Type="http://schemas.openxmlformats.org/officeDocument/2006/relationships/hyperlink" Target="https://www.mercadolivre.com.br/vendas/2000009712159422/detalhe" TargetMode="External"/><Relationship Id="rId50" Type="http://schemas.openxmlformats.org/officeDocument/2006/relationships/hyperlink" Target="https://www.mercadolivre.com.br/vendas/2000010002375134/detalhe" TargetMode="External"/><Relationship Id="rId1302" Type="http://schemas.openxmlformats.org/officeDocument/2006/relationships/hyperlink" Target="https://www.mercadolivre.com.br/vendas/2000009783008282/detalhe" TargetMode="External"/><Relationship Id="rId1786" Type="http://schemas.openxmlformats.org/officeDocument/2006/relationships/hyperlink" Target="https://www.mercadolivre.com.br/vendas/2000009711537820/detalhe" TargetMode="External"/><Relationship Id="rId53" Type="http://schemas.openxmlformats.org/officeDocument/2006/relationships/hyperlink" Target="https://www.mercadolivre.com.br/vendas/2000010002087978/detalhe" TargetMode="External"/><Relationship Id="rId1303" Type="http://schemas.openxmlformats.org/officeDocument/2006/relationships/hyperlink" Target="https://www.mercadolivre.com.br/vendas/2000006597614587/detalhe" TargetMode="External"/><Relationship Id="rId1787" Type="http://schemas.openxmlformats.org/officeDocument/2006/relationships/drawing" Target="../drawings/drawing1.xml"/><Relationship Id="rId52" Type="http://schemas.openxmlformats.org/officeDocument/2006/relationships/hyperlink" Target="https://www.mercadolivre.com.br/vendas/2000006734447143/detalhe" TargetMode="External"/><Relationship Id="rId1304" Type="http://schemas.openxmlformats.org/officeDocument/2006/relationships/hyperlink" Target="https://www.mercadolivre.com.br/vendas/2000009782790874/detalhe" TargetMode="External"/><Relationship Id="rId55" Type="http://schemas.openxmlformats.org/officeDocument/2006/relationships/hyperlink" Target="https://www.mercadolivre.com.br/vendas/2000006734316115/detalhe" TargetMode="External"/><Relationship Id="rId1305" Type="http://schemas.openxmlformats.org/officeDocument/2006/relationships/hyperlink" Target="https://www.mercadolivre.com.br/vendas/2000009782320528/detalhe" TargetMode="External"/><Relationship Id="rId54" Type="http://schemas.openxmlformats.org/officeDocument/2006/relationships/hyperlink" Target="https://www.mercadolivre.com.br/vendas/2000006734323381/detalhe" TargetMode="External"/><Relationship Id="rId1306" Type="http://schemas.openxmlformats.org/officeDocument/2006/relationships/hyperlink" Target="https://www.mercadolivre.com.br/vendas/2000009782224208/detalhe" TargetMode="External"/><Relationship Id="rId57" Type="http://schemas.openxmlformats.org/officeDocument/2006/relationships/hyperlink" Target="https://www.mercadolivre.com.br/vendas/2000006734084655/detalhe" TargetMode="External"/><Relationship Id="rId1307" Type="http://schemas.openxmlformats.org/officeDocument/2006/relationships/hyperlink" Target="https://www.mercadolivre.com.br/vendas/2000006597149299/detalhe" TargetMode="External"/><Relationship Id="rId56" Type="http://schemas.openxmlformats.org/officeDocument/2006/relationships/hyperlink" Target="https://www.mercadolivre.com.br/vendas/2000010001929140/detalhe" TargetMode="External"/><Relationship Id="rId1308" Type="http://schemas.openxmlformats.org/officeDocument/2006/relationships/hyperlink" Target="https://www.mercadolivre.com.br/vendas/2000009781930888/detalhe" TargetMode="External"/><Relationship Id="rId1309" Type="http://schemas.openxmlformats.org/officeDocument/2006/relationships/hyperlink" Target="https://www.mercadolivre.com.br/vendas/2000009781869484/detalhe" TargetMode="External"/><Relationship Id="rId719" Type="http://schemas.openxmlformats.org/officeDocument/2006/relationships/hyperlink" Target="https://www.mercadolivre.com.br/vendas/2000009877927614/detalhe" TargetMode="External"/><Relationship Id="rId718" Type="http://schemas.openxmlformats.org/officeDocument/2006/relationships/hyperlink" Target="https://www.mercadolivre.com.br/vendas/2000009878152410/detalhe" TargetMode="External"/><Relationship Id="rId717" Type="http://schemas.openxmlformats.org/officeDocument/2006/relationships/hyperlink" Target="https://www.mercadolivre.com.br/vendas/2000006656798277/detalhe" TargetMode="External"/><Relationship Id="rId712" Type="http://schemas.openxmlformats.org/officeDocument/2006/relationships/hyperlink" Target="https://www.mercadolivre.com.br/vendas/2000006657167795/detalhe" TargetMode="External"/><Relationship Id="rId711" Type="http://schemas.openxmlformats.org/officeDocument/2006/relationships/hyperlink" Target="https://www.mercadolivre.com.br/vendas/2000009878914158/detalhe" TargetMode="External"/><Relationship Id="rId710" Type="http://schemas.openxmlformats.org/officeDocument/2006/relationships/hyperlink" Target="https://www.mercadolivre.com.br/vendas/2000009879302594/detalhe" TargetMode="External"/><Relationship Id="rId716" Type="http://schemas.openxmlformats.org/officeDocument/2006/relationships/hyperlink" Target="https://www.mercadolivre.com.br/vendas/2000006656851033/detalhe" TargetMode="External"/><Relationship Id="rId715" Type="http://schemas.openxmlformats.org/officeDocument/2006/relationships/hyperlink" Target="https://www.mercadolivre.com.br/vendas/2000009878679868/detalhe" TargetMode="External"/><Relationship Id="rId714" Type="http://schemas.openxmlformats.org/officeDocument/2006/relationships/hyperlink" Target="https://www.mercadolivre.com.br/vendas/2000009878701794/detalhe" TargetMode="External"/><Relationship Id="rId713" Type="http://schemas.openxmlformats.org/officeDocument/2006/relationships/hyperlink" Target="https://www.mercadolivre.com.br/vendas/2000009878763850/detalhe" TargetMode="External"/><Relationship Id="rId59" Type="http://schemas.openxmlformats.org/officeDocument/2006/relationships/hyperlink" Target="https://www.mercadolivre.com.br/vendas/2000006734084655/detalhe" TargetMode="External"/><Relationship Id="rId58" Type="http://schemas.openxmlformats.org/officeDocument/2006/relationships/hyperlink" Target="https://www.mercadolivre.com.br/vendas/2000006734084655/detalhe" TargetMode="External"/><Relationship Id="rId1780" Type="http://schemas.openxmlformats.org/officeDocument/2006/relationships/hyperlink" Target="https://www.mercadolivre.com.br/vendas/2000009712919320/detalhe" TargetMode="External"/><Relationship Id="rId1781" Type="http://schemas.openxmlformats.org/officeDocument/2006/relationships/hyperlink" Target="https://www.mercadolivre.com.br/vendas/2000009712369006/detalhe" TargetMode="External"/><Relationship Id="rId1782" Type="http://schemas.openxmlformats.org/officeDocument/2006/relationships/hyperlink" Target="https://www.mercadolivre.com.br/vendas/2000009712339514/detalhe" TargetMode="External"/><Relationship Id="rId1783" Type="http://schemas.openxmlformats.org/officeDocument/2006/relationships/hyperlink" Target="https://www.mercadolivre.com.br/vendas/2000009712348126/detalhe" TargetMode="External"/><Relationship Id="rId1300" Type="http://schemas.openxmlformats.org/officeDocument/2006/relationships/hyperlink" Target="https://www.mercadolivre.com.br/vendas/2000009783364294/detalhe" TargetMode="External"/><Relationship Id="rId1784" Type="http://schemas.openxmlformats.org/officeDocument/2006/relationships/hyperlink" Target="https://www.mercadolivre.com.br/vendas/2000009712262920/detalhe" TargetMode="External"/><Relationship Id="rId349" Type="http://schemas.openxmlformats.org/officeDocument/2006/relationships/hyperlink" Target="https://www.mercadolivre.com.br/vendas/2000009938487892/detalhe" TargetMode="External"/><Relationship Id="rId348" Type="http://schemas.openxmlformats.org/officeDocument/2006/relationships/hyperlink" Target="https://www.mercadolivre.com.br/vendas/2000009944165132/detalhe" TargetMode="External"/><Relationship Id="rId347" Type="http://schemas.openxmlformats.org/officeDocument/2006/relationships/hyperlink" Target="https://www.mercadolivre.com.br/vendas/2000009944657972/detalhe" TargetMode="External"/><Relationship Id="rId346" Type="http://schemas.openxmlformats.org/officeDocument/2006/relationships/hyperlink" Target="https://www.mercadolivre.com.br/vendas/2000009944766096/detalhe" TargetMode="External"/><Relationship Id="rId341" Type="http://schemas.openxmlformats.org/officeDocument/2006/relationships/hyperlink" Target="https://www.mercadolivre.com.br/vendas/2000006698953327/detalhe" TargetMode="External"/><Relationship Id="rId340" Type="http://schemas.openxmlformats.org/officeDocument/2006/relationships/hyperlink" Target="https://www.mercadolivre.com.br/vendas/2000009945521916/detalhe" TargetMode="External"/><Relationship Id="rId345" Type="http://schemas.openxmlformats.org/officeDocument/2006/relationships/hyperlink" Target="https://www.mercadolivre.com.br/vendas/2000009944862544/detalhe" TargetMode="External"/><Relationship Id="rId344" Type="http://schemas.openxmlformats.org/officeDocument/2006/relationships/hyperlink" Target="https://www.mercadolivre.com.br/vendas/2000009944970024/detalhe" TargetMode="External"/><Relationship Id="rId343" Type="http://schemas.openxmlformats.org/officeDocument/2006/relationships/hyperlink" Target="https://www.mercadolivre.com.br/vendas/2000006698754663/detalhe" TargetMode="External"/><Relationship Id="rId342" Type="http://schemas.openxmlformats.org/officeDocument/2006/relationships/hyperlink" Target="https://www.mercadolivre.com.br/vendas/2000009945453106/detalhe" TargetMode="External"/><Relationship Id="rId338" Type="http://schemas.openxmlformats.org/officeDocument/2006/relationships/hyperlink" Target="https://www.mercadolivre.com.br/vendas/2000009945631134/detalhe" TargetMode="External"/><Relationship Id="rId337" Type="http://schemas.openxmlformats.org/officeDocument/2006/relationships/hyperlink" Target="https://www.mercadolivre.com.br/vendas/2000009927758670/detalhe" TargetMode="External"/><Relationship Id="rId336" Type="http://schemas.openxmlformats.org/officeDocument/2006/relationships/hyperlink" Target="https://www.mercadolivre.com.br/vendas/2000009945707952/detalhe" TargetMode="External"/><Relationship Id="rId335" Type="http://schemas.openxmlformats.org/officeDocument/2006/relationships/hyperlink" Target="https://www.mercadolivre.com.br/vendas/2000009945881888/detalhe" TargetMode="External"/><Relationship Id="rId339" Type="http://schemas.openxmlformats.org/officeDocument/2006/relationships/hyperlink" Target="https://www.mercadolivre.com.br/vendas/2000006698990663/detalhe" TargetMode="External"/><Relationship Id="rId330" Type="http://schemas.openxmlformats.org/officeDocument/2006/relationships/hyperlink" Target="https://www.mercadolivre.com.br/vendas/2000009946335974/detalhe" TargetMode="External"/><Relationship Id="rId334" Type="http://schemas.openxmlformats.org/officeDocument/2006/relationships/hyperlink" Target="https://www.mercadolivre.com.br/vendas/2000009945912522/detalhe" TargetMode="External"/><Relationship Id="rId333" Type="http://schemas.openxmlformats.org/officeDocument/2006/relationships/hyperlink" Target="https://www.mercadolivre.com.br/vendas/2000009946041940/detalhe" TargetMode="External"/><Relationship Id="rId332" Type="http://schemas.openxmlformats.org/officeDocument/2006/relationships/hyperlink" Target="https://www.mercadolivre.com.br/vendas/2000006699322723/detalhe" TargetMode="External"/><Relationship Id="rId331" Type="http://schemas.openxmlformats.org/officeDocument/2006/relationships/hyperlink" Target="https://www.mercadolivre.com.br/vendas/2000006699442425/detalhe" TargetMode="External"/><Relationship Id="rId370" Type="http://schemas.openxmlformats.org/officeDocument/2006/relationships/hyperlink" Target="https://www.mercadolivre.com.br/vendas/2000006694777775/detalhe" TargetMode="External"/><Relationship Id="rId369" Type="http://schemas.openxmlformats.org/officeDocument/2006/relationships/hyperlink" Target="https://www.mercadolivre.com.br/vendas/2000006694788367/detalhe" TargetMode="External"/><Relationship Id="rId368" Type="http://schemas.openxmlformats.org/officeDocument/2006/relationships/hyperlink" Target="https://www.mercadolivre.com.br/vendas/2000009939602800/detalhe" TargetMode="External"/><Relationship Id="rId363" Type="http://schemas.openxmlformats.org/officeDocument/2006/relationships/hyperlink" Target="https://www.mercadolivre.com.br/vendas/2000006695991469/detalhe" TargetMode="External"/><Relationship Id="rId362" Type="http://schemas.openxmlformats.org/officeDocument/2006/relationships/hyperlink" Target="https://www.mercadolivre.com.br/vendas/2000009941120654/detalhe" TargetMode="External"/><Relationship Id="rId361" Type="http://schemas.openxmlformats.org/officeDocument/2006/relationships/hyperlink" Target="https://www.mercadolivre.com.br/vendas/2000009941353828/detalhe" TargetMode="External"/><Relationship Id="rId360" Type="http://schemas.openxmlformats.org/officeDocument/2006/relationships/hyperlink" Target="https://www.mercadolivre.com.br/vendas/2000009941541254/detalhe" TargetMode="External"/><Relationship Id="rId367" Type="http://schemas.openxmlformats.org/officeDocument/2006/relationships/hyperlink" Target="https://www.mercadolivre.com.br/vendas/2000009939674454/detalhe" TargetMode="External"/><Relationship Id="rId366" Type="http://schemas.openxmlformats.org/officeDocument/2006/relationships/hyperlink" Target="https://www.mercadolivre.com.br/vendas/2000006695550961/detalhe" TargetMode="External"/><Relationship Id="rId365" Type="http://schemas.openxmlformats.org/officeDocument/2006/relationships/hyperlink" Target="https://www.mercadolivre.com.br/vendas/2000009940528140/detalhe" TargetMode="External"/><Relationship Id="rId364" Type="http://schemas.openxmlformats.org/officeDocument/2006/relationships/hyperlink" Target="https://www.mercadolivre.com.br/vendas/2000009940692726/detalhe" TargetMode="External"/><Relationship Id="rId95" Type="http://schemas.openxmlformats.org/officeDocument/2006/relationships/hyperlink" Target="https://www.mercadolivre.com.br/vendas/2000009992325144/detalhe" TargetMode="External"/><Relationship Id="rId94" Type="http://schemas.openxmlformats.org/officeDocument/2006/relationships/hyperlink" Target="https://www.mercadolivre.com.br/vendas/2000006728379877/detalhe" TargetMode="External"/><Relationship Id="rId97" Type="http://schemas.openxmlformats.org/officeDocument/2006/relationships/hyperlink" Target="https://www.mercadolivre.com.br/vendas/2000009990708772/detalhe" TargetMode="External"/><Relationship Id="rId96" Type="http://schemas.openxmlformats.org/officeDocument/2006/relationships/hyperlink" Target="https://www.mercadolivre.com.br/vendas/2000009992130968/detalhe" TargetMode="External"/><Relationship Id="rId99" Type="http://schemas.openxmlformats.org/officeDocument/2006/relationships/hyperlink" Target="https://www.mercadolivre.com.br/vendas/2000009990501140/detalhe" TargetMode="External"/><Relationship Id="rId98" Type="http://schemas.openxmlformats.org/officeDocument/2006/relationships/hyperlink" Target="https://www.mercadolivre.com.br/vendas/2000006727200739/detalhe" TargetMode="External"/><Relationship Id="rId91" Type="http://schemas.openxmlformats.org/officeDocument/2006/relationships/hyperlink" Target="https://www.mercadolivre.com.br/vendas/2000009993486974/detalhe" TargetMode="External"/><Relationship Id="rId90" Type="http://schemas.openxmlformats.org/officeDocument/2006/relationships/hyperlink" Target="https://www.mercadolivre.com.br/vendas/2000009993683022/detalhe" TargetMode="External"/><Relationship Id="rId93" Type="http://schemas.openxmlformats.org/officeDocument/2006/relationships/hyperlink" Target="https://www.mercadolivre.com.br/vendas/2000009980670626/detalhe" TargetMode="External"/><Relationship Id="rId92" Type="http://schemas.openxmlformats.org/officeDocument/2006/relationships/hyperlink" Target="https://www.mercadolivre.com.br/vendas/2000009993389314/detalhe" TargetMode="External"/><Relationship Id="rId359" Type="http://schemas.openxmlformats.org/officeDocument/2006/relationships/hyperlink" Target="https://www.mercadolivre.com.br/vendas/2000006696487287/detalhe" TargetMode="External"/><Relationship Id="rId358" Type="http://schemas.openxmlformats.org/officeDocument/2006/relationships/hyperlink" Target="https://www.mercadolivre.com.br/vendas/2000009941798268/detalhe" TargetMode="External"/><Relationship Id="rId357" Type="http://schemas.openxmlformats.org/officeDocument/2006/relationships/hyperlink" Target="https://www.mercadolivre.com.br/vendas/2000006696613991/detalhe" TargetMode="External"/><Relationship Id="rId352" Type="http://schemas.openxmlformats.org/officeDocument/2006/relationships/hyperlink" Target="https://www.mercadolivre.com.br/vendas/2000009943747990/detalhe" TargetMode="External"/><Relationship Id="rId351" Type="http://schemas.openxmlformats.org/officeDocument/2006/relationships/hyperlink" Target="https://www.mercadolivre.com.br/vendas/2000009943938138/detalhe" TargetMode="External"/><Relationship Id="rId350" Type="http://schemas.openxmlformats.org/officeDocument/2006/relationships/hyperlink" Target="https://www.mercadolivre.com.br/vendas/2000006698011279/detalhe" TargetMode="External"/><Relationship Id="rId356" Type="http://schemas.openxmlformats.org/officeDocument/2006/relationships/hyperlink" Target="https://www.mercadolivre.com.br/vendas/2000006696897957/detalhe" TargetMode="External"/><Relationship Id="rId355" Type="http://schemas.openxmlformats.org/officeDocument/2006/relationships/hyperlink" Target="https://www.mercadolivre.com.br/vendas/2000009943124066/detalhe" TargetMode="External"/><Relationship Id="rId354" Type="http://schemas.openxmlformats.org/officeDocument/2006/relationships/hyperlink" Target="https://www.mercadolivre.com.br/vendas/2000006697702715/detalhe" TargetMode="External"/><Relationship Id="rId353" Type="http://schemas.openxmlformats.org/officeDocument/2006/relationships/hyperlink" Target="https://www.mercadolivre.com.br/vendas/2000006697886525/detalhe" TargetMode="External"/><Relationship Id="rId1378" Type="http://schemas.openxmlformats.org/officeDocument/2006/relationships/hyperlink" Target="https://www.mercadolivre.com.br/vendas/2000009773523500/detalhe" TargetMode="External"/><Relationship Id="rId1379" Type="http://schemas.openxmlformats.org/officeDocument/2006/relationships/hyperlink" Target="https://www.mercadolivre.com.br/vendas/2000006591894773/detalhe" TargetMode="External"/><Relationship Id="rId305" Type="http://schemas.openxmlformats.org/officeDocument/2006/relationships/hyperlink" Target="https://www.mercadolivre.com.br/vendas/2000009951740412/detalhe" TargetMode="External"/><Relationship Id="rId789" Type="http://schemas.openxmlformats.org/officeDocument/2006/relationships/hyperlink" Target="https://www.mercadolivre.com.br/vendas/2000006646646723/detalhe" TargetMode="External"/><Relationship Id="rId304" Type="http://schemas.openxmlformats.org/officeDocument/2006/relationships/hyperlink" Target="https://www.mercadolivre.com.br/vendas/2000006702941247/detalhe" TargetMode="External"/><Relationship Id="rId788" Type="http://schemas.openxmlformats.org/officeDocument/2006/relationships/hyperlink" Target="https://www.mercadolivre.com.br/vendas/2000006647571273/detalhe" TargetMode="External"/><Relationship Id="rId303" Type="http://schemas.openxmlformats.org/officeDocument/2006/relationships/hyperlink" Target="https://www.mercadolivre.com.br/vendas/2000006703379267/detalhe" TargetMode="External"/><Relationship Id="rId787" Type="http://schemas.openxmlformats.org/officeDocument/2006/relationships/hyperlink" Target="https://www.mercadolivre.com.br/vendas/2000006647571273/detalhe" TargetMode="External"/><Relationship Id="rId302" Type="http://schemas.openxmlformats.org/officeDocument/2006/relationships/hyperlink" Target="https://www.mercadolivre.com.br/vendas/2000006703464391/detalhe" TargetMode="External"/><Relationship Id="rId786" Type="http://schemas.openxmlformats.org/officeDocument/2006/relationships/hyperlink" Target="https://www.mercadolivre.com.br/vendas/2000006647571273/detalhe" TargetMode="External"/><Relationship Id="rId309" Type="http://schemas.openxmlformats.org/officeDocument/2006/relationships/hyperlink" Target="https://www.mercadolivre.com.br/vendas/2000006702350389/detalhe" TargetMode="External"/><Relationship Id="rId308" Type="http://schemas.openxmlformats.org/officeDocument/2006/relationships/hyperlink" Target="https://www.mercadolivre.com.br/vendas/2000009951129882/detalhe" TargetMode="External"/><Relationship Id="rId307" Type="http://schemas.openxmlformats.org/officeDocument/2006/relationships/hyperlink" Target="https://www.mercadolivre.com.br/vendas/2000006702529117/detalhe" TargetMode="External"/><Relationship Id="rId306" Type="http://schemas.openxmlformats.org/officeDocument/2006/relationships/hyperlink" Target="https://www.mercadolivre.com.br/vendas/2000006702661151/detalhe" TargetMode="External"/><Relationship Id="rId781" Type="http://schemas.openxmlformats.org/officeDocument/2006/relationships/hyperlink" Target="https://www.mercadolivre.com.br/vendas/2000009864981694/detalhe" TargetMode="External"/><Relationship Id="rId1370" Type="http://schemas.openxmlformats.org/officeDocument/2006/relationships/hyperlink" Target="https://www.mercadolivre.com.br/vendas/2000006592460363/detalhe" TargetMode="External"/><Relationship Id="rId780" Type="http://schemas.openxmlformats.org/officeDocument/2006/relationships/hyperlink" Target="https://www.mercadolivre.com.br/vendas/2000006648244409/detalhe" TargetMode="External"/><Relationship Id="rId1371" Type="http://schemas.openxmlformats.org/officeDocument/2006/relationships/hyperlink" Target="https://www.mercadolivre.com.br/vendas/2000006591103545/detalhe" TargetMode="External"/><Relationship Id="rId1372" Type="http://schemas.openxmlformats.org/officeDocument/2006/relationships/hyperlink" Target="https://www.mercadolivre.com.br/vendas/2000009773965156/detalhe" TargetMode="External"/><Relationship Id="rId1373" Type="http://schemas.openxmlformats.org/officeDocument/2006/relationships/hyperlink" Target="https://www.mercadolivre.com.br/vendas/2000009773927542/detalhe" TargetMode="External"/><Relationship Id="rId301" Type="http://schemas.openxmlformats.org/officeDocument/2006/relationships/hyperlink" Target="https://www.mercadolivre.com.br/vendas/2000006703506437/detalhe" TargetMode="External"/><Relationship Id="rId785" Type="http://schemas.openxmlformats.org/officeDocument/2006/relationships/hyperlink" Target="https://www.mercadolivre.com.br/vendas/2000009864442450/detalhe" TargetMode="External"/><Relationship Id="rId1374" Type="http://schemas.openxmlformats.org/officeDocument/2006/relationships/hyperlink" Target="https://www.mercadolivre.com.br/vendas/2000006592044379/detalhe" TargetMode="External"/><Relationship Id="rId300" Type="http://schemas.openxmlformats.org/officeDocument/2006/relationships/hyperlink" Target="https://www.mercadolivre.com.br/vendas/2000009952817030/detalhe" TargetMode="External"/><Relationship Id="rId784" Type="http://schemas.openxmlformats.org/officeDocument/2006/relationships/hyperlink" Target="https://www.mercadolivre.com.br/vendas/2000009864459992/detalhe" TargetMode="External"/><Relationship Id="rId1375" Type="http://schemas.openxmlformats.org/officeDocument/2006/relationships/hyperlink" Target="https://www.mercadolivre.com.br/vendas/2000006591995339/detalhe" TargetMode="External"/><Relationship Id="rId783" Type="http://schemas.openxmlformats.org/officeDocument/2006/relationships/hyperlink" Target="https://www.mercadolivre.com.br/vendas/2000009864772036/detalhe" TargetMode="External"/><Relationship Id="rId1376" Type="http://schemas.openxmlformats.org/officeDocument/2006/relationships/hyperlink" Target="https://www.mercadolivre.com.br/vendas/2000006591995339/detalhe" TargetMode="External"/><Relationship Id="rId782" Type="http://schemas.openxmlformats.org/officeDocument/2006/relationships/hyperlink" Target="https://www.mercadolivre.com.br/vendas/2000009864800016/detalhe" TargetMode="External"/><Relationship Id="rId1377" Type="http://schemas.openxmlformats.org/officeDocument/2006/relationships/hyperlink" Target="https://www.mercadolivre.com.br/vendas/2000006591995339/detalhe" TargetMode="External"/><Relationship Id="rId1367" Type="http://schemas.openxmlformats.org/officeDocument/2006/relationships/hyperlink" Target="https://www.mercadolivre.com.br/vendas/2000009774436394/detalhe" TargetMode="External"/><Relationship Id="rId1368" Type="http://schemas.openxmlformats.org/officeDocument/2006/relationships/hyperlink" Target="https://www.mercadolivre.com.br/vendas/2000006592534575/detalhe" TargetMode="External"/><Relationship Id="rId1369" Type="http://schemas.openxmlformats.org/officeDocument/2006/relationships/hyperlink" Target="https://www.mercadolivre.com.br/vendas/2000009774378240/detalhe" TargetMode="External"/><Relationship Id="rId778" Type="http://schemas.openxmlformats.org/officeDocument/2006/relationships/hyperlink" Target="https://www.mercadolivre.com.br/vendas/2000009865548950/detalhe" TargetMode="External"/><Relationship Id="rId777" Type="http://schemas.openxmlformats.org/officeDocument/2006/relationships/hyperlink" Target="https://www.mercadolivre.com.br/vendas/2000006648679443/detalhe" TargetMode="External"/><Relationship Id="rId776" Type="http://schemas.openxmlformats.org/officeDocument/2006/relationships/hyperlink" Target="https://www.mercadolivre.com.br/vendas/2000009865899590/detalhe" TargetMode="External"/><Relationship Id="rId775" Type="http://schemas.openxmlformats.org/officeDocument/2006/relationships/hyperlink" Target="https://www.mercadolivre.com.br/vendas/2000009866212540/detalhe" TargetMode="External"/><Relationship Id="rId779" Type="http://schemas.openxmlformats.org/officeDocument/2006/relationships/hyperlink" Target="https://www.mercadolivre.com.br/vendas/2000009865076682/detalhe" TargetMode="External"/><Relationship Id="rId770" Type="http://schemas.openxmlformats.org/officeDocument/2006/relationships/hyperlink" Target="https://www.mercadolivre.com.br/vendas/2000009866863946/detalhe" TargetMode="External"/><Relationship Id="rId1360" Type="http://schemas.openxmlformats.org/officeDocument/2006/relationships/hyperlink" Target="https://www.mercadolivre.com.br/vendas/2000006593136861/detalhe" TargetMode="External"/><Relationship Id="rId1361" Type="http://schemas.openxmlformats.org/officeDocument/2006/relationships/hyperlink" Target="https://www.mercadolivre.com.br/vendas/2000009775141668/detalhe" TargetMode="External"/><Relationship Id="rId1362" Type="http://schemas.openxmlformats.org/officeDocument/2006/relationships/hyperlink" Target="https://www.mercadolivre.com.br/vendas/2000006592934975/detalhe" TargetMode="External"/><Relationship Id="rId774" Type="http://schemas.openxmlformats.org/officeDocument/2006/relationships/hyperlink" Target="https://www.mercadolivre.com.br/vendas/2000009866404642/detalhe" TargetMode="External"/><Relationship Id="rId1363" Type="http://schemas.openxmlformats.org/officeDocument/2006/relationships/hyperlink" Target="https://www.mercadolivre.com.br/vendas/2000009774862688/detalhe" TargetMode="External"/><Relationship Id="rId773" Type="http://schemas.openxmlformats.org/officeDocument/2006/relationships/hyperlink" Target="https://www.mercadolivre.com.br/vendas/2000009866686740/detalhe" TargetMode="External"/><Relationship Id="rId1364" Type="http://schemas.openxmlformats.org/officeDocument/2006/relationships/hyperlink" Target="https://www.mercadolivre.com.br/vendas/2000006592732805/detalhe" TargetMode="External"/><Relationship Id="rId772" Type="http://schemas.openxmlformats.org/officeDocument/2006/relationships/hyperlink" Target="https://www.mercadolivre.com.br/vendas/2000009866838622/detalhe" TargetMode="External"/><Relationship Id="rId1365" Type="http://schemas.openxmlformats.org/officeDocument/2006/relationships/hyperlink" Target="https://www.mercadolivre.com.br/vendas/2000006592716329/detalhe" TargetMode="External"/><Relationship Id="rId771" Type="http://schemas.openxmlformats.org/officeDocument/2006/relationships/hyperlink" Target="https://www.mercadolivre.com.br/vendas/2000009866847092/detalhe" TargetMode="External"/><Relationship Id="rId1366" Type="http://schemas.openxmlformats.org/officeDocument/2006/relationships/hyperlink" Target="https://www.mercadolivre.com.br/vendas/2000009774518396/detalhe" TargetMode="External"/><Relationship Id="rId327" Type="http://schemas.openxmlformats.org/officeDocument/2006/relationships/hyperlink" Target="https://www.mercadolivre.com.br/vendas/2000009946535910/detalhe" TargetMode="External"/><Relationship Id="rId326" Type="http://schemas.openxmlformats.org/officeDocument/2006/relationships/hyperlink" Target="https://www.mercadolivre.com.br/vendas/2000009946783882/detalhe" TargetMode="External"/><Relationship Id="rId325" Type="http://schemas.openxmlformats.org/officeDocument/2006/relationships/hyperlink" Target="https://www.mercadolivre.com.br/vendas/2000009946922770/detalhe" TargetMode="External"/><Relationship Id="rId324" Type="http://schemas.openxmlformats.org/officeDocument/2006/relationships/hyperlink" Target="https://www.mercadolivre.com.br/vendas/2000009928679656/detalhe" TargetMode="External"/><Relationship Id="rId329" Type="http://schemas.openxmlformats.org/officeDocument/2006/relationships/hyperlink" Target="https://www.mercadolivre.com.br/vendas/2000009946476734/detalhe" TargetMode="External"/><Relationship Id="rId1390" Type="http://schemas.openxmlformats.org/officeDocument/2006/relationships/hyperlink" Target="https://www.mercadolivre.com.br/vendas/2000006591404145/detalhe" TargetMode="External"/><Relationship Id="rId328" Type="http://schemas.openxmlformats.org/officeDocument/2006/relationships/hyperlink" Target="https://www.mercadolivre.com.br/vendas/2000006699568197/detalhe" TargetMode="External"/><Relationship Id="rId1391" Type="http://schemas.openxmlformats.org/officeDocument/2006/relationships/hyperlink" Target="https://www.mercadolivre.com.br/vendas/2000009772462678/detalhe" TargetMode="External"/><Relationship Id="rId1392" Type="http://schemas.openxmlformats.org/officeDocument/2006/relationships/hyperlink" Target="https://www.mercadolivre.com.br/vendas/2000009772487344/detalhe" TargetMode="External"/><Relationship Id="rId1393" Type="http://schemas.openxmlformats.org/officeDocument/2006/relationships/hyperlink" Target="https://www.mercadolivre.com.br/vendas/2000006591264475/detalhe" TargetMode="External"/><Relationship Id="rId1394" Type="http://schemas.openxmlformats.org/officeDocument/2006/relationships/hyperlink" Target="https://www.mercadolivre.com.br/vendas/2000009772143058/detalhe" TargetMode="External"/><Relationship Id="rId1395" Type="http://schemas.openxmlformats.org/officeDocument/2006/relationships/hyperlink" Target="https://www.mercadolivre.com.br/vendas/2000006591074027/detalhe" TargetMode="External"/><Relationship Id="rId323" Type="http://schemas.openxmlformats.org/officeDocument/2006/relationships/hyperlink" Target="https://www.mercadolivre.com.br/vendas/2000006700013175/detalhe" TargetMode="External"/><Relationship Id="rId1396" Type="http://schemas.openxmlformats.org/officeDocument/2006/relationships/hyperlink" Target="https://www.mercadolivre.com.br/vendas/2000006590932399/detalhe" TargetMode="External"/><Relationship Id="rId322" Type="http://schemas.openxmlformats.org/officeDocument/2006/relationships/hyperlink" Target="https://www.mercadolivre.com.br/vendas/2000009947961890/detalhe" TargetMode="External"/><Relationship Id="rId1397" Type="http://schemas.openxmlformats.org/officeDocument/2006/relationships/hyperlink" Target="https://www.mercadolivre.com.br/vendas/2000009771753450/detalhe" TargetMode="External"/><Relationship Id="rId321" Type="http://schemas.openxmlformats.org/officeDocument/2006/relationships/hyperlink" Target="https://www.mercadolivre.com.br/vendas/2000009948002408/detalhe" TargetMode="External"/><Relationship Id="rId1398" Type="http://schemas.openxmlformats.org/officeDocument/2006/relationships/hyperlink" Target="https://www.mercadolivre.com.br/vendas/2000006590847131/detalhe" TargetMode="External"/><Relationship Id="rId320" Type="http://schemas.openxmlformats.org/officeDocument/2006/relationships/hyperlink" Target="https://www.mercadolivre.com.br/vendas/2000009948011492/detalhe" TargetMode="External"/><Relationship Id="rId1399" Type="http://schemas.openxmlformats.org/officeDocument/2006/relationships/hyperlink" Target="https://www.mercadolivre.com.br/vendas/2000009771623806/detalhe" TargetMode="External"/><Relationship Id="rId1389" Type="http://schemas.openxmlformats.org/officeDocument/2006/relationships/hyperlink" Target="https://www.mercadolivre.com.br/vendas/2000009772642014/detalhe" TargetMode="External"/><Relationship Id="rId316" Type="http://schemas.openxmlformats.org/officeDocument/2006/relationships/hyperlink" Target="https://www.mercadolivre.com.br/vendas/2000009948622006/detalhe" TargetMode="External"/><Relationship Id="rId315" Type="http://schemas.openxmlformats.org/officeDocument/2006/relationships/hyperlink" Target="https://www.mercadolivre.com.br/vendas/2000009949335560/detalhe" TargetMode="External"/><Relationship Id="rId799" Type="http://schemas.openxmlformats.org/officeDocument/2006/relationships/hyperlink" Target="https://www.mercadolivre.com.br/vendas/2000009859928448/detalhe" TargetMode="External"/><Relationship Id="rId314" Type="http://schemas.openxmlformats.org/officeDocument/2006/relationships/hyperlink" Target="https://www.mercadolivre.com.br/vendas/2000006701432565/detalhe" TargetMode="External"/><Relationship Id="rId798" Type="http://schemas.openxmlformats.org/officeDocument/2006/relationships/hyperlink" Target="https://www.mercadolivre.com.br/vendas/2000009860194292/detalhe" TargetMode="External"/><Relationship Id="rId313" Type="http://schemas.openxmlformats.org/officeDocument/2006/relationships/hyperlink" Target="https://www.mercadolivre.com.br/vendas/2000009950151976/detalhe" TargetMode="External"/><Relationship Id="rId797" Type="http://schemas.openxmlformats.org/officeDocument/2006/relationships/hyperlink" Target="https://www.mercadolivre.com.br/vendas/2000009860225782/detalhe" TargetMode="External"/><Relationship Id="rId319" Type="http://schemas.openxmlformats.org/officeDocument/2006/relationships/hyperlink" Target="https://www.mercadolivre.com.br/vendas/2000009948029992/detalhe" TargetMode="External"/><Relationship Id="rId318" Type="http://schemas.openxmlformats.org/officeDocument/2006/relationships/hyperlink" Target="https://www.mercadolivre.com.br/vendas/2000009948202818/detalhe" TargetMode="External"/><Relationship Id="rId317" Type="http://schemas.openxmlformats.org/officeDocument/2006/relationships/hyperlink" Target="https://www.mercadolivre.com.br/vendas/2000009948631394/detalhe" TargetMode="External"/><Relationship Id="rId1380" Type="http://schemas.openxmlformats.org/officeDocument/2006/relationships/hyperlink" Target="https://www.mercadolivre.com.br/vendas/2000006591893237/detalhe" TargetMode="External"/><Relationship Id="rId792" Type="http://schemas.openxmlformats.org/officeDocument/2006/relationships/hyperlink" Target="https://www.mercadolivre.com.br/vendas/2000006646074529/detalhe" TargetMode="External"/><Relationship Id="rId1381" Type="http://schemas.openxmlformats.org/officeDocument/2006/relationships/hyperlink" Target="https://www.mercadolivre.com.br/vendas/2000006591893237/detalhe" TargetMode="External"/><Relationship Id="rId791" Type="http://schemas.openxmlformats.org/officeDocument/2006/relationships/hyperlink" Target="https://www.mercadolivre.com.br/vendas/2000009861919186/detalhe" TargetMode="External"/><Relationship Id="rId1382" Type="http://schemas.openxmlformats.org/officeDocument/2006/relationships/hyperlink" Target="https://www.mercadolivre.com.br/vendas/2000006591893237/detalhe" TargetMode="External"/><Relationship Id="rId790" Type="http://schemas.openxmlformats.org/officeDocument/2006/relationships/hyperlink" Target="https://www.mercadolivre.com.br/vendas/2000006646482247/detalhe" TargetMode="External"/><Relationship Id="rId1383" Type="http://schemas.openxmlformats.org/officeDocument/2006/relationships/hyperlink" Target="https://www.mercadolivre.com.br/vendas/2000009773300536/detalhe" TargetMode="External"/><Relationship Id="rId1384" Type="http://schemas.openxmlformats.org/officeDocument/2006/relationships/hyperlink" Target="https://www.mercadolivre.com.br/vendas/2000006591826753/detalhe" TargetMode="External"/><Relationship Id="rId312" Type="http://schemas.openxmlformats.org/officeDocument/2006/relationships/hyperlink" Target="https://www.mercadolivre.com.br/vendas/2000006702347221/detalhe" TargetMode="External"/><Relationship Id="rId796" Type="http://schemas.openxmlformats.org/officeDocument/2006/relationships/hyperlink" Target="https://www.mercadolivre.com.br/vendas/2000009860374008/detalhe" TargetMode="External"/><Relationship Id="rId1385" Type="http://schemas.openxmlformats.org/officeDocument/2006/relationships/hyperlink" Target="https://www.mercadolivre.com.br/vendas/2000009773229198/detalhe" TargetMode="External"/><Relationship Id="rId311" Type="http://schemas.openxmlformats.org/officeDocument/2006/relationships/hyperlink" Target="https://www.mercadolivre.com.br/vendas/2000006702347221/detalhe" TargetMode="External"/><Relationship Id="rId795" Type="http://schemas.openxmlformats.org/officeDocument/2006/relationships/hyperlink" Target="https://www.mercadolivre.com.br/vendas/2000009860632938/detalhe" TargetMode="External"/><Relationship Id="rId1386" Type="http://schemas.openxmlformats.org/officeDocument/2006/relationships/hyperlink" Target="https://www.mercadolivre.com.br/vendas/2000009773198464/detalhe" TargetMode="External"/><Relationship Id="rId310" Type="http://schemas.openxmlformats.org/officeDocument/2006/relationships/hyperlink" Target="https://www.mercadolivre.com.br/vendas/2000006702347221/detalhe" TargetMode="External"/><Relationship Id="rId794" Type="http://schemas.openxmlformats.org/officeDocument/2006/relationships/hyperlink" Target="https://www.mercadolivre.com.br/vendas/2000009861188146/detalhe" TargetMode="External"/><Relationship Id="rId1387" Type="http://schemas.openxmlformats.org/officeDocument/2006/relationships/hyperlink" Target="https://www.mercadolivre.com.br/vendas/2000009772702874/detalhe" TargetMode="External"/><Relationship Id="rId793" Type="http://schemas.openxmlformats.org/officeDocument/2006/relationships/hyperlink" Target="https://www.mercadolivre.com.br/vendas/2000009861302462/detalhe" TargetMode="External"/><Relationship Id="rId1388" Type="http://schemas.openxmlformats.org/officeDocument/2006/relationships/hyperlink" Target="https://www.mercadolivre.com.br/vendas/2000009772623976/detalhe" TargetMode="External"/><Relationship Id="rId297" Type="http://schemas.openxmlformats.org/officeDocument/2006/relationships/hyperlink" Target="https://www.mercadolivre.com.br/vendas/2000006703846563/detalhe" TargetMode="External"/><Relationship Id="rId296" Type="http://schemas.openxmlformats.org/officeDocument/2006/relationships/hyperlink" Target="https://www.mercadolivre.com.br/vendas/2000009953536968/detalhe" TargetMode="External"/><Relationship Id="rId295" Type="http://schemas.openxmlformats.org/officeDocument/2006/relationships/hyperlink" Target="https://www.mercadolivre.com.br/vendas/2000009953665742/detalhe" TargetMode="External"/><Relationship Id="rId294" Type="http://schemas.openxmlformats.org/officeDocument/2006/relationships/hyperlink" Target="https://www.mercadolivre.com.br/vendas/2000006704100087/detalhe" TargetMode="External"/><Relationship Id="rId299" Type="http://schemas.openxmlformats.org/officeDocument/2006/relationships/hyperlink" Target="https://www.mercadolivre.com.br/vendas/2000006703621073/detalhe" TargetMode="External"/><Relationship Id="rId298" Type="http://schemas.openxmlformats.org/officeDocument/2006/relationships/hyperlink" Target="https://www.mercadolivre.com.br/vendas/2000009953009596/detalhe" TargetMode="External"/><Relationship Id="rId271" Type="http://schemas.openxmlformats.org/officeDocument/2006/relationships/hyperlink" Target="https://www.mercadolivre.com.br/vendas/2000006707827377/detalhe" TargetMode="External"/><Relationship Id="rId270" Type="http://schemas.openxmlformats.org/officeDocument/2006/relationships/hyperlink" Target="https://www.mercadolivre.com.br/vendas/2000006707827377/detalhe" TargetMode="External"/><Relationship Id="rId269" Type="http://schemas.openxmlformats.org/officeDocument/2006/relationships/hyperlink" Target="https://www.mercadolivre.com.br/vendas/2000006707827377/detalhe" TargetMode="External"/><Relationship Id="rId264" Type="http://schemas.openxmlformats.org/officeDocument/2006/relationships/hyperlink" Target="https://www.mercadolivre.com.br/vendas/2000006708361547/detalhe" TargetMode="External"/><Relationship Id="rId263" Type="http://schemas.openxmlformats.org/officeDocument/2006/relationships/hyperlink" Target="https://www.mercadolivre.com.br/vendas/2000006708361547/detalhe" TargetMode="External"/><Relationship Id="rId262" Type="http://schemas.openxmlformats.org/officeDocument/2006/relationships/hyperlink" Target="https://www.mercadolivre.com.br/vendas/2000006708361547/detalhe" TargetMode="External"/><Relationship Id="rId261" Type="http://schemas.openxmlformats.org/officeDocument/2006/relationships/hyperlink" Target="https://www.mercadolivre.com.br/vendas/2000006708361547/detalhe" TargetMode="External"/><Relationship Id="rId268" Type="http://schemas.openxmlformats.org/officeDocument/2006/relationships/hyperlink" Target="https://www.mercadolivre.com.br/vendas/2000006707827377/detalhe" TargetMode="External"/><Relationship Id="rId267" Type="http://schemas.openxmlformats.org/officeDocument/2006/relationships/hyperlink" Target="https://www.mercadolivre.com.br/vendas/2000009959592010/detalhe" TargetMode="External"/><Relationship Id="rId266" Type="http://schemas.openxmlformats.org/officeDocument/2006/relationships/hyperlink" Target="https://www.mercadolivre.com.br/vendas/2000009959818354/detalhe" TargetMode="External"/><Relationship Id="rId265" Type="http://schemas.openxmlformats.org/officeDocument/2006/relationships/hyperlink" Target="https://www.mercadolivre.com.br/vendas/2000009959952426/detalhe" TargetMode="External"/><Relationship Id="rId260" Type="http://schemas.openxmlformats.org/officeDocument/2006/relationships/hyperlink" Target="https://www.mercadolivre.com.br/vendas/2000006708361547/detalhe" TargetMode="External"/><Relationship Id="rId259" Type="http://schemas.openxmlformats.org/officeDocument/2006/relationships/hyperlink" Target="https://www.mercadolivre.com.br/vendas/2000009960607236/detalhe" TargetMode="External"/><Relationship Id="rId258" Type="http://schemas.openxmlformats.org/officeDocument/2006/relationships/hyperlink" Target="https://www.mercadolivre.com.br/vendas/2000009960628400/detalhe" TargetMode="External"/><Relationship Id="rId253" Type="http://schemas.openxmlformats.org/officeDocument/2006/relationships/hyperlink" Target="https://www.mercadolivre.com.br/vendas/2000009961338054/detalhe" TargetMode="External"/><Relationship Id="rId252" Type="http://schemas.openxmlformats.org/officeDocument/2006/relationships/hyperlink" Target="https://www.mercadolivre.com.br/vendas/2000009961545226/detalhe" TargetMode="External"/><Relationship Id="rId251" Type="http://schemas.openxmlformats.org/officeDocument/2006/relationships/hyperlink" Target="https://www.mercadolivre.com.br/vendas/2000009961726198/detalhe" TargetMode="External"/><Relationship Id="rId250" Type="http://schemas.openxmlformats.org/officeDocument/2006/relationships/hyperlink" Target="https://www.mercadolivre.com.br/vendas/2000006709253319/detalhe" TargetMode="External"/><Relationship Id="rId257" Type="http://schemas.openxmlformats.org/officeDocument/2006/relationships/hyperlink" Target="https://www.mercadolivre.com.br/vendas/2000006708741533/detalhe" TargetMode="External"/><Relationship Id="rId256" Type="http://schemas.openxmlformats.org/officeDocument/2006/relationships/hyperlink" Target="https://www.mercadolivre.com.br/vendas/2000009961262770/detalhe" TargetMode="External"/><Relationship Id="rId255" Type="http://schemas.openxmlformats.org/officeDocument/2006/relationships/hyperlink" Target="https://www.mercadolivre.com.br/vendas/2000006708954063/detalhe" TargetMode="External"/><Relationship Id="rId254" Type="http://schemas.openxmlformats.org/officeDocument/2006/relationships/hyperlink" Target="https://www.mercadolivre.com.br/vendas/2000009961308344/detalhe" TargetMode="External"/><Relationship Id="rId293" Type="http://schemas.openxmlformats.org/officeDocument/2006/relationships/hyperlink" Target="https://www.mercadolivre.com.br/vendas/2000006704162459/detalhe" TargetMode="External"/><Relationship Id="rId292" Type="http://schemas.openxmlformats.org/officeDocument/2006/relationships/hyperlink" Target="https://www.mercadolivre.com.br/vendas/2000009950726196/detalhe" TargetMode="External"/><Relationship Id="rId291" Type="http://schemas.openxmlformats.org/officeDocument/2006/relationships/hyperlink" Target="https://www.mercadolivre.com.br/vendas/2000009924476676/detalhe" TargetMode="External"/><Relationship Id="rId290" Type="http://schemas.openxmlformats.org/officeDocument/2006/relationships/hyperlink" Target="https://www.mercadolivre.com.br/vendas/2000009955456070/detalhe" TargetMode="External"/><Relationship Id="rId286" Type="http://schemas.openxmlformats.org/officeDocument/2006/relationships/hyperlink" Target="https://www.mercadolivre.com.br/vendas/2000006705630441/detalhe" TargetMode="External"/><Relationship Id="rId285" Type="http://schemas.openxmlformats.org/officeDocument/2006/relationships/hyperlink" Target="https://www.mercadolivre.com.br/vendas/2000006705770155/detalhe" TargetMode="External"/><Relationship Id="rId284" Type="http://schemas.openxmlformats.org/officeDocument/2006/relationships/hyperlink" Target="https://www.mercadolivre.com.br/vendas/2000009957144638/detalhe" TargetMode="External"/><Relationship Id="rId283" Type="http://schemas.openxmlformats.org/officeDocument/2006/relationships/hyperlink" Target="https://www.mercadolivre.com.br/vendas/2000009953861240/detalhe" TargetMode="External"/><Relationship Id="rId289" Type="http://schemas.openxmlformats.org/officeDocument/2006/relationships/hyperlink" Target="https://www.mercadolivre.com.br/vendas/2000009955531966/detalhe" TargetMode="External"/><Relationship Id="rId288" Type="http://schemas.openxmlformats.org/officeDocument/2006/relationships/hyperlink" Target="https://www.mercadolivre.com.br/vendas/2000009955763004/detalhe" TargetMode="External"/><Relationship Id="rId287" Type="http://schemas.openxmlformats.org/officeDocument/2006/relationships/hyperlink" Target="https://www.mercadolivre.com.br/vendas/2000009955806704/detalhe" TargetMode="External"/><Relationship Id="rId282" Type="http://schemas.openxmlformats.org/officeDocument/2006/relationships/hyperlink" Target="https://www.mercadolivre.com.br/vendas/2000009957469046/detalhe" TargetMode="External"/><Relationship Id="rId281" Type="http://schemas.openxmlformats.org/officeDocument/2006/relationships/hyperlink" Target="https://www.mercadolivre.com.br/vendas/2000009957492636/detalhe" TargetMode="External"/><Relationship Id="rId280" Type="http://schemas.openxmlformats.org/officeDocument/2006/relationships/hyperlink" Target="https://www.mercadolivre.com.br/vendas/2000009957518018/detalhe" TargetMode="External"/><Relationship Id="rId275" Type="http://schemas.openxmlformats.org/officeDocument/2006/relationships/hyperlink" Target="https://www.mercadolivre.com.br/vendas/2000009958714128/detalhe" TargetMode="External"/><Relationship Id="rId274" Type="http://schemas.openxmlformats.org/officeDocument/2006/relationships/hyperlink" Target="https://www.mercadolivre.com.br/vendas/2000009958930492/detalhe" TargetMode="External"/><Relationship Id="rId273" Type="http://schemas.openxmlformats.org/officeDocument/2006/relationships/hyperlink" Target="https://www.mercadolivre.com.br/vendas/2000006707511829/detalhe" TargetMode="External"/><Relationship Id="rId272" Type="http://schemas.openxmlformats.org/officeDocument/2006/relationships/hyperlink" Target="https://www.mercadolivre.com.br/vendas/2000006707827377/detalhe" TargetMode="External"/><Relationship Id="rId279" Type="http://schemas.openxmlformats.org/officeDocument/2006/relationships/hyperlink" Target="https://www.mercadolivre.com.br/vendas/2000006706561989/detalhe" TargetMode="External"/><Relationship Id="rId278" Type="http://schemas.openxmlformats.org/officeDocument/2006/relationships/hyperlink" Target="https://www.mercadolivre.com.br/vendas/2000009957954488/detalhe" TargetMode="External"/><Relationship Id="rId277" Type="http://schemas.openxmlformats.org/officeDocument/2006/relationships/hyperlink" Target="https://www.mercadolivre.com.br/vendas/2000006707061575/detalhe" TargetMode="External"/><Relationship Id="rId276" Type="http://schemas.openxmlformats.org/officeDocument/2006/relationships/hyperlink" Target="https://www.mercadolivre.com.br/vendas/2000009958675636/detalhe" TargetMode="External"/><Relationship Id="rId1455" Type="http://schemas.openxmlformats.org/officeDocument/2006/relationships/hyperlink" Target="https://www.mercadolivre.com.br/vendas/2000006586254231/detalhe" TargetMode="External"/><Relationship Id="rId1456" Type="http://schemas.openxmlformats.org/officeDocument/2006/relationships/hyperlink" Target="https://www.mercadolivre.com.br/vendas/2000006586035419/detalhe" TargetMode="External"/><Relationship Id="rId1457" Type="http://schemas.openxmlformats.org/officeDocument/2006/relationships/hyperlink" Target="https://www.mercadolivre.com.br/vendas/2000009763522856/detalhe" TargetMode="External"/><Relationship Id="rId1458" Type="http://schemas.openxmlformats.org/officeDocument/2006/relationships/hyperlink" Target="https://www.mercadolivre.com.br/vendas/2000006585991773/detalhe" TargetMode="External"/><Relationship Id="rId1459" Type="http://schemas.openxmlformats.org/officeDocument/2006/relationships/hyperlink" Target="https://www.mercadolivre.com.br/vendas/2000006585886287/detalhe" TargetMode="External"/><Relationship Id="rId629" Type="http://schemas.openxmlformats.org/officeDocument/2006/relationships/hyperlink" Target="https://www.mercadolivre.com.br/vendas/2000009899022378/detalhe" TargetMode="External"/><Relationship Id="rId624" Type="http://schemas.openxmlformats.org/officeDocument/2006/relationships/hyperlink" Target="https://www.mercadolivre.com.br/vendas/2000009899972868/detalhe" TargetMode="External"/><Relationship Id="rId623" Type="http://schemas.openxmlformats.org/officeDocument/2006/relationships/hyperlink" Target="https://www.mercadolivre.com.br/vendas/2000009900052744/detalhe" TargetMode="External"/><Relationship Id="rId622" Type="http://schemas.openxmlformats.org/officeDocument/2006/relationships/hyperlink" Target="https://www.mercadolivre.com.br/vendas/2000006671015835/detalhe" TargetMode="External"/><Relationship Id="rId621" Type="http://schemas.openxmlformats.org/officeDocument/2006/relationships/hyperlink" Target="https://www.mercadolivre.com.br/vendas/2000006671015835/detalhe" TargetMode="External"/><Relationship Id="rId628" Type="http://schemas.openxmlformats.org/officeDocument/2006/relationships/hyperlink" Target="https://www.mercadolivre.com.br/vendas/2000006670475413/detalhe" TargetMode="External"/><Relationship Id="rId627" Type="http://schemas.openxmlformats.org/officeDocument/2006/relationships/hyperlink" Target="https://www.mercadolivre.com.br/vendas/2000006670475413/detalhe" TargetMode="External"/><Relationship Id="rId626" Type="http://schemas.openxmlformats.org/officeDocument/2006/relationships/hyperlink" Target="https://www.mercadolivre.com.br/vendas/2000006670475413/detalhe" TargetMode="External"/><Relationship Id="rId625" Type="http://schemas.openxmlformats.org/officeDocument/2006/relationships/hyperlink" Target="https://www.mercadolivre.com.br/vendas/2000009899947194/detalhe" TargetMode="External"/><Relationship Id="rId1450" Type="http://schemas.openxmlformats.org/officeDocument/2006/relationships/hyperlink" Target="https://www.mercadolivre.com.br/vendas/2000006586846825/detalhe" TargetMode="External"/><Relationship Id="rId620" Type="http://schemas.openxmlformats.org/officeDocument/2006/relationships/hyperlink" Target="https://www.mercadolivre.com.br/vendas/2000006671015835/detalhe" TargetMode="External"/><Relationship Id="rId1451" Type="http://schemas.openxmlformats.org/officeDocument/2006/relationships/hyperlink" Target="https://www.mercadolivre.com.br/vendas/2000009764355780/detalhe" TargetMode="External"/><Relationship Id="rId1452" Type="http://schemas.openxmlformats.org/officeDocument/2006/relationships/hyperlink" Target="https://www.mercadolivre.com.br/vendas/2000009764042164/detalhe" TargetMode="External"/><Relationship Id="rId1453" Type="http://schemas.openxmlformats.org/officeDocument/2006/relationships/hyperlink" Target="https://www.mercadolivre.com.br/vendas/2000006586254231/detalhe" TargetMode="External"/><Relationship Id="rId1454" Type="http://schemas.openxmlformats.org/officeDocument/2006/relationships/hyperlink" Target="https://www.mercadolivre.com.br/vendas/2000006586254231/detalhe" TargetMode="External"/><Relationship Id="rId1444" Type="http://schemas.openxmlformats.org/officeDocument/2006/relationships/hyperlink" Target="https://www.mercadolivre.com.br/vendas/2000009765260284/detalhe" TargetMode="External"/><Relationship Id="rId1445" Type="http://schemas.openxmlformats.org/officeDocument/2006/relationships/hyperlink" Target="https://www.mercadolivre.com.br/vendas/2000009765053748/detalhe" TargetMode="External"/><Relationship Id="rId1446" Type="http://schemas.openxmlformats.org/officeDocument/2006/relationships/hyperlink" Target="https://www.mercadolivre.com.br/vendas/2000009765026018/detalhe" TargetMode="External"/><Relationship Id="rId1447" Type="http://schemas.openxmlformats.org/officeDocument/2006/relationships/hyperlink" Target="https://www.mercadolivre.com.br/vendas/2000009764908776/detalhe" TargetMode="External"/><Relationship Id="rId1448" Type="http://schemas.openxmlformats.org/officeDocument/2006/relationships/hyperlink" Target="https://www.mercadolivre.com.br/vendas/2000006586846825/detalhe" TargetMode="External"/><Relationship Id="rId1449" Type="http://schemas.openxmlformats.org/officeDocument/2006/relationships/hyperlink" Target="https://www.mercadolivre.com.br/vendas/2000006586846825/detalhe" TargetMode="External"/><Relationship Id="rId619" Type="http://schemas.openxmlformats.org/officeDocument/2006/relationships/hyperlink" Target="https://www.mercadolivre.com.br/vendas/2000006671027329/detalhe" TargetMode="External"/><Relationship Id="rId618" Type="http://schemas.openxmlformats.org/officeDocument/2006/relationships/hyperlink" Target="https://www.mercadolivre.com.br/vendas/2000009900514634/detalhe" TargetMode="External"/><Relationship Id="rId613" Type="http://schemas.openxmlformats.org/officeDocument/2006/relationships/hyperlink" Target="https://www.mercadolivre.com.br/vendas/2000009901299392/detalhe" TargetMode="External"/><Relationship Id="rId612" Type="http://schemas.openxmlformats.org/officeDocument/2006/relationships/hyperlink" Target="https://www.mercadolivre.com.br/vendas/2000009901544696/detalhe" TargetMode="External"/><Relationship Id="rId611" Type="http://schemas.openxmlformats.org/officeDocument/2006/relationships/hyperlink" Target="https://www.mercadolivre.com.br/vendas/2000006671738701/detalhe" TargetMode="External"/><Relationship Id="rId610" Type="http://schemas.openxmlformats.org/officeDocument/2006/relationships/hyperlink" Target="https://www.mercadolivre.com.br/vendas/2000009901639070/detalhe" TargetMode="External"/><Relationship Id="rId617" Type="http://schemas.openxmlformats.org/officeDocument/2006/relationships/hyperlink" Target="https://www.mercadolivre.com.br/vendas/2000009900503236/detalhe" TargetMode="External"/><Relationship Id="rId616" Type="http://schemas.openxmlformats.org/officeDocument/2006/relationships/hyperlink" Target="https://www.mercadolivre.com.br/vendas/2000006671107885/detalhe" TargetMode="External"/><Relationship Id="rId615" Type="http://schemas.openxmlformats.org/officeDocument/2006/relationships/hyperlink" Target="https://www.mercadolivre.com.br/vendas/2000006671202375/detalhe" TargetMode="External"/><Relationship Id="rId614" Type="http://schemas.openxmlformats.org/officeDocument/2006/relationships/hyperlink" Target="https://www.mercadolivre.com.br/vendas/2000009901222182/detalhe" TargetMode="External"/><Relationship Id="rId1440" Type="http://schemas.openxmlformats.org/officeDocument/2006/relationships/hyperlink" Target="https://www.mercadolivre.com.br/vendas/2000009765952148/detalhe" TargetMode="External"/><Relationship Id="rId1441" Type="http://schemas.openxmlformats.org/officeDocument/2006/relationships/hyperlink" Target="https://www.mercadolivre.com.br/vendas/2000009765622620/detalhe" TargetMode="External"/><Relationship Id="rId1442" Type="http://schemas.openxmlformats.org/officeDocument/2006/relationships/hyperlink" Target="https://www.mercadolivre.com.br/vendas/2000009765510096/detalhe" TargetMode="External"/><Relationship Id="rId1443" Type="http://schemas.openxmlformats.org/officeDocument/2006/relationships/hyperlink" Target="https://www.mercadolivre.com.br/vendas/2000009765466756/detalhe" TargetMode="External"/><Relationship Id="rId1477" Type="http://schemas.openxmlformats.org/officeDocument/2006/relationships/hyperlink" Target="https://www.mercadolivre.com.br/vendas/2000009761863254/detalhe" TargetMode="External"/><Relationship Id="rId1478" Type="http://schemas.openxmlformats.org/officeDocument/2006/relationships/hyperlink" Target="https://www.mercadolivre.com.br/vendas/2000009761546594/detalhe" TargetMode="External"/><Relationship Id="rId1479" Type="http://schemas.openxmlformats.org/officeDocument/2006/relationships/hyperlink" Target="https://www.mercadolivre.com.br/vendas/2000006584749831/detalhe" TargetMode="External"/><Relationship Id="rId646" Type="http://schemas.openxmlformats.org/officeDocument/2006/relationships/hyperlink" Target="https://www.mercadolivre.com.br/vendas/2000009896360472/detalhe" TargetMode="External"/><Relationship Id="rId645" Type="http://schemas.openxmlformats.org/officeDocument/2006/relationships/hyperlink" Target="https://www.mercadolivre.com.br/vendas/2000009896405136/detalhe" TargetMode="External"/><Relationship Id="rId644" Type="http://schemas.openxmlformats.org/officeDocument/2006/relationships/hyperlink" Target="https://www.mercadolivre.com.br/vendas/2000009896579098/detalhe" TargetMode="External"/><Relationship Id="rId643" Type="http://schemas.openxmlformats.org/officeDocument/2006/relationships/hyperlink" Target="https://www.mercadolivre.com.br/vendas/2000009896621332/detalhe" TargetMode="External"/><Relationship Id="rId649" Type="http://schemas.openxmlformats.org/officeDocument/2006/relationships/hyperlink" Target="https://www.mercadolivre.com.br/vendas/2000006667938259/detalhe" TargetMode="External"/><Relationship Id="rId648" Type="http://schemas.openxmlformats.org/officeDocument/2006/relationships/hyperlink" Target="https://www.mercadolivre.com.br/vendas/2000009895309106/detalhe" TargetMode="External"/><Relationship Id="rId647" Type="http://schemas.openxmlformats.org/officeDocument/2006/relationships/hyperlink" Target="https://www.mercadolivre.com.br/vendas/2000009896342584/detalhe" TargetMode="External"/><Relationship Id="rId1470" Type="http://schemas.openxmlformats.org/officeDocument/2006/relationships/hyperlink" Target="https://www.mercadolivre.com.br/vendas/2000009762235846/detalhe" TargetMode="External"/><Relationship Id="rId1471" Type="http://schemas.openxmlformats.org/officeDocument/2006/relationships/hyperlink" Target="https://www.mercadolivre.com.br/vendas/2000006585220143/detalhe" TargetMode="External"/><Relationship Id="rId1472" Type="http://schemas.openxmlformats.org/officeDocument/2006/relationships/hyperlink" Target="https://www.mercadolivre.com.br/vendas/2000009762150950/detalhe" TargetMode="External"/><Relationship Id="rId642" Type="http://schemas.openxmlformats.org/officeDocument/2006/relationships/hyperlink" Target="https://www.mercadolivre.com.br/vendas/2000009897319698/detalhe" TargetMode="External"/><Relationship Id="rId1473" Type="http://schemas.openxmlformats.org/officeDocument/2006/relationships/hyperlink" Target="https://www.mercadolivre.com.br/vendas/2000006585131931/detalhe" TargetMode="External"/><Relationship Id="rId641" Type="http://schemas.openxmlformats.org/officeDocument/2006/relationships/hyperlink" Target="https://www.mercadolivre.com.br/vendas/2000006669214043/detalhe" TargetMode="External"/><Relationship Id="rId1474" Type="http://schemas.openxmlformats.org/officeDocument/2006/relationships/hyperlink" Target="https://www.mercadolivre.com.br/vendas/2000006585122737/detalhe" TargetMode="External"/><Relationship Id="rId640" Type="http://schemas.openxmlformats.org/officeDocument/2006/relationships/hyperlink" Target="https://www.mercadolivre.com.br/vendas/2000009897480588/detalhe" TargetMode="External"/><Relationship Id="rId1475" Type="http://schemas.openxmlformats.org/officeDocument/2006/relationships/hyperlink" Target="https://www.mercadolivre.com.br/vendas/2000006585083833/detalhe" TargetMode="External"/><Relationship Id="rId1476" Type="http://schemas.openxmlformats.org/officeDocument/2006/relationships/hyperlink" Target="https://www.mercadolivre.com.br/vendas/2000009761945214/detalhe" TargetMode="External"/><Relationship Id="rId1466" Type="http://schemas.openxmlformats.org/officeDocument/2006/relationships/hyperlink" Target="https://www.mercadolivre.com.br/vendas/2000009762561704/detalhe" TargetMode="External"/><Relationship Id="rId1467" Type="http://schemas.openxmlformats.org/officeDocument/2006/relationships/hyperlink" Target="https://www.mercadolivre.com.br/vendas/2000009762497742/detalhe" TargetMode="External"/><Relationship Id="rId1468" Type="http://schemas.openxmlformats.org/officeDocument/2006/relationships/hyperlink" Target="https://www.mercadolivre.com.br/vendas/2000006585381113/detalhe" TargetMode="External"/><Relationship Id="rId1469" Type="http://schemas.openxmlformats.org/officeDocument/2006/relationships/hyperlink" Target="https://www.mercadolivre.com.br/vendas/2000009762394942/detalhe" TargetMode="External"/><Relationship Id="rId635" Type="http://schemas.openxmlformats.org/officeDocument/2006/relationships/hyperlink" Target="https://www.mercadolivre.com.br/vendas/2000009897937258/detalhe" TargetMode="External"/><Relationship Id="rId634" Type="http://schemas.openxmlformats.org/officeDocument/2006/relationships/hyperlink" Target="https://www.mercadolivre.com.br/vendas/novo/mensagens/2000009898121174/mediacao/5320950635" TargetMode="External"/><Relationship Id="rId633" Type="http://schemas.openxmlformats.org/officeDocument/2006/relationships/hyperlink" Target="https://www.mercadolivre.com.br/vendas/2000009898121174/detalhe" TargetMode="External"/><Relationship Id="rId632" Type="http://schemas.openxmlformats.org/officeDocument/2006/relationships/hyperlink" Target="https://www.mercadolivre.com.br/vendas/novo/mensagens/2000006669661637/mediacao/5323904194" TargetMode="External"/><Relationship Id="rId639" Type="http://schemas.openxmlformats.org/officeDocument/2006/relationships/hyperlink" Target="https://www.mercadolivre.com.br/vendas/2000006669294547/detalhe" TargetMode="External"/><Relationship Id="rId638" Type="http://schemas.openxmlformats.org/officeDocument/2006/relationships/hyperlink" Target="https://www.mercadolivre.com.br/vendas/2000006669301419/detalhe" TargetMode="External"/><Relationship Id="rId637" Type="http://schemas.openxmlformats.org/officeDocument/2006/relationships/hyperlink" Target="https://www.mercadolivre.com.br/vendas/2000006669331411/detalhe" TargetMode="External"/><Relationship Id="rId636" Type="http://schemas.openxmlformats.org/officeDocument/2006/relationships/hyperlink" Target="https://www.mercadolivre.com.br/vendas/2000006669445141/detalhe" TargetMode="External"/><Relationship Id="rId1460" Type="http://schemas.openxmlformats.org/officeDocument/2006/relationships/hyperlink" Target="https://www.mercadolivre.com.br/vendas/2000006585817947/detalhe" TargetMode="External"/><Relationship Id="rId1461" Type="http://schemas.openxmlformats.org/officeDocument/2006/relationships/hyperlink" Target="https://www.mercadolivre.com.br/vendas/2000006585817947/detalhe" TargetMode="External"/><Relationship Id="rId631" Type="http://schemas.openxmlformats.org/officeDocument/2006/relationships/hyperlink" Target="https://www.mercadolivre.com.br/vendas/2000006669661637/detalhe" TargetMode="External"/><Relationship Id="rId1462" Type="http://schemas.openxmlformats.org/officeDocument/2006/relationships/hyperlink" Target="https://www.mercadolivre.com.br/vendas/2000006585817947/detalhe" TargetMode="External"/><Relationship Id="rId630" Type="http://schemas.openxmlformats.org/officeDocument/2006/relationships/hyperlink" Target="https://www.mercadolivre.com.br/vendas/2000006670160837/detalhe" TargetMode="External"/><Relationship Id="rId1463" Type="http://schemas.openxmlformats.org/officeDocument/2006/relationships/hyperlink" Target="https://www.mercadolivre.com.br/vendas/2000009763055894/detalhe" TargetMode="External"/><Relationship Id="rId1464" Type="http://schemas.openxmlformats.org/officeDocument/2006/relationships/hyperlink" Target="https://www.mercadolivre.com.br/vendas/2000006585686371/detalhe" TargetMode="External"/><Relationship Id="rId1465" Type="http://schemas.openxmlformats.org/officeDocument/2006/relationships/hyperlink" Target="https://www.mercadolivre.com.br/vendas/2000009762825776/detalhe" TargetMode="External"/><Relationship Id="rId1411" Type="http://schemas.openxmlformats.org/officeDocument/2006/relationships/hyperlink" Target="https://www.mercadolivre.com.br/vendas/2000006590025947/detalhe" TargetMode="External"/><Relationship Id="rId1412" Type="http://schemas.openxmlformats.org/officeDocument/2006/relationships/hyperlink" Target="https://www.mercadolivre.com.br/vendas/2000006571681369/detalhe" TargetMode="External"/><Relationship Id="rId1413" Type="http://schemas.openxmlformats.org/officeDocument/2006/relationships/hyperlink" Target="https://www.mercadolivre.com.br/vendas/2000006571681369/detalhe" TargetMode="External"/><Relationship Id="rId1414" Type="http://schemas.openxmlformats.org/officeDocument/2006/relationships/hyperlink" Target="https://www.mercadolivre.com.br/vendas/2000006571681369/detalhe" TargetMode="External"/><Relationship Id="rId1415" Type="http://schemas.openxmlformats.org/officeDocument/2006/relationships/hyperlink" Target="https://www.mercadolivre.com.br/vendas/2000009770016012/detalhe" TargetMode="External"/><Relationship Id="rId1416" Type="http://schemas.openxmlformats.org/officeDocument/2006/relationships/hyperlink" Target="https://www.mercadolivre.com.br/vendas/2000009769989838/detalhe" TargetMode="External"/><Relationship Id="rId1417" Type="http://schemas.openxmlformats.org/officeDocument/2006/relationships/hyperlink" Target="https://www.mercadolivre.com.br/vendas/2000006589870379/detalhe" TargetMode="External"/><Relationship Id="rId1418" Type="http://schemas.openxmlformats.org/officeDocument/2006/relationships/hyperlink" Target="https://www.mercadolivre.com.br/vendas/2000009769990040/detalhe" TargetMode="External"/><Relationship Id="rId1419" Type="http://schemas.openxmlformats.org/officeDocument/2006/relationships/hyperlink" Target="https://www.mercadolivre.com.br/vendas/2000009769738446/detalhe" TargetMode="External"/><Relationship Id="rId1410" Type="http://schemas.openxmlformats.org/officeDocument/2006/relationships/hyperlink" Target="https://www.mercadolivre.com.br/vendas/2000006590040493/detalhe" TargetMode="External"/><Relationship Id="rId1400" Type="http://schemas.openxmlformats.org/officeDocument/2006/relationships/hyperlink" Target="https://www.mercadolivre.com.br/vendas/2000009710449372/detalhe" TargetMode="External"/><Relationship Id="rId1401" Type="http://schemas.openxmlformats.org/officeDocument/2006/relationships/hyperlink" Target="https://www.mercadolivre.com.br/vendas/2000009771442514/detalhe" TargetMode="External"/><Relationship Id="rId1402" Type="http://schemas.openxmlformats.org/officeDocument/2006/relationships/hyperlink" Target="https://www.mercadolivre.com.br/vendas/2000006590651641/detalhe" TargetMode="External"/><Relationship Id="rId1403" Type="http://schemas.openxmlformats.org/officeDocument/2006/relationships/hyperlink" Target="https://www.mercadolivre.com.br/vendas/2000009770984036/detalhe" TargetMode="External"/><Relationship Id="rId1404" Type="http://schemas.openxmlformats.org/officeDocument/2006/relationships/hyperlink" Target="https://www.mercadolivre.com.br/vendas/2000009770851042/detalhe" TargetMode="External"/><Relationship Id="rId1405" Type="http://schemas.openxmlformats.org/officeDocument/2006/relationships/hyperlink" Target="https://www.mercadolivre.com.br/vendas/2000009770811488/detalhe" TargetMode="External"/><Relationship Id="rId1406" Type="http://schemas.openxmlformats.org/officeDocument/2006/relationships/hyperlink" Target="https://www.mercadolivre.com.br/vendas/2000009770761236/detalhe" TargetMode="External"/><Relationship Id="rId1407" Type="http://schemas.openxmlformats.org/officeDocument/2006/relationships/hyperlink" Target="https://www.mercadolivre.com.br/vendas/2000006590235757/detalhe" TargetMode="External"/><Relationship Id="rId1408" Type="http://schemas.openxmlformats.org/officeDocument/2006/relationships/hyperlink" Target="https://www.mercadolivre.com.br/vendas/2000009770610396/detalhe" TargetMode="External"/><Relationship Id="rId1409" Type="http://schemas.openxmlformats.org/officeDocument/2006/relationships/hyperlink" Target="https://www.mercadolivre.com.br/vendas/2000009770417124/detalhe" TargetMode="External"/><Relationship Id="rId1433" Type="http://schemas.openxmlformats.org/officeDocument/2006/relationships/hyperlink" Target="https://www.mercadolivre.com.br/vendas/2000006587924245/detalhe" TargetMode="External"/><Relationship Id="rId1434" Type="http://schemas.openxmlformats.org/officeDocument/2006/relationships/hyperlink" Target="https://www.mercadolivre.com.br/vendas/2000006587924245/detalhe" TargetMode="External"/><Relationship Id="rId1435" Type="http://schemas.openxmlformats.org/officeDocument/2006/relationships/hyperlink" Target="https://www.mercadolivre.com.br/vendas/2000006587838129/detalhe" TargetMode="External"/><Relationship Id="rId1436" Type="http://schemas.openxmlformats.org/officeDocument/2006/relationships/hyperlink" Target="https://www.mercadolivre.com.br/vendas/2000006587823983/detalhe" TargetMode="External"/><Relationship Id="rId1437" Type="http://schemas.openxmlformats.org/officeDocument/2006/relationships/hyperlink" Target="https://www.mercadolivre.com.br/vendas/2000009766409010/detalhe" TargetMode="External"/><Relationship Id="rId1438" Type="http://schemas.openxmlformats.org/officeDocument/2006/relationships/hyperlink" Target="https://www.mercadolivre.com.br/vendas/2000006587607209/detalhe" TargetMode="External"/><Relationship Id="rId1439" Type="http://schemas.openxmlformats.org/officeDocument/2006/relationships/hyperlink" Target="https://www.mercadolivre.com.br/vendas/2000009766040878/detalhe" TargetMode="External"/><Relationship Id="rId609" Type="http://schemas.openxmlformats.org/officeDocument/2006/relationships/hyperlink" Target="https://www.mercadolivre.com.br/vendas/2000006671988783/detalhe" TargetMode="External"/><Relationship Id="rId608" Type="http://schemas.openxmlformats.org/officeDocument/2006/relationships/hyperlink" Target="https://www.mercadolivre.com.br/vendas/2000009897975944/detalhe" TargetMode="External"/><Relationship Id="rId607" Type="http://schemas.openxmlformats.org/officeDocument/2006/relationships/hyperlink" Target="https://www.mercadolivre.com.br/vendas/2000006672225001/detalhe" TargetMode="External"/><Relationship Id="rId602" Type="http://schemas.openxmlformats.org/officeDocument/2006/relationships/hyperlink" Target="https://www.mercadolivre.com.br/vendas/2000009902553748/detalhe" TargetMode="External"/><Relationship Id="rId601" Type="http://schemas.openxmlformats.org/officeDocument/2006/relationships/hyperlink" Target="https://www.mercadolivre.com.br/vendas/2000006672330609/detalhe" TargetMode="External"/><Relationship Id="rId600" Type="http://schemas.openxmlformats.org/officeDocument/2006/relationships/hyperlink" Target="https://www.mercadolivre.com.br/vendas/2000006672336149/detalhe" TargetMode="External"/><Relationship Id="rId606" Type="http://schemas.openxmlformats.org/officeDocument/2006/relationships/hyperlink" Target="https://www.mercadolivre.com.br/vendas/2000009902489834/detalhe" TargetMode="External"/><Relationship Id="rId605" Type="http://schemas.openxmlformats.org/officeDocument/2006/relationships/hyperlink" Target="https://www.mercadolivre.com.br/vendas/2000006672321165/detalhe" TargetMode="External"/><Relationship Id="rId604" Type="http://schemas.openxmlformats.org/officeDocument/2006/relationships/hyperlink" Target="https://www.mercadolivre.com.br/vendas/2000006672321165/detalhe" TargetMode="External"/><Relationship Id="rId603" Type="http://schemas.openxmlformats.org/officeDocument/2006/relationships/hyperlink" Target="https://www.mercadolivre.com.br/vendas/2000006672321165/detalhe" TargetMode="External"/><Relationship Id="rId1430" Type="http://schemas.openxmlformats.org/officeDocument/2006/relationships/hyperlink" Target="https://www.mercadolivre.com.br/vendas/2000009766959244/detalhe" TargetMode="External"/><Relationship Id="rId1431" Type="http://schemas.openxmlformats.org/officeDocument/2006/relationships/hyperlink" Target="https://www.mercadolivre.com.br/vendas/2000009766836234/detalhe" TargetMode="External"/><Relationship Id="rId1432" Type="http://schemas.openxmlformats.org/officeDocument/2006/relationships/hyperlink" Target="https://www.mercadolivre.com.br/vendas/2000006587924245/detalhe" TargetMode="External"/><Relationship Id="rId1422" Type="http://schemas.openxmlformats.org/officeDocument/2006/relationships/hyperlink" Target="https://www.mercadolivre.com.br/vendas/2000009768738506/detalhe" TargetMode="External"/><Relationship Id="rId1423" Type="http://schemas.openxmlformats.org/officeDocument/2006/relationships/hyperlink" Target="https://www.mercadolivre.com.br/vendas/2000009768691796/detalhe" TargetMode="External"/><Relationship Id="rId1424" Type="http://schemas.openxmlformats.org/officeDocument/2006/relationships/hyperlink" Target="https://www.mercadolivre.com.br/vendas/2000006589016575/detalhe" TargetMode="External"/><Relationship Id="rId1425" Type="http://schemas.openxmlformats.org/officeDocument/2006/relationships/hyperlink" Target="https://www.mercadolivre.com.br/vendas/2000009768003828/detalhe" TargetMode="External"/><Relationship Id="rId1426" Type="http://schemas.openxmlformats.org/officeDocument/2006/relationships/hyperlink" Target="https://www.mercadolivre.com.br/vendas/2000009767921996/detalhe" TargetMode="External"/><Relationship Id="rId1427" Type="http://schemas.openxmlformats.org/officeDocument/2006/relationships/hyperlink" Target="https://www.mercadolivre.com.br/vendas/2000009767676112/detalhe" TargetMode="External"/><Relationship Id="rId1428" Type="http://schemas.openxmlformats.org/officeDocument/2006/relationships/hyperlink" Target="https://www.mercadolivre.com.br/vendas/2000009767689058/detalhe" TargetMode="External"/><Relationship Id="rId1429" Type="http://schemas.openxmlformats.org/officeDocument/2006/relationships/hyperlink" Target="https://www.mercadolivre.com.br/vendas/2000006588284259/detalhe" TargetMode="External"/><Relationship Id="rId1420" Type="http://schemas.openxmlformats.org/officeDocument/2006/relationships/hyperlink" Target="https://www.mercadolivre.com.br/vendas/2000006589665311/detalhe" TargetMode="External"/><Relationship Id="rId1421" Type="http://schemas.openxmlformats.org/officeDocument/2006/relationships/hyperlink" Target="https://www.mercadolivre.com.br/vendas/2000009769198608/detalhe" TargetMode="External"/><Relationship Id="rId1059" Type="http://schemas.openxmlformats.org/officeDocument/2006/relationships/hyperlink" Target="https://www.mercadolivre.com.br/vendas/2000009817897498/detalhe" TargetMode="External"/><Relationship Id="rId228" Type="http://schemas.openxmlformats.org/officeDocument/2006/relationships/hyperlink" Target="https://www.mercadolivre.com.br/vendas/2000009966364522/detalhe" TargetMode="External"/><Relationship Id="rId227" Type="http://schemas.openxmlformats.org/officeDocument/2006/relationships/hyperlink" Target="https://www.mercadolivre.com.br/vendas/2000006712191619/detalhe" TargetMode="External"/><Relationship Id="rId226" Type="http://schemas.openxmlformats.org/officeDocument/2006/relationships/hyperlink" Target="https://www.mercadolivre.com.br/vendas/2000009966556750/detalhe" TargetMode="External"/><Relationship Id="rId225" Type="http://schemas.openxmlformats.org/officeDocument/2006/relationships/hyperlink" Target="https://www.mercadolivre.com.br/vendas/2000009966551618/detalhe" TargetMode="External"/><Relationship Id="rId229" Type="http://schemas.openxmlformats.org/officeDocument/2006/relationships/hyperlink" Target="https://www.mercadolivre.com.br/vendas/2000006712108557/detalhe" TargetMode="External"/><Relationship Id="rId1050" Type="http://schemas.openxmlformats.org/officeDocument/2006/relationships/hyperlink" Target="https://www.mercadolivre.com.br/vendas/2000009819317184/detalhe" TargetMode="External"/><Relationship Id="rId220" Type="http://schemas.openxmlformats.org/officeDocument/2006/relationships/hyperlink" Target="https://www.mercadolivre.com.br/vendas/2000009966867822/detalhe" TargetMode="External"/><Relationship Id="rId1051" Type="http://schemas.openxmlformats.org/officeDocument/2006/relationships/hyperlink" Target="https://www.mercadolivre.com.br/vendas/2000009819227622/detalhe" TargetMode="External"/><Relationship Id="rId1052" Type="http://schemas.openxmlformats.org/officeDocument/2006/relationships/hyperlink" Target="https://www.mercadolivre.com.br/vendas/2000006619552021/detalhe" TargetMode="External"/><Relationship Id="rId1053" Type="http://schemas.openxmlformats.org/officeDocument/2006/relationships/hyperlink" Target="https://www.mercadolivre.com.br/vendas/2000009805551870/detalhe" TargetMode="External"/><Relationship Id="rId1054" Type="http://schemas.openxmlformats.org/officeDocument/2006/relationships/hyperlink" Target="https://www.mercadolivre.com.br/vendas/2000006619162079/detalhe" TargetMode="External"/><Relationship Id="rId224" Type="http://schemas.openxmlformats.org/officeDocument/2006/relationships/hyperlink" Target="https://www.mercadolivre.com.br/vendas/2000009966641838/detalhe" TargetMode="External"/><Relationship Id="rId1055" Type="http://schemas.openxmlformats.org/officeDocument/2006/relationships/hyperlink" Target="https://www.mercadolivre.com.br/vendas/2000009818388806/detalhe" TargetMode="External"/><Relationship Id="rId223" Type="http://schemas.openxmlformats.org/officeDocument/2006/relationships/hyperlink" Target="https://www.mercadolivre.com.br/vendas/2000006712410809/detalhe" TargetMode="External"/><Relationship Id="rId1056" Type="http://schemas.openxmlformats.org/officeDocument/2006/relationships/hyperlink" Target="https://www.mercadolivre.com.br/vendas/2000006618917285/detalhe" TargetMode="External"/><Relationship Id="rId222" Type="http://schemas.openxmlformats.org/officeDocument/2006/relationships/hyperlink" Target="https://www.mercadolivre.com.br/vendas/2000006712410809/detalhe" TargetMode="External"/><Relationship Id="rId1057" Type="http://schemas.openxmlformats.org/officeDocument/2006/relationships/hyperlink" Target="https://www.mercadolivre.com.br/vendas/2000009818095582/detalhe" TargetMode="External"/><Relationship Id="rId221" Type="http://schemas.openxmlformats.org/officeDocument/2006/relationships/hyperlink" Target="https://www.mercadolivre.com.br/vendas/2000006712410809/detalhe" TargetMode="External"/><Relationship Id="rId1058" Type="http://schemas.openxmlformats.org/officeDocument/2006/relationships/hyperlink" Target="https://www.mercadolivre.com.br/vendas/2000009818065766/detalhe" TargetMode="External"/><Relationship Id="rId1048" Type="http://schemas.openxmlformats.org/officeDocument/2006/relationships/hyperlink" Target="https://www.mercadolivre.com.br/vendas/2000009819973196/detalhe" TargetMode="External"/><Relationship Id="rId1049" Type="http://schemas.openxmlformats.org/officeDocument/2006/relationships/hyperlink" Target="https://www.mercadolivre.com.br/vendas/2000009819374276/detalhe" TargetMode="External"/><Relationship Id="rId217" Type="http://schemas.openxmlformats.org/officeDocument/2006/relationships/hyperlink" Target="https://www.mercadolivre.com.br/vendas/2000006712706415/detalhe" TargetMode="External"/><Relationship Id="rId216" Type="http://schemas.openxmlformats.org/officeDocument/2006/relationships/hyperlink" Target="https://www.mercadolivre.com.br/vendas/2000009967314576/detalhe" TargetMode="External"/><Relationship Id="rId215" Type="http://schemas.openxmlformats.org/officeDocument/2006/relationships/hyperlink" Target="https://www.mercadolivre.com.br/vendas/2000009967350658/detalhe" TargetMode="External"/><Relationship Id="rId699" Type="http://schemas.openxmlformats.org/officeDocument/2006/relationships/hyperlink" Target="https://www.mercadolivre.com.br/vendas/2000006659767885/detalhe" TargetMode="External"/><Relationship Id="rId214" Type="http://schemas.openxmlformats.org/officeDocument/2006/relationships/hyperlink" Target="https://www.mercadolivre.com.br/vendas/2000009967559272/detalhe" TargetMode="External"/><Relationship Id="rId698" Type="http://schemas.openxmlformats.org/officeDocument/2006/relationships/hyperlink" Target="https://www.mercadolivre.com.br/vendas/2000009882973748/detalhe" TargetMode="External"/><Relationship Id="rId219" Type="http://schemas.openxmlformats.org/officeDocument/2006/relationships/hyperlink" Target="https://www.mercadolivre.com.br/vendas/2000009966995910/detalhe" TargetMode="External"/><Relationship Id="rId218" Type="http://schemas.openxmlformats.org/officeDocument/2006/relationships/hyperlink" Target="https://www.mercadolivre.com.br/vendas/2000006712686117/detalhe" TargetMode="External"/><Relationship Id="rId693" Type="http://schemas.openxmlformats.org/officeDocument/2006/relationships/hyperlink" Target="https://www.mercadolivre.com.br/vendas/2000006660240755/detalhe" TargetMode="External"/><Relationship Id="rId1040" Type="http://schemas.openxmlformats.org/officeDocument/2006/relationships/hyperlink" Target="https://www.mercadolivre.com.br/vendas/2000009820812826/detalhe" TargetMode="External"/><Relationship Id="rId692" Type="http://schemas.openxmlformats.org/officeDocument/2006/relationships/hyperlink" Target="https://www.mercadolivre.com.br/vendas/2000009884575624/detalhe" TargetMode="External"/><Relationship Id="rId1041" Type="http://schemas.openxmlformats.org/officeDocument/2006/relationships/hyperlink" Target="https://www.mercadolivre.com.br/vendas/2000009820790960/detalhe" TargetMode="External"/><Relationship Id="rId691" Type="http://schemas.openxmlformats.org/officeDocument/2006/relationships/hyperlink" Target="https://www.mercadolivre.com.br/vendas/2000009884715902/detalhe" TargetMode="External"/><Relationship Id="rId1042" Type="http://schemas.openxmlformats.org/officeDocument/2006/relationships/hyperlink" Target="https://www.mercadolivre.com.br/vendas/2000009820739070/detalhe" TargetMode="External"/><Relationship Id="rId690" Type="http://schemas.openxmlformats.org/officeDocument/2006/relationships/hyperlink" Target="https://www.mercadolivre.com.br/vendas/2000009884797146/detalhe" TargetMode="External"/><Relationship Id="rId1043" Type="http://schemas.openxmlformats.org/officeDocument/2006/relationships/hyperlink" Target="https://www.mercadolivre.com.br/vendas/2000009820632020/detalhe" TargetMode="External"/><Relationship Id="rId213" Type="http://schemas.openxmlformats.org/officeDocument/2006/relationships/hyperlink" Target="https://www.mercadolivre.com.br/vendas/2000009967580490/detalhe" TargetMode="External"/><Relationship Id="rId697" Type="http://schemas.openxmlformats.org/officeDocument/2006/relationships/hyperlink" Target="https://www.mercadolivre.com.br/vendas/2000009883114178/detalhe" TargetMode="External"/><Relationship Id="rId1044" Type="http://schemas.openxmlformats.org/officeDocument/2006/relationships/hyperlink" Target="https://www.mercadolivre.com.br/vendas/2000006620410351/detalhe" TargetMode="External"/><Relationship Id="rId212" Type="http://schemas.openxmlformats.org/officeDocument/2006/relationships/hyperlink" Target="https://www.mercadolivre.com.br/vendas/2000009967698972/detalhe" TargetMode="External"/><Relationship Id="rId696" Type="http://schemas.openxmlformats.org/officeDocument/2006/relationships/hyperlink" Target="https://www.mercadolivre.com.br/vendas/2000006660185661/detalhe" TargetMode="External"/><Relationship Id="rId1045" Type="http://schemas.openxmlformats.org/officeDocument/2006/relationships/hyperlink" Target="https://www.mercadolivre.com.br/vendas/2000009820590874/detalhe" TargetMode="External"/><Relationship Id="rId211" Type="http://schemas.openxmlformats.org/officeDocument/2006/relationships/hyperlink" Target="https://www.mercadolivre.com.br/vendas/2000009967650598/detalhe" TargetMode="External"/><Relationship Id="rId695" Type="http://schemas.openxmlformats.org/officeDocument/2006/relationships/hyperlink" Target="https://www.mercadolivre.com.br/vendas/2000006660240755/detalhe" TargetMode="External"/><Relationship Id="rId1046" Type="http://schemas.openxmlformats.org/officeDocument/2006/relationships/hyperlink" Target="https://www.mercadolivre.com.br/vendas/2000009820416072/detalhe" TargetMode="External"/><Relationship Id="rId210" Type="http://schemas.openxmlformats.org/officeDocument/2006/relationships/hyperlink" Target="https://www.mercadolivre.com.br/vendas/2000009967841598/detalhe" TargetMode="External"/><Relationship Id="rId694" Type="http://schemas.openxmlformats.org/officeDocument/2006/relationships/hyperlink" Target="https://www.mercadolivre.com.br/vendas/2000006660240755/detalhe" TargetMode="External"/><Relationship Id="rId1047" Type="http://schemas.openxmlformats.org/officeDocument/2006/relationships/hyperlink" Target="https://www.mercadolivre.com.br/vendas/2000006620119663/detalhe" TargetMode="External"/><Relationship Id="rId249" Type="http://schemas.openxmlformats.org/officeDocument/2006/relationships/hyperlink" Target="https://www.mercadolivre.com.br/vendas/2000006709494033/detalhe" TargetMode="External"/><Relationship Id="rId248" Type="http://schemas.openxmlformats.org/officeDocument/2006/relationships/hyperlink" Target="https://www.mercadolivre.com.br/vendas/2000006709622861/detalhe" TargetMode="External"/><Relationship Id="rId247" Type="http://schemas.openxmlformats.org/officeDocument/2006/relationships/hyperlink" Target="https://www.mercadolivre.com.br/vendas/2000009962744016/detalhe" TargetMode="External"/><Relationship Id="rId1070" Type="http://schemas.openxmlformats.org/officeDocument/2006/relationships/hyperlink" Target="https://www.mercadolivre.com.br/vendas/2000006617418063/detalhe" TargetMode="External"/><Relationship Id="rId1071" Type="http://schemas.openxmlformats.org/officeDocument/2006/relationships/hyperlink" Target="https://www.mercadolivre.com.br/vendas/2000006617399131/detalhe" TargetMode="External"/><Relationship Id="rId1072" Type="http://schemas.openxmlformats.org/officeDocument/2006/relationships/hyperlink" Target="https://www.mercadolivre.com.br/vendas/2000006617300061/detalhe" TargetMode="External"/><Relationship Id="rId242" Type="http://schemas.openxmlformats.org/officeDocument/2006/relationships/hyperlink" Target="https://www.mercadolivre.com.br/vendas/2000006710293181/detalhe" TargetMode="External"/><Relationship Id="rId1073" Type="http://schemas.openxmlformats.org/officeDocument/2006/relationships/hyperlink" Target="https://www.mercadolivre.com.br/vendas/2000006617278557/detalhe" TargetMode="External"/><Relationship Id="rId241" Type="http://schemas.openxmlformats.org/officeDocument/2006/relationships/hyperlink" Target="https://www.mercadolivre.com.br/vendas/2000006710313615/detalhe" TargetMode="External"/><Relationship Id="rId1074" Type="http://schemas.openxmlformats.org/officeDocument/2006/relationships/hyperlink" Target="https://www.mercadolivre.com.br/vendas/2000009815225604/detalhe" TargetMode="External"/><Relationship Id="rId240" Type="http://schemas.openxmlformats.org/officeDocument/2006/relationships/hyperlink" Target="https://www.mercadolivre.com.br/vendas/2000006710564939/detalhe" TargetMode="External"/><Relationship Id="rId1075" Type="http://schemas.openxmlformats.org/officeDocument/2006/relationships/hyperlink" Target="https://www.mercadolivre.com.br/vendas/2000009815232450/detalhe" TargetMode="External"/><Relationship Id="rId1076" Type="http://schemas.openxmlformats.org/officeDocument/2006/relationships/hyperlink" Target="https://www.mercadolivre.com.br/vendas/2000009815192238/detalhe" TargetMode="External"/><Relationship Id="rId246" Type="http://schemas.openxmlformats.org/officeDocument/2006/relationships/hyperlink" Target="https://www.mercadolivre.com.br/vendas/2000006709858517/detalhe" TargetMode="External"/><Relationship Id="rId1077" Type="http://schemas.openxmlformats.org/officeDocument/2006/relationships/hyperlink" Target="https://www.mercadolivre.com.br/vendas/2000006617038461/detalhe" TargetMode="External"/><Relationship Id="rId245" Type="http://schemas.openxmlformats.org/officeDocument/2006/relationships/hyperlink" Target="https://www.mercadolivre.com.br/vendas/2000006710057781/detalhe" TargetMode="External"/><Relationship Id="rId1078" Type="http://schemas.openxmlformats.org/officeDocument/2006/relationships/hyperlink" Target="https://www.mercadolivre.com.br/vendas/2000006616996225/detalhe" TargetMode="External"/><Relationship Id="rId244" Type="http://schemas.openxmlformats.org/officeDocument/2006/relationships/hyperlink" Target="https://www.mercadolivre.com.br/vendas/2000006710060901/detalhe" TargetMode="External"/><Relationship Id="rId1079" Type="http://schemas.openxmlformats.org/officeDocument/2006/relationships/hyperlink" Target="https://www.mercadolivre.com.br/vendas/2000009814669856/detalhe" TargetMode="External"/><Relationship Id="rId243" Type="http://schemas.openxmlformats.org/officeDocument/2006/relationships/hyperlink" Target="https://www.mercadolivre.com.br/vendas/2000009963227138/detalhe" TargetMode="External"/><Relationship Id="rId239" Type="http://schemas.openxmlformats.org/officeDocument/2006/relationships/hyperlink" Target="https://www.mercadolivre.com.br/vendas/2000009963967104/detalhe" TargetMode="External"/><Relationship Id="rId238" Type="http://schemas.openxmlformats.org/officeDocument/2006/relationships/hyperlink" Target="https://www.mercadolivre.com.br/vendas/2000009964189864/detalhe" TargetMode="External"/><Relationship Id="rId237" Type="http://schemas.openxmlformats.org/officeDocument/2006/relationships/hyperlink" Target="https://www.mercadolivre.com.br/vendas/2000009964335434/detalhe" TargetMode="External"/><Relationship Id="rId236" Type="http://schemas.openxmlformats.org/officeDocument/2006/relationships/hyperlink" Target="https://www.mercadolivre.com.br/vendas/2000009964584574/detalhe" TargetMode="External"/><Relationship Id="rId1060" Type="http://schemas.openxmlformats.org/officeDocument/2006/relationships/hyperlink" Target="https://www.mercadolivre.com.br/vendas/2000009817829348/detalhe" TargetMode="External"/><Relationship Id="rId1061" Type="http://schemas.openxmlformats.org/officeDocument/2006/relationships/hyperlink" Target="https://www.mercadolivre.com.br/vendas/2000009817809312/detalhe" TargetMode="External"/><Relationship Id="rId231" Type="http://schemas.openxmlformats.org/officeDocument/2006/relationships/hyperlink" Target="https://www.mercadolivre.com.br/vendas/2000009966140042/detalhe" TargetMode="External"/><Relationship Id="rId1062" Type="http://schemas.openxmlformats.org/officeDocument/2006/relationships/hyperlink" Target="https://www.mercadolivre.com.br/vendas/2000009817799168/detalhe" TargetMode="External"/><Relationship Id="rId230" Type="http://schemas.openxmlformats.org/officeDocument/2006/relationships/hyperlink" Target="https://www.mercadolivre.com.br/vendas/2000006712032873/detalhe" TargetMode="External"/><Relationship Id="rId1063" Type="http://schemas.openxmlformats.org/officeDocument/2006/relationships/hyperlink" Target="https://www.mercadolivre.com.br/vendas/2000009817788338/detalhe" TargetMode="External"/><Relationship Id="rId1064" Type="http://schemas.openxmlformats.org/officeDocument/2006/relationships/hyperlink" Target="https://www.mercadolivre.com.br/vendas/2000009817457388/detalhe" TargetMode="External"/><Relationship Id="rId1065" Type="http://schemas.openxmlformats.org/officeDocument/2006/relationships/hyperlink" Target="https://www.mercadolivre.com.br/vendas/2000009817323734/detalhe" TargetMode="External"/><Relationship Id="rId235" Type="http://schemas.openxmlformats.org/officeDocument/2006/relationships/hyperlink" Target="https://www.mercadolivre.com.br/vendas/2000009965061462/detalhe" TargetMode="External"/><Relationship Id="rId1066" Type="http://schemas.openxmlformats.org/officeDocument/2006/relationships/hyperlink" Target="https://www.mercadolivre.com.br/vendas/2000009817139226/detalhe" TargetMode="External"/><Relationship Id="rId234" Type="http://schemas.openxmlformats.org/officeDocument/2006/relationships/hyperlink" Target="https://www.mercadolivre.com.br/vendas/2000009965142402/detalhe" TargetMode="External"/><Relationship Id="rId1067" Type="http://schemas.openxmlformats.org/officeDocument/2006/relationships/hyperlink" Target="https://www.mercadolivre.com.br/vendas/2000006618309595/detalhe" TargetMode="External"/><Relationship Id="rId233" Type="http://schemas.openxmlformats.org/officeDocument/2006/relationships/hyperlink" Target="https://www.mercadolivre.com.br/vendas/2000006711728951/detalhe" TargetMode="External"/><Relationship Id="rId1068" Type="http://schemas.openxmlformats.org/officeDocument/2006/relationships/hyperlink" Target="https://www.mercadolivre.com.br/vendas/2000009816317938/detalhe" TargetMode="External"/><Relationship Id="rId232" Type="http://schemas.openxmlformats.org/officeDocument/2006/relationships/hyperlink" Target="https://www.mercadolivre.com.br/vendas/2000009966098198/detalhe" TargetMode="External"/><Relationship Id="rId1069" Type="http://schemas.openxmlformats.org/officeDocument/2006/relationships/hyperlink" Target="https://www.mercadolivre.com.br/vendas/2000009816219428/detalhe" TargetMode="External"/><Relationship Id="rId1015" Type="http://schemas.openxmlformats.org/officeDocument/2006/relationships/hyperlink" Target="https://www.mercadolivre.com.br/vendas/2000009824512564/detalhe" TargetMode="External"/><Relationship Id="rId1499" Type="http://schemas.openxmlformats.org/officeDocument/2006/relationships/hyperlink" Target="https://www.mercadolivre.com.br/vendas/2000009758219150/detalhe" TargetMode="External"/><Relationship Id="rId1016" Type="http://schemas.openxmlformats.org/officeDocument/2006/relationships/hyperlink" Target="https://www.mercadolivre.com.br/vendas/2000006622573573/detalhe" TargetMode="External"/><Relationship Id="rId1017" Type="http://schemas.openxmlformats.org/officeDocument/2006/relationships/hyperlink" Target="https://www.mercadolivre.com.br/vendas/2000009823667102/detalhe" TargetMode="External"/><Relationship Id="rId1018" Type="http://schemas.openxmlformats.org/officeDocument/2006/relationships/hyperlink" Target="https://www.mercadolivre.com.br/vendas/2000009823475688/detalhe" TargetMode="External"/><Relationship Id="rId1019" Type="http://schemas.openxmlformats.org/officeDocument/2006/relationships/hyperlink" Target="https://www.mercadolivre.com.br/vendas/2000009823298884/detalhe" TargetMode="External"/><Relationship Id="rId668" Type="http://schemas.openxmlformats.org/officeDocument/2006/relationships/hyperlink" Target="https://www.mercadolivre.com.br/vendas/2000006665443545/detalhe" TargetMode="External"/><Relationship Id="rId667" Type="http://schemas.openxmlformats.org/officeDocument/2006/relationships/hyperlink" Target="https://www.mercadolivre.com.br/vendas/2000006665478891/detalhe" TargetMode="External"/><Relationship Id="rId666" Type="http://schemas.openxmlformats.org/officeDocument/2006/relationships/hyperlink" Target="https://www.mercadolivre.com.br/vendas/2000009891522016/detalhe" TargetMode="External"/><Relationship Id="rId665" Type="http://schemas.openxmlformats.org/officeDocument/2006/relationships/hyperlink" Target="https://www.mercadolivre.com.br/vendas/2000009891542270/detalhe" TargetMode="External"/><Relationship Id="rId669" Type="http://schemas.openxmlformats.org/officeDocument/2006/relationships/hyperlink" Target="https://www.mercadolivre.com.br/vendas/2000006647021645/detalhe" TargetMode="External"/><Relationship Id="rId1490" Type="http://schemas.openxmlformats.org/officeDocument/2006/relationships/hyperlink" Target="https://www.mercadolivre.com.br/vendas/2000009759698282/detalhe" TargetMode="External"/><Relationship Id="rId660" Type="http://schemas.openxmlformats.org/officeDocument/2006/relationships/hyperlink" Target="https://www.mercadolivre.com.br/vendas/2000009891966110/detalhe" TargetMode="External"/><Relationship Id="rId1491" Type="http://schemas.openxmlformats.org/officeDocument/2006/relationships/hyperlink" Target="https://www.mercadolivre.com.br/vendas/2000009759522878/detalhe" TargetMode="External"/><Relationship Id="rId1492" Type="http://schemas.openxmlformats.org/officeDocument/2006/relationships/hyperlink" Target="https://www.mercadolivre.com.br/vendas/2000006583474503/detalhe" TargetMode="External"/><Relationship Id="rId1493" Type="http://schemas.openxmlformats.org/officeDocument/2006/relationships/hyperlink" Target="https://www.mercadolivre.com.br/vendas/2000006583421201/detalhe" TargetMode="External"/><Relationship Id="rId1010" Type="http://schemas.openxmlformats.org/officeDocument/2006/relationships/hyperlink" Target="https://www.mercadolivre.com.br/vendas/2000009825001828/detalhe" TargetMode="External"/><Relationship Id="rId1494" Type="http://schemas.openxmlformats.org/officeDocument/2006/relationships/hyperlink" Target="https://www.mercadolivre.com.br/vendas/2000009758886996/detalhe" TargetMode="External"/><Relationship Id="rId664" Type="http://schemas.openxmlformats.org/officeDocument/2006/relationships/hyperlink" Target="https://www.mercadolivre.com.br/vendas/2000006660680803/detalhe" TargetMode="External"/><Relationship Id="rId1011" Type="http://schemas.openxmlformats.org/officeDocument/2006/relationships/hyperlink" Target="https://www.mercadolivre.com.br/vendas/2000009824894192/detalhe" TargetMode="External"/><Relationship Id="rId1495" Type="http://schemas.openxmlformats.org/officeDocument/2006/relationships/hyperlink" Target="https://www.mercadolivre.com.br/vendas/2000009758816552/detalhe" TargetMode="External"/><Relationship Id="rId663" Type="http://schemas.openxmlformats.org/officeDocument/2006/relationships/hyperlink" Target="https://www.mercadolivre.com.br/vendas/2000009891666964/detalhe" TargetMode="External"/><Relationship Id="rId1012" Type="http://schemas.openxmlformats.org/officeDocument/2006/relationships/hyperlink" Target="https://www.mercadolivre.com.br/vendas/2000009824668854/detalhe" TargetMode="External"/><Relationship Id="rId1496" Type="http://schemas.openxmlformats.org/officeDocument/2006/relationships/hyperlink" Target="https://www.mercadolivre.com.br/vendas/2000006583188563/detalhe" TargetMode="External"/><Relationship Id="rId662" Type="http://schemas.openxmlformats.org/officeDocument/2006/relationships/hyperlink" Target="https://www.mercadolivre.com.br/vendas/2000009891700034/detalhe" TargetMode="External"/><Relationship Id="rId1013" Type="http://schemas.openxmlformats.org/officeDocument/2006/relationships/hyperlink" Target="https://www.mercadolivre.com.br/vendas/2000009824649126/detalhe" TargetMode="External"/><Relationship Id="rId1497" Type="http://schemas.openxmlformats.org/officeDocument/2006/relationships/hyperlink" Target="https://www.mercadolivre.com.br/vendas/2000006583105545/detalhe" TargetMode="External"/><Relationship Id="rId661" Type="http://schemas.openxmlformats.org/officeDocument/2006/relationships/hyperlink" Target="https://www.mercadolivre.com.br/vendas/2000009891844854/detalhe" TargetMode="External"/><Relationship Id="rId1014" Type="http://schemas.openxmlformats.org/officeDocument/2006/relationships/hyperlink" Target="https://www.mercadolivre.com.br/vendas/2000006622887139/detalhe" TargetMode="External"/><Relationship Id="rId1498" Type="http://schemas.openxmlformats.org/officeDocument/2006/relationships/hyperlink" Target="https://www.mercadolivre.com.br/vendas/2000009758288148/detalhe" TargetMode="External"/><Relationship Id="rId1004" Type="http://schemas.openxmlformats.org/officeDocument/2006/relationships/hyperlink" Target="https://www.mercadolivre.com.br/vendas/2000006623683761/detalhe" TargetMode="External"/><Relationship Id="rId1488" Type="http://schemas.openxmlformats.org/officeDocument/2006/relationships/hyperlink" Target="https://www.mercadolivre.com.br/vendas/2000009760166604/detalhe" TargetMode="External"/><Relationship Id="rId1005" Type="http://schemas.openxmlformats.org/officeDocument/2006/relationships/hyperlink" Target="https://www.mercadolivre.com.br/vendas/2000009825750058/detalhe" TargetMode="External"/><Relationship Id="rId1489" Type="http://schemas.openxmlformats.org/officeDocument/2006/relationships/hyperlink" Target="https://www.mercadolivre.com.br/vendas/2000009759449376/detalhe" TargetMode="External"/><Relationship Id="rId1006" Type="http://schemas.openxmlformats.org/officeDocument/2006/relationships/hyperlink" Target="https://www.mercadolivre.com.br/vendas/2000009825572888/detalhe" TargetMode="External"/><Relationship Id="rId1007" Type="http://schemas.openxmlformats.org/officeDocument/2006/relationships/hyperlink" Target="https://www.mercadolivre.com.br/vendas/2000009825489942/detalhe" TargetMode="External"/><Relationship Id="rId1008" Type="http://schemas.openxmlformats.org/officeDocument/2006/relationships/hyperlink" Target="https://www.mercadolivre.com.br/vendas/2000009825091418/detalhe" TargetMode="External"/><Relationship Id="rId1009" Type="http://schemas.openxmlformats.org/officeDocument/2006/relationships/hyperlink" Target="https://www.mercadolivre.com.br/vendas/2000009825071650/detalhe" TargetMode="External"/><Relationship Id="rId657" Type="http://schemas.openxmlformats.org/officeDocument/2006/relationships/hyperlink" Target="https://www.mercadolivre.com.br/vendas/2000009892690760/detalhe" TargetMode="External"/><Relationship Id="rId656" Type="http://schemas.openxmlformats.org/officeDocument/2006/relationships/hyperlink" Target="https://www.mercadolivre.com.br/vendas/2000009892703200/detalhe" TargetMode="External"/><Relationship Id="rId655" Type="http://schemas.openxmlformats.org/officeDocument/2006/relationships/hyperlink" Target="https://www.mercadolivre.com.br/vendas/2000009892737612/detalhe" TargetMode="External"/><Relationship Id="rId654" Type="http://schemas.openxmlformats.org/officeDocument/2006/relationships/hyperlink" Target="https://www.mercadolivre.com.br/vendas/2000009893508940/detalhe" TargetMode="External"/><Relationship Id="rId659" Type="http://schemas.openxmlformats.org/officeDocument/2006/relationships/hyperlink" Target="https://www.mercadolivre.com.br/vendas/2000006666086509/detalhe" TargetMode="External"/><Relationship Id="rId658" Type="http://schemas.openxmlformats.org/officeDocument/2006/relationships/hyperlink" Target="https://www.mercadolivre.com.br/vendas/2000006666207609/detalhe" TargetMode="External"/><Relationship Id="rId1480" Type="http://schemas.openxmlformats.org/officeDocument/2006/relationships/hyperlink" Target="https://www.mercadolivre.com.br/vendas/2000006584757129/detalhe" TargetMode="External"/><Relationship Id="rId1481" Type="http://schemas.openxmlformats.org/officeDocument/2006/relationships/hyperlink" Target="https://www.mercadolivre.com.br/vendas/2000009761408508/detalhe" TargetMode="External"/><Relationship Id="rId1482" Type="http://schemas.openxmlformats.org/officeDocument/2006/relationships/hyperlink" Target="https://www.mercadolivre.com.br/vendas/2000006584691429/detalhe" TargetMode="External"/><Relationship Id="rId1483" Type="http://schemas.openxmlformats.org/officeDocument/2006/relationships/hyperlink" Target="https://www.mercadolivre.com.br/vendas/2000009761227732/detalhe" TargetMode="External"/><Relationship Id="rId653" Type="http://schemas.openxmlformats.org/officeDocument/2006/relationships/hyperlink" Target="https://www.mercadolivre.com.br/vendas/2000006667325227/detalhe" TargetMode="External"/><Relationship Id="rId1000" Type="http://schemas.openxmlformats.org/officeDocument/2006/relationships/hyperlink" Target="https://www.mercadolivre.com.br/vendas/2000006624871959/detalhe" TargetMode="External"/><Relationship Id="rId1484" Type="http://schemas.openxmlformats.org/officeDocument/2006/relationships/hyperlink" Target="https://www.mercadolivre.com.br/vendas/2000006584492761/detalhe" TargetMode="External"/><Relationship Id="rId652" Type="http://schemas.openxmlformats.org/officeDocument/2006/relationships/hyperlink" Target="https://www.mercadolivre.com.br/vendas/2000009894655732/detalhe" TargetMode="External"/><Relationship Id="rId1001" Type="http://schemas.openxmlformats.org/officeDocument/2006/relationships/hyperlink" Target="https://www.mercadolivre.com.br/vendas/2000009827147992/detalhe" TargetMode="External"/><Relationship Id="rId1485" Type="http://schemas.openxmlformats.org/officeDocument/2006/relationships/hyperlink" Target="https://www.mercadolivre.com.br/vendas/2000006584411359/detalhe" TargetMode="External"/><Relationship Id="rId651" Type="http://schemas.openxmlformats.org/officeDocument/2006/relationships/hyperlink" Target="https://www.mercadolivre.com.br/vendas/2000006667745473/detalhe" TargetMode="External"/><Relationship Id="rId1002" Type="http://schemas.openxmlformats.org/officeDocument/2006/relationships/hyperlink" Target="https://www.mercadolivre.com.br/vendas/2000009826700672/detalhe" TargetMode="External"/><Relationship Id="rId1486" Type="http://schemas.openxmlformats.org/officeDocument/2006/relationships/hyperlink" Target="https://www.mercadolivre.com.br/vendas/2000009760726328/detalhe" TargetMode="External"/><Relationship Id="rId650" Type="http://schemas.openxmlformats.org/officeDocument/2006/relationships/hyperlink" Target="https://www.mercadolivre.com.br/vendas/2000006667752621/detalhe" TargetMode="External"/><Relationship Id="rId1003" Type="http://schemas.openxmlformats.org/officeDocument/2006/relationships/hyperlink" Target="https://www.mercadolivre.com.br/vendas/2000009826365368/detalhe" TargetMode="External"/><Relationship Id="rId1487" Type="http://schemas.openxmlformats.org/officeDocument/2006/relationships/hyperlink" Target="https://www.mercadolivre.com.br/vendas/2000006584024489/detalhe" TargetMode="External"/><Relationship Id="rId1037" Type="http://schemas.openxmlformats.org/officeDocument/2006/relationships/hyperlink" Target="https://www.mercadolivre.com.br/vendas/2000009821310882/detalhe" TargetMode="External"/><Relationship Id="rId1038" Type="http://schemas.openxmlformats.org/officeDocument/2006/relationships/hyperlink" Target="https://www.mercadolivre.com.br/vendas/2000006620751055/detalhe" TargetMode="External"/><Relationship Id="rId1039" Type="http://schemas.openxmlformats.org/officeDocument/2006/relationships/hyperlink" Target="https://www.mercadolivre.com.br/vendas/2000009820994886/detalhe" TargetMode="External"/><Relationship Id="rId206" Type="http://schemas.openxmlformats.org/officeDocument/2006/relationships/hyperlink" Target="https://www.mercadolivre.com.br/vendas/2000009968469094/detalhe" TargetMode="External"/><Relationship Id="rId205" Type="http://schemas.openxmlformats.org/officeDocument/2006/relationships/hyperlink" Target="https://www.mercadolivre.com.br/vendas/2000006713593499/detalhe" TargetMode="External"/><Relationship Id="rId689" Type="http://schemas.openxmlformats.org/officeDocument/2006/relationships/hyperlink" Target="https://www.mercadolivre.com.br/vendas/2000006661213519/detalhe" TargetMode="External"/><Relationship Id="rId204" Type="http://schemas.openxmlformats.org/officeDocument/2006/relationships/hyperlink" Target="https://www.mercadolivre.com.br/vendas/2000009968868048/detalhe" TargetMode="External"/><Relationship Id="rId688" Type="http://schemas.openxmlformats.org/officeDocument/2006/relationships/hyperlink" Target="https://www.mercadolivre.com.br/vendas/2000006661256057/detalhe" TargetMode="External"/><Relationship Id="rId203" Type="http://schemas.openxmlformats.org/officeDocument/2006/relationships/hyperlink" Target="https://www.mercadolivre.com.br/vendas/2000006713869803/detalhe" TargetMode="External"/><Relationship Id="rId687" Type="http://schemas.openxmlformats.org/officeDocument/2006/relationships/hyperlink" Target="https://www.mercadolivre.com.br/vendas/2000006661317967/detalhe" TargetMode="External"/><Relationship Id="rId209" Type="http://schemas.openxmlformats.org/officeDocument/2006/relationships/hyperlink" Target="https://www.mercadolivre.com.br/vendas/2000006713081233/detalhe" TargetMode="External"/><Relationship Id="rId208" Type="http://schemas.openxmlformats.org/officeDocument/2006/relationships/hyperlink" Target="https://www.mercadolivre.com.br/vendas/2000009967932296/detalhe" TargetMode="External"/><Relationship Id="rId207" Type="http://schemas.openxmlformats.org/officeDocument/2006/relationships/hyperlink" Target="https://www.mercadolivre.com.br/vendas/2000009968161372/detalhe" TargetMode="External"/><Relationship Id="rId682" Type="http://schemas.openxmlformats.org/officeDocument/2006/relationships/hyperlink" Target="https://www.mercadolivre.com.br/vendas/2000009785586654/detalhe" TargetMode="External"/><Relationship Id="rId681" Type="http://schemas.openxmlformats.org/officeDocument/2006/relationships/hyperlink" Target="https://www.mercadolivre.com.br/vendas/2000009886413052/detalhe" TargetMode="External"/><Relationship Id="rId1030" Type="http://schemas.openxmlformats.org/officeDocument/2006/relationships/hyperlink" Target="https://www.mercadolivre.com.br/vendas/2000006620893353/detalhe" TargetMode="External"/><Relationship Id="rId680" Type="http://schemas.openxmlformats.org/officeDocument/2006/relationships/hyperlink" Target="https://www.mercadolivre.com.br/vendas/2000009886790204/detalhe" TargetMode="External"/><Relationship Id="rId1031" Type="http://schemas.openxmlformats.org/officeDocument/2006/relationships/hyperlink" Target="https://www.mercadolivre.com.br/vendas/2000006620893353/detalhe" TargetMode="External"/><Relationship Id="rId1032" Type="http://schemas.openxmlformats.org/officeDocument/2006/relationships/hyperlink" Target="https://www.mercadolivre.com.br/vendas/2000006620889445/detalhe" TargetMode="External"/><Relationship Id="rId202" Type="http://schemas.openxmlformats.org/officeDocument/2006/relationships/hyperlink" Target="https://www.mercadolivre.com.br/vendas/2000009969512120/detalhe" TargetMode="External"/><Relationship Id="rId686" Type="http://schemas.openxmlformats.org/officeDocument/2006/relationships/hyperlink" Target="https://www.mercadolivre.com.br/vendas/2000009885578258/detalhe" TargetMode="External"/><Relationship Id="rId1033" Type="http://schemas.openxmlformats.org/officeDocument/2006/relationships/hyperlink" Target="https://www.mercadolivre.com.br/vendas/2000006620889445/detalhe" TargetMode="External"/><Relationship Id="rId201" Type="http://schemas.openxmlformats.org/officeDocument/2006/relationships/hyperlink" Target="https://www.mercadolivre.com.br/vendas/2000009969506514/detalhe" TargetMode="External"/><Relationship Id="rId685" Type="http://schemas.openxmlformats.org/officeDocument/2006/relationships/hyperlink" Target="https://www.mercadolivre.com.br/vendas/2000006661640295/detalhe" TargetMode="External"/><Relationship Id="rId1034" Type="http://schemas.openxmlformats.org/officeDocument/2006/relationships/hyperlink" Target="https://www.mercadolivre.com.br/vendas/2000006620889445/detalhe" TargetMode="External"/><Relationship Id="rId200" Type="http://schemas.openxmlformats.org/officeDocument/2006/relationships/hyperlink" Target="https://www.mercadolivre.com.br/vendas/2000009969673314/detalhe" TargetMode="External"/><Relationship Id="rId684" Type="http://schemas.openxmlformats.org/officeDocument/2006/relationships/hyperlink" Target="https://www.mercadolivre.com.br/vendas/2000006661646527/detalhe" TargetMode="External"/><Relationship Id="rId1035" Type="http://schemas.openxmlformats.org/officeDocument/2006/relationships/hyperlink" Target="https://www.mercadolivre.com.br/vendas/2000006620889445/detalhe" TargetMode="External"/><Relationship Id="rId683" Type="http://schemas.openxmlformats.org/officeDocument/2006/relationships/hyperlink" Target="https://www.mercadolivre.com.br/vendas/2000009885787696/detalhe" TargetMode="External"/><Relationship Id="rId1036" Type="http://schemas.openxmlformats.org/officeDocument/2006/relationships/hyperlink" Target="https://www.mercadolivre.com.br/vendas/2000006620889445/detalhe" TargetMode="External"/><Relationship Id="rId1026" Type="http://schemas.openxmlformats.org/officeDocument/2006/relationships/hyperlink" Target="https://www.mercadolivre.com.br/vendas/2000009822084016/detalhe" TargetMode="External"/><Relationship Id="rId1027" Type="http://schemas.openxmlformats.org/officeDocument/2006/relationships/hyperlink" Target="https://www.mercadolivre.com.br/vendas/2000009821771450/detalhe" TargetMode="External"/><Relationship Id="rId1028" Type="http://schemas.openxmlformats.org/officeDocument/2006/relationships/hyperlink" Target="https://www.mercadolivre.com.br/vendas/2000009821412628/detalhe" TargetMode="External"/><Relationship Id="rId1029" Type="http://schemas.openxmlformats.org/officeDocument/2006/relationships/hyperlink" Target="https://www.mercadolivre.com.br/vendas/2000006620893353/detalhe" TargetMode="External"/><Relationship Id="rId679" Type="http://schemas.openxmlformats.org/officeDocument/2006/relationships/hyperlink" Target="https://www.mercadolivre.com.br/vendas/2000009887718096/detalhe" TargetMode="External"/><Relationship Id="rId678" Type="http://schemas.openxmlformats.org/officeDocument/2006/relationships/hyperlink" Target="https://www.mercadolivre.com.br/vendas/2000009889633612/detalhe" TargetMode="External"/><Relationship Id="rId677" Type="http://schemas.openxmlformats.org/officeDocument/2006/relationships/hyperlink" Target="https://www.mercadolivre.com.br/vendas/2000009849701846/detalhe" TargetMode="External"/><Relationship Id="rId676" Type="http://schemas.openxmlformats.org/officeDocument/2006/relationships/hyperlink" Target="https://www.mercadolivre.com.br/vendas/2000009889964268/detalhe" TargetMode="External"/><Relationship Id="rId671" Type="http://schemas.openxmlformats.org/officeDocument/2006/relationships/hyperlink" Target="https://www.mercadolivre.com.br/vendas/2000009731939530/detalhe" TargetMode="External"/><Relationship Id="rId670" Type="http://schemas.openxmlformats.org/officeDocument/2006/relationships/hyperlink" Target="https://www.mercadolivre.com.br/vendas/2000006665053467/detalhe" TargetMode="External"/><Relationship Id="rId1020" Type="http://schemas.openxmlformats.org/officeDocument/2006/relationships/hyperlink" Target="https://www.mercadolivre.com.br/vendas/2000009818615044/detalhe" TargetMode="External"/><Relationship Id="rId1021" Type="http://schemas.openxmlformats.org/officeDocument/2006/relationships/hyperlink" Target="https://www.mercadolivre.com.br/vendas/2000009822976028/detalhe" TargetMode="External"/><Relationship Id="rId675" Type="http://schemas.openxmlformats.org/officeDocument/2006/relationships/hyperlink" Target="https://www.mercadolivre.com.br/vendas/2000006664665119/detalhe" TargetMode="External"/><Relationship Id="rId1022" Type="http://schemas.openxmlformats.org/officeDocument/2006/relationships/hyperlink" Target="https://www.mercadolivre.com.br/vendas/2000009822732502/detalhe" TargetMode="External"/><Relationship Id="rId674" Type="http://schemas.openxmlformats.org/officeDocument/2006/relationships/hyperlink" Target="https://www.mercadolivre.com.br/vendas/2000006664665119/detalhe" TargetMode="External"/><Relationship Id="rId1023" Type="http://schemas.openxmlformats.org/officeDocument/2006/relationships/hyperlink" Target="https://www.mercadolivre.com.br/vendas/2000009821459012/detalhe" TargetMode="External"/><Relationship Id="rId673" Type="http://schemas.openxmlformats.org/officeDocument/2006/relationships/hyperlink" Target="https://www.mercadolivre.com.br/vendas/2000006664665119/detalhe" TargetMode="External"/><Relationship Id="rId1024" Type="http://schemas.openxmlformats.org/officeDocument/2006/relationships/hyperlink" Target="https://www.mercadolivre.com.br/vendas/2000006621463445/detalhe" TargetMode="External"/><Relationship Id="rId672" Type="http://schemas.openxmlformats.org/officeDocument/2006/relationships/hyperlink" Target="https://www.mercadolivre.com.br/vendas/2000009890212780/detalhe" TargetMode="External"/><Relationship Id="rId1025" Type="http://schemas.openxmlformats.org/officeDocument/2006/relationships/hyperlink" Target="https://www.mercadolivre.com.br/vendas/2000006621361755/detalhe" TargetMode="External"/><Relationship Id="rId190" Type="http://schemas.openxmlformats.org/officeDocument/2006/relationships/hyperlink" Target="https://www.mercadolivre.com.br/vendas/2000009971261814/detalhe" TargetMode="External"/><Relationship Id="rId194" Type="http://schemas.openxmlformats.org/officeDocument/2006/relationships/hyperlink" Target="https://www.mercadolivre.com.br/vendas/2000009970670328/detalhe" TargetMode="External"/><Relationship Id="rId193" Type="http://schemas.openxmlformats.org/officeDocument/2006/relationships/hyperlink" Target="https://www.mercadolivre.com.br/vendas/2000006714907673/detalhe" TargetMode="External"/><Relationship Id="rId192" Type="http://schemas.openxmlformats.org/officeDocument/2006/relationships/hyperlink" Target="https://www.mercadolivre.com.br/vendas/2000006714907673/detalhe" TargetMode="External"/><Relationship Id="rId191" Type="http://schemas.openxmlformats.org/officeDocument/2006/relationships/hyperlink" Target="https://www.mercadolivre.com.br/vendas/2000006714907673/detalhe" TargetMode="External"/><Relationship Id="rId187" Type="http://schemas.openxmlformats.org/officeDocument/2006/relationships/hyperlink" Target="https://www.mercadolivre.com.br/vendas/2000006715430887/detalhe" TargetMode="External"/><Relationship Id="rId186" Type="http://schemas.openxmlformats.org/officeDocument/2006/relationships/hyperlink" Target="https://www.mercadolivre.com.br/vendas/2000009971694622/detalhe" TargetMode="External"/><Relationship Id="rId185" Type="http://schemas.openxmlformats.org/officeDocument/2006/relationships/hyperlink" Target="https://www.mercadolivre.com.br/vendas/2000006715542367/detalhe" TargetMode="External"/><Relationship Id="rId184" Type="http://schemas.openxmlformats.org/officeDocument/2006/relationships/hyperlink" Target="https://www.mercadolivre.com.br/vendas/2000006715563755/detalhe" TargetMode="External"/><Relationship Id="rId189" Type="http://schemas.openxmlformats.org/officeDocument/2006/relationships/hyperlink" Target="https://www.mercadolivre.com.br/vendas/2000006715300829/detalhe" TargetMode="External"/><Relationship Id="rId188" Type="http://schemas.openxmlformats.org/officeDocument/2006/relationships/hyperlink" Target="https://www.mercadolivre.com.br/vendas/2000009971572462/detalhe" TargetMode="External"/><Relationship Id="rId183" Type="http://schemas.openxmlformats.org/officeDocument/2006/relationships/hyperlink" Target="https://www.mercadolivre.com.br/vendas/2000006715782543/detalhe" TargetMode="External"/><Relationship Id="rId182" Type="http://schemas.openxmlformats.org/officeDocument/2006/relationships/hyperlink" Target="https://www.mercadolivre.com.br/vendas/2000009972240700/detalhe" TargetMode="External"/><Relationship Id="rId181" Type="http://schemas.openxmlformats.org/officeDocument/2006/relationships/hyperlink" Target="https://www.mercadolivre.com.br/vendas/2000009972563030/detalhe" TargetMode="External"/><Relationship Id="rId180" Type="http://schemas.openxmlformats.org/officeDocument/2006/relationships/hyperlink" Target="https://www.mercadolivre.com.br/vendas/2000009972591090/detalhe" TargetMode="External"/><Relationship Id="rId176" Type="http://schemas.openxmlformats.org/officeDocument/2006/relationships/hyperlink" Target="https://www.mercadolivre.com.br/vendas/2000009973786214/detalhe" TargetMode="External"/><Relationship Id="rId175" Type="http://schemas.openxmlformats.org/officeDocument/2006/relationships/hyperlink" Target="https://www.mercadolivre.com.br/vendas/2000009916449178/detalhe" TargetMode="External"/><Relationship Id="rId174" Type="http://schemas.openxmlformats.org/officeDocument/2006/relationships/hyperlink" Target="https://www.mercadolivre.com.br/vendas/2000006716874623/detalhe" TargetMode="External"/><Relationship Id="rId173" Type="http://schemas.openxmlformats.org/officeDocument/2006/relationships/hyperlink" Target="https://www.mercadolivre.com.br/vendas/2000006716874623/detalhe" TargetMode="External"/><Relationship Id="rId179" Type="http://schemas.openxmlformats.org/officeDocument/2006/relationships/hyperlink" Target="https://www.mercadolivre.com.br/vendas/2000006716192161/detalhe" TargetMode="External"/><Relationship Id="rId178" Type="http://schemas.openxmlformats.org/officeDocument/2006/relationships/hyperlink" Target="https://www.mercadolivre.com.br/vendas/2000009973025036/detalhe" TargetMode="External"/><Relationship Id="rId177" Type="http://schemas.openxmlformats.org/officeDocument/2006/relationships/hyperlink" Target="https://www.mercadolivre.com.br/vendas/2000009973580060/detalhe" TargetMode="External"/><Relationship Id="rId198" Type="http://schemas.openxmlformats.org/officeDocument/2006/relationships/hyperlink" Target="https://www.mercadolivre.com.br/vendas/2000009969844808/detalhe" TargetMode="External"/><Relationship Id="rId197" Type="http://schemas.openxmlformats.org/officeDocument/2006/relationships/hyperlink" Target="https://www.mercadolivre.com.br/vendas/2000009969971614/detalhe" TargetMode="External"/><Relationship Id="rId196" Type="http://schemas.openxmlformats.org/officeDocument/2006/relationships/hyperlink" Target="https://www.mercadolivre.com.br/vendas/2000009970479534/detalhe" TargetMode="External"/><Relationship Id="rId195" Type="http://schemas.openxmlformats.org/officeDocument/2006/relationships/hyperlink" Target="https://www.mercadolivre.com.br/vendas/2000009970530076/detalhe" TargetMode="External"/><Relationship Id="rId199" Type="http://schemas.openxmlformats.org/officeDocument/2006/relationships/hyperlink" Target="https://www.mercadolivre.com.br/vendas/2000006714207469/detalhe" TargetMode="External"/><Relationship Id="rId150" Type="http://schemas.openxmlformats.org/officeDocument/2006/relationships/hyperlink" Target="https://www.mercadolivre.com.br/vendas/2000009978033194/detalhe" TargetMode="External"/><Relationship Id="rId149" Type="http://schemas.openxmlformats.org/officeDocument/2006/relationships/hyperlink" Target="https://www.mercadolivre.com.br/vendas/2000009978154166/detalhe" TargetMode="External"/><Relationship Id="rId148" Type="http://schemas.openxmlformats.org/officeDocument/2006/relationships/hyperlink" Target="https://www.mercadolivre.com.br/vendas/2000006719497703/detalhe" TargetMode="External"/><Relationship Id="rId1090" Type="http://schemas.openxmlformats.org/officeDocument/2006/relationships/hyperlink" Target="https://www.mercadolivre.com.br/vendas/2000009812286430/detalhe" TargetMode="External"/><Relationship Id="rId1091" Type="http://schemas.openxmlformats.org/officeDocument/2006/relationships/hyperlink" Target="https://www.mercadolivre.com.br/vendas/2000006615046221/detalhe" TargetMode="External"/><Relationship Id="rId1092" Type="http://schemas.openxmlformats.org/officeDocument/2006/relationships/hyperlink" Target="https://www.mercadolivre.com.br/vendas/2000009811538128/detalhe" TargetMode="External"/><Relationship Id="rId1093" Type="http://schemas.openxmlformats.org/officeDocument/2006/relationships/hyperlink" Target="https://www.mercadolivre.com.br/vendas/2000006614878643/detalhe" TargetMode="External"/><Relationship Id="rId1094" Type="http://schemas.openxmlformats.org/officeDocument/2006/relationships/hyperlink" Target="https://www.mercadolivre.com.br/vendas/2000009811318680/detalhe" TargetMode="External"/><Relationship Id="rId143" Type="http://schemas.openxmlformats.org/officeDocument/2006/relationships/hyperlink" Target="https://www.mercadolivre.com.br/vendas/2000009979553612/detalhe" TargetMode="External"/><Relationship Id="rId1095" Type="http://schemas.openxmlformats.org/officeDocument/2006/relationships/hyperlink" Target="https://www.mercadolivre.com.br/vendas/2000006614743909/detalhe" TargetMode="External"/><Relationship Id="rId142" Type="http://schemas.openxmlformats.org/officeDocument/2006/relationships/hyperlink" Target="https://www.mercadolivre.com.br/vendas/2000009979697694/detalhe" TargetMode="External"/><Relationship Id="rId1096" Type="http://schemas.openxmlformats.org/officeDocument/2006/relationships/hyperlink" Target="https://www.mercadolivre.com.br/vendas/2000006614557013/detalhe" TargetMode="External"/><Relationship Id="rId141" Type="http://schemas.openxmlformats.org/officeDocument/2006/relationships/hyperlink" Target="https://www.mercadolivre.com.br/vendas/2000006720463017/detalhe" TargetMode="External"/><Relationship Id="rId1097" Type="http://schemas.openxmlformats.org/officeDocument/2006/relationships/hyperlink" Target="https://www.mercadolivre.com.br/vendas/2000009810681504/detalhe" TargetMode="External"/><Relationship Id="rId140" Type="http://schemas.openxmlformats.org/officeDocument/2006/relationships/hyperlink" Target="https://www.mercadolivre.com.br/vendas/2000009979782328/detalhe" TargetMode="External"/><Relationship Id="rId1098" Type="http://schemas.openxmlformats.org/officeDocument/2006/relationships/hyperlink" Target="https://www.mercadolivre.com.br/vendas/2000009810705806/detalhe" TargetMode="External"/><Relationship Id="rId147" Type="http://schemas.openxmlformats.org/officeDocument/2006/relationships/hyperlink" Target="https://www.mercadolivre.com.br/vendas/2000009978646654/detalhe" TargetMode="External"/><Relationship Id="rId1099" Type="http://schemas.openxmlformats.org/officeDocument/2006/relationships/hyperlink" Target="https://www.mercadolivre.com.br/vendas/2000009810131264/detalhe" TargetMode="External"/><Relationship Id="rId146" Type="http://schemas.openxmlformats.org/officeDocument/2006/relationships/hyperlink" Target="https://www.mercadolivre.com.br/vendas/2000009978843382/detalhe" TargetMode="External"/><Relationship Id="rId145" Type="http://schemas.openxmlformats.org/officeDocument/2006/relationships/hyperlink" Target="https://www.mercadolivre.com.br/vendas/2000009978980030/detalhe" TargetMode="External"/><Relationship Id="rId144" Type="http://schemas.openxmlformats.org/officeDocument/2006/relationships/hyperlink" Target="https://www.mercadolivre.com.br/vendas/2000009979320750/detalhe" TargetMode="External"/><Relationship Id="rId139" Type="http://schemas.openxmlformats.org/officeDocument/2006/relationships/hyperlink" Target="https://www.mercadolivre.com.br/vendas/2000006720580863/detalhe" TargetMode="External"/><Relationship Id="rId138" Type="http://schemas.openxmlformats.org/officeDocument/2006/relationships/hyperlink" Target="https://www.mercadolivre.com.br/vendas/2000009980149124/detalhe" TargetMode="External"/><Relationship Id="rId137" Type="http://schemas.openxmlformats.org/officeDocument/2006/relationships/hyperlink" Target="https://www.mercadolivre.com.br/vendas/2000009980162546/detalhe" TargetMode="External"/><Relationship Id="rId1080" Type="http://schemas.openxmlformats.org/officeDocument/2006/relationships/hyperlink" Target="https://www.mercadolivre.com.br/vendas/2000009814514920/detalhe" TargetMode="External"/><Relationship Id="rId1081" Type="http://schemas.openxmlformats.org/officeDocument/2006/relationships/hyperlink" Target="https://www.mercadolivre.com.br/vendas/2000009814484632/detalhe" TargetMode="External"/><Relationship Id="rId1082" Type="http://schemas.openxmlformats.org/officeDocument/2006/relationships/hyperlink" Target="https://www.mercadolivre.com.br/vendas/2000006616594435/detalhe" TargetMode="External"/><Relationship Id="rId1083" Type="http://schemas.openxmlformats.org/officeDocument/2006/relationships/hyperlink" Target="https://www.mercadolivre.com.br/vendas/2000006616594435/detalhe" TargetMode="External"/><Relationship Id="rId132" Type="http://schemas.openxmlformats.org/officeDocument/2006/relationships/hyperlink" Target="https://www.mercadolivre.com.br/vendas/2000009981219132/detalhe" TargetMode="External"/><Relationship Id="rId1084" Type="http://schemas.openxmlformats.org/officeDocument/2006/relationships/hyperlink" Target="https://www.mercadolivre.com.br/vendas/2000006616594435/detalhe" TargetMode="External"/><Relationship Id="rId131" Type="http://schemas.openxmlformats.org/officeDocument/2006/relationships/hyperlink" Target="https://www.mercadolivre.com.br/vendas/2000009981318834/detalhe" TargetMode="External"/><Relationship Id="rId1085" Type="http://schemas.openxmlformats.org/officeDocument/2006/relationships/hyperlink" Target="https://www.mercadolivre.com.br/vendas/2000006616564929/detalhe" TargetMode="External"/><Relationship Id="rId130" Type="http://schemas.openxmlformats.org/officeDocument/2006/relationships/hyperlink" Target="https://www.mercadolivre.com.br/vendas/2000009981326750/detalhe" TargetMode="External"/><Relationship Id="rId1086" Type="http://schemas.openxmlformats.org/officeDocument/2006/relationships/hyperlink" Target="https://www.mercadolivre.com.br/vendas/2000006616530481/detalhe" TargetMode="External"/><Relationship Id="rId1087" Type="http://schemas.openxmlformats.org/officeDocument/2006/relationships/hyperlink" Target="https://www.mercadolivre.com.br/vendas/2000009814194214/detalhe" TargetMode="External"/><Relationship Id="rId136" Type="http://schemas.openxmlformats.org/officeDocument/2006/relationships/hyperlink" Target="https://www.mercadolivre.com.br/vendas/2000009980525824/detalhe" TargetMode="External"/><Relationship Id="rId1088" Type="http://schemas.openxmlformats.org/officeDocument/2006/relationships/hyperlink" Target="https://www.mercadolivre.com.br/vendas/2000006616474367/detalhe" TargetMode="External"/><Relationship Id="rId135" Type="http://schemas.openxmlformats.org/officeDocument/2006/relationships/hyperlink" Target="https://www.mercadolivre.com.br/vendas/2000006721102347/detalhe" TargetMode="External"/><Relationship Id="rId1089" Type="http://schemas.openxmlformats.org/officeDocument/2006/relationships/hyperlink" Target="https://www.mercadolivre.com.br/vendas/2000006616178559/detalhe" TargetMode="External"/><Relationship Id="rId134" Type="http://schemas.openxmlformats.org/officeDocument/2006/relationships/hyperlink" Target="https://www.mercadolivre.com.br/vendas/2000009980863356/detalhe" TargetMode="External"/><Relationship Id="rId133" Type="http://schemas.openxmlformats.org/officeDocument/2006/relationships/hyperlink" Target="https://www.mercadolivre.com.br/vendas/2000009981194038/detalhe" TargetMode="External"/><Relationship Id="rId172" Type="http://schemas.openxmlformats.org/officeDocument/2006/relationships/hyperlink" Target="https://www.mercadolivre.com.br/vendas/2000006716874623/detalhe" TargetMode="External"/><Relationship Id="rId171" Type="http://schemas.openxmlformats.org/officeDocument/2006/relationships/hyperlink" Target="https://www.mercadolivre.com.br/vendas/2000006716874623/detalhe" TargetMode="External"/><Relationship Id="rId170" Type="http://schemas.openxmlformats.org/officeDocument/2006/relationships/hyperlink" Target="https://www.mercadolivre.com.br/vendas/2000009974338196/detalhe" TargetMode="External"/><Relationship Id="rId165" Type="http://schemas.openxmlformats.org/officeDocument/2006/relationships/hyperlink" Target="https://www.mercadolivre.com.br/vendas/2000009975409800/detalhe" TargetMode="External"/><Relationship Id="rId164" Type="http://schemas.openxmlformats.org/officeDocument/2006/relationships/hyperlink" Target="https://www.mercadolivre.com.br/vendas/2000009975725558/detalhe" TargetMode="External"/><Relationship Id="rId163" Type="http://schemas.openxmlformats.org/officeDocument/2006/relationships/hyperlink" Target="https://www.mercadolivre.com.br/vendas/2000006718477819/detalhe" TargetMode="External"/><Relationship Id="rId162" Type="http://schemas.openxmlformats.org/officeDocument/2006/relationships/hyperlink" Target="https://www.mercadolivre.com.br/vendas/2000009976629352/detalhe" TargetMode="External"/><Relationship Id="rId169" Type="http://schemas.openxmlformats.org/officeDocument/2006/relationships/hyperlink" Target="https://www.mercadolivre.com.br/vendas/2000009974867070/detalhe" TargetMode="External"/><Relationship Id="rId168" Type="http://schemas.openxmlformats.org/officeDocument/2006/relationships/hyperlink" Target="https://www.mercadolivre.com.br/vendas/2000009974918676/detalhe" TargetMode="External"/><Relationship Id="rId167" Type="http://schemas.openxmlformats.org/officeDocument/2006/relationships/hyperlink" Target="https://www.mercadolivre.com.br/vendas/2000009974955528/detalhe" TargetMode="External"/><Relationship Id="rId166" Type="http://schemas.openxmlformats.org/officeDocument/2006/relationships/hyperlink" Target="https://www.mercadolivre.com.br/vendas/2000006717560903/detalhe" TargetMode="External"/><Relationship Id="rId161" Type="http://schemas.openxmlformats.org/officeDocument/2006/relationships/hyperlink" Target="https://www.mercadolivre.com.br/vendas/2000006718845313/detalhe" TargetMode="External"/><Relationship Id="rId160" Type="http://schemas.openxmlformats.org/officeDocument/2006/relationships/hyperlink" Target="https://www.mercadolivre.com.br/vendas/2000009977185854/detalhe" TargetMode="External"/><Relationship Id="rId159" Type="http://schemas.openxmlformats.org/officeDocument/2006/relationships/hyperlink" Target="https://www.mercadolivre.com.br/vendas/2000006718979229/detalhe" TargetMode="External"/><Relationship Id="rId154" Type="http://schemas.openxmlformats.org/officeDocument/2006/relationships/hyperlink" Target="https://www.mercadolivre.com.br/vendas/2000006719347719/detalhe" TargetMode="External"/><Relationship Id="rId153" Type="http://schemas.openxmlformats.org/officeDocument/2006/relationships/hyperlink" Target="https://www.mercadolivre.com.br/vendas/2000006719381731/detalhe" TargetMode="External"/><Relationship Id="rId152" Type="http://schemas.openxmlformats.org/officeDocument/2006/relationships/hyperlink" Target="https://www.mercadolivre.com.br/vendas/2000006719396691/detalhe" TargetMode="External"/><Relationship Id="rId151" Type="http://schemas.openxmlformats.org/officeDocument/2006/relationships/hyperlink" Target="https://www.mercadolivre.com.br/vendas/2000009978019946/detalhe" TargetMode="External"/><Relationship Id="rId158" Type="http://schemas.openxmlformats.org/officeDocument/2006/relationships/hyperlink" Target="https://www.mercadolivre.com.br/vendas/2000009977680336/detalhe" TargetMode="External"/><Relationship Id="rId157" Type="http://schemas.openxmlformats.org/officeDocument/2006/relationships/hyperlink" Target="https://www.mercadolivre.com.br/vendas/2000006719234271/detalhe" TargetMode="External"/><Relationship Id="rId156" Type="http://schemas.openxmlformats.org/officeDocument/2006/relationships/hyperlink" Target="https://www.mercadolivre.com.br/vendas/2000006719347719/detalhe" TargetMode="External"/><Relationship Id="rId155" Type="http://schemas.openxmlformats.org/officeDocument/2006/relationships/hyperlink" Target="https://www.mercadolivre.com.br/vendas/2000006719347719/detalhe" TargetMode="External"/><Relationship Id="rId1510" Type="http://schemas.openxmlformats.org/officeDocument/2006/relationships/hyperlink" Target="https://www.mercadolivre.com.br/vendas/2000009756101060/detalhe" TargetMode="External"/><Relationship Id="rId1511" Type="http://schemas.openxmlformats.org/officeDocument/2006/relationships/hyperlink" Target="https://www.mercadolivre.com.br/vendas/2000009755610876/detalhe" TargetMode="External"/><Relationship Id="rId1512" Type="http://schemas.openxmlformats.org/officeDocument/2006/relationships/hyperlink" Target="https://www.mercadolivre.com.br/vendas/2000009755469618/detalhe" TargetMode="External"/><Relationship Id="rId1513" Type="http://schemas.openxmlformats.org/officeDocument/2006/relationships/hyperlink" Target="https://www.mercadolivre.com.br/vendas/2000006581130221/detalhe" TargetMode="External"/><Relationship Id="rId1514" Type="http://schemas.openxmlformats.org/officeDocument/2006/relationships/hyperlink" Target="https://www.mercadolivre.com.br/vendas/2000009755039712/detalhe" TargetMode="External"/><Relationship Id="rId1515" Type="http://schemas.openxmlformats.org/officeDocument/2006/relationships/hyperlink" Target="https://www.mercadolivre.com.br/vendas/2000009754960850/detalhe" TargetMode="External"/><Relationship Id="rId1516" Type="http://schemas.openxmlformats.org/officeDocument/2006/relationships/hyperlink" Target="https://www.mercadolivre.com.br/vendas/2000006580779861/detalhe" TargetMode="External"/><Relationship Id="rId1517" Type="http://schemas.openxmlformats.org/officeDocument/2006/relationships/hyperlink" Target="https://www.mercadolivre.com.br/vendas/2000006580730693/detalhe" TargetMode="External"/><Relationship Id="rId1518" Type="http://schemas.openxmlformats.org/officeDocument/2006/relationships/hyperlink" Target="https://www.mercadolivre.com.br/vendas/2000009754641526/detalhe" TargetMode="External"/><Relationship Id="rId1519" Type="http://schemas.openxmlformats.org/officeDocument/2006/relationships/hyperlink" Target="https://www.mercadolivre.com.br/vendas/2000009754571312/detalhe" TargetMode="External"/><Relationship Id="rId1500" Type="http://schemas.openxmlformats.org/officeDocument/2006/relationships/hyperlink" Target="https://www.mercadolivre.com.br/vendas/2000009758199648/detalhe" TargetMode="External"/><Relationship Id="rId1501" Type="http://schemas.openxmlformats.org/officeDocument/2006/relationships/hyperlink" Target="https://www.mercadolivre.com.br/vendas/2000009758198080/detalhe" TargetMode="External"/><Relationship Id="rId1502" Type="http://schemas.openxmlformats.org/officeDocument/2006/relationships/hyperlink" Target="https://www.mercadolivre.com.br/vendas/2000009758076392/detalhe" TargetMode="External"/><Relationship Id="rId1503" Type="http://schemas.openxmlformats.org/officeDocument/2006/relationships/hyperlink" Target="https://www.mercadolivre.com.br/vendas/2000009752202664/detalhe" TargetMode="External"/><Relationship Id="rId1504" Type="http://schemas.openxmlformats.org/officeDocument/2006/relationships/hyperlink" Target="https://www.mercadolivre.com.br/vendas/2000009757933968/detalhe" TargetMode="External"/><Relationship Id="rId1505" Type="http://schemas.openxmlformats.org/officeDocument/2006/relationships/hyperlink" Target="https://www.mercadolivre.com.br/vendas/2000009757185548/detalhe" TargetMode="External"/><Relationship Id="rId1506" Type="http://schemas.openxmlformats.org/officeDocument/2006/relationships/hyperlink" Target="https://www.mercadolivre.com.br/vendas/2000009756949030/detalhe" TargetMode="External"/><Relationship Id="rId1507" Type="http://schemas.openxmlformats.org/officeDocument/2006/relationships/hyperlink" Target="https://www.mercadolivre.com.br/vendas/2000009756445338/detalhe" TargetMode="External"/><Relationship Id="rId1508" Type="http://schemas.openxmlformats.org/officeDocument/2006/relationships/hyperlink" Target="https://www.mercadolivre.com.br/vendas/2000009756448760/detalhe" TargetMode="External"/><Relationship Id="rId1509" Type="http://schemas.openxmlformats.org/officeDocument/2006/relationships/hyperlink" Target="https://www.mercadolivre.com.br/vendas/2000009756122040/detalhe" TargetMode="External"/><Relationship Id="rId1576" Type="http://schemas.openxmlformats.org/officeDocument/2006/relationships/hyperlink" Target="https://www.mercadolivre.com.br/vendas/2000009747850454/detalhe" TargetMode="External"/><Relationship Id="rId1577" Type="http://schemas.openxmlformats.org/officeDocument/2006/relationships/hyperlink" Target="https://www.mercadolivre.com.br/vendas/2000006576606281/detalhe" TargetMode="External"/><Relationship Id="rId1578" Type="http://schemas.openxmlformats.org/officeDocument/2006/relationships/hyperlink" Target="https://www.mercadolivre.com.br/vendas/2000009747609618/detalhe" TargetMode="External"/><Relationship Id="rId1579" Type="http://schemas.openxmlformats.org/officeDocument/2006/relationships/hyperlink" Target="https://www.mercadolivre.com.br/vendas/2000009747608058/detalhe" TargetMode="External"/><Relationship Id="rId509" Type="http://schemas.openxmlformats.org/officeDocument/2006/relationships/hyperlink" Target="https://www.mercadolivre.com.br/vendas/2000006681462683/detalhe" TargetMode="External"/><Relationship Id="rId508" Type="http://schemas.openxmlformats.org/officeDocument/2006/relationships/hyperlink" Target="https://www.mercadolivre.com.br/vendas/2000009917444608/detalhe" TargetMode="External"/><Relationship Id="rId503" Type="http://schemas.openxmlformats.org/officeDocument/2006/relationships/hyperlink" Target="https://www.mercadolivre.com.br/vendas/2000009918970988/detalhe" TargetMode="External"/><Relationship Id="rId987" Type="http://schemas.openxmlformats.org/officeDocument/2006/relationships/hyperlink" Target="https://www.mercadolivre.com.br/vendas/2000009829179490/detalhe" TargetMode="External"/><Relationship Id="rId502" Type="http://schemas.openxmlformats.org/officeDocument/2006/relationships/hyperlink" Target="https://www.mercadolivre.com.br/vendas/2000009919082204/detalhe" TargetMode="External"/><Relationship Id="rId986" Type="http://schemas.openxmlformats.org/officeDocument/2006/relationships/hyperlink" Target="https://www.mercadolivre.com.br/vendas/2000006625775287/detalhe" TargetMode="External"/><Relationship Id="rId501" Type="http://schemas.openxmlformats.org/officeDocument/2006/relationships/hyperlink" Target="https://www.mercadolivre.com.br/vendas/2000006682847219/detalhe" TargetMode="External"/><Relationship Id="rId985" Type="http://schemas.openxmlformats.org/officeDocument/2006/relationships/hyperlink" Target="https://www.mercadolivre.com.br/vendas/2000009829325676/detalhe" TargetMode="External"/><Relationship Id="rId500" Type="http://schemas.openxmlformats.org/officeDocument/2006/relationships/hyperlink" Target="https://www.mercadolivre.com.br/vendas/2000009919596692/detalhe" TargetMode="External"/><Relationship Id="rId984" Type="http://schemas.openxmlformats.org/officeDocument/2006/relationships/hyperlink" Target="https://www.mercadolivre.com.br/vendas/2000009829481696/detalhe" TargetMode="External"/><Relationship Id="rId507" Type="http://schemas.openxmlformats.org/officeDocument/2006/relationships/hyperlink" Target="https://www.mercadolivre.com.br/vendas/2000009917878514/detalhe" TargetMode="External"/><Relationship Id="rId506" Type="http://schemas.openxmlformats.org/officeDocument/2006/relationships/hyperlink" Target="https://www.mercadolivre.com.br/vendas/2000009918037536/detalhe" TargetMode="External"/><Relationship Id="rId505" Type="http://schemas.openxmlformats.org/officeDocument/2006/relationships/hyperlink" Target="https://www.mercadolivre.com.br/vendas/2000009918310842/detalhe" TargetMode="External"/><Relationship Id="rId989" Type="http://schemas.openxmlformats.org/officeDocument/2006/relationships/hyperlink" Target="https://www.mercadolivre.com.br/vendas/2000009828860328/detalhe" TargetMode="External"/><Relationship Id="rId504" Type="http://schemas.openxmlformats.org/officeDocument/2006/relationships/hyperlink" Target="https://www.mercadolivre.com.br/vendas/2000009918498532/detalhe" TargetMode="External"/><Relationship Id="rId988" Type="http://schemas.openxmlformats.org/officeDocument/2006/relationships/hyperlink" Target="https://www.mercadolivre.com.br/vendas/2000009828964250/detalhe" TargetMode="External"/><Relationship Id="rId1570" Type="http://schemas.openxmlformats.org/officeDocument/2006/relationships/hyperlink" Target="https://www.mercadolivre.com.br/vendas/2000009748345044/detalhe" TargetMode="External"/><Relationship Id="rId1571" Type="http://schemas.openxmlformats.org/officeDocument/2006/relationships/hyperlink" Target="https://www.mercadolivre.com.br/vendas/2000006576979137/detalhe" TargetMode="External"/><Relationship Id="rId983" Type="http://schemas.openxmlformats.org/officeDocument/2006/relationships/hyperlink" Target="https://www.mercadolivre.com.br/vendas/2000009829642366/detalhe" TargetMode="External"/><Relationship Id="rId1572" Type="http://schemas.openxmlformats.org/officeDocument/2006/relationships/hyperlink" Target="https://www.mercadolivre.com.br/vendas/2000009748313162/detalhe" TargetMode="External"/><Relationship Id="rId982" Type="http://schemas.openxmlformats.org/officeDocument/2006/relationships/hyperlink" Target="https://www.mercadolivre.com.br/vendas/2000006626106609/detalhe" TargetMode="External"/><Relationship Id="rId1573" Type="http://schemas.openxmlformats.org/officeDocument/2006/relationships/hyperlink" Target="https://www.mercadolivre.com.br/vendas/2000009748258858/detalhe" TargetMode="External"/><Relationship Id="rId981" Type="http://schemas.openxmlformats.org/officeDocument/2006/relationships/hyperlink" Target="https://www.mercadolivre.com.br/vendas/2000006626263139/detalhe" TargetMode="External"/><Relationship Id="rId1574" Type="http://schemas.openxmlformats.org/officeDocument/2006/relationships/hyperlink" Target="https://www.mercadolivre.com.br/vendas/2000009748201494/detalhe" TargetMode="External"/><Relationship Id="rId980" Type="http://schemas.openxmlformats.org/officeDocument/2006/relationships/hyperlink" Target="https://www.mercadolivre.com.br/vendas/2000006626472359/detalhe" TargetMode="External"/><Relationship Id="rId1575" Type="http://schemas.openxmlformats.org/officeDocument/2006/relationships/hyperlink" Target="https://www.mercadolivre.com.br/vendas/2000006576815597/detalhe" TargetMode="External"/><Relationship Id="rId1565" Type="http://schemas.openxmlformats.org/officeDocument/2006/relationships/hyperlink" Target="https://www.mercadolivre.com.br/vendas/2000009748580064/detalhe" TargetMode="External"/><Relationship Id="rId1566" Type="http://schemas.openxmlformats.org/officeDocument/2006/relationships/hyperlink" Target="https://www.mercadolivre.com.br/vendas/2000006577092523/detalhe" TargetMode="External"/><Relationship Id="rId1567" Type="http://schemas.openxmlformats.org/officeDocument/2006/relationships/hyperlink" Target="https://www.mercadolivre.com.br/vendas/2000009748502078/detalhe" TargetMode="External"/><Relationship Id="rId1568" Type="http://schemas.openxmlformats.org/officeDocument/2006/relationships/hyperlink" Target="https://www.mercadolivre.com.br/vendas/2000009748426484/detalhe" TargetMode="External"/><Relationship Id="rId1569" Type="http://schemas.openxmlformats.org/officeDocument/2006/relationships/hyperlink" Target="https://www.mercadolivre.com.br/vendas/2000009748396028/detalhe" TargetMode="External"/><Relationship Id="rId976" Type="http://schemas.openxmlformats.org/officeDocument/2006/relationships/hyperlink" Target="https://www.mercadolivre.com.br/vendas/2000009831754500/detalhe" TargetMode="External"/><Relationship Id="rId975" Type="http://schemas.openxmlformats.org/officeDocument/2006/relationships/hyperlink" Target="https://www.mercadolivre.com.br/vendas/2000009831812928/detalhe" TargetMode="External"/><Relationship Id="rId974" Type="http://schemas.openxmlformats.org/officeDocument/2006/relationships/hyperlink" Target="https://www.mercadolivre.com.br/vendas/2000009831847432/detalhe" TargetMode="External"/><Relationship Id="rId973" Type="http://schemas.openxmlformats.org/officeDocument/2006/relationships/hyperlink" Target="https://www.mercadolivre.com.br/vendas/2000006627346905/detalhe" TargetMode="External"/><Relationship Id="rId979" Type="http://schemas.openxmlformats.org/officeDocument/2006/relationships/hyperlink" Target="https://www.mercadolivre.com.br/vendas/2000009830710380/detalhe" TargetMode="External"/><Relationship Id="rId978" Type="http://schemas.openxmlformats.org/officeDocument/2006/relationships/hyperlink" Target="https://www.mercadolivre.com.br/vendas/2000009830789940/detalhe" TargetMode="External"/><Relationship Id="rId977" Type="http://schemas.openxmlformats.org/officeDocument/2006/relationships/hyperlink" Target="https://www.mercadolivre.com.br/vendas/2000009831661738/detalhe" TargetMode="External"/><Relationship Id="rId1560" Type="http://schemas.openxmlformats.org/officeDocument/2006/relationships/hyperlink" Target="https://www.mercadolivre.com.br/vendas/2000006577435585/detalhe" TargetMode="External"/><Relationship Id="rId972" Type="http://schemas.openxmlformats.org/officeDocument/2006/relationships/hyperlink" Target="https://www.mercadolivre.com.br/vendas/2000009831990080/detalhe" TargetMode="External"/><Relationship Id="rId1561" Type="http://schemas.openxmlformats.org/officeDocument/2006/relationships/hyperlink" Target="https://www.mercadolivre.com.br/vendas/2000009749124050/detalhe" TargetMode="External"/><Relationship Id="rId971" Type="http://schemas.openxmlformats.org/officeDocument/2006/relationships/hyperlink" Target="https://www.mercadolivre.com.br/vendas/2000009832057000/detalhe" TargetMode="External"/><Relationship Id="rId1562" Type="http://schemas.openxmlformats.org/officeDocument/2006/relationships/hyperlink" Target="https://www.mercadolivre.com.br/vendas/2000009749090328/detalhe" TargetMode="External"/><Relationship Id="rId970" Type="http://schemas.openxmlformats.org/officeDocument/2006/relationships/hyperlink" Target="https://www.mercadolivre.com.br/vendas/2000009832077902/detalhe" TargetMode="External"/><Relationship Id="rId1563" Type="http://schemas.openxmlformats.org/officeDocument/2006/relationships/hyperlink" Target="https://www.mercadolivre.com.br/vendas/2000009748927630/detalhe" TargetMode="External"/><Relationship Id="rId1564" Type="http://schemas.openxmlformats.org/officeDocument/2006/relationships/hyperlink" Target="https://www.mercadolivre.com.br/vendas/2000009748598318/detalhe" TargetMode="External"/><Relationship Id="rId1114" Type="http://schemas.openxmlformats.org/officeDocument/2006/relationships/hyperlink" Target="https://www.mercadolivre.com.br/vendas/2000006613002725/detalhe" TargetMode="External"/><Relationship Id="rId1598" Type="http://schemas.openxmlformats.org/officeDocument/2006/relationships/hyperlink" Target="https://www.mercadolivre.com.br/vendas/2000009744272330/detalhe" TargetMode="External"/><Relationship Id="rId1115" Type="http://schemas.openxmlformats.org/officeDocument/2006/relationships/hyperlink" Target="https://www.mercadolivre.com.br/vendas/2000009808333212/detalhe" TargetMode="External"/><Relationship Id="rId1599" Type="http://schemas.openxmlformats.org/officeDocument/2006/relationships/hyperlink" Target="https://www.mercadolivre.com.br/vendas/2000009744268212/detalhe" TargetMode="External"/><Relationship Id="rId1116" Type="http://schemas.openxmlformats.org/officeDocument/2006/relationships/hyperlink" Target="https://www.mercadolivre.com.br/vendas/2000009808211564/detalhe" TargetMode="External"/><Relationship Id="rId1117" Type="http://schemas.openxmlformats.org/officeDocument/2006/relationships/hyperlink" Target="https://www.mercadolivre.com.br/vendas/2000006612728561/detalhe" TargetMode="External"/><Relationship Id="rId1118" Type="http://schemas.openxmlformats.org/officeDocument/2006/relationships/hyperlink" Target="https://www.mercadolivre.com.br/vendas/2000009807969934/detalhe" TargetMode="External"/><Relationship Id="rId1119" Type="http://schemas.openxmlformats.org/officeDocument/2006/relationships/hyperlink" Target="https://www.mercadolivre.com.br/vendas/2000009807833212/detalhe" TargetMode="External"/><Relationship Id="rId525" Type="http://schemas.openxmlformats.org/officeDocument/2006/relationships/hyperlink" Target="https://www.mercadolivre.com.br/vendas/2000006679346147/detalhe" TargetMode="External"/><Relationship Id="rId524" Type="http://schemas.openxmlformats.org/officeDocument/2006/relationships/hyperlink" Target="https://www.mercadolivre.com.br/vendas/2000006679426531/detalhe" TargetMode="External"/><Relationship Id="rId523" Type="http://schemas.openxmlformats.org/officeDocument/2006/relationships/hyperlink" Target="https://www.mercadolivre.com.br/vendas/2000006679426531/detalhe" TargetMode="External"/><Relationship Id="rId522" Type="http://schemas.openxmlformats.org/officeDocument/2006/relationships/hyperlink" Target="https://www.mercadolivre.com.br/vendas/2000006679426531/detalhe" TargetMode="External"/><Relationship Id="rId529" Type="http://schemas.openxmlformats.org/officeDocument/2006/relationships/hyperlink" Target="https://www.mercadolivre.com.br/vendas/2000009913592990/detalhe" TargetMode="External"/><Relationship Id="rId528" Type="http://schemas.openxmlformats.org/officeDocument/2006/relationships/hyperlink" Target="https://www.mercadolivre.com.br/vendas/2000009913662928/detalhe" TargetMode="External"/><Relationship Id="rId527" Type="http://schemas.openxmlformats.org/officeDocument/2006/relationships/hyperlink" Target="https://www.mercadolivre.com.br/vendas/2000006679215437/detalhe" TargetMode="External"/><Relationship Id="rId526" Type="http://schemas.openxmlformats.org/officeDocument/2006/relationships/hyperlink" Target="https://www.mercadolivre.com.br/vendas/2000009913762758/detalhe" TargetMode="External"/><Relationship Id="rId1590" Type="http://schemas.openxmlformats.org/officeDocument/2006/relationships/hyperlink" Target="https://www.mercadolivre.com.br/vendas/2000006575846063/detalhe" TargetMode="External"/><Relationship Id="rId1591" Type="http://schemas.openxmlformats.org/officeDocument/2006/relationships/hyperlink" Target="https://www.mercadolivre.com.br/vendas/2000009746246900/detalhe" TargetMode="External"/><Relationship Id="rId1592" Type="http://schemas.openxmlformats.org/officeDocument/2006/relationships/hyperlink" Target="https://www.mercadolivre.com.br/vendas/2000006575482119/detalhe" TargetMode="External"/><Relationship Id="rId1593" Type="http://schemas.openxmlformats.org/officeDocument/2006/relationships/hyperlink" Target="https://www.mercadolivre.com.br/vendas/2000009745417416/detalhe" TargetMode="External"/><Relationship Id="rId521" Type="http://schemas.openxmlformats.org/officeDocument/2006/relationships/hyperlink" Target="https://www.mercadolivre.com.br/vendas/2000006679823353/detalhe" TargetMode="External"/><Relationship Id="rId1110" Type="http://schemas.openxmlformats.org/officeDocument/2006/relationships/hyperlink" Target="https://www.mercadolivre.com.br/vendas/2000006613358123/detalhe" TargetMode="External"/><Relationship Id="rId1594" Type="http://schemas.openxmlformats.org/officeDocument/2006/relationships/hyperlink" Target="https://www.mercadolivre.com.br/vendas/2000009744844944/detalhe" TargetMode="External"/><Relationship Id="rId520" Type="http://schemas.openxmlformats.org/officeDocument/2006/relationships/hyperlink" Target="https://www.mercadolivre.com.br/vendas/2000009894926382/detalhe" TargetMode="External"/><Relationship Id="rId1111" Type="http://schemas.openxmlformats.org/officeDocument/2006/relationships/hyperlink" Target="https://www.mercadolivre.com.br/vendas/2000006613055783/detalhe" TargetMode="External"/><Relationship Id="rId1595" Type="http://schemas.openxmlformats.org/officeDocument/2006/relationships/hyperlink" Target="https://www.mercadolivre.com.br/vendas/2000006574857837/detalhe" TargetMode="External"/><Relationship Id="rId1112" Type="http://schemas.openxmlformats.org/officeDocument/2006/relationships/hyperlink" Target="https://www.mercadolivre.com.br/vendas/2000006613015681/detalhe" TargetMode="External"/><Relationship Id="rId1596" Type="http://schemas.openxmlformats.org/officeDocument/2006/relationships/hyperlink" Target="https://www.mercadolivre.com.br/vendas/2000006574606359/detalhe" TargetMode="External"/><Relationship Id="rId1113" Type="http://schemas.openxmlformats.org/officeDocument/2006/relationships/hyperlink" Target="https://www.mercadolivre.com.br/vendas/2000009808421940/detalhe" TargetMode="External"/><Relationship Id="rId1597" Type="http://schemas.openxmlformats.org/officeDocument/2006/relationships/hyperlink" Target="https://www.mercadolivre.com.br/vendas/2000009744280362/detalhe" TargetMode="External"/><Relationship Id="rId1103" Type="http://schemas.openxmlformats.org/officeDocument/2006/relationships/hyperlink" Target="https://www.mercadolivre.com.br/vendas/2000009809471158/detalhe" TargetMode="External"/><Relationship Id="rId1587" Type="http://schemas.openxmlformats.org/officeDocument/2006/relationships/hyperlink" Target="https://www.mercadolivre.com.br/vendas/2000006575906951/detalhe" TargetMode="External"/><Relationship Id="rId1104" Type="http://schemas.openxmlformats.org/officeDocument/2006/relationships/hyperlink" Target="https://www.mercadolivre.com.br/vendas/2000006613591633/detalhe" TargetMode="External"/><Relationship Id="rId1588" Type="http://schemas.openxmlformats.org/officeDocument/2006/relationships/hyperlink" Target="https://www.mercadolivre.com.br/vendas/2000006575905897/detalhe" TargetMode="External"/><Relationship Id="rId1105" Type="http://schemas.openxmlformats.org/officeDocument/2006/relationships/hyperlink" Target="https://www.mercadolivre.com.br/vendas/2000009809353098/detalhe" TargetMode="External"/><Relationship Id="rId1589" Type="http://schemas.openxmlformats.org/officeDocument/2006/relationships/hyperlink" Target="https://www.mercadolivre.com.br/vendas/2000009746429576/detalhe" TargetMode="External"/><Relationship Id="rId1106" Type="http://schemas.openxmlformats.org/officeDocument/2006/relationships/hyperlink" Target="https://www.mercadolivre.com.br/vendas/2000009809039562/detalhe" TargetMode="External"/><Relationship Id="rId1107" Type="http://schemas.openxmlformats.org/officeDocument/2006/relationships/hyperlink" Target="https://www.mercadolivre.com.br/vendas/2000009809029934/detalhe" TargetMode="External"/><Relationship Id="rId1108" Type="http://schemas.openxmlformats.org/officeDocument/2006/relationships/hyperlink" Target="https://www.mercadolivre.com.br/vendas/2000006613358123/detalhe" TargetMode="External"/><Relationship Id="rId1109" Type="http://schemas.openxmlformats.org/officeDocument/2006/relationships/hyperlink" Target="https://www.mercadolivre.com.br/vendas/2000006613358123/detalhe" TargetMode="External"/><Relationship Id="rId519" Type="http://schemas.openxmlformats.org/officeDocument/2006/relationships/hyperlink" Target="https://www.mercadolivre.com.br/vendas/2000009915255012/detalhe" TargetMode="External"/><Relationship Id="rId514" Type="http://schemas.openxmlformats.org/officeDocument/2006/relationships/hyperlink" Target="https://www.mercadolivre.com.br/vendas/2000006680703551/detalhe" TargetMode="External"/><Relationship Id="rId998" Type="http://schemas.openxmlformats.org/officeDocument/2006/relationships/hyperlink" Target="https://www.mercadolivre.com.br/vendas/2000009827922868/detalhe" TargetMode="External"/><Relationship Id="rId513" Type="http://schemas.openxmlformats.org/officeDocument/2006/relationships/hyperlink" Target="https://www.mercadolivre.com.br/vendas/2000009916104488/detalhe" TargetMode="External"/><Relationship Id="rId997" Type="http://schemas.openxmlformats.org/officeDocument/2006/relationships/hyperlink" Target="https://www.mercadolivre.com.br/vendas/2000009828202980/detalhe" TargetMode="External"/><Relationship Id="rId512" Type="http://schemas.openxmlformats.org/officeDocument/2006/relationships/hyperlink" Target="https://www.mercadolivre.com.br/vendas/2000009916289554/detalhe" TargetMode="External"/><Relationship Id="rId996" Type="http://schemas.openxmlformats.org/officeDocument/2006/relationships/hyperlink" Target="https://www.mercadolivre.com.br/vendas/2000009828296482/detalhe" TargetMode="External"/><Relationship Id="rId511" Type="http://schemas.openxmlformats.org/officeDocument/2006/relationships/hyperlink" Target="https://www.mercadolivre.com.br/vendas/2000006680879243/detalhe" TargetMode="External"/><Relationship Id="rId995" Type="http://schemas.openxmlformats.org/officeDocument/2006/relationships/hyperlink" Target="https://www.mercadolivre.com.br/vendas/2000009828469670/detalhe" TargetMode="External"/><Relationship Id="rId518" Type="http://schemas.openxmlformats.org/officeDocument/2006/relationships/hyperlink" Target="https://www.mercadolivre.com.br/vendas/2000006680232353/detalhe" TargetMode="External"/><Relationship Id="rId517" Type="http://schemas.openxmlformats.org/officeDocument/2006/relationships/hyperlink" Target="https://www.mercadolivre.com.br/vendas/2000009915336318/detalhe" TargetMode="External"/><Relationship Id="rId516" Type="http://schemas.openxmlformats.org/officeDocument/2006/relationships/hyperlink" Target="https://www.mercadolivre.com.br/vendas/2000006680703551/detalhe" TargetMode="External"/><Relationship Id="rId515" Type="http://schemas.openxmlformats.org/officeDocument/2006/relationships/hyperlink" Target="https://www.mercadolivre.com.br/vendas/2000006680703551/detalhe" TargetMode="External"/><Relationship Id="rId999" Type="http://schemas.openxmlformats.org/officeDocument/2006/relationships/hyperlink" Target="https://www.mercadolivre.com.br/vendas/2000009827867702/detalhe" TargetMode="External"/><Relationship Id="rId990" Type="http://schemas.openxmlformats.org/officeDocument/2006/relationships/hyperlink" Target="https://www.mercadolivre.com.br/vendas/2000006625447625/detalhe" TargetMode="External"/><Relationship Id="rId1580" Type="http://schemas.openxmlformats.org/officeDocument/2006/relationships/hyperlink" Target="https://www.mercadolivre.com.br/vendas/2000009747436686/detalhe" TargetMode="External"/><Relationship Id="rId1581" Type="http://schemas.openxmlformats.org/officeDocument/2006/relationships/hyperlink" Target="https://www.mercadolivre.com.br/vendas/2000009747366314/detalhe" TargetMode="External"/><Relationship Id="rId1582" Type="http://schemas.openxmlformats.org/officeDocument/2006/relationships/hyperlink" Target="https://www.mercadolivre.com.br/vendas/2000009747061512/detalhe" TargetMode="External"/><Relationship Id="rId510" Type="http://schemas.openxmlformats.org/officeDocument/2006/relationships/hyperlink" Target="https://www.mercadolivre.com.br/vendas/2000006681062963/detalhe" TargetMode="External"/><Relationship Id="rId994" Type="http://schemas.openxmlformats.org/officeDocument/2006/relationships/hyperlink" Target="https://www.mercadolivre.com.br/vendas/2000009828483814/detalhe" TargetMode="External"/><Relationship Id="rId1583" Type="http://schemas.openxmlformats.org/officeDocument/2006/relationships/hyperlink" Target="https://www.mercadolivre.com.br/vendas/2000009747023916/detalhe" TargetMode="External"/><Relationship Id="rId993" Type="http://schemas.openxmlformats.org/officeDocument/2006/relationships/hyperlink" Target="https://www.mercadolivre.com.br/vendas/2000009828558578/detalhe" TargetMode="External"/><Relationship Id="rId1100" Type="http://schemas.openxmlformats.org/officeDocument/2006/relationships/hyperlink" Target="https://www.mercadolivre.com.br/vendas/2000006613975777/detalhe" TargetMode="External"/><Relationship Id="rId1584" Type="http://schemas.openxmlformats.org/officeDocument/2006/relationships/hyperlink" Target="https://www.mercadolivre.com.br/vendas/2000009746823600/detalhe" TargetMode="External"/><Relationship Id="rId992" Type="http://schemas.openxmlformats.org/officeDocument/2006/relationships/hyperlink" Target="https://www.mercadolivre.com.br/vendas/2000009828618850/detalhe" TargetMode="External"/><Relationship Id="rId1101" Type="http://schemas.openxmlformats.org/officeDocument/2006/relationships/hyperlink" Target="https://www.mercadolivre.com.br/vendas/2000006613975777/detalhe" TargetMode="External"/><Relationship Id="rId1585" Type="http://schemas.openxmlformats.org/officeDocument/2006/relationships/hyperlink" Target="https://www.mercadolivre.com.br/vendas/2000006576064369/detalhe" TargetMode="External"/><Relationship Id="rId991" Type="http://schemas.openxmlformats.org/officeDocument/2006/relationships/hyperlink" Target="https://www.mercadolivre.com.br/vendas/2000009828653430/detalhe" TargetMode="External"/><Relationship Id="rId1102" Type="http://schemas.openxmlformats.org/officeDocument/2006/relationships/hyperlink" Target="https://www.mercadolivre.com.br/vendas/2000006613975777/detalhe" TargetMode="External"/><Relationship Id="rId1586" Type="http://schemas.openxmlformats.org/officeDocument/2006/relationships/hyperlink" Target="https://www.mercadolivre.com.br/vendas/2000009720233032/detalhe" TargetMode="External"/><Relationship Id="rId1532" Type="http://schemas.openxmlformats.org/officeDocument/2006/relationships/hyperlink" Target="https://www.mercadolivre.com.br/vendas/2000009752338228/detalhe" TargetMode="External"/><Relationship Id="rId1533" Type="http://schemas.openxmlformats.org/officeDocument/2006/relationships/hyperlink" Target="https://www.mercadolivre.com.br/vendas/2000006578942211/detalhe" TargetMode="External"/><Relationship Id="rId1534" Type="http://schemas.openxmlformats.org/officeDocument/2006/relationships/hyperlink" Target="https://www.mercadolivre.com.br/vendas/2000009751483904/detalhe" TargetMode="External"/><Relationship Id="rId1535" Type="http://schemas.openxmlformats.org/officeDocument/2006/relationships/hyperlink" Target="https://www.mercadolivre.com.br/vendas/2000006578747939/detalhe" TargetMode="External"/><Relationship Id="rId1536" Type="http://schemas.openxmlformats.org/officeDocument/2006/relationships/hyperlink" Target="https://www.mercadolivre.com.br/vendas/2000009751153980/detalhe" TargetMode="External"/><Relationship Id="rId1537" Type="http://schemas.openxmlformats.org/officeDocument/2006/relationships/hyperlink" Target="https://www.mercadolivre.com.br/vendas/2000009750907810/detalhe" TargetMode="External"/><Relationship Id="rId1538" Type="http://schemas.openxmlformats.org/officeDocument/2006/relationships/hyperlink" Target="https://www.mercadolivre.com.br/vendas/2000009750884854/detalhe" TargetMode="External"/><Relationship Id="rId1539" Type="http://schemas.openxmlformats.org/officeDocument/2006/relationships/hyperlink" Target="https://www.mercadolivre.com.br/vendas/2000009750822140/detalhe" TargetMode="External"/><Relationship Id="rId949" Type="http://schemas.openxmlformats.org/officeDocument/2006/relationships/hyperlink" Target="https://www.mercadolivre.com.br/vendas/2000006629741863/detalhe" TargetMode="External"/><Relationship Id="rId948" Type="http://schemas.openxmlformats.org/officeDocument/2006/relationships/hyperlink" Target="https://www.mercadolivre.com.br/vendas/2000006629943321/detalhe" TargetMode="External"/><Relationship Id="rId943" Type="http://schemas.openxmlformats.org/officeDocument/2006/relationships/hyperlink" Target="https://www.mercadolivre.com.br/vendas/2000006630178605/detalhe" TargetMode="External"/><Relationship Id="rId942" Type="http://schemas.openxmlformats.org/officeDocument/2006/relationships/hyperlink" Target="https://www.mercadolivre.com.br/vendas/2000009836715698/detalhe" TargetMode="External"/><Relationship Id="rId941" Type="http://schemas.openxmlformats.org/officeDocument/2006/relationships/hyperlink" Target="https://www.mercadolivre.com.br/vendas/2000009836774606/detalhe" TargetMode="External"/><Relationship Id="rId940" Type="http://schemas.openxmlformats.org/officeDocument/2006/relationships/hyperlink" Target="https://www.mercadolivre.com.br/vendas/2000006630961161/detalhe" TargetMode="External"/><Relationship Id="rId947" Type="http://schemas.openxmlformats.org/officeDocument/2006/relationships/hyperlink" Target="https://www.mercadolivre.com.br/vendas/2000006629943321/detalhe" TargetMode="External"/><Relationship Id="rId946" Type="http://schemas.openxmlformats.org/officeDocument/2006/relationships/hyperlink" Target="https://www.mercadolivre.com.br/vendas/2000006629943321/detalhe" TargetMode="External"/><Relationship Id="rId945" Type="http://schemas.openxmlformats.org/officeDocument/2006/relationships/hyperlink" Target="https://www.mercadolivre.com.br/vendas/2000009836237290/detalhe" TargetMode="External"/><Relationship Id="rId944" Type="http://schemas.openxmlformats.org/officeDocument/2006/relationships/hyperlink" Target="https://www.mercadolivre.com.br/vendas/2000006630095343/detalhe" TargetMode="External"/><Relationship Id="rId1530" Type="http://schemas.openxmlformats.org/officeDocument/2006/relationships/hyperlink" Target="https://www.mercadolivre.com.br/vendas/2000009752817886/detalhe" TargetMode="External"/><Relationship Id="rId1531" Type="http://schemas.openxmlformats.org/officeDocument/2006/relationships/hyperlink" Target="https://www.mercadolivre.com.br/vendas/2000009741121378/detalhe" TargetMode="External"/><Relationship Id="rId1521" Type="http://schemas.openxmlformats.org/officeDocument/2006/relationships/hyperlink" Target="https://www.mercadolivre.com.br/vendas/2000009754448994/detalhe" TargetMode="External"/><Relationship Id="rId1522" Type="http://schemas.openxmlformats.org/officeDocument/2006/relationships/hyperlink" Target="https://www.mercadolivre.com.br/vendas/2000009754354096/detalhe" TargetMode="External"/><Relationship Id="rId1523" Type="http://schemas.openxmlformats.org/officeDocument/2006/relationships/hyperlink" Target="https://www.mercadolivre.com.br/vendas/2000009754250874/detalhe" TargetMode="External"/><Relationship Id="rId1524" Type="http://schemas.openxmlformats.org/officeDocument/2006/relationships/hyperlink" Target="https://www.mercadolivre.com.br/vendas/2000009754020154/detalhe" TargetMode="External"/><Relationship Id="rId1525" Type="http://schemas.openxmlformats.org/officeDocument/2006/relationships/hyperlink" Target="https://www.mercadolivre.com.br/vendas/2000009753642388/detalhe" TargetMode="External"/><Relationship Id="rId1526" Type="http://schemas.openxmlformats.org/officeDocument/2006/relationships/hyperlink" Target="https://www.mercadolivre.com.br/vendas/2000006580110683/detalhe" TargetMode="External"/><Relationship Id="rId1527" Type="http://schemas.openxmlformats.org/officeDocument/2006/relationships/hyperlink" Target="https://www.mercadolivre.com.br/vendas/2000009753552512/detalhe" TargetMode="External"/><Relationship Id="rId1528" Type="http://schemas.openxmlformats.org/officeDocument/2006/relationships/hyperlink" Target="https://www.mercadolivre.com.br/vendas/2000009753070110/detalhe" TargetMode="External"/><Relationship Id="rId1529" Type="http://schemas.openxmlformats.org/officeDocument/2006/relationships/hyperlink" Target="https://www.mercadolivre.com.br/vendas/2000006579687677/detalhe" TargetMode="External"/><Relationship Id="rId939" Type="http://schemas.openxmlformats.org/officeDocument/2006/relationships/hyperlink" Target="https://www.mercadolivre.com.br/vendas/2000006630961161/detalhe" TargetMode="External"/><Relationship Id="rId938" Type="http://schemas.openxmlformats.org/officeDocument/2006/relationships/hyperlink" Target="https://www.mercadolivre.com.br/vendas/2000006630961161/detalhe" TargetMode="External"/><Relationship Id="rId937" Type="http://schemas.openxmlformats.org/officeDocument/2006/relationships/hyperlink" Target="https://www.mercadolivre.com.br/vendas/2000009837957134/detalhe" TargetMode="External"/><Relationship Id="rId932" Type="http://schemas.openxmlformats.org/officeDocument/2006/relationships/hyperlink" Target="https://www.mercadolivre.com.br/vendas/2000009838495772/detalhe" TargetMode="External"/><Relationship Id="rId931" Type="http://schemas.openxmlformats.org/officeDocument/2006/relationships/hyperlink" Target="https://www.mercadolivre.com.br/vendas/2000006631542469/detalhe" TargetMode="External"/><Relationship Id="rId930" Type="http://schemas.openxmlformats.org/officeDocument/2006/relationships/hyperlink" Target="https://www.mercadolivre.com.br/vendas/2000009838563718/detalhe" TargetMode="External"/><Relationship Id="rId936" Type="http://schemas.openxmlformats.org/officeDocument/2006/relationships/hyperlink" Target="https://www.mercadolivre.com.br/vendas/2000009837955906/detalhe" TargetMode="External"/><Relationship Id="rId935" Type="http://schemas.openxmlformats.org/officeDocument/2006/relationships/hyperlink" Target="https://www.mercadolivre.com.br/vendas/2000009838009480/detalhe" TargetMode="External"/><Relationship Id="rId934" Type="http://schemas.openxmlformats.org/officeDocument/2006/relationships/hyperlink" Target="https://www.mercadolivre.com.br/vendas/2000009838112188/detalhe" TargetMode="External"/><Relationship Id="rId933" Type="http://schemas.openxmlformats.org/officeDocument/2006/relationships/hyperlink" Target="https://www.mercadolivre.com.br/vendas/2000009838210254/detalhe" TargetMode="External"/><Relationship Id="rId1520" Type="http://schemas.openxmlformats.org/officeDocument/2006/relationships/hyperlink" Target="https://www.mercadolivre.com.br/vendas/2000009754454444/detalhe" TargetMode="External"/><Relationship Id="rId1554" Type="http://schemas.openxmlformats.org/officeDocument/2006/relationships/hyperlink" Target="https://www.mercadolivre.com.br/vendas/2000009750155342/detalhe" TargetMode="External"/><Relationship Id="rId1555" Type="http://schemas.openxmlformats.org/officeDocument/2006/relationships/hyperlink" Target="https://www.mercadolivre.com.br/vendas/2000009750123290/detalhe" TargetMode="External"/><Relationship Id="rId1556" Type="http://schemas.openxmlformats.org/officeDocument/2006/relationships/hyperlink" Target="https://www.mercadolivre.com.br/vendas/2000009750025424/detalhe" TargetMode="External"/><Relationship Id="rId1557" Type="http://schemas.openxmlformats.org/officeDocument/2006/relationships/hyperlink" Target="https://www.mercadolivre.com.br/vendas/2000009749582450/detalhe" TargetMode="External"/><Relationship Id="rId1558" Type="http://schemas.openxmlformats.org/officeDocument/2006/relationships/hyperlink" Target="https://www.mercadolivre.com.br/vendas/2000006577550645/detalhe" TargetMode="External"/><Relationship Id="rId1559" Type="http://schemas.openxmlformats.org/officeDocument/2006/relationships/hyperlink" Target="https://www.mercadolivre.com.br/vendas/2000009749304752/detalhe" TargetMode="External"/><Relationship Id="rId965" Type="http://schemas.openxmlformats.org/officeDocument/2006/relationships/hyperlink" Target="https://www.mercadolivre.com.br/vendas/2000009832653380/detalhe" TargetMode="External"/><Relationship Id="rId964" Type="http://schemas.openxmlformats.org/officeDocument/2006/relationships/hyperlink" Target="https://www.mercadolivre.com.br/vendas/2000009833373650/detalhe" TargetMode="External"/><Relationship Id="rId963" Type="http://schemas.openxmlformats.org/officeDocument/2006/relationships/hyperlink" Target="https://www.mercadolivre.com.br/vendas/2000009833831544/detalhe" TargetMode="External"/><Relationship Id="rId962" Type="http://schemas.openxmlformats.org/officeDocument/2006/relationships/hyperlink" Target="https://www.mercadolivre.com.br/vendas/2000009833852056/detalhe" TargetMode="External"/><Relationship Id="rId969" Type="http://schemas.openxmlformats.org/officeDocument/2006/relationships/hyperlink" Target="https://www.mercadolivre.com.br/vendas/2000009832124232/detalhe" TargetMode="External"/><Relationship Id="rId968" Type="http://schemas.openxmlformats.org/officeDocument/2006/relationships/hyperlink" Target="https://www.mercadolivre.com.br/vendas/2000009832380512/detalhe" TargetMode="External"/><Relationship Id="rId967" Type="http://schemas.openxmlformats.org/officeDocument/2006/relationships/hyperlink" Target="https://www.mercadolivre.com.br/vendas/2000006627701293/detalhe" TargetMode="External"/><Relationship Id="rId966" Type="http://schemas.openxmlformats.org/officeDocument/2006/relationships/hyperlink" Target="https://www.mercadolivre.com.br/vendas/2000009832540378/detalhe" TargetMode="External"/><Relationship Id="rId961" Type="http://schemas.openxmlformats.org/officeDocument/2006/relationships/hyperlink" Target="https://www.mercadolivre.com.br/vendas/2000009833858772/detalhe" TargetMode="External"/><Relationship Id="rId1550" Type="http://schemas.openxmlformats.org/officeDocument/2006/relationships/hyperlink" Target="https://www.mercadolivre.com.br/vendas/2000006578074401/detalhe" TargetMode="External"/><Relationship Id="rId960" Type="http://schemas.openxmlformats.org/officeDocument/2006/relationships/hyperlink" Target="https://www.mercadolivre.com.br/vendas/2000009834442312/detalhe" TargetMode="External"/><Relationship Id="rId1551" Type="http://schemas.openxmlformats.org/officeDocument/2006/relationships/hyperlink" Target="https://www.mercadolivre.com.br/vendas/2000006578074401/detalhe" TargetMode="External"/><Relationship Id="rId1552" Type="http://schemas.openxmlformats.org/officeDocument/2006/relationships/hyperlink" Target="https://www.mercadolivre.com.br/vendas/2000009750187954/detalhe" TargetMode="External"/><Relationship Id="rId1553" Type="http://schemas.openxmlformats.org/officeDocument/2006/relationships/hyperlink" Target="https://www.mercadolivre.com.br/vendas/novo/mensagens/2000009750187954/mediacao/5320694906" TargetMode="External"/><Relationship Id="rId1543" Type="http://schemas.openxmlformats.org/officeDocument/2006/relationships/hyperlink" Target="https://www.mercadolivre.com.br/vendas/2000006578373833/detalhe" TargetMode="External"/><Relationship Id="rId1544" Type="http://schemas.openxmlformats.org/officeDocument/2006/relationships/hyperlink" Target="https://www.mercadolivre.com.br/vendas/2000006578373833/detalhe" TargetMode="External"/><Relationship Id="rId1545" Type="http://schemas.openxmlformats.org/officeDocument/2006/relationships/hyperlink" Target="https://www.mercadolivre.com.br/vendas/2000006578373833/detalhe" TargetMode="External"/><Relationship Id="rId1546" Type="http://schemas.openxmlformats.org/officeDocument/2006/relationships/hyperlink" Target="https://www.mercadolivre.com.br/vendas/2000009750611280/detalhe" TargetMode="External"/><Relationship Id="rId1547" Type="http://schemas.openxmlformats.org/officeDocument/2006/relationships/hyperlink" Target="https://www.mercadolivre.com.br/vendas/2000009750360324/detalhe" TargetMode="External"/><Relationship Id="rId1548" Type="http://schemas.openxmlformats.org/officeDocument/2006/relationships/hyperlink" Target="https://www.mercadolivre.com.br/vendas/2000009750325950/detalhe" TargetMode="External"/><Relationship Id="rId1549" Type="http://schemas.openxmlformats.org/officeDocument/2006/relationships/hyperlink" Target="https://www.mercadolivre.com.br/vendas/2000006578074401/detalhe" TargetMode="External"/><Relationship Id="rId959" Type="http://schemas.openxmlformats.org/officeDocument/2006/relationships/hyperlink" Target="https://www.mercadolivre.com.br/vendas/2000006629205207/detalhe" TargetMode="External"/><Relationship Id="rId954" Type="http://schemas.openxmlformats.org/officeDocument/2006/relationships/hyperlink" Target="https://www.mercadolivre.com.br/vendas/2000009835268434/detalhe" TargetMode="External"/><Relationship Id="rId953" Type="http://schemas.openxmlformats.org/officeDocument/2006/relationships/hyperlink" Target="https://www.mercadolivre.com.br/vendas/2000009812962498/detalhe" TargetMode="External"/><Relationship Id="rId952" Type="http://schemas.openxmlformats.org/officeDocument/2006/relationships/hyperlink" Target="https://www.mercadolivre.com.br/vendas/2000006629571301/detalhe" TargetMode="External"/><Relationship Id="rId951" Type="http://schemas.openxmlformats.org/officeDocument/2006/relationships/hyperlink" Target="https://www.mercadolivre.com.br/vendas/2000006629570983/detalhe" TargetMode="External"/><Relationship Id="rId958" Type="http://schemas.openxmlformats.org/officeDocument/2006/relationships/hyperlink" Target="https://www.mercadolivre.com.br/vendas/2000006629326249/detalhe" TargetMode="External"/><Relationship Id="rId957" Type="http://schemas.openxmlformats.org/officeDocument/2006/relationships/hyperlink" Target="https://www.mercadolivre.com.br/vendas/2000009835118402/detalhe" TargetMode="External"/><Relationship Id="rId956" Type="http://schemas.openxmlformats.org/officeDocument/2006/relationships/hyperlink" Target="https://www.mercadolivre.com.br/vendas/2000009834976566/detalhe" TargetMode="External"/><Relationship Id="rId955" Type="http://schemas.openxmlformats.org/officeDocument/2006/relationships/hyperlink" Target="https://www.mercadolivre.com.br/vendas/2000009835207802/detalhe" TargetMode="External"/><Relationship Id="rId950" Type="http://schemas.openxmlformats.org/officeDocument/2006/relationships/hyperlink" Target="https://www.mercadolivre.com.br/vendas/2000009835689782/detalhe" TargetMode="External"/><Relationship Id="rId1540" Type="http://schemas.openxmlformats.org/officeDocument/2006/relationships/hyperlink" Target="https://www.mercadolivre.com.br/vendas/2000009750808596/detalhe" TargetMode="External"/><Relationship Id="rId1541" Type="http://schemas.openxmlformats.org/officeDocument/2006/relationships/hyperlink" Target="https://www.mercadolivre.com.br/vendas/2000009750788506/detalhe" TargetMode="External"/><Relationship Id="rId1542" Type="http://schemas.openxmlformats.org/officeDocument/2006/relationships/hyperlink" Target="https://www.mercadolivre.com.br/vendas/2000006578373833/detalhe" TargetMode="External"/><Relationship Id="rId590" Type="http://schemas.openxmlformats.org/officeDocument/2006/relationships/hyperlink" Target="https://www.mercadolivre.com.br/vendas/2000009903849232/detalhe" TargetMode="External"/><Relationship Id="rId107" Type="http://schemas.openxmlformats.org/officeDocument/2006/relationships/hyperlink" Target="https://www.mercadolivre.com.br/vendas/2000006724910963/detalhe" TargetMode="External"/><Relationship Id="rId106" Type="http://schemas.openxmlformats.org/officeDocument/2006/relationships/hyperlink" Target="https://www.mercadolivre.com.br/vendas/2000009987278098/detalhe" TargetMode="External"/><Relationship Id="rId105" Type="http://schemas.openxmlformats.org/officeDocument/2006/relationships/hyperlink" Target="https://www.mercadolivre.com.br/vendas/2000009987551120/detalhe" TargetMode="External"/><Relationship Id="rId589" Type="http://schemas.openxmlformats.org/officeDocument/2006/relationships/hyperlink" Target="https://www.mercadolivre.com.br/vendas/2000006673137747/detalhe" TargetMode="External"/><Relationship Id="rId104" Type="http://schemas.openxmlformats.org/officeDocument/2006/relationships/hyperlink" Target="https://www.mercadolivre.com.br/vendas/2000006724395861/detalhe" TargetMode="External"/><Relationship Id="rId588" Type="http://schemas.openxmlformats.org/officeDocument/2006/relationships/hyperlink" Target="https://www.mercadolivre.com.br/vendas/2000009904110008/detalhe" TargetMode="External"/><Relationship Id="rId109" Type="http://schemas.openxmlformats.org/officeDocument/2006/relationships/hyperlink" Target="https://www.mercadolivre.com.br/vendas/2000006724735735/detalhe" TargetMode="External"/><Relationship Id="rId1170" Type="http://schemas.openxmlformats.org/officeDocument/2006/relationships/hyperlink" Target="https://www.mercadolivre.com.br/vendas/2000009800645404/detalhe" TargetMode="External"/><Relationship Id="rId108" Type="http://schemas.openxmlformats.org/officeDocument/2006/relationships/hyperlink" Target="https://www.mercadolivre.com.br/vendas/2000009986876020/detalhe" TargetMode="External"/><Relationship Id="rId1171" Type="http://schemas.openxmlformats.org/officeDocument/2006/relationships/hyperlink" Target="https://www.mercadolivre.com.br/vendas/2000006608175877/detalhe" TargetMode="External"/><Relationship Id="rId583" Type="http://schemas.openxmlformats.org/officeDocument/2006/relationships/hyperlink" Target="https://www.mercadolivre.com.br/vendas/2000009904398156/detalhe" TargetMode="External"/><Relationship Id="rId1172" Type="http://schemas.openxmlformats.org/officeDocument/2006/relationships/hyperlink" Target="https://www.mercadolivre.com.br/vendas/2000006608175877/detalhe" TargetMode="External"/><Relationship Id="rId582" Type="http://schemas.openxmlformats.org/officeDocument/2006/relationships/hyperlink" Target="https://www.mercadolivre.com.br/vendas/2000006673490679/detalhe" TargetMode="External"/><Relationship Id="rId1173" Type="http://schemas.openxmlformats.org/officeDocument/2006/relationships/hyperlink" Target="https://www.mercadolivre.com.br/vendas/2000006608175877/detalhe" TargetMode="External"/><Relationship Id="rId581" Type="http://schemas.openxmlformats.org/officeDocument/2006/relationships/hyperlink" Target="https://www.mercadolivre.com.br/vendas/2000009904710274/detalhe" TargetMode="External"/><Relationship Id="rId1174" Type="http://schemas.openxmlformats.org/officeDocument/2006/relationships/hyperlink" Target="https://www.mercadolivre.com.br/vendas/2000006608175877/detalhe" TargetMode="External"/><Relationship Id="rId580" Type="http://schemas.openxmlformats.org/officeDocument/2006/relationships/hyperlink" Target="https://www.mercadolivre.com.br/vendas/2000009904836798/detalhe" TargetMode="External"/><Relationship Id="rId1175" Type="http://schemas.openxmlformats.org/officeDocument/2006/relationships/hyperlink" Target="https://www.mercadolivre.com.br/vendas/2000009800125386/detalhe" TargetMode="External"/><Relationship Id="rId103" Type="http://schemas.openxmlformats.org/officeDocument/2006/relationships/hyperlink" Target="https://www.mercadolivre.com.br/vendas/2000006726523173/detalhe" TargetMode="External"/><Relationship Id="rId587" Type="http://schemas.openxmlformats.org/officeDocument/2006/relationships/hyperlink" Target="https://www.mercadolivre.com.br/vendas/2000009904232964/detalhe" TargetMode="External"/><Relationship Id="rId1176" Type="http://schemas.openxmlformats.org/officeDocument/2006/relationships/hyperlink" Target="https://www.mercadolivre.com.br/vendas/2000006607915285/detalhe" TargetMode="External"/><Relationship Id="rId102" Type="http://schemas.openxmlformats.org/officeDocument/2006/relationships/hyperlink" Target="https://www.mercadolivre.com.br/vendas/2000006726643131/detalhe" TargetMode="External"/><Relationship Id="rId586" Type="http://schemas.openxmlformats.org/officeDocument/2006/relationships/hyperlink" Target="https://www.mercadolivre.com.br/vendas/2000006673417427/detalhe" TargetMode="External"/><Relationship Id="rId1177" Type="http://schemas.openxmlformats.org/officeDocument/2006/relationships/hyperlink" Target="https://www.mercadolivre.com.br/vendas/2000006607819291/detalhe" TargetMode="External"/><Relationship Id="rId101" Type="http://schemas.openxmlformats.org/officeDocument/2006/relationships/hyperlink" Target="https://www.mercadolivre.com.br/vendas/2000009990254890/detalhe" TargetMode="External"/><Relationship Id="rId585" Type="http://schemas.openxmlformats.org/officeDocument/2006/relationships/hyperlink" Target="https://www.mercadolivre.com.br/vendas/2000006673417427/detalhe" TargetMode="External"/><Relationship Id="rId1178" Type="http://schemas.openxmlformats.org/officeDocument/2006/relationships/hyperlink" Target="https://www.mercadolivre.com.br/vendas/2000006607804905/detalhe" TargetMode="External"/><Relationship Id="rId100" Type="http://schemas.openxmlformats.org/officeDocument/2006/relationships/hyperlink" Target="https://www.mercadolivre.com.br/vendas/2000009990400476/detalhe" TargetMode="External"/><Relationship Id="rId584" Type="http://schemas.openxmlformats.org/officeDocument/2006/relationships/hyperlink" Target="https://www.mercadolivre.com.br/vendas/2000006673417427/detalhe" TargetMode="External"/><Relationship Id="rId1179" Type="http://schemas.openxmlformats.org/officeDocument/2006/relationships/hyperlink" Target="https://www.mercadolivre.com.br/vendas/2000006607756223/detalhe" TargetMode="External"/><Relationship Id="rId1169" Type="http://schemas.openxmlformats.org/officeDocument/2006/relationships/hyperlink" Target="https://www.mercadolivre.com.br/vendas/2000009800682952/detalhe" TargetMode="External"/><Relationship Id="rId579" Type="http://schemas.openxmlformats.org/officeDocument/2006/relationships/hyperlink" Target="https://www.mercadolivre.com.br/vendas/2000009905148692/detalhe" TargetMode="External"/><Relationship Id="rId578" Type="http://schemas.openxmlformats.org/officeDocument/2006/relationships/hyperlink" Target="https://www.mercadolivre.com.br/vendas/2000009905224472/detalhe" TargetMode="External"/><Relationship Id="rId577" Type="http://schemas.openxmlformats.org/officeDocument/2006/relationships/hyperlink" Target="https://www.mercadolivre.com.br/vendas/2000009905286524/detalhe" TargetMode="External"/><Relationship Id="rId1160" Type="http://schemas.openxmlformats.org/officeDocument/2006/relationships/hyperlink" Target="https://www.mercadolivre.com.br/vendas/2000009802654630/detalhe" TargetMode="External"/><Relationship Id="rId572" Type="http://schemas.openxmlformats.org/officeDocument/2006/relationships/hyperlink" Target="https://www.mercadolivre.com.br/vendas/2000009906028500/detalhe" TargetMode="External"/><Relationship Id="rId1161" Type="http://schemas.openxmlformats.org/officeDocument/2006/relationships/hyperlink" Target="https://www.mercadolivre.com.br/vendas/2000009802529950/detalhe" TargetMode="External"/><Relationship Id="rId571" Type="http://schemas.openxmlformats.org/officeDocument/2006/relationships/hyperlink" Target="https://www.mercadolivre.com.br/vendas/2000009906472108/detalhe" TargetMode="External"/><Relationship Id="rId1162" Type="http://schemas.openxmlformats.org/officeDocument/2006/relationships/hyperlink" Target="https://www.mercadolivre.com.br/vendas/2000009802279368/detalhe" TargetMode="External"/><Relationship Id="rId570" Type="http://schemas.openxmlformats.org/officeDocument/2006/relationships/hyperlink" Target="https://www.mercadolivre.com.br/vendas/2000006674996355/detalhe" TargetMode="External"/><Relationship Id="rId1163" Type="http://schemas.openxmlformats.org/officeDocument/2006/relationships/hyperlink" Target="https://www.mercadolivre.com.br/vendas/2000009802207060/detalhe" TargetMode="External"/><Relationship Id="rId1164" Type="http://schemas.openxmlformats.org/officeDocument/2006/relationships/hyperlink" Target="https://www.mercadolivre.com.br/vendas/2000009801974132/detalhe" TargetMode="External"/><Relationship Id="rId576" Type="http://schemas.openxmlformats.org/officeDocument/2006/relationships/hyperlink" Target="https://www.mercadolivre.com.br/vendas/2000006674080001/detalhe" TargetMode="External"/><Relationship Id="rId1165" Type="http://schemas.openxmlformats.org/officeDocument/2006/relationships/hyperlink" Target="https://www.mercadolivre.com.br/vendas/2000006609060893/detalhe" TargetMode="External"/><Relationship Id="rId575" Type="http://schemas.openxmlformats.org/officeDocument/2006/relationships/hyperlink" Target="https://www.mercadolivre.com.br/vendas/2000009905673496/detalhe" TargetMode="External"/><Relationship Id="rId1166" Type="http://schemas.openxmlformats.org/officeDocument/2006/relationships/hyperlink" Target="https://www.mercadolivre.com.br/vendas/2000009801744856/detalhe" TargetMode="External"/><Relationship Id="rId574" Type="http://schemas.openxmlformats.org/officeDocument/2006/relationships/hyperlink" Target="https://www.mercadolivre.com.br/vendas/2000006674276399/detalhe" TargetMode="External"/><Relationship Id="rId1167" Type="http://schemas.openxmlformats.org/officeDocument/2006/relationships/hyperlink" Target="https://www.mercadolivre.com.br/vendas/2000009801069354/detalhe" TargetMode="External"/><Relationship Id="rId573" Type="http://schemas.openxmlformats.org/officeDocument/2006/relationships/hyperlink" Target="https://www.mercadolivre.com.br/vendas/2000009905744806/detalhe" TargetMode="External"/><Relationship Id="rId1168" Type="http://schemas.openxmlformats.org/officeDocument/2006/relationships/hyperlink" Target="https://www.mercadolivre.com.br/vendas/2000009800877816/detalhe" TargetMode="External"/><Relationship Id="rId129" Type="http://schemas.openxmlformats.org/officeDocument/2006/relationships/hyperlink" Target="https://www.mercadolivre.com.br/vendas/2000006721956917/detalhe" TargetMode="External"/><Relationship Id="rId128" Type="http://schemas.openxmlformats.org/officeDocument/2006/relationships/hyperlink" Target="https://www.mercadolivre.com.br/vendas/2000009982169884/detalhe" TargetMode="External"/><Relationship Id="rId127" Type="http://schemas.openxmlformats.org/officeDocument/2006/relationships/hyperlink" Target="https://www.mercadolivre.com.br/vendas/2000009982464528/detalhe" TargetMode="External"/><Relationship Id="rId126" Type="http://schemas.openxmlformats.org/officeDocument/2006/relationships/hyperlink" Target="https://www.mercadolivre.com.br/vendas/2000006722430753/detalhe" TargetMode="External"/><Relationship Id="rId1190" Type="http://schemas.openxmlformats.org/officeDocument/2006/relationships/hyperlink" Target="https://www.mercadolivre.com.br/vendas/2000006607155079/detalhe" TargetMode="External"/><Relationship Id="rId1191" Type="http://schemas.openxmlformats.org/officeDocument/2006/relationships/hyperlink" Target="https://www.mercadolivre.com.br/vendas/2000006607155079/detalhe" TargetMode="External"/><Relationship Id="rId1192" Type="http://schemas.openxmlformats.org/officeDocument/2006/relationships/hyperlink" Target="https://www.mercadolivre.com.br/vendas/2000006607071521/detalhe" TargetMode="External"/><Relationship Id="rId1193" Type="http://schemas.openxmlformats.org/officeDocument/2006/relationships/hyperlink" Target="https://www.mercadolivre.com.br/vendas/2000009798359934/detalhe" TargetMode="External"/><Relationship Id="rId121" Type="http://schemas.openxmlformats.org/officeDocument/2006/relationships/hyperlink" Target="https://www.mercadolivre.com.br/vendas/2000006723101787/detalhe" TargetMode="External"/><Relationship Id="rId1194" Type="http://schemas.openxmlformats.org/officeDocument/2006/relationships/hyperlink" Target="https://www.mercadolivre.com.br/vendas/2000009798350536/detalhe" TargetMode="External"/><Relationship Id="rId120" Type="http://schemas.openxmlformats.org/officeDocument/2006/relationships/hyperlink" Target="https://www.mercadolivre.com.br/vendas/2000009984290858/detalhe" TargetMode="External"/><Relationship Id="rId1195" Type="http://schemas.openxmlformats.org/officeDocument/2006/relationships/hyperlink" Target="https://www.mercadolivre.com.br/vendas/2000009798123232/detalhe" TargetMode="External"/><Relationship Id="rId1196" Type="http://schemas.openxmlformats.org/officeDocument/2006/relationships/hyperlink" Target="https://www.mercadolivre.com.br/vendas/2000009798015904/detalhe" TargetMode="External"/><Relationship Id="rId1197" Type="http://schemas.openxmlformats.org/officeDocument/2006/relationships/hyperlink" Target="https://www.mercadolivre.com.br/vendas/2000009797953600/detalhe" TargetMode="External"/><Relationship Id="rId125" Type="http://schemas.openxmlformats.org/officeDocument/2006/relationships/hyperlink" Target="https://www.mercadolivre.com.br/vendas/2000009983409690/detalhe" TargetMode="External"/><Relationship Id="rId1198" Type="http://schemas.openxmlformats.org/officeDocument/2006/relationships/hyperlink" Target="https://www.mercadolivre.com.br/vendas/2000006606622265/detalhe" TargetMode="External"/><Relationship Id="rId124" Type="http://schemas.openxmlformats.org/officeDocument/2006/relationships/hyperlink" Target="https://www.mercadolivre.com.br/vendas/2000009983463888/detalhe" TargetMode="External"/><Relationship Id="rId1199" Type="http://schemas.openxmlformats.org/officeDocument/2006/relationships/hyperlink" Target="https://www.mercadolivre.com.br/vendas/2000009797730028/detalhe" TargetMode="External"/><Relationship Id="rId123" Type="http://schemas.openxmlformats.org/officeDocument/2006/relationships/hyperlink" Target="https://www.mercadolivre.com.br/vendas/2000009983488216/detalhe" TargetMode="External"/><Relationship Id="rId122" Type="http://schemas.openxmlformats.org/officeDocument/2006/relationships/hyperlink" Target="https://www.mercadolivre.com.br/vendas/2000006722847699/detalhe" TargetMode="External"/><Relationship Id="rId118" Type="http://schemas.openxmlformats.org/officeDocument/2006/relationships/hyperlink" Target="https://www.mercadolivre.com.br/vendas/2000009984708202/detalhe" TargetMode="External"/><Relationship Id="rId117" Type="http://schemas.openxmlformats.org/officeDocument/2006/relationships/hyperlink" Target="https://www.mercadolivre.com.br/vendas/2000006723715779/detalhe" TargetMode="External"/><Relationship Id="rId116" Type="http://schemas.openxmlformats.org/officeDocument/2006/relationships/hyperlink" Target="https://www.mercadolivre.com.br/vendas/novo/mensagens/2000006724217657/mediacao/5324010951" TargetMode="External"/><Relationship Id="rId115" Type="http://schemas.openxmlformats.org/officeDocument/2006/relationships/hyperlink" Target="https://www.mercadolivre.com.br/vendas/2000006724217657/detalhe" TargetMode="External"/><Relationship Id="rId599" Type="http://schemas.openxmlformats.org/officeDocument/2006/relationships/hyperlink" Target="https://www.mercadolivre.com.br/vendas/2000009902566636/detalhe" TargetMode="External"/><Relationship Id="rId1180" Type="http://schemas.openxmlformats.org/officeDocument/2006/relationships/hyperlink" Target="https://www.mercadolivre.com.br/vendas/2000006607771331/detalhe" TargetMode="External"/><Relationship Id="rId1181" Type="http://schemas.openxmlformats.org/officeDocument/2006/relationships/hyperlink" Target="https://www.mercadolivre.com.br/vendas/2000009799361226/detalhe" TargetMode="External"/><Relationship Id="rId119" Type="http://schemas.openxmlformats.org/officeDocument/2006/relationships/hyperlink" Target="https://www.mercadolivre.com.br/vendas/2000006723414651/detalhe" TargetMode="External"/><Relationship Id="rId1182" Type="http://schemas.openxmlformats.org/officeDocument/2006/relationships/hyperlink" Target="https://www.mercadolivre.com.br/vendas/novo/mensagens/2000009799361226/reclamacao/5325215274" TargetMode="External"/><Relationship Id="rId110" Type="http://schemas.openxmlformats.org/officeDocument/2006/relationships/hyperlink" Target="https://www.mercadolivre.com.br/vendas/2000006724454631/detalhe" TargetMode="External"/><Relationship Id="rId594" Type="http://schemas.openxmlformats.org/officeDocument/2006/relationships/hyperlink" Target="https://www.mercadolivre.com.br/vendas/2000009903120476/detalhe" TargetMode="External"/><Relationship Id="rId1183" Type="http://schemas.openxmlformats.org/officeDocument/2006/relationships/hyperlink" Target="https://www.mercadolivre.com.br/vendas/2000009799325388/detalhe" TargetMode="External"/><Relationship Id="rId593" Type="http://schemas.openxmlformats.org/officeDocument/2006/relationships/hyperlink" Target="https://www.mercadolivre.com.br/vendas/2000009903154426/detalhe" TargetMode="External"/><Relationship Id="rId1184" Type="http://schemas.openxmlformats.org/officeDocument/2006/relationships/hyperlink" Target="https://www.mercadolivre.com.br/vendas/2000006607468229/detalhe" TargetMode="External"/><Relationship Id="rId592" Type="http://schemas.openxmlformats.org/officeDocument/2006/relationships/hyperlink" Target="https://www.mercadolivre.com.br/vendas/2000006672708721/detalhe" TargetMode="External"/><Relationship Id="rId1185" Type="http://schemas.openxmlformats.org/officeDocument/2006/relationships/hyperlink" Target="https://www.mercadolivre.com.br/vendas/2000009799210944/detalhe" TargetMode="External"/><Relationship Id="rId591" Type="http://schemas.openxmlformats.org/officeDocument/2006/relationships/hyperlink" Target="https://www.mercadolivre.com.br/vendas/2000009903470616/detalhe" TargetMode="External"/><Relationship Id="rId1186" Type="http://schemas.openxmlformats.org/officeDocument/2006/relationships/hyperlink" Target="https://www.mercadolivre.com.br/vendas/2000009799138778/detalhe" TargetMode="External"/><Relationship Id="rId114" Type="http://schemas.openxmlformats.org/officeDocument/2006/relationships/hyperlink" Target="https://www.mercadolivre.com.br/vendas/2000006724258627/detalhe" TargetMode="External"/><Relationship Id="rId598" Type="http://schemas.openxmlformats.org/officeDocument/2006/relationships/hyperlink" Target="https://www.mercadolivre.com.br/vendas/2000009902816912/detalhe" TargetMode="External"/><Relationship Id="rId1187" Type="http://schemas.openxmlformats.org/officeDocument/2006/relationships/hyperlink" Target="https://www.mercadolivre.com.br/vendas/2000009799109772/detalhe" TargetMode="External"/><Relationship Id="rId113" Type="http://schemas.openxmlformats.org/officeDocument/2006/relationships/hyperlink" Target="https://www.mercadolivre.com.br/vendas/2000006724349775/detalhe" TargetMode="External"/><Relationship Id="rId597" Type="http://schemas.openxmlformats.org/officeDocument/2006/relationships/hyperlink" Target="https://www.mercadolivre.com.br/vendas/2000009902884774/detalhe" TargetMode="External"/><Relationship Id="rId1188" Type="http://schemas.openxmlformats.org/officeDocument/2006/relationships/hyperlink" Target="https://www.mercadolivre.com.br/vendas/2000006607155079/detalhe" TargetMode="External"/><Relationship Id="rId112" Type="http://schemas.openxmlformats.org/officeDocument/2006/relationships/hyperlink" Target="https://www.mercadolivre.com.br/vendas/2000009986037618/detalhe" TargetMode="External"/><Relationship Id="rId596" Type="http://schemas.openxmlformats.org/officeDocument/2006/relationships/hyperlink" Target="https://www.mercadolivre.com.br/vendas/2000006672552013/detalhe" TargetMode="External"/><Relationship Id="rId1189" Type="http://schemas.openxmlformats.org/officeDocument/2006/relationships/hyperlink" Target="https://www.mercadolivre.com.br/vendas/2000006607155079/detalhe" TargetMode="External"/><Relationship Id="rId111" Type="http://schemas.openxmlformats.org/officeDocument/2006/relationships/hyperlink" Target="https://www.mercadolivre.com.br/vendas/2000009986108688/detalhe" TargetMode="External"/><Relationship Id="rId595" Type="http://schemas.openxmlformats.org/officeDocument/2006/relationships/hyperlink" Target="https://www.mercadolivre.com.br/vendas/2000006672566967/detalhe" TargetMode="External"/><Relationship Id="rId1136" Type="http://schemas.openxmlformats.org/officeDocument/2006/relationships/hyperlink" Target="https://www.mercadolivre.com.br/vendas/2000006611997433/detalhe" TargetMode="External"/><Relationship Id="rId1137" Type="http://schemas.openxmlformats.org/officeDocument/2006/relationships/hyperlink" Target="https://www.mercadolivre.com.br/vendas/2000006611997433/detalhe" TargetMode="External"/><Relationship Id="rId1138" Type="http://schemas.openxmlformats.org/officeDocument/2006/relationships/hyperlink" Target="https://www.mercadolivre.com.br/vendas/2000006611997433/detalhe" TargetMode="External"/><Relationship Id="rId1139" Type="http://schemas.openxmlformats.org/officeDocument/2006/relationships/hyperlink" Target="https://www.mercadolivre.com.br/vendas/2000009806605440/detalhe" TargetMode="External"/><Relationship Id="rId547" Type="http://schemas.openxmlformats.org/officeDocument/2006/relationships/hyperlink" Target="https://www.mercadolivre.com.br/vendas/2000009910794638/detalhe" TargetMode="External"/><Relationship Id="rId546" Type="http://schemas.openxmlformats.org/officeDocument/2006/relationships/hyperlink" Target="https://www.mercadolivre.com.br/vendas/2000006677426595/detalhe" TargetMode="External"/><Relationship Id="rId545" Type="http://schemas.openxmlformats.org/officeDocument/2006/relationships/hyperlink" Target="https://www.mercadolivre.com.br/vendas/2000009910955874/detalhe" TargetMode="External"/><Relationship Id="rId544" Type="http://schemas.openxmlformats.org/officeDocument/2006/relationships/hyperlink" Target="https://www.mercadolivre.com.br/vendas/2000006677557733/detalhe" TargetMode="External"/><Relationship Id="rId549" Type="http://schemas.openxmlformats.org/officeDocument/2006/relationships/hyperlink" Target="https://www.mercadolivre.com.br/vendas/2000009910703626/detalhe" TargetMode="External"/><Relationship Id="rId548" Type="http://schemas.openxmlformats.org/officeDocument/2006/relationships/hyperlink" Target="https://www.mercadolivre.com.br/vendas/2000009901519992/detalhe" TargetMode="External"/><Relationship Id="rId1130" Type="http://schemas.openxmlformats.org/officeDocument/2006/relationships/hyperlink" Target="https://www.mercadolivre.com.br/vendas/2000006612199725/detalhe" TargetMode="External"/><Relationship Id="rId1131" Type="http://schemas.openxmlformats.org/officeDocument/2006/relationships/hyperlink" Target="https://www.mercadolivre.com.br/vendas/2000006612196765/detalhe" TargetMode="External"/><Relationship Id="rId543" Type="http://schemas.openxmlformats.org/officeDocument/2006/relationships/hyperlink" Target="https://www.mercadolivre.com.br/vendas/2000009911264262/detalhe" TargetMode="External"/><Relationship Id="rId1132" Type="http://schemas.openxmlformats.org/officeDocument/2006/relationships/hyperlink" Target="https://www.mercadolivre.com.br/vendas/2000009807112538/detalhe" TargetMode="External"/><Relationship Id="rId542" Type="http://schemas.openxmlformats.org/officeDocument/2006/relationships/hyperlink" Target="https://www.mercadolivre.com.br/vendas/2000009911386948/detalhe" TargetMode="External"/><Relationship Id="rId1133" Type="http://schemas.openxmlformats.org/officeDocument/2006/relationships/hyperlink" Target="https://www.mercadolivre.com.br/vendas/2000009806961900/detalhe" TargetMode="External"/><Relationship Id="rId541" Type="http://schemas.openxmlformats.org/officeDocument/2006/relationships/hyperlink" Target="https://www.mercadolivre.com.br/vendas/2000009911385714/detalhe" TargetMode="External"/><Relationship Id="rId1134" Type="http://schemas.openxmlformats.org/officeDocument/2006/relationships/hyperlink" Target="https://www.mercadolivre.com.br/vendas/2000009806813968/detalhe" TargetMode="External"/><Relationship Id="rId540" Type="http://schemas.openxmlformats.org/officeDocument/2006/relationships/hyperlink" Target="https://www.mercadolivre.com.br/vendas/2000006677908819/detalhe" TargetMode="External"/><Relationship Id="rId1135" Type="http://schemas.openxmlformats.org/officeDocument/2006/relationships/hyperlink" Target="https://www.mercadolivre.com.br/vendas/2000009806792706/detalhe" TargetMode="External"/><Relationship Id="rId1125" Type="http://schemas.openxmlformats.org/officeDocument/2006/relationships/hyperlink" Target="https://www.mercadolivre.com.br/vendas/2000009807427006/detalhe" TargetMode="External"/><Relationship Id="rId1126" Type="http://schemas.openxmlformats.org/officeDocument/2006/relationships/hyperlink" Target="https://www.mercadolivre.com.br/vendas/2000009780822646/detalhe" TargetMode="External"/><Relationship Id="rId1127" Type="http://schemas.openxmlformats.org/officeDocument/2006/relationships/hyperlink" Target="https://www.mercadolivre.com.br/vendas/2000009807245288/detalhe" TargetMode="External"/><Relationship Id="rId1128" Type="http://schemas.openxmlformats.org/officeDocument/2006/relationships/hyperlink" Target="https://www.mercadolivre.com.br/vendas/2000006612199725/detalhe" TargetMode="External"/><Relationship Id="rId1129" Type="http://schemas.openxmlformats.org/officeDocument/2006/relationships/hyperlink" Target="https://www.mercadolivre.com.br/vendas/2000006612199725/detalhe" TargetMode="External"/><Relationship Id="rId536" Type="http://schemas.openxmlformats.org/officeDocument/2006/relationships/hyperlink" Target="https://www.mercadolivre.com.br/vendas/2000006678257967/detalhe" TargetMode="External"/><Relationship Id="rId535" Type="http://schemas.openxmlformats.org/officeDocument/2006/relationships/hyperlink" Target="https://www.mercadolivre.com.br/vendas/2000006678368381/detalhe" TargetMode="External"/><Relationship Id="rId534" Type="http://schemas.openxmlformats.org/officeDocument/2006/relationships/hyperlink" Target="https://www.mercadolivre.com.br/vendas/2000006678465433/detalhe" TargetMode="External"/><Relationship Id="rId533" Type="http://schemas.openxmlformats.org/officeDocument/2006/relationships/hyperlink" Target="https://www.mercadolivre.com.br/vendas/2000009912702758/detalhe" TargetMode="External"/><Relationship Id="rId539" Type="http://schemas.openxmlformats.org/officeDocument/2006/relationships/hyperlink" Target="https://www.mercadolivre.com.br/vendas/2000009911824124/detalhe" TargetMode="External"/><Relationship Id="rId538" Type="http://schemas.openxmlformats.org/officeDocument/2006/relationships/hyperlink" Target="https://www.mercadolivre.com.br/vendas/2000009911883520/detalhe" TargetMode="External"/><Relationship Id="rId537" Type="http://schemas.openxmlformats.org/officeDocument/2006/relationships/hyperlink" Target="https://www.mercadolivre.com.br/vendas/2000009912041376/detalhe" TargetMode="External"/><Relationship Id="rId1120" Type="http://schemas.openxmlformats.org/officeDocument/2006/relationships/hyperlink" Target="https://www.mercadolivre.com.br/vendas/2000009807785950/detalhe" TargetMode="External"/><Relationship Id="rId532" Type="http://schemas.openxmlformats.org/officeDocument/2006/relationships/hyperlink" Target="https://www.mercadolivre.com.br/vendas/2000009912777390/detalhe" TargetMode="External"/><Relationship Id="rId1121" Type="http://schemas.openxmlformats.org/officeDocument/2006/relationships/hyperlink" Target="https://www.mercadolivre.com.br/vendas/2000009807690254/detalhe" TargetMode="External"/><Relationship Id="rId531" Type="http://schemas.openxmlformats.org/officeDocument/2006/relationships/hyperlink" Target="https://www.mercadolivre.com.br/vendas/2000009912831654/detalhe" TargetMode="External"/><Relationship Id="rId1122" Type="http://schemas.openxmlformats.org/officeDocument/2006/relationships/hyperlink" Target="https://www.mercadolivre.com.br/vendas/2000009807637096/detalhe" TargetMode="External"/><Relationship Id="rId530" Type="http://schemas.openxmlformats.org/officeDocument/2006/relationships/hyperlink" Target="https://www.mercadolivre.com.br/vendas/2000006678340751/detalhe" TargetMode="External"/><Relationship Id="rId1123" Type="http://schemas.openxmlformats.org/officeDocument/2006/relationships/hyperlink" Target="https://www.mercadolivre.com.br/vendas/2000009807638414/detalhe" TargetMode="External"/><Relationship Id="rId1124" Type="http://schemas.openxmlformats.org/officeDocument/2006/relationships/hyperlink" Target="https://www.mercadolivre.com.br/vendas/2000009807612336/detalhe" TargetMode="External"/><Relationship Id="rId1158" Type="http://schemas.openxmlformats.org/officeDocument/2006/relationships/hyperlink" Target="https://www.mercadolivre.com.br/vendas/2000009803125842/detalhe" TargetMode="External"/><Relationship Id="rId1159" Type="http://schemas.openxmlformats.org/officeDocument/2006/relationships/hyperlink" Target="https://www.mercadolivre.com.br/vendas/2000009802881082/detalhe" TargetMode="External"/><Relationship Id="rId569" Type="http://schemas.openxmlformats.org/officeDocument/2006/relationships/hyperlink" Target="https://www.mercadolivre.com.br/vendas/2000006675014135/detalhe" TargetMode="External"/><Relationship Id="rId568" Type="http://schemas.openxmlformats.org/officeDocument/2006/relationships/hyperlink" Target="https://www.mercadolivre.com.br/vendas/2000009907082046/detalhe" TargetMode="External"/><Relationship Id="rId567" Type="http://schemas.openxmlformats.org/officeDocument/2006/relationships/hyperlink" Target="https://www.mercadolivre.com.br/vendas/2000009907204634/detalhe" TargetMode="External"/><Relationship Id="rId566" Type="http://schemas.openxmlformats.org/officeDocument/2006/relationships/hyperlink" Target="https://www.mercadolivre.com.br/vendas/2000009907253346/detalhe" TargetMode="External"/><Relationship Id="rId561" Type="http://schemas.openxmlformats.org/officeDocument/2006/relationships/hyperlink" Target="https://www.mercadolivre.com.br/vendas/2000009908535810/detalhe" TargetMode="External"/><Relationship Id="rId1150" Type="http://schemas.openxmlformats.org/officeDocument/2006/relationships/hyperlink" Target="https://www.mercadolivre.com.br/vendas/2000009803948902/detalhe" TargetMode="External"/><Relationship Id="rId560" Type="http://schemas.openxmlformats.org/officeDocument/2006/relationships/hyperlink" Target="https://www.mercadolivre.com.br/vendas/2000009908655294/detalhe" TargetMode="External"/><Relationship Id="rId1151" Type="http://schemas.openxmlformats.org/officeDocument/2006/relationships/hyperlink" Target="https://www.mercadolivre.com.br/vendas/2000006610128267/detalhe" TargetMode="External"/><Relationship Id="rId1152" Type="http://schemas.openxmlformats.org/officeDocument/2006/relationships/hyperlink" Target="https://www.mercadolivre.com.br/vendas/2000006610128267/detalhe" TargetMode="External"/><Relationship Id="rId1153" Type="http://schemas.openxmlformats.org/officeDocument/2006/relationships/hyperlink" Target="https://www.mercadolivre.com.br/vendas/2000006610128267/detalhe" TargetMode="External"/><Relationship Id="rId565" Type="http://schemas.openxmlformats.org/officeDocument/2006/relationships/hyperlink" Target="https://www.mercadolivre.com.br/vendas/2000009907265190/detalhe" TargetMode="External"/><Relationship Id="rId1154" Type="http://schemas.openxmlformats.org/officeDocument/2006/relationships/hyperlink" Target="https://www.mercadolivre.com.br/vendas/2000006610030907/detalhe" TargetMode="External"/><Relationship Id="rId564" Type="http://schemas.openxmlformats.org/officeDocument/2006/relationships/hyperlink" Target="https://www.mercadolivre.com.br/vendas/2000009907806378/detalhe" TargetMode="External"/><Relationship Id="rId1155" Type="http://schemas.openxmlformats.org/officeDocument/2006/relationships/hyperlink" Target="https://www.mercadolivre.com.br/vendas/2000009803547648/detalhe" TargetMode="External"/><Relationship Id="rId563" Type="http://schemas.openxmlformats.org/officeDocument/2006/relationships/hyperlink" Target="https://www.mercadolivre.com.br/vendas/2000009907847776/detalhe" TargetMode="External"/><Relationship Id="rId1156" Type="http://schemas.openxmlformats.org/officeDocument/2006/relationships/hyperlink" Target="https://www.mercadolivre.com.br/vendas/2000009803492944/detalhe" TargetMode="External"/><Relationship Id="rId562" Type="http://schemas.openxmlformats.org/officeDocument/2006/relationships/hyperlink" Target="https://www.mercadolivre.com.br/vendas/2000009908274092/detalhe" TargetMode="External"/><Relationship Id="rId1157" Type="http://schemas.openxmlformats.org/officeDocument/2006/relationships/hyperlink" Target="https://www.mercadolivre.com.br/vendas/2000006609853401/detalhe" TargetMode="External"/><Relationship Id="rId1147" Type="http://schemas.openxmlformats.org/officeDocument/2006/relationships/hyperlink" Target="https://www.mercadolivre.com.br/vendas/2000009804589686/detalhe" TargetMode="External"/><Relationship Id="rId1148" Type="http://schemas.openxmlformats.org/officeDocument/2006/relationships/hyperlink" Target="https://www.mercadolivre.com.br/vendas/2000009804287154/detalhe" TargetMode="External"/><Relationship Id="rId1149" Type="http://schemas.openxmlformats.org/officeDocument/2006/relationships/hyperlink" Target="https://www.mercadolivre.com.br/vendas/2000009804144858/detalhe" TargetMode="External"/><Relationship Id="rId558" Type="http://schemas.openxmlformats.org/officeDocument/2006/relationships/hyperlink" Target="https://www.mercadolivre.com.br/vendas/2000009908898032/detalhe" TargetMode="External"/><Relationship Id="rId557" Type="http://schemas.openxmlformats.org/officeDocument/2006/relationships/hyperlink" Target="https://www.mercadolivre.com.br/vendas/2000006676310907/detalhe" TargetMode="External"/><Relationship Id="rId556" Type="http://schemas.openxmlformats.org/officeDocument/2006/relationships/hyperlink" Target="https://www.mercadolivre.com.br/vendas/2000009909644518/detalhe" TargetMode="External"/><Relationship Id="rId555" Type="http://schemas.openxmlformats.org/officeDocument/2006/relationships/hyperlink" Target="https://www.mercadolivre.com.br/vendas/2000009909795076/detalhe" TargetMode="External"/><Relationship Id="rId559" Type="http://schemas.openxmlformats.org/officeDocument/2006/relationships/hyperlink" Target="https://www.mercadolivre.com.br/vendas/2000009908734428/detalhe" TargetMode="External"/><Relationship Id="rId550" Type="http://schemas.openxmlformats.org/officeDocument/2006/relationships/hyperlink" Target="https://www.mercadolivre.com.br/vendas/2000009910633820/detalhe" TargetMode="External"/><Relationship Id="rId1140" Type="http://schemas.openxmlformats.org/officeDocument/2006/relationships/hyperlink" Target="https://www.mercadolivre.com.br/vendas/2000009806610684/detalhe" TargetMode="External"/><Relationship Id="rId1141" Type="http://schemas.openxmlformats.org/officeDocument/2006/relationships/hyperlink" Target="https://www.mercadolivre.com.br/vendas/2000009806333030/detalhe" TargetMode="External"/><Relationship Id="rId1142" Type="http://schemas.openxmlformats.org/officeDocument/2006/relationships/hyperlink" Target="https://www.mercadolivre.com.br/vendas/2000006611701055/detalhe" TargetMode="External"/><Relationship Id="rId554" Type="http://schemas.openxmlformats.org/officeDocument/2006/relationships/hyperlink" Target="https://www.mercadolivre.com.br/vendas/2000009910095374/detalhe" TargetMode="External"/><Relationship Id="rId1143" Type="http://schemas.openxmlformats.org/officeDocument/2006/relationships/hyperlink" Target="https://www.mercadolivre.com.br/vendas/2000009806163482/detalhe" TargetMode="External"/><Relationship Id="rId553" Type="http://schemas.openxmlformats.org/officeDocument/2006/relationships/hyperlink" Target="https://www.mercadolivre.com.br/vendas/2000009910232478/detalhe" TargetMode="External"/><Relationship Id="rId1144" Type="http://schemas.openxmlformats.org/officeDocument/2006/relationships/hyperlink" Target="https://www.mercadolivre.com.br/vendas/2000006611597263/detalhe" TargetMode="External"/><Relationship Id="rId552" Type="http://schemas.openxmlformats.org/officeDocument/2006/relationships/hyperlink" Target="https://www.mercadolivre.com.br/vendas/2000009910417042/detalhe" TargetMode="External"/><Relationship Id="rId1145" Type="http://schemas.openxmlformats.org/officeDocument/2006/relationships/hyperlink" Target="https://www.mercadolivre.com.br/vendas/2000006610818015/detalhe" TargetMode="External"/><Relationship Id="rId551" Type="http://schemas.openxmlformats.org/officeDocument/2006/relationships/hyperlink" Target="https://www.mercadolivre.com.br/vendas/2000009910514466/detalhe" TargetMode="External"/><Relationship Id="rId1146" Type="http://schemas.openxmlformats.org/officeDocument/2006/relationships/hyperlink" Target="https://www.mercadolivre.com.br/vendas/2000006610782091/detalhe" TargetMode="External"/><Relationship Id="rId495" Type="http://schemas.openxmlformats.org/officeDocument/2006/relationships/hyperlink" Target="https://www.mercadolivre.com.br/vendas/2000006683049041/detalhe" TargetMode="External"/><Relationship Id="rId494" Type="http://schemas.openxmlformats.org/officeDocument/2006/relationships/hyperlink" Target="https://www.mercadolivre.com.br/vendas/2000006683195433/detalhe" TargetMode="External"/><Relationship Id="rId493" Type="http://schemas.openxmlformats.org/officeDocument/2006/relationships/hyperlink" Target="https://www.mercadolivre.com.br/vendas/2000009920103034/detalhe" TargetMode="External"/><Relationship Id="rId492" Type="http://schemas.openxmlformats.org/officeDocument/2006/relationships/hyperlink" Target="https://www.mercadolivre.com.br/vendas/2000009920275072/detalhe" TargetMode="External"/><Relationship Id="rId499" Type="http://schemas.openxmlformats.org/officeDocument/2006/relationships/hyperlink" Target="https://www.mercadolivre.com.br/vendas/2000009919615754/detalhe" TargetMode="External"/><Relationship Id="rId498" Type="http://schemas.openxmlformats.org/officeDocument/2006/relationships/hyperlink" Target="https://www.mercadolivre.com.br/vendas/2000009919707990/detalhe" TargetMode="External"/><Relationship Id="rId497" Type="http://schemas.openxmlformats.org/officeDocument/2006/relationships/hyperlink" Target="https://www.mercadolivre.com.br/vendas/2000009919779126/detalhe" TargetMode="External"/><Relationship Id="rId496" Type="http://schemas.openxmlformats.org/officeDocument/2006/relationships/hyperlink" Target="https://www.mercadolivre.com.br/vendas/2000009919829040/detalhe" TargetMode="External"/><Relationship Id="rId1610" Type="http://schemas.openxmlformats.org/officeDocument/2006/relationships/hyperlink" Target="https://www.mercadolivre.com.br/vendas/2000009742631456/detalhe" TargetMode="External"/><Relationship Id="rId1611" Type="http://schemas.openxmlformats.org/officeDocument/2006/relationships/hyperlink" Target="https://www.mercadolivre.com.br/vendas/2000006573351435/detalhe" TargetMode="External"/><Relationship Id="rId1612" Type="http://schemas.openxmlformats.org/officeDocument/2006/relationships/hyperlink" Target="https://www.mercadolivre.com.br/vendas/2000009741552908/detalhe" TargetMode="External"/><Relationship Id="rId1613" Type="http://schemas.openxmlformats.org/officeDocument/2006/relationships/hyperlink" Target="https://www.mercadolivre.com.br/vendas/2000009741438384/detalhe" TargetMode="External"/><Relationship Id="rId1614" Type="http://schemas.openxmlformats.org/officeDocument/2006/relationships/hyperlink" Target="https://www.mercadolivre.com.br/vendas/2000006572836269/detalhe" TargetMode="External"/><Relationship Id="rId1615" Type="http://schemas.openxmlformats.org/officeDocument/2006/relationships/hyperlink" Target="https://www.mercadolivre.com.br/vendas/2000009741350040/detalhe" TargetMode="External"/><Relationship Id="rId1616" Type="http://schemas.openxmlformats.org/officeDocument/2006/relationships/hyperlink" Target="https://www.mercadolivre.com.br/vendas/2000009740538026/detalhe" TargetMode="External"/><Relationship Id="rId907" Type="http://schemas.openxmlformats.org/officeDocument/2006/relationships/hyperlink" Target="https://www.mercadolivre.com.br/vendas/2000009842122778/detalhe" TargetMode="External"/><Relationship Id="rId1617" Type="http://schemas.openxmlformats.org/officeDocument/2006/relationships/hyperlink" Target="https://www.mercadolivre.com.br/vendas/2000009740419216/detalhe" TargetMode="External"/><Relationship Id="rId906" Type="http://schemas.openxmlformats.org/officeDocument/2006/relationships/hyperlink" Target="https://www.mercadolivre.com.br/vendas/2000009842328186/detalhe" TargetMode="External"/><Relationship Id="rId1618" Type="http://schemas.openxmlformats.org/officeDocument/2006/relationships/hyperlink" Target="https://www.mercadolivre.com.br/vendas/2000006572214645/detalhe" TargetMode="External"/><Relationship Id="rId905" Type="http://schemas.openxmlformats.org/officeDocument/2006/relationships/hyperlink" Target="https://www.mercadolivre.com.br/vendas/2000009842340108/detalhe" TargetMode="External"/><Relationship Id="rId1619" Type="http://schemas.openxmlformats.org/officeDocument/2006/relationships/hyperlink" Target="https://www.mercadolivre.com.br/vendas/2000009740070072/detalhe" TargetMode="External"/><Relationship Id="rId904" Type="http://schemas.openxmlformats.org/officeDocument/2006/relationships/hyperlink" Target="https://www.mercadolivre.com.br/vendas/2000009842620204/detalhe" TargetMode="External"/><Relationship Id="rId909" Type="http://schemas.openxmlformats.org/officeDocument/2006/relationships/hyperlink" Target="https://www.mercadolivre.com.br/vendas/2000006633360505/detalhe" TargetMode="External"/><Relationship Id="rId908" Type="http://schemas.openxmlformats.org/officeDocument/2006/relationships/hyperlink" Target="https://www.mercadolivre.com.br/vendas/2000009842103086/detalhe" TargetMode="External"/><Relationship Id="rId903" Type="http://schemas.openxmlformats.org/officeDocument/2006/relationships/hyperlink" Target="https://www.mercadolivre.com.br/vendas/2000006634055845/detalhe" TargetMode="External"/><Relationship Id="rId902" Type="http://schemas.openxmlformats.org/officeDocument/2006/relationships/hyperlink" Target="https://www.mercadolivre.com.br/vendas/2000006634055845/detalhe" TargetMode="External"/><Relationship Id="rId901" Type="http://schemas.openxmlformats.org/officeDocument/2006/relationships/hyperlink" Target="https://www.mercadolivre.com.br/vendas/2000006634055845/detalhe" TargetMode="External"/><Relationship Id="rId900" Type="http://schemas.openxmlformats.org/officeDocument/2006/relationships/hyperlink" Target="https://www.mercadolivre.com.br/vendas/2000009842752288/detalhe" TargetMode="External"/><Relationship Id="rId1600" Type="http://schemas.openxmlformats.org/officeDocument/2006/relationships/hyperlink" Target="https://www.mercadolivre.com.br/vendas/2000006574500115/detalhe" TargetMode="External"/><Relationship Id="rId1601" Type="http://schemas.openxmlformats.org/officeDocument/2006/relationships/hyperlink" Target="https://www.mercadolivre.com.br/vendas/2000006574439299/detalhe" TargetMode="External"/><Relationship Id="rId1602" Type="http://schemas.openxmlformats.org/officeDocument/2006/relationships/hyperlink" Target="https://www.mercadolivre.com.br/vendas/2000006574175599/detalhe" TargetMode="External"/><Relationship Id="rId1603" Type="http://schemas.openxmlformats.org/officeDocument/2006/relationships/hyperlink" Target="https://www.mercadolivre.com.br/vendas/2000006574108177/detalhe" TargetMode="External"/><Relationship Id="rId1604" Type="http://schemas.openxmlformats.org/officeDocument/2006/relationships/hyperlink" Target="https://www.mercadolivre.com.br/vendas/2000006574106897/detalhe" TargetMode="External"/><Relationship Id="rId1605" Type="http://schemas.openxmlformats.org/officeDocument/2006/relationships/hyperlink" Target="https://www.mercadolivre.com.br/vendas/2000009743521344/detalhe" TargetMode="External"/><Relationship Id="rId1606" Type="http://schemas.openxmlformats.org/officeDocument/2006/relationships/hyperlink" Target="https://www.mercadolivre.com.br/vendas/2000006574029455/detalhe" TargetMode="External"/><Relationship Id="rId1607" Type="http://schemas.openxmlformats.org/officeDocument/2006/relationships/hyperlink" Target="https://www.mercadolivre.com.br/vendas/2000009743015726/detalhe" TargetMode="External"/><Relationship Id="rId1608" Type="http://schemas.openxmlformats.org/officeDocument/2006/relationships/hyperlink" Target="https://www.mercadolivre.com.br/vendas/2000009742935724/detalhe" TargetMode="External"/><Relationship Id="rId1609" Type="http://schemas.openxmlformats.org/officeDocument/2006/relationships/hyperlink" Target="https://www.mercadolivre.com.br/vendas/2000009742646344/detalhe" TargetMode="External"/><Relationship Id="rId1631" Type="http://schemas.openxmlformats.org/officeDocument/2006/relationships/hyperlink" Target="https://www.mercadolivre.com.br/vendas/2000006570255147/detalhe" TargetMode="External"/><Relationship Id="rId1632" Type="http://schemas.openxmlformats.org/officeDocument/2006/relationships/hyperlink" Target="https://www.mercadolivre.com.br/vendas/2000009735222012/detalhe" TargetMode="External"/><Relationship Id="rId1633" Type="http://schemas.openxmlformats.org/officeDocument/2006/relationships/hyperlink" Target="https://www.mercadolivre.com.br/vendas/2000006569498343/detalhe" TargetMode="External"/><Relationship Id="rId1634" Type="http://schemas.openxmlformats.org/officeDocument/2006/relationships/hyperlink" Target="https://www.mercadolivre.com.br/vendas/2000009735298716/detalhe" TargetMode="External"/><Relationship Id="rId1635" Type="http://schemas.openxmlformats.org/officeDocument/2006/relationships/hyperlink" Target="https://www.mercadolivre.com.br/vendas/2000009735163058/detalhe" TargetMode="External"/><Relationship Id="rId1636" Type="http://schemas.openxmlformats.org/officeDocument/2006/relationships/hyperlink" Target="https://www.mercadolivre.com.br/vendas/2000009735146592/detalhe" TargetMode="External"/><Relationship Id="rId1637" Type="http://schemas.openxmlformats.org/officeDocument/2006/relationships/hyperlink" Target="https://www.mercadolivre.com.br/vendas/2000006567774141/detalhe" TargetMode="External"/><Relationship Id="rId1638" Type="http://schemas.openxmlformats.org/officeDocument/2006/relationships/hyperlink" Target="https://www.mercadolivre.com.br/vendas/2000009734723180/detalhe" TargetMode="External"/><Relationship Id="rId929" Type="http://schemas.openxmlformats.org/officeDocument/2006/relationships/hyperlink" Target="https://www.mercadolivre.com.br/vendas/2000009838902788/detalhe" TargetMode="External"/><Relationship Id="rId1639" Type="http://schemas.openxmlformats.org/officeDocument/2006/relationships/hyperlink" Target="https://www.mercadolivre.com.br/vendas/2000009734595992/detalhe" TargetMode="External"/><Relationship Id="rId928" Type="http://schemas.openxmlformats.org/officeDocument/2006/relationships/hyperlink" Target="https://www.mercadolivre.com.br/vendas/2000009838961078/detalhe" TargetMode="External"/><Relationship Id="rId927" Type="http://schemas.openxmlformats.org/officeDocument/2006/relationships/hyperlink" Target="https://www.mercadolivre.com.br/vendas/2000009838982622/detalhe" TargetMode="External"/><Relationship Id="rId926" Type="http://schemas.openxmlformats.org/officeDocument/2006/relationships/hyperlink" Target="https://www.mercadolivre.com.br/vendas/2000006631810179/detalhe" TargetMode="External"/><Relationship Id="rId921" Type="http://schemas.openxmlformats.org/officeDocument/2006/relationships/hyperlink" Target="https://www.mercadolivre.com.br/vendas/2000006632123885/detalhe" TargetMode="External"/><Relationship Id="rId920" Type="http://schemas.openxmlformats.org/officeDocument/2006/relationships/hyperlink" Target="https://www.mercadolivre.com.br/vendas/2000006632410009/detalhe" TargetMode="External"/><Relationship Id="rId925" Type="http://schemas.openxmlformats.org/officeDocument/2006/relationships/hyperlink" Target="https://www.mercadolivre.com.br/vendas/2000006631924121/detalhe" TargetMode="External"/><Relationship Id="rId924" Type="http://schemas.openxmlformats.org/officeDocument/2006/relationships/hyperlink" Target="https://www.mercadolivre.com.br/vendas/2000006631981425/detalhe" TargetMode="External"/><Relationship Id="rId923" Type="http://schemas.openxmlformats.org/officeDocument/2006/relationships/hyperlink" Target="https://www.mercadolivre.com.br/vendas/2000006632030161/detalhe" TargetMode="External"/><Relationship Id="rId922" Type="http://schemas.openxmlformats.org/officeDocument/2006/relationships/hyperlink" Target="https://www.mercadolivre.com.br/vendas/2000006632062783/detalhe" TargetMode="External"/><Relationship Id="rId1630" Type="http://schemas.openxmlformats.org/officeDocument/2006/relationships/hyperlink" Target="https://www.mercadolivre.com.br/vendas/2000009737461242/detalhe" TargetMode="External"/><Relationship Id="rId1620" Type="http://schemas.openxmlformats.org/officeDocument/2006/relationships/hyperlink" Target="https://www.mercadolivre.com.br/vendas/2000009739592030/detalhe" TargetMode="External"/><Relationship Id="rId1621" Type="http://schemas.openxmlformats.org/officeDocument/2006/relationships/hyperlink" Target="https://www.mercadolivre.com.br/vendas/2000006571717341/detalhe" TargetMode="External"/><Relationship Id="rId1622" Type="http://schemas.openxmlformats.org/officeDocument/2006/relationships/hyperlink" Target="https://www.mercadolivre.com.br/vendas/2000009739270196/detalhe" TargetMode="External"/><Relationship Id="rId1623" Type="http://schemas.openxmlformats.org/officeDocument/2006/relationships/hyperlink" Target="https://www.mercadolivre.com.br/vendas/2000006571171671/detalhe" TargetMode="External"/><Relationship Id="rId1624" Type="http://schemas.openxmlformats.org/officeDocument/2006/relationships/hyperlink" Target="https://www.mercadolivre.com.br/vendas/2000006571171671/detalhe" TargetMode="External"/><Relationship Id="rId1625" Type="http://schemas.openxmlformats.org/officeDocument/2006/relationships/hyperlink" Target="https://www.mercadolivre.com.br/vendas/2000006571171671/detalhe" TargetMode="External"/><Relationship Id="rId1626" Type="http://schemas.openxmlformats.org/officeDocument/2006/relationships/hyperlink" Target="https://www.mercadolivre.com.br/vendas/2000006571044601/detalhe" TargetMode="External"/><Relationship Id="rId1627" Type="http://schemas.openxmlformats.org/officeDocument/2006/relationships/hyperlink" Target="https://www.mercadolivre.com.br/vendas/2000006570856455/detalhe" TargetMode="External"/><Relationship Id="rId918" Type="http://schemas.openxmlformats.org/officeDocument/2006/relationships/hyperlink" Target="https://www.mercadolivre.com.br/vendas/2000006632410009/detalhe" TargetMode="External"/><Relationship Id="rId1628" Type="http://schemas.openxmlformats.org/officeDocument/2006/relationships/hyperlink" Target="https://www.mercadolivre.com.br/vendas/2000009737786256/detalhe" TargetMode="External"/><Relationship Id="rId917" Type="http://schemas.openxmlformats.org/officeDocument/2006/relationships/hyperlink" Target="https://www.mercadolivre.com.br/vendas/2000009840054826/detalhe" TargetMode="External"/><Relationship Id="rId1629" Type="http://schemas.openxmlformats.org/officeDocument/2006/relationships/hyperlink" Target="https://www.mercadolivre.com.br/vendas/2000009737472946/detalhe" TargetMode="External"/><Relationship Id="rId916" Type="http://schemas.openxmlformats.org/officeDocument/2006/relationships/hyperlink" Target="https://www.mercadolivre.com.br/vendas/2000009840322828/detalhe" TargetMode="External"/><Relationship Id="rId915" Type="http://schemas.openxmlformats.org/officeDocument/2006/relationships/hyperlink" Target="https://www.mercadolivre.com.br/vendas/2000009840345776/detalhe" TargetMode="External"/><Relationship Id="rId919" Type="http://schemas.openxmlformats.org/officeDocument/2006/relationships/hyperlink" Target="https://www.mercadolivre.com.br/vendas/2000006632410009/detalhe" TargetMode="External"/><Relationship Id="rId910" Type="http://schemas.openxmlformats.org/officeDocument/2006/relationships/hyperlink" Target="https://www.mercadolivre.com.br/vendas/2000009841492728/detalhe" TargetMode="External"/><Relationship Id="rId914" Type="http://schemas.openxmlformats.org/officeDocument/2006/relationships/hyperlink" Target="https://www.mercadolivre.com.br/vendas/2000006632811365/detalhe" TargetMode="External"/><Relationship Id="rId913" Type="http://schemas.openxmlformats.org/officeDocument/2006/relationships/hyperlink" Target="https://www.mercadolivre.com.br/vendas/2000006632804531/detalhe" TargetMode="External"/><Relationship Id="rId912" Type="http://schemas.openxmlformats.org/officeDocument/2006/relationships/hyperlink" Target="https://www.mercadolivre.com.br/vendas/2000006632450867/detalhe" TargetMode="External"/><Relationship Id="rId911" Type="http://schemas.openxmlformats.org/officeDocument/2006/relationships/hyperlink" Target="https://www.mercadolivre.com.br/vendas/2000009840977250/detalhe" TargetMode="External"/><Relationship Id="rId1213" Type="http://schemas.openxmlformats.org/officeDocument/2006/relationships/hyperlink" Target="https://www.mercadolivre.com.br/vendas/2000009795167946/detalhe" TargetMode="External"/><Relationship Id="rId1697" Type="http://schemas.openxmlformats.org/officeDocument/2006/relationships/hyperlink" Target="https://www.mercadolivre.com.br/vendas/2000006563231677/detalhe" TargetMode="External"/><Relationship Id="rId1214" Type="http://schemas.openxmlformats.org/officeDocument/2006/relationships/hyperlink" Target="https://www.mercadolivre.com.br/vendas/2000006604998987/detalhe" TargetMode="External"/><Relationship Id="rId1698" Type="http://schemas.openxmlformats.org/officeDocument/2006/relationships/hyperlink" Target="https://www.mercadolivre.com.br/vendas/2000009725205566/detalhe" TargetMode="External"/><Relationship Id="rId1215" Type="http://schemas.openxmlformats.org/officeDocument/2006/relationships/hyperlink" Target="https://www.mercadolivre.com.br/vendas/2000006604929393/detalhe" TargetMode="External"/><Relationship Id="rId1699" Type="http://schemas.openxmlformats.org/officeDocument/2006/relationships/hyperlink" Target="https://www.mercadolivre.com.br/vendas/2000006563027349/detalhe" TargetMode="External"/><Relationship Id="rId1216" Type="http://schemas.openxmlformats.org/officeDocument/2006/relationships/hyperlink" Target="https://www.mercadolivre.com.br/vendas/2000009794668374/detalhe" TargetMode="External"/><Relationship Id="rId1217" Type="http://schemas.openxmlformats.org/officeDocument/2006/relationships/hyperlink" Target="https://www.mercadolivre.com.br/vendas/2000006604665623/detalhe" TargetMode="External"/><Relationship Id="rId1218" Type="http://schemas.openxmlformats.org/officeDocument/2006/relationships/hyperlink" Target="https://www.mercadolivre.com.br/vendas/2000009794296584/detalhe" TargetMode="External"/><Relationship Id="rId1219" Type="http://schemas.openxmlformats.org/officeDocument/2006/relationships/hyperlink" Target="https://www.mercadolivre.com.br/vendas/2000009794256186/detalhe" TargetMode="External"/><Relationship Id="rId866" Type="http://schemas.openxmlformats.org/officeDocument/2006/relationships/hyperlink" Target="https://www.mercadolivre.com.br/vendas/2000009848420198/detalhe" TargetMode="External"/><Relationship Id="rId865" Type="http://schemas.openxmlformats.org/officeDocument/2006/relationships/hyperlink" Target="https://www.mercadolivre.com.br/vendas/2000009848608350/detalhe" TargetMode="External"/><Relationship Id="rId864" Type="http://schemas.openxmlformats.org/officeDocument/2006/relationships/hyperlink" Target="https://www.mercadolivre.com.br/vendas/2000006637803163/detalhe" TargetMode="External"/><Relationship Id="rId863" Type="http://schemas.openxmlformats.org/officeDocument/2006/relationships/hyperlink" Target="https://www.mercadolivre.com.br/vendas/2000009849318850/detalhe" TargetMode="External"/><Relationship Id="rId869" Type="http://schemas.openxmlformats.org/officeDocument/2006/relationships/hyperlink" Target="https://www.mercadolivre.com.br/vendas/2000009848143724/detalhe" TargetMode="External"/><Relationship Id="rId868" Type="http://schemas.openxmlformats.org/officeDocument/2006/relationships/hyperlink" Target="https://www.mercadolivre.com.br/vendas/2000009848226834/detalhe" TargetMode="External"/><Relationship Id="rId867" Type="http://schemas.openxmlformats.org/officeDocument/2006/relationships/hyperlink" Target="https://www.mercadolivre.com.br/vendas/2000009848381254/detalhe" TargetMode="External"/><Relationship Id="rId1690" Type="http://schemas.openxmlformats.org/officeDocument/2006/relationships/hyperlink" Target="https://www.mercadolivre.com.br/vendas/2000006563707281/detalhe" TargetMode="External"/><Relationship Id="rId1691" Type="http://schemas.openxmlformats.org/officeDocument/2006/relationships/hyperlink" Target="https://www.mercadolivre.com.br/vendas/2000006563707281/detalhe" TargetMode="External"/><Relationship Id="rId1692" Type="http://schemas.openxmlformats.org/officeDocument/2006/relationships/hyperlink" Target="https://www.mercadolivre.com.br/vendas/2000006563639847/detalhe" TargetMode="External"/><Relationship Id="rId862" Type="http://schemas.openxmlformats.org/officeDocument/2006/relationships/hyperlink" Target="https://www.mercadolivre.com.br/vendas/2000009849651086/detalhe" TargetMode="External"/><Relationship Id="rId1693" Type="http://schemas.openxmlformats.org/officeDocument/2006/relationships/hyperlink" Target="https://www.mercadolivre.com.br/vendas/2000009725893556/detalhe" TargetMode="External"/><Relationship Id="rId861" Type="http://schemas.openxmlformats.org/officeDocument/2006/relationships/hyperlink" Target="https://www.mercadolivre.com.br/vendas/2000006638486601/detalhe" TargetMode="External"/><Relationship Id="rId1210" Type="http://schemas.openxmlformats.org/officeDocument/2006/relationships/hyperlink" Target="https://www.mercadolivre.com.br/vendas/2000009795410458/detalhe" TargetMode="External"/><Relationship Id="rId1694" Type="http://schemas.openxmlformats.org/officeDocument/2006/relationships/hyperlink" Target="https://www.mercadolivre.com.br/vendas/2000006563384913/detalhe" TargetMode="External"/><Relationship Id="rId860" Type="http://schemas.openxmlformats.org/officeDocument/2006/relationships/hyperlink" Target="https://www.mercadolivre.com.br/vendas/2000009850286740/detalhe" TargetMode="External"/><Relationship Id="rId1211" Type="http://schemas.openxmlformats.org/officeDocument/2006/relationships/hyperlink" Target="https://www.mercadolivre.com.br/vendas/2000009795287228/detalhe" TargetMode="External"/><Relationship Id="rId1695" Type="http://schemas.openxmlformats.org/officeDocument/2006/relationships/hyperlink" Target="https://www.mercadolivre.com.br/vendas/2000006563384913/detalhe" TargetMode="External"/><Relationship Id="rId1212" Type="http://schemas.openxmlformats.org/officeDocument/2006/relationships/hyperlink" Target="https://www.mercadolivre.com.br/vendas/2000009795302700/detalhe" TargetMode="External"/><Relationship Id="rId1696" Type="http://schemas.openxmlformats.org/officeDocument/2006/relationships/hyperlink" Target="https://www.mercadolivre.com.br/vendas/2000006563384913/detalhe" TargetMode="External"/><Relationship Id="rId1202" Type="http://schemas.openxmlformats.org/officeDocument/2006/relationships/hyperlink" Target="https://www.mercadolivre.com.br/vendas/2000009797634622/detalhe" TargetMode="External"/><Relationship Id="rId1686" Type="http://schemas.openxmlformats.org/officeDocument/2006/relationships/hyperlink" Target="https://www.mercadolivre.com.br/vendas/2000009727080702/detalhe" TargetMode="External"/><Relationship Id="rId1203" Type="http://schemas.openxmlformats.org/officeDocument/2006/relationships/hyperlink" Target="https://www.mercadolivre.com.br/vendas/2000006606493967/detalhe" TargetMode="External"/><Relationship Id="rId1687" Type="http://schemas.openxmlformats.org/officeDocument/2006/relationships/hyperlink" Target="https://www.mercadolivre.com.br/vendas/2000009726811476/detalhe" TargetMode="External"/><Relationship Id="rId1204" Type="http://schemas.openxmlformats.org/officeDocument/2006/relationships/hyperlink" Target="https://www.mercadolivre.com.br/vendas/2000006606315527/detalhe" TargetMode="External"/><Relationship Id="rId1688" Type="http://schemas.openxmlformats.org/officeDocument/2006/relationships/hyperlink" Target="https://www.mercadolivre.com.br/vendas/2000009726151122/detalhe" TargetMode="External"/><Relationship Id="rId1205" Type="http://schemas.openxmlformats.org/officeDocument/2006/relationships/hyperlink" Target="https://www.mercadolivre.com.br/vendas/2000009796687814/detalhe" TargetMode="External"/><Relationship Id="rId1689" Type="http://schemas.openxmlformats.org/officeDocument/2006/relationships/hyperlink" Target="https://www.mercadolivre.com.br/vendas/2000006563707281/detalhe" TargetMode="External"/><Relationship Id="rId1206" Type="http://schemas.openxmlformats.org/officeDocument/2006/relationships/hyperlink" Target="https://www.mercadolivre.com.br/vendas/2000009796396846/detalhe" TargetMode="External"/><Relationship Id="rId1207" Type="http://schemas.openxmlformats.org/officeDocument/2006/relationships/hyperlink" Target="https://www.mercadolivre.com.br/vendas/2000009795975936/detalhe" TargetMode="External"/><Relationship Id="rId1208" Type="http://schemas.openxmlformats.org/officeDocument/2006/relationships/hyperlink" Target="https://www.mercadolivre.com.br/vendas/2000009795639218/detalhe" TargetMode="External"/><Relationship Id="rId1209" Type="http://schemas.openxmlformats.org/officeDocument/2006/relationships/hyperlink" Target="https://www.mercadolivre.com.br/vendas/2000006605237871/detalhe" TargetMode="External"/><Relationship Id="rId855" Type="http://schemas.openxmlformats.org/officeDocument/2006/relationships/hyperlink" Target="https://www.mercadolivre.com.br/vendas/2000006639459463/detalhe" TargetMode="External"/><Relationship Id="rId854" Type="http://schemas.openxmlformats.org/officeDocument/2006/relationships/hyperlink" Target="https://www.mercadolivre.com.br/vendas/2000009851397272/detalhe" TargetMode="External"/><Relationship Id="rId853" Type="http://schemas.openxmlformats.org/officeDocument/2006/relationships/hyperlink" Target="https://www.mercadolivre.com.br/vendas/2000009851494322/detalhe" TargetMode="External"/><Relationship Id="rId852" Type="http://schemas.openxmlformats.org/officeDocument/2006/relationships/hyperlink" Target="https://www.mercadolivre.com.br/vendas/2000006639570879/detalhe" TargetMode="External"/><Relationship Id="rId859" Type="http://schemas.openxmlformats.org/officeDocument/2006/relationships/hyperlink" Target="https://www.mercadolivre.com.br/vendas/2000009850387346/detalhe" TargetMode="External"/><Relationship Id="rId858" Type="http://schemas.openxmlformats.org/officeDocument/2006/relationships/hyperlink" Target="https://www.mercadolivre.com.br/vendas/2000006638987339/detalhe" TargetMode="External"/><Relationship Id="rId857" Type="http://schemas.openxmlformats.org/officeDocument/2006/relationships/hyperlink" Target="https://www.mercadolivre.com.br/vendas/2000009851081974/detalhe" TargetMode="External"/><Relationship Id="rId856" Type="http://schemas.openxmlformats.org/officeDocument/2006/relationships/hyperlink" Target="https://www.mercadolivre.com.br/vendas/2000009851147484/detalhe" TargetMode="External"/><Relationship Id="rId1680" Type="http://schemas.openxmlformats.org/officeDocument/2006/relationships/hyperlink" Target="https://www.mercadolivre.com.br/vendas/2000006564650335/detalhe" TargetMode="External"/><Relationship Id="rId1681" Type="http://schemas.openxmlformats.org/officeDocument/2006/relationships/hyperlink" Target="https://www.mercadolivre.com.br/vendas/2000006564650335/detalhe" TargetMode="External"/><Relationship Id="rId851" Type="http://schemas.openxmlformats.org/officeDocument/2006/relationships/hyperlink" Target="https://www.mercadolivre.com.br/vendas/2000009851789546/detalhe" TargetMode="External"/><Relationship Id="rId1682" Type="http://schemas.openxmlformats.org/officeDocument/2006/relationships/hyperlink" Target="https://www.mercadolivre.com.br/vendas/2000009727646256/detalhe" TargetMode="External"/><Relationship Id="rId850" Type="http://schemas.openxmlformats.org/officeDocument/2006/relationships/hyperlink" Target="https://www.mercadolivre.com.br/vendas/2000006640137835/detalhe" TargetMode="External"/><Relationship Id="rId1683" Type="http://schemas.openxmlformats.org/officeDocument/2006/relationships/hyperlink" Target="https://www.mercadolivre.com.br/vendas/2000009727545420/detalhe" TargetMode="External"/><Relationship Id="rId1200" Type="http://schemas.openxmlformats.org/officeDocument/2006/relationships/hyperlink" Target="https://www.mercadolivre.com.br/vendas/2000009797684656/detalhe" TargetMode="External"/><Relationship Id="rId1684" Type="http://schemas.openxmlformats.org/officeDocument/2006/relationships/hyperlink" Target="https://www.mercadolivre.com.br/vendas/2000009727417456/detalhe" TargetMode="External"/><Relationship Id="rId1201" Type="http://schemas.openxmlformats.org/officeDocument/2006/relationships/hyperlink" Target="https://www.mercadolivre.com.br/vendas/2000009797654868/detalhe" TargetMode="External"/><Relationship Id="rId1685" Type="http://schemas.openxmlformats.org/officeDocument/2006/relationships/hyperlink" Target="https://www.mercadolivre.com.br/vendas/2000009727304474/detalhe" TargetMode="External"/><Relationship Id="rId1235" Type="http://schemas.openxmlformats.org/officeDocument/2006/relationships/hyperlink" Target="https://www.mercadolivre.com.br/vendas/2000006603450679/detalhe" TargetMode="External"/><Relationship Id="rId1236" Type="http://schemas.openxmlformats.org/officeDocument/2006/relationships/hyperlink" Target="https://www.mercadolivre.com.br/vendas/2000009792576920/detalhe" TargetMode="External"/><Relationship Id="rId1237" Type="http://schemas.openxmlformats.org/officeDocument/2006/relationships/hyperlink" Target="https://www.mercadolivre.com.br/vendas/2000009792456228/detalhe" TargetMode="External"/><Relationship Id="rId1238" Type="http://schemas.openxmlformats.org/officeDocument/2006/relationships/hyperlink" Target="https://www.mercadolivre.com.br/vendas/2000009792104588/detalhe" TargetMode="External"/><Relationship Id="rId1239" Type="http://schemas.openxmlformats.org/officeDocument/2006/relationships/hyperlink" Target="https://www.mercadolivre.com.br/vendas/2000006603168747/detalhe" TargetMode="External"/><Relationship Id="rId409" Type="http://schemas.openxmlformats.org/officeDocument/2006/relationships/hyperlink" Target="https://www.mercadolivre.com.br/vendas/2000006690529095/detalhe" TargetMode="External"/><Relationship Id="rId404" Type="http://schemas.openxmlformats.org/officeDocument/2006/relationships/hyperlink" Target="https://www.mercadolivre.com.br/vendas/2000009932857766/detalhe" TargetMode="External"/><Relationship Id="rId888" Type="http://schemas.openxmlformats.org/officeDocument/2006/relationships/hyperlink" Target="https://www.mercadolivre.com.br/vendas/2000006635199523/detalhe" TargetMode="External"/><Relationship Id="rId403" Type="http://schemas.openxmlformats.org/officeDocument/2006/relationships/hyperlink" Target="https://www.mercadolivre.com.br/vendas/2000006691087609/detalhe" TargetMode="External"/><Relationship Id="rId887" Type="http://schemas.openxmlformats.org/officeDocument/2006/relationships/hyperlink" Target="https://www.mercadolivre.com.br/vendas/2000009844588798/detalhe" TargetMode="External"/><Relationship Id="rId402" Type="http://schemas.openxmlformats.org/officeDocument/2006/relationships/hyperlink" Target="https://www.mercadolivre.com.br/vendas/2000006691203125/detalhe" TargetMode="External"/><Relationship Id="rId886" Type="http://schemas.openxmlformats.org/officeDocument/2006/relationships/hyperlink" Target="https://www.mercadolivre.com.br/vendas/2000006635377447/detalhe" TargetMode="External"/><Relationship Id="rId401" Type="http://schemas.openxmlformats.org/officeDocument/2006/relationships/hyperlink" Target="https://www.mercadolivre.com.br/vendas/2000009933137210/detalhe" TargetMode="External"/><Relationship Id="rId885" Type="http://schemas.openxmlformats.org/officeDocument/2006/relationships/hyperlink" Target="https://www.mercadolivre.com.br/vendas/2000009844923064/detalhe" TargetMode="External"/><Relationship Id="rId408" Type="http://schemas.openxmlformats.org/officeDocument/2006/relationships/hyperlink" Target="https://www.mercadolivre.com.br/vendas/2000006690552789/detalhe" TargetMode="External"/><Relationship Id="rId407" Type="http://schemas.openxmlformats.org/officeDocument/2006/relationships/hyperlink" Target="https://www.mercadolivre.com.br/vendas/2000009932089034/detalhe" TargetMode="External"/><Relationship Id="rId406" Type="http://schemas.openxmlformats.org/officeDocument/2006/relationships/hyperlink" Target="https://www.mercadolivre.com.br/vendas/2000006690638359/detalhe" TargetMode="External"/><Relationship Id="rId405" Type="http://schemas.openxmlformats.org/officeDocument/2006/relationships/hyperlink" Target="https://www.mercadolivre.com.br/vendas/2000006690664587/detalhe" TargetMode="External"/><Relationship Id="rId889" Type="http://schemas.openxmlformats.org/officeDocument/2006/relationships/hyperlink" Target="https://www.mercadolivre.com.br/vendas/2000009844503560/detalhe" TargetMode="External"/><Relationship Id="rId880" Type="http://schemas.openxmlformats.org/officeDocument/2006/relationships/hyperlink" Target="https://www.mercadolivre.com.br/vendas/2000009845572002/detalhe" TargetMode="External"/><Relationship Id="rId1230" Type="http://schemas.openxmlformats.org/officeDocument/2006/relationships/hyperlink" Target="https://www.mercadolivre.com.br/vendas/2000009792901038/detalhe" TargetMode="External"/><Relationship Id="rId400" Type="http://schemas.openxmlformats.org/officeDocument/2006/relationships/hyperlink" Target="https://www.mercadolivre.com.br/vendas/2000009933718170/detalhe" TargetMode="External"/><Relationship Id="rId884" Type="http://schemas.openxmlformats.org/officeDocument/2006/relationships/hyperlink" Target="https://www.mercadolivre.com.br/vendas/2000009845266484/detalhe" TargetMode="External"/><Relationship Id="rId1231" Type="http://schemas.openxmlformats.org/officeDocument/2006/relationships/hyperlink" Target="https://www.mercadolivre.com.br/vendas/2000009792883084/detalhe" TargetMode="External"/><Relationship Id="rId883" Type="http://schemas.openxmlformats.org/officeDocument/2006/relationships/hyperlink" Target="https://www.mercadolivre.com.br/vendas/2000006635813437/detalhe" TargetMode="External"/><Relationship Id="rId1232" Type="http://schemas.openxmlformats.org/officeDocument/2006/relationships/hyperlink" Target="https://www.mercadolivre.com.br/vendas/2000009792809916/detalhe" TargetMode="External"/><Relationship Id="rId882" Type="http://schemas.openxmlformats.org/officeDocument/2006/relationships/hyperlink" Target="https://www.mercadolivre.com.br/vendas/2000006635813437/detalhe" TargetMode="External"/><Relationship Id="rId1233" Type="http://schemas.openxmlformats.org/officeDocument/2006/relationships/hyperlink" Target="https://www.mercadolivre.com.br/vendas/2000009792680102/detalhe" TargetMode="External"/><Relationship Id="rId881" Type="http://schemas.openxmlformats.org/officeDocument/2006/relationships/hyperlink" Target="https://www.mercadolivre.com.br/vendas/2000006635813437/detalhe" TargetMode="External"/><Relationship Id="rId1234" Type="http://schemas.openxmlformats.org/officeDocument/2006/relationships/hyperlink" Target="https://www.mercadolivre.com.br/vendas/2000006603473715/detalhe" TargetMode="External"/><Relationship Id="rId1224" Type="http://schemas.openxmlformats.org/officeDocument/2006/relationships/hyperlink" Target="https://www.mercadolivre.com.br/vendas/2000009793829012/detalhe" TargetMode="External"/><Relationship Id="rId1225" Type="http://schemas.openxmlformats.org/officeDocument/2006/relationships/hyperlink" Target="https://www.mercadolivre.com.br/vendas/2000009793710482/detalhe" TargetMode="External"/><Relationship Id="rId1226" Type="http://schemas.openxmlformats.org/officeDocument/2006/relationships/hyperlink" Target="https://www.mercadolivre.com.br/vendas/2000009793673138/detalhe" TargetMode="External"/><Relationship Id="rId1227" Type="http://schemas.openxmlformats.org/officeDocument/2006/relationships/hyperlink" Target="https://www.mercadolivre.com.br/vendas/2000009793486588/detalhe" TargetMode="External"/><Relationship Id="rId1228" Type="http://schemas.openxmlformats.org/officeDocument/2006/relationships/hyperlink" Target="https://www.mercadolivre.com.br/vendas/2000009793067584/detalhe" TargetMode="External"/><Relationship Id="rId1229" Type="http://schemas.openxmlformats.org/officeDocument/2006/relationships/hyperlink" Target="https://www.mercadolivre.com.br/vendas/2000006603707535/detalhe" TargetMode="External"/><Relationship Id="rId877" Type="http://schemas.openxmlformats.org/officeDocument/2006/relationships/hyperlink" Target="https://www.mercadolivre.com.br/vendas/2000006636309415/detalhe" TargetMode="External"/><Relationship Id="rId876" Type="http://schemas.openxmlformats.org/officeDocument/2006/relationships/hyperlink" Target="https://www.mercadolivre.com.br/vendas/2000006636444117/detalhe" TargetMode="External"/><Relationship Id="rId875" Type="http://schemas.openxmlformats.org/officeDocument/2006/relationships/hyperlink" Target="https://www.mercadolivre.com.br/vendas/2000009847247968/detalhe" TargetMode="External"/><Relationship Id="rId874" Type="http://schemas.openxmlformats.org/officeDocument/2006/relationships/hyperlink" Target="https://www.mercadolivre.com.br/vendas/2000009847527192/detalhe" TargetMode="External"/><Relationship Id="rId879" Type="http://schemas.openxmlformats.org/officeDocument/2006/relationships/hyperlink" Target="https://www.mercadolivre.com.br/vendas/2000009846127880/detalhe" TargetMode="External"/><Relationship Id="rId878" Type="http://schemas.openxmlformats.org/officeDocument/2006/relationships/hyperlink" Target="https://www.mercadolivre.com.br/vendas/2000009846241844/detalhe" TargetMode="External"/><Relationship Id="rId873" Type="http://schemas.openxmlformats.org/officeDocument/2006/relationships/hyperlink" Target="https://www.mercadolivre.com.br/vendas/2000006637155883/detalhe" TargetMode="External"/><Relationship Id="rId1220" Type="http://schemas.openxmlformats.org/officeDocument/2006/relationships/hyperlink" Target="https://www.mercadolivre.com.br/vendas/2000009794128982/detalhe" TargetMode="External"/><Relationship Id="rId872" Type="http://schemas.openxmlformats.org/officeDocument/2006/relationships/hyperlink" Target="https://www.mercadolivre.com.br/vendas/2000009847767608/detalhe" TargetMode="External"/><Relationship Id="rId1221" Type="http://schemas.openxmlformats.org/officeDocument/2006/relationships/hyperlink" Target="https://www.mercadolivre.com.br/vendas/2000009794101222/detalhe" TargetMode="External"/><Relationship Id="rId871" Type="http://schemas.openxmlformats.org/officeDocument/2006/relationships/hyperlink" Target="https://www.mercadolivre.com.br/vendas/2000009847963456/detalhe" TargetMode="External"/><Relationship Id="rId1222" Type="http://schemas.openxmlformats.org/officeDocument/2006/relationships/hyperlink" Target="https://www.mercadolivre.com.br/vendas/2000009794060092/detalhe" TargetMode="External"/><Relationship Id="rId870" Type="http://schemas.openxmlformats.org/officeDocument/2006/relationships/hyperlink" Target="https://www.mercadolivre.com.br/vendas/2000006637431007/detalhe" TargetMode="External"/><Relationship Id="rId1223" Type="http://schemas.openxmlformats.org/officeDocument/2006/relationships/hyperlink" Target="https://www.mercadolivre.com.br/vendas/2000006604231441/detalhe" TargetMode="External"/><Relationship Id="rId1653" Type="http://schemas.openxmlformats.org/officeDocument/2006/relationships/hyperlink" Target="https://www.mercadolivre.com.br/vendas/2000006567181685/detalhe" TargetMode="External"/><Relationship Id="rId1654" Type="http://schemas.openxmlformats.org/officeDocument/2006/relationships/hyperlink" Target="https://www.mercadolivre.com.br/vendas/2000009731633836/detalhe" TargetMode="External"/><Relationship Id="rId1655" Type="http://schemas.openxmlformats.org/officeDocument/2006/relationships/hyperlink" Target="https://www.mercadolivre.com.br/vendas/2000009731473812/detalhe" TargetMode="External"/><Relationship Id="rId1656" Type="http://schemas.openxmlformats.org/officeDocument/2006/relationships/hyperlink" Target="https://www.mercadolivre.com.br/vendas/2000009731317886/detalhe" TargetMode="External"/><Relationship Id="rId1657" Type="http://schemas.openxmlformats.org/officeDocument/2006/relationships/hyperlink" Target="https://www.mercadolivre.com.br/vendas/2000009721263632/detalhe" TargetMode="External"/><Relationship Id="rId1658" Type="http://schemas.openxmlformats.org/officeDocument/2006/relationships/hyperlink" Target="https://www.mercadolivre.com.br/vendas/2000009730822088/detalhe" TargetMode="External"/><Relationship Id="rId1659" Type="http://schemas.openxmlformats.org/officeDocument/2006/relationships/hyperlink" Target="https://www.mercadolivre.com.br/vendas/2000006566487459/detalhe" TargetMode="External"/><Relationship Id="rId829" Type="http://schemas.openxmlformats.org/officeDocument/2006/relationships/hyperlink" Target="https://www.mercadolivre.com.br/vendas/2000009855815116/detalhe" TargetMode="External"/><Relationship Id="rId828" Type="http://schemas.openxmlformats.org/officeDocument/2006/relationships/hyperlink" Target="https://www.mercadolivre.com.br/vendas/2000009855839846/detalhe" TargetMode="External"/><Relationship Id="rId827" Type="http://schemas.openxmlformats.org/officeDocument/2006/relationships/hyperlink" Target="https://www.mercadolivre.com.br/vendas/2000009855837950/detalhe" TargetMode="External"/><Relationship Id="rId822" Type="http://schemas.openxmlformats.org/officeDocument/2006/relationships/hyperlink" Target="https://www.mercadolivre.com.br/vendas/2000009857553462/detalhe" TargetMode="External"/><Relationship Id="rId821" Type="http://schemas.openxmlformats.org/officeDocument/2006/relationships/hyperlink" Target="https://www.mercadolivre.com.br/vendas/2000009857541992/detalhe" TargetMode="External"/><Relationship Id="rId820" Type="http://schemas.openxmlformats.org/officeDocument/2006/relationships/hyperlink" Target="https://www.mercadolivre.com.br/vendas/2000006643683671/detalhe" TargetMode="External"/><Relationship Id="rId826" Type="http://schemas.openxmlformats.org/officeDocument/2006/relationships/hyperlink" Target="https://www.mercadolivre.com.br/vendas/2000009855965004/detalhe" TargetMode="External"/><Relationship Id="rId825" Type="http://schemas.openxmlformats.org/officeDocument/2006/relationships/hyperlink" Target="https://www.mercadolivre.com.br/vendas/2000009856933676/detalhe" TargetMode="External"/><Relationship Id="rId824" Type="http://schemas.openxmlformats.org/officeDocument/2006/relationships/hyperlink" Target="https://www.mercadolivre.com.br/vendas/2000009857371338/detalhe" TargetMode="External"/><Relationship Id="rId823" Type="http://schemas.openxmlformats.org/officeDocument/2006/relationships/hyperlink" Target="https://www.mercadolivre.com.br/vendas/2000006643472575/detalhe" TargetMode="External"/><Relationship Id="rId1650" Type="http://schemas.openxmlformats.org/officeDocument/2006/relationships/hyperlink" Target="https://www.mercadolivre.com.br/vendas/2000009732561094/detalhe" TargetMode="External"/><Relationship Id="rId1651" Type="http://schemas.openxmlformats.org/officeDocument/2006/relationships/hyperlink" Target="https://www.mercadolivre.com.br/vendas/2000009732359534/detalhe" TargetMode="External"/><Relationship Id="rId1652" Type="http://schemas.openxmlformats.org/officeDocument/2006/relationships/hyperlink" Target="https://www.mercadolivre.com.br/vendas/2000009731948762/detalhe" TargetMode="External"/><Relationship Id="rId1642" Type="http://schemas.openxmlformats.org/officeDocument/2006/relationships/hyperlink" Target="https://www.mercadolivre.com.br/vendas/2000006568314597/detalhe" TargetMode="External"/><Relationship Id="rId1643" Type="http://schemas.openxmlformats.org/officeDocument/2006/relationships/hyperlink" Target="https://www.mercadolivre.com.br/vendas/2000009733667884/detalhe" TargetMode="External"/><Relationship Id="rId1644" Type="http://schemas.openxmlformats.org/officeDocument/2006/relationships/hyperlink" Target="https://www.mercadolivre.com.br/vendas/2000009733657716/detalhe" TargetMode="External"/><Relationship Id="rId1645" Type="http://schemas.openxmlformats.org/officeDocument/2006/relationships/hyperlink" Target="https://www.mercadolivre.com.br/vendas/2000006568152215/detalhe" TargetMode="External"/><Relationship Id="rId1646" Type="http://schemas.openxmlformats.org/officeDocument/2006/relationships/hyperlink" Target="https://www.mercadolivre.com.br/vendas/2000009733444020/detalhe" TargetMode="External"/><Relationship Id="rId1647" Type="http://schemas.openxmlformats.org/officeDocument/2006/relationships/hyperlink" Target="https://www.mercadolivre.com.br/vendas/2000009733404258/detalhe" TargetMode="External"/><Relationship Id="rId1648" Type="http://schemas.openxmlformats.org/officeDocument/2006/relationships/hyperlink" Target="https://www.mercadolivre.com.br/vendas/2000009732996222/detalhe" TargetMode="External"/><Relationship Id="rId1649" Type="http://schemas.openxmlformats.org/officeDocument/2006/relationships/hyperlink" Target="https://www.mercadolivre.com.br/vendas/2000006567775409/detalhe" TargetMode="External"/><Relationship Id="rId819" Type="http://schemas.openxmlformats.org/officeDocument/2006/relationships/hyperlink" Target="https://www.mercadolivre.com.br/vendas/2000009857781098/detalhe" TargetMode="External"/><Relationship Id="rId818" Type="http://schemas.openxmlformats.org/officeDocument/2006/relationships/hyperlink" Target="https://www.mercadolivre.com.br/vendas/2000009857838252/detalhe" TargetMode="External"/><Relationship Id="rId817" Type="http://schemas.openxmlformats.org/officeDocument/2006/relationships/hyperlink" Target="https://www.mercadolivre.com.br/vendas/2000009857849568/detalhe" TargetMode="External"/><Relationship Id="rId816" Type="http://schemas.openxmlformats.org/officeDocument/2006/relationships/hyperlink" Target="https://www.mercadolivre.com.br/vendas/2000009857966486/detalhe" TargetMode="External"/><Relationship Id="rId811" Type="http://schemas.openxmlformats.org/officeDocument/2006/relationships/hyperlink" Target="https://www.mercadolivre.com.br/vendas/2000006644181459/detalhe" TargetMode="External"/><Relationship Id="rId810" Type="http://schemas.openxmlformats.org/officeDocument/2006/relationships/hyperlink" Target="https://www.mercadolivre.com.br/vendas/2000009858710070/detalhe" TargetMode="External"/><Relationship Id="rId815" Type="http://schemas.openxmlformats.org/officeDocument/2006/relationships/hyperlink" Target="https://www.mercadolivre.com.br/vendas/2000009858108750/detalhe" TargetMode="External"/><Relationship Id="rId814" Type="http://schemas.openxmlformats.org/officeDocument/2006/relationships/hyperlink" Target="https://www.mercadolivre.com.br/vendas/2000009858156858/detalhe" TargetMode="External"/><Relationship Id="rId813" Type="http://schemas.openxmlformats.org/officeDocument/2006/relationships/hyperlink" Target="https://www.mercadolivre.com.br/vendas/2000009858277206/detalhe" TargetMode="External"/><Relationship Id="rId812" Type="http://schemas.openxmlformats.org/officeDocument/2006/relationships/hyperlink" Target="https://www.mercadolivre.com.br/vendas/2000009858450238/detalhe" TargetMode="External"/><Relationship Id="rId1640" Type="http://schemas.openxmlformats.org/officeDocument/2006/relationships/hyperlink" Target="https://www.mercadolivre.com.br/vendas/2000009734364792/detalhe" TargetMode="External"/><Relationship Id="rId1641" Type="http://schemas.openxmlformats.org/officeDocument/2006/relationships/hyperlink" Target="https://www.mercadolivre.com.br/vendas/2000006568324341/detalhe" TargetMode="External"/><Relationship Id="rId1675" Type="http://schemas.openxmlformats.org/officeDocument/2006/relationships/hyperlink" Target="https://www.mercadolivre.com.br/vendas/2000009728226966/detalhe" TargetMode="External"/><Relationship Id="rId1676" Type="http://schemas.openxmlformats.org/officeDocument/2006/relationships/hyperlink" Target="https://www.mercadolivre.com.br/vendas/2000009728159166/detalhe" TargetMode="External"/><Relationship Id="rId1677" Type="http://schemas.openxmlformats.org/officeDocument/2006/relationships/hyperlink" Target="https://www.mercadolivre.com.br/vendas/2000006564896977/detalhe" TargetMode="External"/><Relationship Id="rId1678" Type="http://schemas.openxmlformats.org/officeDocument/2006/relationships/hyperlink" Target="https://www.mercadolivre.com.br/vendas/2000009727907392/detalhe" TargetMode="External"/><Relationship Id="rId1679" Type="http://schemas.openxmlformats.org/officeDocument/2006/relationships/hyperlink" Target="https://www.mercadolivre.com.br/vendas/2000006564650335/detalhe" TargetMode="External"/><Relationship Id="rId849" Type="http://schemas.openxmlformats.org/officeDocument/2006/relationships/hyperlink" Target="https://www.mercadolivre.com.br/vendas/2000009852394562/detalhe" TargetMode="External"/><Relationship Id="rId844" Type="http://schemas.openxmlformats.org/officeDocument/2006/relationships/hyperlink" Target="https://www.mercadolivre.com.br/vendas/2000009853953360/detalhe" TargetMode="External"/><Relationship Id="rId843" Type="http://schemas.openxmlformats.org/officeDocument/2006/relationships/hyperlink" Target="https://www.mercadolivre.com.br/vendas/2000006641189089/detalhe" TargetMode="External"/><Relationship Id="rId842" Type="http://schemas.openxmlformats.org/officeDocument/2006/relationships/hyperlink" Target="https://www.mercadolivre.com.br/vendas/2000009854131458/detalhe" TargetMode="External"/><Relationship Id="rId841" Type="http://schemas.openxmlformats.org/officeDocument/2006/relationships/hyperlink" Target="https://www.mercadolivre.com.br/vendas/2000009854620824/detalhe" TargetMode="External"/><Relationship Id="rId848" Type="http://schemas.openxmlformats.org/officeDocument/2006/relationships/hyperlink" Target="https://www.mercadolivre.com.br/vendas/2000009852888704/detalhe" TargetMode="External"/><Relationship Id="rId847" Type="http://schemas.openxmlformats.org/officeDocument/2006/relationships/hyperlink" Target="https://www.mercadolivre.com.br/vendas/2000006640850619/detalhe" TargetMode="External"/><Relationship Id="rId846" Type="http://schemas.openxmlformats.org/officeDocument/2006/relationships/hyperlink" Target="https://www.mercadolivre.com.br/vendas/2000009853621582/detalhe" TargetMode="External"/><Relationship Id="rId845" Type="http://schemas.openxmlformats.org/officeDocument/2006/relationships/hyperlink" Target="https://www.mercadolivre.com.br/vendas/2000009844414218/detalhe" TargetMode="External"/><Relationship Id="rId1670" Type="http://schemas.openxmlformats.org/officeDocument/2006/relationships/hyperlink" Target="https://www.mercadolivre.com.br/vendas/2000006565521259/detalhe" TargetMode="External"/><Relationship Id="rId840" Type="http://schemas.openxmlformats.org/officeDocument/2006/relationships/hyperlink" Target="https://www.mercadolivre.com.br/vendas/2000006641663205/detalhe" TargetMode="External"/><Relationship Id="rId1671" Type="http://schemas.openxmlformats.org/officeDocument/2006/relationships/hyperlink" Target="https://www.mercadolivre.com.br/vendas/2000006565521259/detalhe" TargetMode="External"/><Relationship Id="rId1672" Type="http://schemas.openxmlformats.org/officeDocument/2006/relationships/hyperlink" Target="https://www.mercadolivre.com.br/vendas/2000009729128206/detalhe" TargetMode="External"/><Relationship Id="rId1673" Type="http://schemas.openxmlformats.org/officeDocument/2006/relationships/hyperlink" Target="https://www.mercadolivre.com.br/vendas/2000009728900920/detalhe" TargetMode="External"/><Relationship Id="rId1674" Type="http://schemas.openxmlformats.org/officeDocument/2006/relationships/hyperlink" Target="https://www.mercadolivre.com.br/vendas/2000009728552800/detalhe" TargetMode="External"/><Relationship Id="rId1664" Type="http://schemas.openxmlformats.org/officeDocument/2006/relationships/hyperlink" Target="https://www.mercadolivre.com.br/vendas/2000006566237473/detalhe" TargetMode="External"/><Relationship Id="rId1665" Type="http://schemas.openxmlformats.org/officeDocument/2006/relationships/hyperlink" Target="https://www.mercadolivre.com.br/vendas/2000006566021355/detalhe" TargetMode="External"/><Relationship Id="rId1666" Type="http://schemas.openxmlformats.org/officeDocument/2006/relationships/hyperlink" Target="https://www.mercadolivre.com.br/vendas/2000006565800083/detalhe" TargetMode="External"/><Relationship Id="rId1667" Type="http://schemas.openxmlformats.org/officeDocument/2006/relationships/hyperlink" Target="https://www.mercadolivre.com.br/vendas/2000006565758455/detalhe" TargetMode="External"/><Relationship Id="rId1668" Type="http://schemas.openxmlformats.org/officeDocument/2006/relationships/hyperlink" Target="https://www.mercadolivre.com.br/vendas/2000009729528716/detalhe" TargetMode="External"/><Relationship Id="rId1669" Type="http://schemas.openxmlformats.org/officeDocument/2006/relationships/hyperlink" Target="https://www.mercadolivre.com.br/vendas/2000006565521259/detalhe" TargetMode="External"/><Relationship Id="rId839" Type="http://schemas.openxmlformats.org/officeDocument/2006/relationships/hyperlink" Target="https://www.mercadolivre.com.br/vendas/2000006641663205/detalhe" TargetMode="External"/><Relationship Id="rId838" Type="http://schemas.openxmlformats.org/officeDocument/2006/relationships/hyperlink" Target="https://www.mercadolivre.com.br/vendas/2000006641663205/detalhe" TargetMode="External"/><Relationship Id="rId833" Type="http://schemas.openxmlformats.org/officeDocument/2006/relationships/hyperlink" Target="https://www.mercadolivre.com.br/vendas/2000006642071215/detalhe" TargetMode="External"/><Relationship Id="rId832" Type="http://schemas.openxmlformats.org/officeDocument/2006/relationships/hyperlink" Target="https://www.mercadolivre.com.br/vendas/2000006642071215/detalhe" TargetMode="External"/><Relationship Id="rId831" Type="http://schemas.openxmlformats.org/officeDocument/2006/relationships/hyperlink" Target="https://www.mercadolivre.com.br/vendas/2000009855503298/detalhe" TargetMode="External"/><Relationship Id="rId830" Type="http://schemas.openxmlformats.org/officeDocument/2006/relationships/hyperlink" Target="https://www.mercadolivre.com.br/vendas/2000006642247419/detalhe" TargetMode="External"/><Relationship Id="rId837" Type="http://schemas.openxmlformats.org/officeDocument/2006/relationships/hyperlink" Target="https://www.mercadolivre.com.br/vendas/2000006641687973/detalhe" TargetMode="External"/><Relationship Id="rId836" Type="http://schemas.openxmlformats.org/officeDocument/2006/relationships/hyperlink" Target="https://www.mercadolivre.com.br/vendas/2000009855144214/detalhe" TargetMode="External"/><Relationship Id="rId835" Type="http://schemas.openxmlformats.org/officeDocument/2006/relationships/hyperlink" Target="https://www.mercadolivre.com.br/vendas/2000009855153692/detalhe" TargetMode="External"/><Relationship Id="rId834" Type="http://schemas.openxmlformats.org/officeDocument/2006/relationships/hyperlink" Target="https://www.mercadolivre.com.br/vendas/2000006642071215/detalhe" TargetMode="External"/><Relationship Id="rId1660" Type="http://schemas.openxmlformats.org/officeDocument/2006/relationships/hyperlink" Target="https://www.mercadolivre.com.br/vendas/2000006566406299/detalhe" TargetMode="External"/><Relationship Id="rId1661" Type="http://schemas.openxmlformats.org/officeDocument/2006/relationships/hyperlink" Target="https://www.mercadolivre.com.br/vendas/2000006566265053/detalhe" TargetMode="External"/><Relationship Id="rId1662" Type="http://schemas.openxmlformats.org/officeDocument/2006/relationships/hyperlink" Target="https://www.mercadolivre.com.br/vendas/2000006566237473/detalhe" TargetMode="External"/><Relationship Id="rId1663" Type="http://schemas.openxmlformats.org/officeDocument/2006/relationships/hyperlink" Target="https://www.mercadolivre.com.br/vendas/2000006566237473/detalhe" TargetMode="External"/><Relationship Id="rId469" Type="http://schemas.openxmlformats.org/officeDocument/2006/relationships/hyperlink" Target="https://www.mercadolivre.com.br/vendas/2000009922854448/detalhe" TargetMode="External"/><Relationship Id="rId468" Type="http://schemas.openxmlformats.org/officeDocument/2006/relationships/hyperlink" Target="https://www.mercadolivre.com.br/vendas/2000009923253714/detalhe" TargetMode="External"/><Relationship Id="rId467" Type="http://schemas.openxmlformats.org/officeDocument/2006/relationships/hyperlink" Target="https://www.mercadolivre.com.br/vendas/2000009923299314/detalhe" TargetMode="External"/><Relationship Id="rId1290" Type="http://schemas.openxmlformats.org/officeDocument/2006/relationships/hyperlink" Target="https://www.mercadolivre.com.br/vendas/2000006598566735/detalhe" TargetMode="External"/><Relationship Id="rId1291" Type="http://schemas.openxmlformats.org/officeDocument/2006/relationships/hyperlink" Target="https://www.mercadolivre.com.br/vendas/2000006598566735/detalhe" TargetMode="External"/><Relationship Id="rId1292" Type="http://schemas.openxmlformats.org/officeDocument/2006/relationships/hyperlink" Target="https://www.mercadolivre.com.br/vendas/2000006598566735/detalhe" TargetMode="External"/><Relationship Id="rId462" Type="http://schemas.openxmlformats.org/officeDocument/2006/relationships/hyperlink" Target="https://www.mercadolivre.com.br/vendas/2000006685712265/detalhe" TargetMode="External"/><Relationship Id="rId1293" Type="http://schemas.openxmlformats.org/officeDocument/2006/relationships/hyperlink" Target="https://www.mercadolivre.com.br/vendas/2000006598566735/detalhe" TargetMode="External"/><Relationship Id="rId461" Type="http://schemas.openxmlformats.org/officeDocument/2006/relationships/hyperlink" Target="https://www.mercadolivre.com.br/vendas/2000009924299170/detalhe" TargetMode="External"/><Relationship Id="rId1294" Type="http://schemas.openxmlformats.org/officeDocument/2006/relationships/hyperlink" Target="https://www.mercadolivre.com.br/vendas/2000009784298122/detalhe" TargetMode="External"/><Relationship Id="rId460" Type="http://schemas.openxmlformats.org/officeDocument/2006/relationships/hyperlink" Target="https://www.mercadolivre.com.br/vendas/2000009924433146/detalhe" TargetMode="External"/><Relationship Id="rId1295" Type="http://schemas.openxmlformats.org/officeDocument/2006/relationships/hyperlink" Target="https://www.mercadolivre.com.br/vendas/2000006598386355/detalhe" TargetMode="External"/><Relationship Id="rId1296" Type="http://schemas.openxmlformats.org/officeDocument/2006/relationships/hyperlink" Target="https://www.mercadolivre.com.br/vendas/2000006598386355/detalhe" TargetMode="External"/><Relationship Id="rId466" Type="http://schemas.openxmlformats.org/officeDocument/2006/relationships/hyperlink" Target="https://www.mercadolivre.com.br/vendas/2000009923533650/detalhe" TargetMode="External"/><Relationship Id="rId1297" Type="http://schemas.openxmlformats.org/officeDocument/2006/relationships/hyperlink" Target="https://www.mercadolivre.com.br/vendas/2000006598386355/detalhe" TargetMode="External"/><Relationship Id="rId465" Type="http://schemas.openxmlformats.org/officeDocument/2006/relationships/hyperlink" Target="https://www.mercadolivre.com.br/vendas/2000006685374353/detalhe" TargetMode="External"/><Relationship Id="rId1298" Type="http://schemas.openxmlformats.org/officeDocument/2006/relationships/hyperlink" Target="https://www.mercadolivre.com.br/vendas/2000009783798924/detalhe" TargetMode="External"/><Relationship Id="rId464" Type="http://schemas.openxmlformats.org/officeDocument/2006/relationships/hyperlink" Target="https://www.mercadolivre.com.br/vendas/2000009923871926/detalhe" TargetMode="External"/><Relationship Id="rId1299" Type="http://schemas.openxmlformats.org/officeDocument/2006/relationships/hyperlink" Target="https://www.mercadolivre.com.br/vendas/2000009783774280/detalhe" TargetMode="External"/><Relationship Id="rId463" Type="http://schemas.openxmlformats.org/officeDocument/2006/relationships/hyperlink" Target="https://www.mercadolivre.com.br/vendas/2000009924145420/detalhe" TargetMode="External"/><Relationship Id="rId459" Type="http://schemas.openxmlformats.org/officeDocument/2006/relationships/hyperlink" Target="https://www.mercadolivre.com.br/vendas/2000006685989809/detalhe" TargetMode="External"/><Relationship Id="rId458" Type="http://schemas.openxmlformats.org/officeDocument/2006/relationships/hyperlink" Target="https://www.mercadolivre.com.br/vendas/2000009924774232/detalhe" TargetMode="External"/><Relationship Id="rId457" Type="http://schemas.openxmlformats.org/officeDocument/2006/relationships/hyperlink" Target="https://www.mercadolivre.com.br/vendas/2000009924994768/detalhe" TargetMode="External"/><Relationship Id="rId456" Type="http://schemas.openxmlformats.org/officeDocument/2006/relationships/hyperlink" Target="https://www.mercadolivre.com.br/vendas/2000006686407491/detalhe" TargetMode="External"/><Relationship Id="rId1280" Type="http://schemas.openxmlformats.org/officeDocument/2006/relationships/hyperlink" Target="https://www.mercadolivre.com.br/vendas/2000009787435944/detalhe" TargetMode="External"/><Relationship Id="rId1281" Type="http://schemas.openxmlformats.org/officeDocument/2006/relationships/hyperlink" Target="https://www.mercadolivre.com.br/vendas/2000009785657266/detalhe" TargetMode="External"/><Relationship Id="rId451" Type="http://schemas.openxmlformats.org/officeDocument/2006/relationships/hyperlink" Target="https://www.mercadolivre.com.br/vendas/2000006686583269/detalhe" TargetMode="External"/><Relationship Id="rId1282" Type="http://schemas.openxmlformats.org/officeDocument/2006/relationships/hyperlink" Target="https://www.mercadolivre.com.br/vendas/2000006599326403/detalhe" TargetMode="External"/><Relationship Id="rId450" Type="http://schemas.openxmlformats.org/officeDocument/2006/relationships/hyperlink" Target="https://www.mercadolivre.com.br/vendas/2000006686583269/detalhe" TargetMode="External"/><Relationship Id="rId1283" Type="http://schemas.openxmlformats.org/officeDocument/2006/relationships/hyperlink" Target="https://www.mercadolivre.com.br/vendas/2000006599279629/detalhe" TargetMode="External"/><Relationship Id="rId1284" Type="http://schemas.openxmlformats.org/officeDocument/2006/relationships/hyperlink" Target="https://www.mercadolivre.com.br/vendas/2000006599279629/detalhe" TargetMode="External"/><Relationship Id="rId1285" Type="http://schemas.openxmlformats.org/officeDocument/2006/relationships/hyperlink" Target="https://www.mercadolivre.com.br/vendas/2000006599279629/detalhe" TargetMode="External"/><Relationship Id="rId455" Type="http://schemas.openxmlformats.org/officeDocument/2006/relationships/hyperlink" Target="https://www.mercadolivre.com.br/vendas/2000009925505032/detalhe" TargetMode="External"/><Relationship Id="rId1286" Type="http://schemas.openxmlformats.org/officeDocument/2006/relationships/hyperlink" Target="https://www.mercadolivre.com.br/vendas/2000009785447188/detalhe" TargetMode="External"/><Relationship Id="rId454" Type="http://schemas.openxmlformats.org/officeDocument/2006/relationships/hyperlink" Target="https://www.mercadolivre.com.br/vendas/2000009925554762/detalhe" TargetMode="External"/><Relationship Id="rId1287" Type="http://schemas.openxmlformats.org/officeDocument/2006/relationships/hyperlink" Target="https://www.mercadolivre.com.br/vendas/2000009743346588/detalhe" TargetMode="External"/><Relationship Id="rId453" Type="http://schemas.openxmlformats.org/officeDocument/2006/relationships/hyperlink" Target="https://www.mercadolivre.com.br/vendas/2000006686583269/detalhe" TargetMode="External"/><Relationship Id="rId1288" Type="http://schemas.openxmlformats.org/officeDocument/2006/relationships/hyperlink" Target="https://www.mercadolivre.com.br/vendas/2000009785027588/detalhe" TargetMode="External"/><Relationship Id="rId452" Type="http://schemas.openxmlformats.org/officeDocument/2006/relationships/hyperlink" Target="https://www.mercadolivre.com.br/vendas/2000006686583269/detalhe" TargetMode="External"/><Relationship Id="rId1289" Type="http://schemas.openxmlformats.org/officeDocument/2006/relationships/hyperlink" Target="https://www.mercadolivre.com.br/vendas/2000006598566735/detalhe" TargetMode="External"/><Relationship Id="rId491" Type="http://schemas.openxmlformats.org/officeDocument/2006/relationships/hyperlink" Target="https://www.mercadolivre.com.br/vendas/2000009920320840/detalhe" TargetMode="External"/><Relationship Id="rId490" Type="http://schemas.openxmlformats.org/officeDocument/2006/relationships/hyperlink" Target="https://www.mercadolivre.com.br/vendas/2000006683366509/detalhe" TargetMode="External"/><Relationship Id="rId489" Type="http://schemas.openxmlformats.org/officeDocument/2006/relationships/hyperlink" Target="https://www.mercadolivre.com.br/vendas/2000009920452804/detalhe" TargetMode="External"/><Relationship Id="rId484" Type="http://schemas.openxmlformats.org/officeDocument/2006/relationships/hyperlink" Target="https://www.mercadolivre.com.br/vendas/2000009920852898/detalhe" TargetMode="External"/><Relationship Id="rId483" Type="http://schemas.openxmlformats.org/officeDocument/2006/relationships/hyperlink" Target="https://www.mercadolivre.com.br/vendas/2000009920877756/detalhe" TargetMode="External"/><Relationship Id="rId482" Type="http://schemas.openxmlformats.org/officeDocument/2006/relationships/hyperlink" Target="https://www.mercadolivre.com.br/vendas/2000009921073804/detalhe" TargetMode="External"/><Relationship Id="rId481" Type="http://schemas.openxmlformats.org/officeDocument/2006/relationships/hyperlink" Target="https://www.mercadolivre.com.br/vendas/2000009921244858/detalhe" TargetMode="External"/><Relationship Id="rId488" Type="http://schemas.openxmlformats.org/officeDocument/2006/relationships/hyperlink" Target="https://www.mercadolivre.com.br/vendas/2000009920520036/detalhe" TargetMode="External"/><Relationship Id="rId487" Type="http://schemas.openxmlformats.org/officeDocument/2006/relationships/hyperlink" Target="https://www.mercadolivre.com.br/vendas/2000009920517000/detalhe" TargetMode="External"/><Relationship Id="rId486" Type="http://schemas.openxmlformats.org/officeDocument/2006/relationships/hyperlink" Target="https://www.mercadolivre.com.br/vendas/2000009920758994/detalhe" TargetMode="External"/><Relationship Id="rId485" Type="http://schemas.openxmlformats.org/officeDocument/2006/relationships/hyperlink" Target="https://www.mercadolivre.com.br/vendas/2000006683630825/detalhe" TargetMode="External"/><Relationship Id="rId480" Type="http://schemas.openxmlformats.org/officeDocument/2006/relationships/hyperlink" Target="https://www.mercadolivre.com.br/vendas/2000009921352170/detalhe" TargetMode="External"/><Relationship Id="rId479" Type="http://schemas.openxmlformats.org/officeDocument/2006/relationships/hyperlink" Target="https://www.mercadolivre.com.br/vendas/2000006684322125/detalhe" TargetMode="External"/><Relationship Id="rId478" Type="http://schemas.openxmlformats.org/officeDocument/2006/relationships/hyperlink" Target="https://www.mercadolivre.com.br/vendas/2000009922025706/detalhe" TargetMode="External"/><Relationship Id="rId473" Type="http://schemas.openxmlformats.org/officeDocument/2006/relationships/hyperlink" Target="https://www.mercadolivre.com.br/vendas/2000006684641665/detalhe" TargetMode="External"/><Relationship Id="rId472" Type="http://schemas.openxmlformats.org/officeDocument/2006/relationships/hyperlink" Target="https://www.mercadolivre.com.br/vendas/2000006684675053/detalhe" TargetMode="External"/><Relationship Id="rId471" Type="http://schemas.openxmlformats.org/officeDocument/2006/relationships/hyperlink" Target="https://www.mercadolivre.com.br/vendas/2000009922650310/detalhe" TargetMode="External"/><Relationship Id="rId470" Type="http://schemas.openxmlformats.org/officeDocument/2006/relationships/hyperlink" Target="https://www.mercadolivre.com.br/vendas/2000006684856335/detalhe" TargetMode="External"/><Relationship Id="rId477" Type="http://schemas.openxmlformats.org/officeDocument/2006/relationships/hyperlink" Target="https://www.mercadolivre.com.br/vendas/2000006684395305/detalhe" TargetMode="External"/><Relationship Id="rId476" Type="http://schemas.openxmlformats.org/officeDocument/2006/relationships/hyperlink" Target="https://www.mercadolivre.com.br/vendas/2000006684468411/detalhe" TargetMode="External"/><Relationship Id="rId475" Type="http://schemas.openxmlformats.org/officeDocument/2006/relationships/hyperlink" Target="https://www.mercadolivre.com.br/vendas/2000009922295718/detalhe" TargetMode="External"/><Relationship Id="rId474" Type="http://schemas.openxmlformats.org/officeDocument/2006/relationships/hyperlink" Target="https://www.mercadolivre.com.br/vendas/2000006684623589/detalhe" TargetMode="External"/><Relationship Id="rId1257" Type="http://schemas.openxmlformats.org/officeDocument/2006/relationships/hyperlink" Target="https://www.mercadolivre.com.br/vendas/2000009790440154/detalhe" TargetMode="External"/><Relationship Id="rId1258" Type="http://schemas.openxmlformats.org/officeDocument/2006/relationships/hyperlink" Target="https://www.mercadolivre.com.br/vendas/2000009790372818/detalhe" TargetMode="External"/><Relationship Id="rId1259" Type="http://schemas.openxmlformats.org/officeDocument/2006/relationships/hyperlink" Target="https://www.mercadolivre.com.br/vendas/2000009790314576/detalhe" TargetMode="External"/><Relationship Id="rId426" Type="http://schemas.openxmlformats.org/officeDocument/2006/relationships/hyperlink" Target="https://www.mercadolivre.com.br/vendas/2000009930470976/detalhe" TargetMode="External"/><Relationship Id="rId425" Type="http://schemas.openxmlformats.org/officeDocument/2006/relationships/hyperlink" Target="https://www.mercadolivre.com.br/vendas/2000006689629963/detalhe" TargetMode="External"/><Relationship Id="rId424" Type="http://schemas.openxmlformats.org/officeDocument/2006/relationships/hyperlink" Target="https://www.mercadolivre.com.br/vendas/2000006689629963/detalhe" TargetMode="External"/><Relationship Id="rId423" Type="http://schemas.openxmlformats.org/officeDocument/2006/relationships/hyperlink" Target="https://www.mercadolivre.com.br/vendas/2000006689629963/detalhe" TargetMode="External"/><Relationship Id="rId429" Type="http://schemas.openxmlformats.org/officeDocument/2006/relationships/hyperlink" Target="https://www.mercadolivre.com.br/vendas/2000006689338415/detalhe" TargetMode="External"/><Relationship Id="rId428" Type="http://schemas.openxmlformats.org/officeDocument/2006/relationships/hyperlink" Target="https://www.mercadolivre.com.br/vendas/2000009930095602/detalhe" TargetMode="External"/><Relationship Id="rId427" Type="http://schemas.openxmlformats.org/officeDocument/2006/relationships/hyperlink" Target="https://www.mercadolivre.com.br/vendas/2000006689458083/detalhe" TargetMode="External"/><Relationship Id="rId1250" Type="http://schemas.openxmlformats.org/officeDocument/2006/relationships/hyperlink" Target="https://www.mercadolivre.com.br/vendas/2000006602501405/detalhe" TargetMode="External"/><Relationship Id="rId1251" Type="http://schemas.openxmlformats.org/officeDocument/2006/relationships/hyperlink" Target="https://www.mercadolivre.com.br/vendas/2000006602440757/detalhe" TargetMode="External"/><Relationship Id="rId1252" Type="http://schemas.openxmlformats.org/officeDocument/2006/relationships/hyperlink" Target="https://www.mercadolivre.com.br/vendas/2000009790820690/detalhe" TargetMode="External"/><Relationship Id="rId422" Type="http://schemas.openxmlformats.org/officeDocument/2006/relationships/hyperlink" Target="https://www.mercadolivre.com.br/vendas/2000006689731305/detalhe" TargetMode="External"/><Relationship Id="rId1253" Type="http://schemas.openxmlformats.org/officeDocument/2006/relationships/hyperlink" Target="https://www.mercadolivre.com.br/vendas/2000009790705748/detalhe" TargetMode="External"/><Relationship Id="rId421" Type="http://schemas.openxmlformats.org/officeDocument/2006/relationships/hyperlink" Target="https://www.mercadolivre.com.br/vendas/2000009930757768/detalhe" TargetMode="External"/><Relationship Id="rId1254" Type="http://schemas.openxmlformats.org/officeDocument/2006/relationships/hyperlink" Target="https://www.mercadolivre.com.br/vendas/2000006602252869/detalhe" TargetMode="External"/><Relationship Id="rId420" Type="http://schemas.openxmlformats.org/officeDocument/2006/relationships/hyperlink" Target="https://www.mercadolivre.com.br/vendas/2000009930789992/detalhe" TargetMode="External"/><Relationship Id="rId1255" Type="http://schemas.openxmlformats.org/officeDocument/2006/relationships/hyperlink" Target="https://www.mercadolivre.com.br/vendas/2000009790457598/detalhe" TargetMode="External"/><Relationship Id="rId1256" Type="http://schemas.openxmlformats.org/officeDocument/2006/relationships/hyperlink" Target="https://www.mercadolivre.com.br/vendas/2000009790440016/detalhe" TargetMode="External"/><Relationship Id="rId1246" Type="http://schemas.openxmlformats.org/officeDocument/2006/relationships/hyperlink" Target="https://www.mercadolivre.com.br/vendas/2000006602726251/detalhe" TargetMode="External"/><Relationship Id="rId1247" Type="http://schemas.openxmlformats.org/officeDocument/2006/relationships/hyperlink" Target="https://www.mercadolivre.com.br/vendas/2000006602624549/detalhe" TargetMode="External"/><Relationship Id="rId1248" Type="http://schemas.openxmlformats.org/officeDocument/2006/relationships/hyperlink" Target="https://www.mercadolivre.com.br/vendas/2000009790983598/detalhe" TargetMode="External"/><Relationship Id="rId1249" Type="http://schemas.openxmlformats.org/officeDocument/2006/relationships/hyperlink" Target="https://www.mercadolivre.com.br/vendas/2000009790984720/detalhe" TargetMode="External"/><Relationship Id="rId415" Type="http://schemas.openxmlformats.org/officeDocument/2006/relationships/hyperlink" Target="https://www.mercadolivre.com.br/vendas/2000009931452780/detalhe" TargetMode="External"/><Relationship Id="rId899" Type="http://schemas.openxmlformats.org/officeDocument/2006/relationships/hyperlink" Target="https://www.mercadolivre.com.br/vendas/2000009842744550/detalhe" TargetMode="External"/><Relationship Id="rId414" Type="http://schemas.openxmlformats.org/officeDocument/2006/relationships/hyperlink" Target="https://www.mercadolivre.com.br/vendas/2000009931815946/detalhe" TargetMode="External"/><Relationship Id="rId898" Type="http://schemas.openxmlformats.org/officeDocument/2006/relationships/hyperlink" Target="https://www.mercadolivre.com.br/vendas/2000009842933390/detalhe" TargetMode="External"/><Relationship Id="rId413" Type="http://schemas.openxmlformats.org/officeDocument/2006/relationships/hyperlink" Target="https://www.mercadolivre.com.br/vendas/2000006690483319/detalhe" TargetMode="External"/><Relationship Id="rId897" Type="http://schemas.openxmlformats.org/officeDocument/2006/relationships/hyperlink" Target="https://www.mercadolivre.com.br/vendas/2000009843223014/detalhe" TargetMode="External"/><Relationship Id="rId412" Type="http://schemas.openxmlformats.org/officeDocument/2006/relationships/hyperlink" Target="https://www.mercadolivre.com.br/vendas/2000009931895924/detalhe" TargetMode="External"/><Relationship Id="rId896" Type="http://schemas.openxmlformats.org/officeDocument/2006/relationships/hyperlink" Target="https://www.mercadolivre.com.br/vendas/2000006634674105/detalhe" TargetMode="External"/><Relationship Id="rId419" Type="http://schemas.openxmlformats.org/officeDocument/2006/relationships/hyperlink" Target="https://www.mercadolivre.com.br/vendas/2000009930826978/detalhe" TargetMode="External"/><Relationship Id="rId418" Type="http://schemas.openxmlformats.org/officeDocument/2006/relationships/hyperlink" Target="https://www.mercadolivre.com.br/vendas/2000009930899736/detalhe" TargetMode="External"/><Relationship Id="rId417" Type="http://schemas.openxmlformats.org/officeDocument/2006/relationships/hyperlink" Target="https://www.mercadolivre.com.br/vendas/2000009931113276/detalhe" TargetMode="External"/><Relationship Id="rId416" Type="http://schemas.openxmlformats.org/officeDocument/2006/relationships/hyperlink" Target="https://www.mercadolivre.com.br/vendas/2000009931393338/detalhe" TargetMode="External"/><Relationship Id="rId891" Type="http://schemas.openxmlformats.org/officeDocument/2006/relationships/hyperlink" Target="https://www.mercadolivre.com.br/vendas/2000006635038589/detalhe" TargetMode="External"/><Relationship Id="rId890" Type="http://schemas.openxmlformats.org/officeDocument/2006/relationships/hyperlink" Target="https://www.mercadolivre.com.br/vendas/2000006635175909/detalhe" TargetMode="External"/><Relationship Id="rId1240" Type="http://schemas.openxmlformats.org/officeDocument/2006/relationships/hyperlink" Target="https://www.mercadolivre.com.br/vendas/2000009791880100/detalhe" TargetMode="External"/><Relationship Id="rId1241" Type="http://schemas.openxmlformats.org/officeDocument/2006/relationships/hyperlink" Target="https://www.mercadolivre.com.br/vendas/2000009791852382/detalhe" TargetMode="External"/><Relationship Id="rId411" Type="http://schemas.openxmlformats.org/officeDocument/2006/relationships/hyperlink" Target="https://www.mercadolivre.com.br/vendas/2000006690529095/detalhe" TargetMode="External"/><Relationship Id="rId895" Type="http://schemas.openxmlformats.org/officeDocument/2006/relationships/hyperlink" Target="https://www.mercadolivre.com.br/vendas/2000009843793340/detalhe" TargetMode="External"/><Relationship Id="rId1242" Type="http://schemas.openxmlformats.org/officeDocument/2006/relationships/hyperlink" Target="https://www.mercadolivre.com.br/vendas/2000009791732574/detalhe" TargetMode="External"/><Relationship Id="rId410" Type="http://schemas.openxmlformats.org/officeDocument/2006/relationships/hyperlink" Target="https://www.mercadolivre.com.br/vendas/2000006690529095/detalhe" TargetMode="External"/><Relationship Id="rId894" Type="http://schemas.openxmlformats.org/officeDocument/2006/relationships/hyperlink" Target="https://www.mercadolivre.com.br/vendas/2000006634746561/detalhe" TargetMode="External"/><Relationship Id="rId1243" Type="http://schemas.openxmlformats.org/officeDocument/2006/relationships/hyperlink" Target="https://www.mercadolivre.com.br/vendas/2000009791645032/detalhe" TargetMode="External"/><Relationship Id="rId893" Type="http://schemas.openxmlformats.org/officeDocument/2006/relationships/hyperlink" Target="https://www.mercadolivre.com.br/vendas/2000009844058478/detalhe" TargetMode="External"/><Relationship Id="rId1244" Type="http://schemas.openxmlformats.org/officeDocument/2006/relationships/hyperlink" Target="https://www.mercadolivre.com.br/vendas/2000009791423916/detalhe" TargetMode="External"/><Relationship Id="rId892" Type="http://schemas.openxmlformats.org/officeDocument/2006/relationships/hyperlink" Target="https://www.mercadolivre.com.br/vendas/2000009844229282/detalhe" TargetMode="External"/><Relationship Id="rId1245" Type="http://schemas.openxmlformats.org/officeDocument/2006/relationships/hyperlink" Target="https://www.mercadolivre.com.br/vendas/2000006602744989/detalhe" TargetMode="External"/><Relationship Id="rId1279" Type="http://schemas.openxmlformats.org/officeDocument/2006/relationships/hyperlink" Target="https://www.mercadolivre.com.br/vendas/2000006600640385/detalhe" TargetMode="External"/><Relationship Id="rId448" Type="http://schemas.openxmlformats.org/officeDocument/2006/relationships/hyperlink" Target="https://www.mercadolivre.com.br/vendas/2000006686842237/detalhe" TargetMode="External"/><Relationship Id="rId447" Type="http://schemas.openxmlformats.org/officeDocument/2006/relationships/hyperlink" Target="https://www.mercadolivre.com.br/vendas/2000009926139988/detalhe" TargetMode="External"/><Relationship Id="rId446" Type="http://schemas.openxmlformats.org/officeDocument/2006/relationships/hyperlink" Target="https://www.mercadolivre.com.br/vendas/2000009926446098/detalhe" TargetMode="External"/><Relationship Id="rId445" Type="http://schemas.openxmlformats.org/officeDocument/2006/relationships/hyperlink" Target="https://www.mercadolivre.com.br/vendas/2000009926812734/detalhe" TargetMode="External"/><Relationship Id="rId449" Type="http://schemas.openxmlformats.org/officeDocument/2006/relationships/hyperlink" Target="https://www.mercadolivre.com.br/vendas/2000006686760815/detalhe" TargetMode="External"/><Relationship Id="rId1270" Type="http://schemas.openxmlformats.org/officeDocument/2006/relationships/hyperlink" Target="https://www.mercadolivre.com.br/vendas/2000006601316429/detalhe" TargetMode="External"/><Relationship Id="rId440" Type="http://schemas.openxmlformats.org/officeDocument/2006/relationships/hyperlink" Target="https://www.mercadolivre.com.br/vendas/2000009928101332/detalhe" TargetMode="External"/><Relationship Id="rId1271" Type="http://schemas.openxmlformats.org/officeDocument/2006/relationships/hyperlink" Target="https://www.mercadolivre.com.br/vendas/2000006601316429/detalhe" TargetMode="External"/><Relationship Id="rId1272" Type="http://schemas.openxmlformats.org/officeDocument/2006/relationships/hyperlink" Target="https://www.mercadolivre.com.br/vendas/2000009788607820/detalhe" TargetMode="External"/><Relationship Id="rId1273" Type="http://schemas.openxmlformats.org/officeDocument/2006/relationships/hyperlink" Target="https://www.mercadolivre.com.br/vendas/2000006600897545/detalhe" TargetMode="External"/><Relationship Id="rId1274" Type="http://schemas.openxmlformats.org/officeDocument/2006/relationships/hyperlink" Target="https://www.mercadolivre.com.br/vendas/2000009788246746/detalhe" TargetMode="External"/><Relationship Id="rId444" Type="http://schemas.openxmlformats.org/officeDocument/2006/relationships/hyperlink" Target="https://www.mercadolivre.com.br/vendas/2000009926809698/detalhe" TargetMode="External"/><Relationship Id="rId1275" Type="http://schemas.openxmlformats.org/officeDocument/2006/relationships/hyperlink" Target="https://www.mercadolivre.com.br/vendas/2000009788168932/detalhe" TargetMode="External"/><Relationship Id="rId443" Type="http://schemas.openxmlformats.org/officeDocument/2006/relationships/hyperlink" Target="https://www.mercadolivre.com.br/vendas/2000006687577355/detalhe" TargetMode="External"/><Relationship Id="rId1276" Type="http://schemas.openxmlformats.org/officeDocument/2006/relationships/hyperlink" Target="https://www.mercadolivre.com.br/vendas/2000006600814501/detalhe" TargetMode="External"/><Relationship Id="rId442" Type="http://schemas.openxmlformats.org/officeDocument/2006/relationships/hyperlink" Target="https://www.mercadolivre.com.br/vendas/2000006687586307/detalhe" TargetMode="External"/><Relationship Id="rId1277" Type="http://schemas.openxmlformats.org/officeDocument/2006/relationships/hyperlink" Target="https://www.mercadolivre.com.br/vendas/2000009788070796/detalhe" TargetMode="External"/><Relationship Id="rId441" Type="http://schemas.openxmlformats.org/officeDocument/2006/relationships/hyperlink" Target="https://www.mercadolivre.com.br/vendas/2000009927347262/detalhe" TargetMode="External"/><Relationship Id="rId1278" Type="http://schemas.openxmlformats.org/officeDocument/2006/relationships/hyperlink" Target="https://www.mercadolivre.com.br/vendas/2000009788013834/detalhe" TargetMode="External"/><Relationship Id="rId1268" Type="http://schemas.openxmlformats.org/officeDocument/2006/relationships/hyperlink" Target="https://www.mercadolivre.com.br/vendas/2000009789908554/detalhe" TargetMode="External"/><Relationship Id="rId1269" Type="http://schemas.openxmlformats.org/officeDocument/2006/relationships/hyperlink" Target="https://www.mercadolivre.com.br/vendas/2000006601316429/detalhe" TargetMode="External"/><Relationship Id="rId437" Type="http://schemas.openxmlformats.org/officeDocument/2006/relationships/hyperlink" Target="https://www.mercadolivre.com.br/vendas/2000009928543908/detalhe" TargetMode="External"/><Relationship Id="rId436" Type="http://schemas.openxmlformats.org/officeDocument/2006/relationships/hyperlink" Target="https://www.mercadolivre.com.br/vendas/2000006688783841/detalhe" TargetMode="External"/><Relationship Id="rId435" Type="http://schemas.openxmlformats.org/officeDocument/2006/relationships/hyperlink" Target="https://www.mercadolivre.com.br/vendas/2000009929221682/detalhe" TargetMode="External"/><Relationship Id="rId434" Type="http://schemas.openxmlformats.org/officeDocument/2006/relationships/hyperlink" Target="https://www.mercadolivre.com.br/vendas/2000009929360156/detalhe" TargetMode="External"/><Relationship Id="rId439" Type="http://schemas.openxmlformats.org/officeDocument/2006/relationships/hyperlink" Target="https://www.mercadolivre.com.br/vendas/2000006688364527/detalhe" TargetMode="External"/><Relationship Id="rId438" Type="http://schemas.openxmlformats.org/officeDocument/2006/relationships/hyperlink" Target="https://www.mercadolivre.com.br/vendas/2000009928513438/detalhe" TargetMode="External"/><Relationship Id="rId1260" Type="http://schemas.openxmlformats.org/officeDocument/2006/relationships/hyperlink" Target="https://www.mercadolivre.com.br/vendas/2000006602136895/detalhe" TargetMode="External"/><Relationship Id="rId1261" Type="http://schemas.openxmlformats.org/officeDocument/2006/relationships/hyperlink" Target="https://www.mercadolivre.com.br/vendas/2000009790220234/detalhe" TargetMode="External"/><Relationship Id="rId1262" Type="http://schemas.openxmlformats.org/officeDocument/2006/relationships/hyperlink" Target="https://www.mercadolivre.com.br/vendas/2000009790120574/detalhe" TargetMode="External"/><Relationship Id="rId1263" Type="http://schemas.openxmlformats.org/officeDocument/2006/relationships/hyperlink" Target="https://www.mercadolivre.com.br/vendas/2000009789987388/detalhe" TargetMode="External"/><Relationship Id="rId433" Type="http://schemas.openxmlformats.org/officeDocument/2006/relationships/hyperlink" Target="https://www.mercadolivre.com.br/vendas/2000009929580856/detalhe" TargetMode="External"/><Relationship Id="rId1264" Type="http://schemas.openxmlformats.org/officeDocument/2006/relationships/hyperlink" Target="https://www.mercadolivre.com.br/vendas/2000009789952636/detalhe" TargetMode="External"/><Relationship Id="rId432" Type="http://schemas.openxmlformats.org/officeDocument/2006/relationships/hyperlink" Target="https://www.mercadolivre.com.br/vendas/2000009929613038/detalhe" TargetMode="External"/><Relationship Id="rId1265" Type="http://schemas.openxmlformats.org/officeDocument/2006/relationships/hyperlink" Target="https://www.mercadolivre.com.br/vendas/2000009789932330/detalhe" TargetMode="External"/><Relationship Id="rId431" Type="http://schemas.openxmlformats.org/officeDocument/2006/relationships/hyperlink" Target="https://www.mercadolivre.com.br/vendas/2000006689237025/detalhe" TargetMode="External"/><Relationship Id="rId1266" Type="http://schemas.openxmlformats.org/officeDocument/2006/relationships/hyperlink" Target="https://www.mercadolivre.com.br/vendas/2000009789919194/detalhe" TargetMode="External"/><Relationship Id="rId430" Type="http://schemas.openxmlformats.org/officeDocument/2006/relationships/hyperlink" Target="https://www.mercadolivre.com.br/vendas/2000009929925842/detalhe" TargetMode="External"/><Relationship Id="rId1267" Type="http://schemas.openxmlformats.org/officeDocument/2006/relationships/hyperlink" Target="https://www.mercadolivre.com.br/vendas/2000009789918136/detalh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5" width="12.71"/>
    <col customWidth="1" min="6" max="6" width="22.86"/>
    <col customWidth="1" min="7" max="7" width="24.86"/>
    <col customWidth="1" min="8" max="15" width="12.71"/>
    <col customWidth="1" min="16" max="16" width="18.57"/>
    <col customWidth="1" min="17" max="17" width="50.29"/>
    <col customWidth="1" min="18" max="51" width="12.71"/>
  </cols>
  <sheetData>
    <row r="1" ht="6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5" t="s">
        <v>24</v>
      </c>
      <c r="AE1" s="5" t="s">
        <v>29</v>
      </c>
      <c r="AF1" s="5" t="s">
        <v>2</v>
      </c>
      <c r="AG1" s="5" t="s">
        <v>30</v>
      </c>
      <c r="AH1" s="5" t="s">
        <v>31</v>
      </c>
      <c r="AI1" s="6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7" t="s">
        <v>5</v>
      </c>
      <c r="AP1" s="7" t="s">
        <v>32</v>
      </c>
      <c r="AQ1" s="7" t="s">
        <v>33</v>
      </c>
      <c r="AR1" s="7" t="s">
        <v>34</v>
      </c>
      <c r="AS1" s="7" t="s">
        <v>35</v>
      </c>
      <c r="AT1" s="7" t="s">
        <v>36</v>
      </c>
      <c r="AU1" s="7" t="s">
        <v>37</v>
      </c>
      <c r="AV1" s="8" t="s">
        <v>5</v>
      </c>
      <c r="AW1" s="8" t="s">
        <v>38</v>
      </c>
      <c r="AX1" s="8" t="s">
        <v>39</v>
      </c>
      <c r="AY1" s="8" t="s">
        <v>40</v>
      </c>
    </row>
    <row r="2" ht="22.5" hidden="1" customHeight="1">
      <c r="A2" s="9" t="s">
        <v>41</v>
      </c>
      <c r="B2" s="10" t="s">
        <v>42</v>
      </c>
      <c r="C2" s="10" t="s">
        <v>43</v>
      </c>
      <c r="D2" s="10" t="s">
        <v>44</v>
      </c>
      <c r="E2" s="10" t="s">
        <v>45</v>
      </c>
      <c r="F2" s="11">
        <v>1.0</v>
      </c>
      <c r="G2" s="11">
        <v>80.5</v>
      </c>
      <c r="H2" s="11"/>
      <c r="I2" s="11">
        <v>-15.3</v>
      </c>
      <c r="J2" s="11">
        <v>-19.95</v>
      </c>
      <c r="K2" s="11"/>
      <c r="L2" s="11">
        <v>45.25</v>
      </c>
      <c r="M2" s="10" t="s">
        <v>46</v>
      </c>
      <c r="N2" s="10" t="s">
        <v>45</v>
      </c>
      <c r="O2" s="10" t="s">
        <v>47</v>
      </c>
      <c r="P2" s="10" t="s">
        <v>48</v>
      </c>
      <c r="Q2" s="10" t="s">
        <v>49</v>
      </c>
      <c r="R2" s="10" t="s">
        <v>50</v>
      </c>
      <c r="S2" s="11">
        <v>80.5</v>
      </c>
      <c r="T2" s="11">
        <v>12.45</v>
      </c>
      <c r="U2" s="11" t="s">
        <v>51</v>
      </c>
      <c r="V2" s="10" t="s">
        <v>52</v>
      </c>
      <c r="W2" s="10" t="s">
        <v>53</v>
      </c>
      <c r="X2" s="10" t="s">
        <v>54</v>
      </c>
      <c r="Y2" s="10" t="s">
        <v>55</v>
      </c>
      <c r="Z2" s="10" t="s">
        <v>50</v>
      </c>
      <c r="AA2" s="10" t="s">
        <v>50</v>
      </c>
      <c r="AB2" s="10" t="s">
        <v>53</v>
      </c>
      <c r="AC2" s="10" t="s">
        <v>56</v>
      </c>
      <c r="AD2" s="10" t="s">
        <v>57</v>
      </c>
      <c r="AE2" s="10" t="s">
        <v>58</v>
      </c>
      <c r="AF2" s="10" t="s">
        <v>58</v>
      </c>
      <c r="AG2" s="10" t="s">
        <v>59</v>
      </c>
      <c r="AH2" s="10" t="s">
        <v>60</v>
      </c>
      <c r="AI2" s="10" t="s">
        <v>61</v>
      </c>
      <c r="AJ2" s="10" t="s">
        <v>62</v>
      </c>
      <c r="AK2" s="10" t="s">
        <v>63</v>
      </c>
      <c r="AL2" s="10" t="s">
        <v>64</v>
      </c>
      <c r="AM2" s="10" t="s">
        <v>65</v>
      </c>
      <c r="AN2" s="10" t="s">
        <v>50</v>
      </c>
      <c r="AO2" s="11" t="s">
        <v>50</v>
      </c>
      <c r="AP2" s="10" t="s">
        <v>50</v>
      </c>
      <c r="AQ2" s="10" t="s">
        <v>50</v>
      </c>
      <c r="AR2" s="10" t="s">
        <v>50</v>
      </c>
      <c r="AS2" s="10" t="s">
        <v>50</v>
      </c>
      <c r="AT2" s="10" t="s">
        <v>50</v>
      </c>
      <c r="AU2" s="10" t="s">
        <v>50</v>
      </c>
      <c r="AV2" s="11"/>
      <c r="AW2" s="10" t="s">
        <v>66</v>
      </c>
      <c r="AX2" s="10"/>
      <c r="AY2" s="10" t="s">
        <v>66</v>
      </c>
    </row>
    <row r="3" ht="22.5" hidden="1" customHeight="1">
      <c r="A3" s="9" t="s">
        <v>67</v>
      </c>
      <c r="B3" s="10" t="s">
        <v>68</v>
      </c>
      <c r="C3" s="10" t="s">
        <v>69</v>
      </c>
      <c r="D3" s="10" t="s">
        <v>70</v>
      </c>
      <c r="E3" s="10" t="s">
        <v>66</v>
      </c>
      <c r="F3" s="11">
        <v>1.0</v>
      </c>
      <c r="G3" s="11">
        <v>36.8</v>
      </c>
      <c r="H3" s="11">
        <v>25.74</v>
      </c>
      <c r="I3" s="11">
        <v>-12.26</v>
      </c>
      <c r="J3" s="11">
        <v>-25.74</v>
      </c>
      <c r="K3" s="11">
        <v>-26.38</v>
      </c>
      <c r="L3" s="11">
        <v>0.0</v>
      </c>
      <c r="M3" s="10" t="s">
        <v>46</v>
      </c>
      <c r="N3" s="10" t="s">
        <v>50</v>
      </c>
      <c r="O3" s="10" t="s">
        <v>71</v>
      </c>
      <c r="P3" s="10" t="s">
        <v>72</v>
      </c>
      <c r="Q3" s="10" t="s">
        <v>73</v>
      </c>
      <c r="R3" s="10" t="s">
        <v>74</v>
      </c>
      <c r="S3" s="11">
        <v>36.8</v>
      </c>
      <c r="T3" s="11"/>
      <c r="U3" s="11" t="s">
        <v>51</v>
      </c>
      <c r="V3" s="10" t="s">
        <v>75</v>
      </c>
      <c r="W3" s="10" t="s">
        <v>76</v>
      </c>
      <c r="X3" s="10" t="s">
        <v>77</v>
      </c>
      <c r="Y3" s="10" t="s">
        <v>78</v>
      </c>
      <c r="Z3" s="10" t="s">
        <v>50</v>
      </c>
      <c r="AA3" s="10" t="s">
        <v>50</v>
      </c>
      <c r="AB3" s="10" t="s">
        <v>76</v>
      </c>
      <c r="AC3" s="10" t="s">
        <v>79</v>
      </c>
      <c r="AD3" s="10" t="s">
        <v>50</v>
      </c>
      <c r="AE3" s="10" t="s">
        <v>80</v>
      </c>
      <c r="AF3" s="10" t="s">
        <v>81</v>
      </c>
      <c r="AG3" s="10" t="s">
        <v>82</v>
      </c>
      <c r="AH3" s="10" t="s">
        <v>60</v>
      </c>
      <c r="AI3" s="10" t="s">
        <v>61</v>
      </c>
      <c r="AJ3" s="10" t="s">
        <v>50</v>
      </c>
      <c r="AK3" s="10" t="s">
        <v>50</v>
      </c>
      <c r="AL3" s="10" t="s">
        <v>64</v>
      </c>
      <c r="AM3" s="10" t="s">
        <v>50</v>
      </c>
      <c r="AN3" s="10" t="s">
        <v>50</v>
      </c>
      <c r="AO3" s="11" t="s">
        <v>50</v>
      </c>
      <c r="AP3" s="10" t="s">
        <v>50</v>
      </c>
      <c r="AQ3" s="10" t="s">
        <v>50</v>
      </c>
      <c r="AR3" s="10" t="s">
        <v>50</v>
      </c>
      <c r="AS3" s="10" t="s">
        <v>50</v>
      </c>
      <c r="AT3" s="10" t="s">
        <v>50</v>
      </c>
      <c r="AU3" s="10" t="s">
        <v>50</v>
      </c>
      <c r="AV3" s="11"/>
      <c r="AW3" s="10" t="s">
        <v>66</v>
      </c>
      <c r="AX3" s="10"/>
      <c r="AY3" s="10" t="s">
        <v>66</v>
      </c>
    </row>
    <row r="4" ht="22.5" hidden="1" customHeight="1">
      <c r="A4" s="9" t="s">
        <v>83</v>
      </c>
      <c r="B4" s="10" t="s">
        <v>84</v>
      </c>
      <c r="C4" s="10" t="s">
        <v>43</v>
      </c>
      <c r="D4" s="10" t="s">
        <v>44</v>
      </c>
      <c r="E4" s="10" t="s">
        <v>66</v>
      </c>
      <c r="F4" s="11">
        <v>1.0</v>
      </c>
      <c r="G4" s="11">
        <v>120.0</v>
      </c>
      <c r="H4" s="11"/>
      <c r="I4" s="11">
        <v>-20.4</v>
      </c>
      <c r="J4" s="11">
        <v>-19.95</v>
      </c>
      <c r="K4" s="11"/>
      <c r="L4" s="11">
        <v>86.85</v>
      </c>
      <c r="M4" s="10" t="s">
        <v>46</v>
      </c>
      <c r="N4" s="10" t="s">
        <v>45</v>
      </c>
      <c r="O4" s="10" t="s">
        <v>85</v>
      </c>
      <c r="P4" s="10" t="s">
        <v>86</v>
      </c>
      <c r="Q4" s="10" t="s">
        <v>87</v>
      </c>
      <c r="R4" s="10" t="s">
        <v>74</v>
      </c>
      <c r="S4" s="11">
        <v>120.0</v>
      </c>
      <c r="T4" s="11">
        <v>65.78</v>
      </c>
      <c r="U4" s="11" t="s">
        <v>51</v>
      </c>
      <c r="V4" s="10" t="s">
        <v>52</v>
      </c>
      <c r="W4" s="10" t="s">
        <v>88</v>
      </c>
      <c r="X4" s="10" t="s">
        <v>89</v>
      </c>
      <c r="Y4" s="10" t="s">
        <v>90</v>
      </c>
      <c r="Z4" s="10" t="s">
        <v>50</v>
      </c>
      <c r="AA4" s="10" t="s">
        <v>50</v>
      </c>
      <c r="AB4" s="10" t="s">
        <v>88</v>
      </c>
      <c r="AC4" s="10" t="s">
        <v>91</v>
      </c>
      <c r="AD4" s="10" t="s">
        <v>92</v>
      </c>
      <c r="AE4" s="10" t="s">
        <v>93</v>
      </c>
      <c r="AF4" s="10" t="s">
        <v>58</v>
      </c>
      <c r="AG4" s="10" t="s">
        <v>94</v>
      </c>
      <c r="AH4" s="10" t="s">
        <v>60</v>
      </c>
      <c r="AI4" s="10" t="s">
        <v>61</v>
      </c>
      <c r="AJ4" s="10" t="s">
        <v>62</v>
      </c>
      <c r="AK4" s="10" t="s">
        <v>95</v>
      </c>
      <c r="AL4" s="10" t="s">
        <v>64</v>
      </c>
      <c r="AM4" s="10" t="s">
        <v>96</v>
      </c>
      <c r="AN4" s="10" t="s">
        <v>50</v>
      </c>
      <c r="AO4" s="11" t="s">
        <v>50</v>
      </c>
      <c r="AP4" s="10" t="s">
        <v>50</v>
      </c>
      <c r="AQ4" s="10" t="s">
        <v>50</v>
      </c>
      <c r="AR4" s="10" t="s">
        <v>50</v>
      </c>
      <c r="AS4" s="10" t="s">
        <v>50</v>
      </c>
      <c r="AT4" s="10" t="s">
        <v>50</v>
      </c>
      <c r="AU4" s="10" t="s">
        <v>50</v>
      </c>
      <c r="AV4" s="11"/>
      <c r="AW4" s="10" t="s">
        <v>66</v>
      </c>
      <c r="AX4" s="10"/>
      <c r="AY4" s="10" t="s">
        <v>66</v>
      </c>
    </row>
    <row r="5" ht="22.5" hidden="1" customHeight="1">
      <c r="A5" s="9" t="s">
        <v>97</v>
      </c>
      <c r="B5" s="10" t="s">
        <v>98</v>
      </c>
      <c r="C5" s="10" t="s">
        <v>43</v>
      </c>
      <c r="D5" s="10" t="s">
        <v>99</v>
      </c>
      <c r="E5" s="10" t="s">
        <v>45</v>
      </c>
      <c r="F5" s="11">
        <v>1.0</v>
      </c>
      <c r="G5" s="11">
        <v>101.5</v>
      </c>
      <c r="H5" s="11"/>
      <c r="I5" s="11">
        <v>-19.28</v>
      </c>
      <c r="J5" s="11">
        <v>-19.95</v>
      </c>
      <c r="K5" s="11"/>
      <c r="L5" s="11">
        <v>62.27</v>
      </c>
      <c r="M5" s="10" t="s">
        <v>46</v>
      </c>
      <c r="N5" s="10" t="s">
        <v>45</v>
      </c>
      <c r="O5" s="10" t="s">
        <v>100</v>
      </c>
      <c r="P5" s="10" t="s">
        <v>101</v>
      </c>
      <c r="Q5" s="10" t="s">
        <v>102</v>
      </c>
      <c r="R5" s="10" t="s">
        <v>50</v>
      </c>
      <c r="S5" s="11">
        <v>101.5</v>
      </c>
      <c r="T5" s="11">
        <v>38.61</v>
      </c>
      <c r="U5" s="11" t="s">
        <v>51</v>
      </c>
      <c r="V5" s="10" t="s">
        <v>52</v>
      </c>
      <c r="W5" s="10" t="s">
        <v>103</v>
      </c>
      <c r="X5" s="10" t="s">
        <v>104</v>
      </c>
      <c r="Y5" s="10" t="s">
        <v>105</v>
      </c>
      <c r="Z5" s="10" t="s">
        <v>50</v>
      </c>
      <c r="AA5" s="10" t="s">
        <v>50</v>
      </c>
      <c r="AB5" s="10" t="s">
        <v>103</v>
      </c>
      <c r="AC5" s="10" t="s">
        <v>106</v>
      </c>
      <c r="AD5" s="10" t="s">
        <v>107</v>
      </c>
      <c r="AE5" s="10" t="s">
        <v>108</v>
      </c>
      <c r="AF5" s="10" t="s">
        <v>58</v>
      </c>
      <c r="AG5" s="10" t="s">
        <v>109</v>
      </c>
      <c r="AH5" s="10" t="s">
        <v>60</v>
      </c>
      <c r="AI5" s="10" t="s">
        <v>61</v>
      </c>
      <c r="AJ5" s="10" t="s">
        <v>62</v>
      </c>
      <c r="AK5" s="10" t="s">
        <v>110</v>
      </c>
      <c r="AL5" s="10" t="s">
        <v>64</v>
      </c>
      <c r="AM5" s="10" t="s">
        <v>111</v>
      </c>
      <c r="AN5" s="10" t="s">
        <v>50</v>
      </c>
      <c r="AO5" s="11" t="s">
        <v>50</v>
      </c>
      <c r="AP5" s="10" t="s">
        <v>50</v>
      </c>
      <c r="AQ5" s="10" t="s">
        <v>50</v>
      </c>
      <c r="AR5" s="10" t="s">
        <v>50</v>
      </c>
      <c r="AS5" s="10" t="s">
        <v>50</v>
      </c>
      <c r="AT5" s="10" t="s">
        <v>50</v>
      </c>
      <c r="AU5" s="10" t="s">
        <v>50</v>
      </c>
      <c r="AV5" s="11"/>
      <c r="AW5" s="10" t="s">
        <v>66</v>
      </c>
      <c r="AX5" s="10"/>
      <c r="AY5" s="10" t="s">
        <v>66</v>
      </c>
    </row>
    <row r="6" ht="22.5" hidden="1" customHeight="1">
      <c r="A6" s="9" t="s">
        <v>112</v>
      </c>
      <c r="B6" s="10" t="s">
        <v>98</v>
      </c>
      <c r="C6" s="10" t="s">
        <v>43</v>
      </c>
      <c r="D6" s="10" t="s">
        <v>44</v>
      </c>
      <c r="E6" s="10" t="s">
        <v>66</v>
      </c>
      <c r="F6" s="11">
        <v>1.0</v>
      </c>
      <c r="G6" s="11">
        <v>101.5</v>
      </c>
      <c r="H6" s="11"/>
      <c r="I6" s="11">
        <v>-19.28</v>
      </c>
      <c r="J6" s="11">
        <v>-19.95</v>
      </c>
      <c r="K6" s="11"/>
      <c r="L6" s="11">
        <v>62.27</v>
      </c>
      <c r="M6" s="10" t="s">
        <v>46</v>
      </c>
      <c r="N6" s="10" t="s">
        <v>45</v>
      </c>
      <c r="O6" s="10" t="s">
        <v>100</v>
      </c>
      <c r="P6" s="10" t="s">
        <v>101</v>
      </c>
      <c r="Q6" s="10" t="s">
        <v>102</v>
      </c>
      <c r="R6" s="10" t="s">
        <v>50</v>
      </c>
      <c r="S6" s="11">
        <v>101.5</v>
      </c>
      <c r="T6" s="11">
        <v>38.61</v>
      </c>
      <c r="U6" s="11" t="s">
        <v>51</v>
      </c>
      <c r="V6" s="10" t="s">
        <v>52</v>
      </c>
      <c r="W6" s="10" t="s">
        <v>113</v>
      </c>
      <c r="X6" s="10" t="s">
        <v>114</v>
      </c>
      <c r="Y6" s="10" t="s">
        <v>115</v>
      </c>
      <c r="Z6" s="10" t="s">
        <v>50</v>
      </c>
      <c r="AA6" s="10" t="s">
        <v>50</v>
      </c>
      <c r="AB6" s="10" t="s">
        <v>113</v>
      </c>
      <c r="AC6" s="10" t="s">
        <v>116</v>
      </c>
      <c r="AD6" s="10" t="s">
        <v>117</v>
      </c>
      <c r="AE6" s="10" t="s">
        <v>118</v>
      </c>
      <c r="AF6" s="10" t="s">
        <v>119</v>
      </c>
      <c r="AG6" s="10" t="s">
        <v>120</v>
      </c>
      <c r="AH6" s="10" t="s">
        <v>60</v>
      </c>
      <c r="AI6" s="10" t="s">
        <v>61</v>
      </c>
      <c r="AJ6" s="10" t="s">
        <v>62</v>
      </c>
      <c r="AK6" s="10" t="s">
        <v>121</v>
      </c>
      <c r="AL6" s="10" t="s">
        <v>64</v>
      </c>
      <c r="AM6" s="10" t="s">
        <v>122</v>
      </c>
      <c r="AN6" s="10" t="s">
        <v>50</v>
      </c>
      <c r="AO6" s="11" t="s">
        <v>50</v>
      </c>
      <c r="AP6" s="10" t="s">
        <v>50</v>
      </c>
      <c r="AQ6" s="10" t="s">
        <v>50</v>
      </c>
      <c r="AR6" s="10" t="s">
        <v>50</v>
      </c>
      <c r="AS6" s="10" t="s">
        <v>50</v>
      </c>
      <c r="AT6" s="10" t="s">
        <v>50</v>
      </c>
      <c r="AU6" s="10" t="s">
        <v>50</v>
      </c>
      <c r="AV6" s="11"/>
      <c r="AW6" s="10" t="s">
        <v>66</v>
      </c>
      <c r="AX6" s="10"/>
      <c r="AY6" s="10" t="s">
        <v>66</v>
      </c>
    </row>
    <row r="7" ht="22.5" hidden="1" customHeight="1">
      <c r="A7" s="9" t="s">
        <v>123</v>
      </c>
      <c r="B7" s="10" t="s">
        <v>124</v>
      </c>
      <c r="C7" s="10" t="s">
        <v>43</v>
      </c>
      <c r="D7" s="10" t="s">
        <v>125</v>
      </c>
      <c r="E7" s="10" t="s">
        <v>45</v>
      </c>
      <c r="F7" s="11">
        <v>2.0</v>
      </c>
      <c r="G7" s="11">
        <v>158.4</v>
      </c>
      <c r="H7" s="11"/>
      <c r="I7" s="11">
        <v>-26.92</v>
      </c>
      <c r="J7" s="11">
        <v>-40.9</v>
      </c>
      <c r="K7" s="11"/>
      <c r="L7" s="11">
        <v>90.58</v>
      </c>
      <c r="M7" s="10" t="s">
        <v>126</v>
      </c>
      <c r="N7" s="10" t="s">
        <v>45</v>
      </c>
      <c r="O7" s="10" t="s">
        <v>127</v>
      </c>
      <c r="P7" s="10" t="s">
        <v>128</v>
      </c>
      <c r="Q7" s="10" t="s">
        <v>129</v>
      </c>
      <c r="R7" s="10" t="s">
        <v>74</v>
      </c>
      <c r="S7" s="11">
        <v>79.2</v>
      </c>
      <c r="T7" s="11">
        <v>17.68</v>
      </c>
      <c r="U7" s="11" t="s">
        <v>51</v>
      </c>
      <c r="V7" s="10" t="s">
        <v>52</v>
      </c>
      <c r="W7" s="10" t="s">
        <v>130</v>
      </c>
      <c r="X7" s="10" t="s">
        <v>131</v>
      </c>
      <c r="Y7" s="10" t="s">
        <v>132</v>
      </c>
      <c r="Z7" s="10" t="s">
        <v>50</v>
      </c>
      <c r="AA7" s="10" t="s">
        <v>50</v>
      </c>
      <c r="AB7" s="10" t="s">
        <v>130</v>
      </c>
      <c r="AC7" s="10" t="s">
        <v>133</v>
      </c>
      <c r="AD7" s="10" t="s">
        <v>134</v>
      </c>
      <c r="AE7" s="10" t="s">
        <v>135</v>
      </c>
      <c r="AF7" s="10" t="s">
        <v>136</v>
      </c>
      <c r="AG7" s="10" t="s">
        <v>137</v>
      </c>
      <c r="AH7" s="10" t="s">
        <v>60</v>
      </c>
      <c r="AI7" s="10" t="s">
        <v>61</v>
      </c>
      <c r="AJ7" s="10" t="s">
        <v>138</v>
      </c>
      <c r="AK7" s="10" t="s">
        <v>139</v>
      </c>
      <c r="AL7" s="10" t="s">
        <v>64</v>
      </c>
      <c r="AM7" s="10" t="s">
        <v>140</v>
      </c>
      <c r="AN7" s="10" t="s">
        <v>50</v>
      </c>
      <c r="AO7" s="11" t="s">
        <v>50</v>
      </c>
      <c r="AP7" s="10" t="s">
        <v>50</v>
      </c>
      <c r="AQ7" s="10" t="s">
        <v>50</v>
      </c>
      <c r="AR7" s="10" t="s">
        <v>50</v>
      </c>
      <c r="AS7" s="10" t="s">
        <v>50</v>
      </c>
      <c r="AT7" s="10" t="s">
        <v>50</v>
      </c>
      <c r="AU7" s="10" t="s">
        <v>50</v>
      </c>
      <c r="AV7" s="11"/>
      <c r="AW7" s="10" t="s">
        <v>66</v>
      </c>
      <c r="AX7" s="10"/>
      <c r="AY7" s="10" t="s">
        <v>66</v>
      </c>
    </row>
    <row r="8" ht="22.5" hidden="1" customHeight="1">
      <c r="A8" s="9" t="s">
        <v>141</v>
      </c>
      <c r="B8" s="10" t="s">
        <v>142</v>
      </c>
      <c r="C8" s="10" t="s">
        <v>43</v>
      </c>
      <c r="D8" s="10" t="s">
        <v>125</v>
      </c>
      <c r="E8" s="10" t="s">
        <v>66</v>
      </c>
      <c r="F8" s="11">
        <v>1.0</v>
      </c>
      <c r="G8" s="11">
        <v>80.0</v>
      </c>
      <c r="H8" s="11"/>
      <c r="I8" s="11">
        <v>-13.6</v>
      </c>
      <c r="J8" s="11">
        <v>-19.95</v>
      </c>
      <c r="K8" s="11"/>
      <c r="L8" s="11">
        <v>50.45</v>
      </c>
      <c r="M8" s="10" t="s">
        <v>46</v>
      </c>
      <c r="N8" s="10" t="s">
        <v>50</v>
      </c>
      <c r="O8" s="10" t="s">
        <v>143</v>
      </c>
      <c r="P8" s="10" t="s">
        <v>144</v>
      </c>
      <c r="Q8" s="10" t="s">
        <v>145</v>
      </c>
      <c r="R8" s="10" t="s">
        <v>74</v>
      </c>
      <c r="S8" s="11">
        <v>80.0</v>
      </c>
      <c r="T8" s="11">
        <v>33.38</v>
      </c>
      <c r="U8" s="11" t="s">
        <v>51</v>
      </c>
      <c r="V8" s="10" t="s">
        <v>52</v>
      </c>
      <c r="W8" s="10" t="s">
        <v>146</v>
      </c>
      <c r="X8" s="10" t="s">
        <v>147</v>
      </c>
      <c r="Y8" s="10" t="s">
        <v>148</v>
      </c>
      <c r="Z8" s="10" t="s">
        <v>50</v>
      </c>
      <c r="AA8" s="10" t="s">
        <v>50</v>
      </c>
      <c r="AB8" s="10" t="s">
        <v>146</v>
      </c>
      <c r="AC8" s="10" t="s">
        <v>149</v>
      </c>
      <c r="AD8" s="10" t="s">
        <v>150</v>
      </c>
      <c r="AE8" s="10" t="s">
        <v>151</v>
      </c>
      <c r="AF8" s="10" t="s">
        <v>151</v>
      </c>
      <c r="AG8" s="10" t="s">
        <v>152</v>
      </c>
      <c r="AH8" s="10" t="s">
        <v>60</v>
      </c>
      <c r="AI8" s="10" t="s">
        <v>61</v>
      </c>
      <c r="AJ8" s="10" t="s">
        <v>153</v>
      </c>
      <c r="AK8" s="10" t="s">
        <v>154</v>
      </c>
      <c r="AL8" s="10" t="s">
        <v>64</v>
      </c>
      <c r="AM8" s="10" t="s">
        <v>155</v>
      </c>
      <c r="AN8" s="10" t="s">
        <v>50</v>
      </c>
      <c r="AO8" s="11" t="s">
        <v>50</v>
      </c>
      <c r="AP8" s="10" t="s">
        <v>50</v>
      </c>
      <c r="AQ8" s="10" t="s">
        <v>50</v>
      </c>
      <c r="AR8" s="10" t="s">
        <v>50</v>
      </c>
      <c r="AS8" s="10" t="s">
        <v>50</v>
      </c>
      <c r="AT8" s="10" t="s">
        <v>50</v>
      </c>
      <c r="AU8" s="10" t="s">
        <v>50</v>
      </c>
      <c r="AV8" s="11"/>
      <c r="AW8" s="10" t="s">
        <v>66</v>
      </c>
      <c r="AX8" s="10"/>
      <c r="AY8" s="10" t="s">
        <v>66</v>
      </c>
    </row>
    <row r="9" ht="22.5" hidden="1" customHeight="1">
      <c r="A9" s="9" t="s">
        <v>156</v>
      </c>
      <c r="B9" s="10" t="s">
        <v>157</v>
      </c>
      <c r="C9" s="10" t="s">
        <v>158</v>
      </c>
      <c r="D9" s="10" t="s">
        <v>159</v>
      </c>
      <c r="E9" s="10" t="s">
        <v>45</v>
      </c>
      <c r="F9" s="11">
        <v>1.0</v>
      </c>
      <c r="G9" s="11">
        <v>79.0</v>
      </c>
      <c r="H9" s="11">
        <v>27.13</v>
      </c>
      <c r="I9" s="11">
        <v>-13.43</v>
      </c>
      <c r="J9" s="11">
        <v>-47.58</v>
      </c>
      <c r="K9" s="11"/>
      <c r="L9" s="11">
        <v>45.12</v>
      </c>
      <c r="M9" s="10" t="s">
        <v>46</v>
      </c>
      <c r="N9" s="10" t="s">
        <v>50</v>
      </c>
      <c r="O9" s="10" t="s">
        <v>160</v>
      </c>
      <c r="P9" s="10" t="s">
        <v>161</v>
      </c>
      <c r="Q9" s="10" t="s">
        <v>162</v>
      </c>
      <c r="R9" s="10" t="s">
        <v>74</v>
      </c>
      <c r="S9" s="11">
        <v>79.0</v>
      </c>
      <c r="T9" s="11">
        <v>2.49</v>
      </c>
      <c r="U9" s="11" t="s">
        <v>51</v>
      </c>
      <c r="V9" s="10" t="s">
        <v>52</v>
      </c>
      <c r="W9" s="10" t="s">
        <v>163</v>
      </c>
      <c r="X9" s="10" t="s">
        <v>164</v>
      </c>
      <c r="Y9" s="10" t="s">
        <v>165</v>
      </c>
      <c r="Z9" s="10" t="s">
        <v>50</v>
      </c>
      <c r="AA9" s="10" t="s">
        <v>50</v>
      </c>
      <c r="AB9" s="10" t="s">
        <v>163</v>
      </c>
      <c r="AC9" s="10" t="s">
        <v>166</v>
      </c>
      <c r="AD9" s="10" t="s">
        <v>167</v>
      </c>
      <c r="AE9" s="10" t="s">
        <v>168</v>
      </c>
      <c r="AF9" s="10" t="s">
        <v>169</v>
      </c>
      <c r="AG9" s="10" t="s">
        <v>170</v>
      </c>
      <c r="AH9" s="10" t="s">
        <v>60</v>
      </c>
      <c r="AI9" s="10" t="s">
        <v>61</v>
      </c>
      <c r="AJ9" s="10" t="s">
        <v>171</v>
      </c>
      <c r="AK9" s="10" t="s">
        <v>50</v>
      </c>
      <c r="AL9" s="10" t="s">
        <v>64</v>
      </c>
      <c r="AM9" s="10" t="s">
        <v>172</v>
      </c>
      <c r="AN9" s="10" t="s">
        <v>50</v>
      </c>
      <c r="AO9" s="11" t="s">
        <v>50</v>
      </c>
      <c r="AP9" s="10" t="s">
        <v>50</v>
      </c>
      <c r="AQ9" s="10" t="s">
        <v>50</v>
      </c>
      <c r="AR9" s="10" t="s">
        <v>50</v>
      </c>
      <c r="AS9" s="10" t="s">
        <v>50</v>
      </c>
      <c r="AT9" s="10" t="s">
        <v>50</v>
      </c>
      <c r="AU9" s="10" t="s">
        <v>50</v>
      </c>
      <c r="AV9" s="11"/>
      <c r="AW9" s="10" t="s">
        <v>66</v>
      </c>
      <c r="AX9" s="10"/>
      <c r="AY9" s="10" t="s">
        <v>66</v>
      </c>
    </row>
    <row r="10" ht="22.5" hidden="1" customHeight="1">
      <c r="A10" s="9" t="s">
        <v>173</v>
      </c>
      <c r="B10" s="10" t="s">
        <v>174</v>
      </c>
      <c r="C10" s="10" t="s">
        <v>43</v>
      </c>
      <c r="D10" s="10" t="s">
        <v>175</v>
      </c>
      <c r="E10" s="10" t="s">
        <v>66</v>
      </c>
      <c r="F10" s="11">
        <v>1.0</v>
      </c>
      <c r="G10" s="11">
        <v>43.7</v>
      </c>
      <c r="H10" s="11">
        <v>13.87</v>
      </c>
      <c r="I10" s="11">
        <v>-13.43</v>
      </c>
      <c r="J10" s="11">
        <v>-13.87</v>
      </c>
      <c r="K10" s="11"/>
      <c r="L10" s="11">
        <v>32.89</v>
      </c>
      <c r="M10" s="10" t="s">
        <v>46</v>
      </c>
      <c r="N10" s="10" t="s">
        <v>50</v>
      </c>
      <c r="O10" s="10" t="s">
        <v>176</v>
      </c>
      <c r="P10" s="10" t="s">
        <v>177</v>
      </c>
      <c r="Q10" s="10" t="s">
        <v>178</v>
      </c>
      <c r="R10" s="10" t="s">
        <v>74</v>
      </c>
      <c r="S10" s="11">
        <v>43.7</v>
      </c>
      <c r="T10" s="11">
        <v>22.58</v>
      </c>
      <c r="U10" s="11" t="s">
        <v>51</v>
      </c>
      <c r="V10" s="10" t="s">
        <v>52</v>
      </c>
      <c r="W10" s="10" t="s">
        <v>179</v>
      </c>
      <c r="X10" s="10" t="s">
        <v>180</v>
      </c>
      <c r="Y10" s="10" t="s">
        <v>181</v>
      </c>
      <c r="Z10" s="10" t="s">
        <v>50</v>
      </c>
      <c r="AA10" s="10" t="s">
        <v>50</v>
      </c>
      <c r="AB10" s="10" t="s">
        <v>179</v>
      </c>
      <c r="AC10" s="10" t="s">
        <v>182</v>
      </c>
      <c r="AD10" s="10" t="s">
        <v>183</v>
      </c>
      <c r="AE10" s="10" t="s">
        <v>184</v>
      </c>
      <c r="AF10" s="10" t="s">
        <v>185</v>
      </c>
      <c r="AG10" s="10" t="s">
        <v>186</v>
      </c>
      <c r="AH10" s="10" t="s">
        <v>60</v>
      </c>
      <c r="AI10" s="10" t="s">
        <v>61</v>
      </c>
      <c r="AJ10" s="10" t="s">
        <v>171</v>
      </c>
      <c r="AK10" s="10" t="s">
        <v>187</v>
      </c>
      <c r="AL10" s="10" t="s">
        <v>64</v>
      </c>
      <c r="AM10" s="10" t="s">
        <v>188</v>
      </c>
      <c r="AN10" s="10" t="s">
        <v>50</v>
      </c>
      <c r="AO10" s="11" t="s">
        <v>50</v>
      </c>
      <c r="AP10" s="10" t="s">
        <v>50</v>
      </c>
      <c r="AQ10" s="10" t="s">
        <v>50</v>
      </c>
      <c r="AR10" s="10" t="s">
        <v>50</v>
      </c>
      <c r="AS10" s="10" t="s">
        <v>50</v>
      </c>
      <c r="AT10" s="10" t="s">
        <v>50</v>
      </c>
      <c r="AU10" s="10" t="s">
        <v>50</v>
      </c>
      <c r="AV10" s="11"/>
      <c r="AW10" s="10" t="s">
        <v>66</v>
      </c>
      <c r="AX10" s="10"/>
      <c r="AY10" s="10" t="s">
        <v>66</v>
      </c>
    </row>
    <row r="11" ht="22.5" hidden="1" customHeight="1">
      <c r="A11" s="9" t="s">
        <v>189</v>
      </c>
      <c r="B11" s="10" t="s">
        <v>190</v>
      </c>
      <c r="C11" s="10" t="s">
        <v>43</v>
      </c>
      <c r="D11" s="10" t="s">
        <v>191</v>
      </c>
      <c r="E11" s="10" t="s">
        <v>66</v>
      </c>
      <c r="F11" s="11">
        <v>1.0</v>
      </c>
      <c r="G11" s="11">
        <v>80.0</v>
      </c>
      <c r="H11" s="11">
        <v>9.05</v>
      </c>
      <c r="I11" s="11">
        <v>-9.6</v>
      </c>
      <c r="J11" s="11">
        <v>-29.5</v>
      </c>
      <c r="K11" s="11"/>
      <c r="L11" s="11">
        <v>49.95</v>
      </c>
      <c r="M11" s="10" t="s">
        <v>46</v>
      </c>
      <c r="N11" s="10" t="s">
        <v>50</v>
      </c>
      <c r="O11" s="10" t="s">
        <v>192</v>
      </c>
      <c r="P11" s="10" t="s">
        <v>193</v>
      </c>
      <c r="Q11" s="10" t="s">
        <v>162</v>
      </c>
      <c r="R11" s="10" t="s">
        <v>74</v>
      </c>
      <c r="S11" s="11">
        <v>80.0</v>
      </c>
      <c r="T11" s="11">
        <v>2.49</v>
      </c>
      <c r="U11" s="11" t="s">
        <v>194</v>
      </c>
      <c r="V11" s="10" t="s">
        <v>52</v>
      </c>
      <c r="W11" s="10" t="s">
        <v>195</v>
      </c>
      <c r="X11" s="10" t="s">
        <v>196</v>
      </c>
      <c r="Y11" s="10" t="s">
        <v>197</v>
      </c>
      <c r="Z11" s="10" t="s">
        <v>50</v>
      </c>
      <c r="AA11" s="10" t="s">
        <v>50</v>
      </c>
      <c r="AB11" s="10" t="s">
        <v>195</v>
      </c>
      <c r="AC11" s="10" t="s">
        <v>198</v>
      </c>
      <c r="AD11" s="10" t="s">
        <v>199</v>
      </c>
      <c r="AE11" s="10" t="s">
        <v>200</v>
      </c>
      <c r="AF11" s="10" t="s">
        <v>201</v>
      </c>
      <c r="AG11" s="10" t="s">
        <v>202</v>
      </c>
      <c r="AH11" s="10" t="s">
        <v>60</v>
      </c>
      <c r="AI11" s="10" t="s">
        <v>61</v>
      </c>
      <c r="AJ11" s="10" t="s">
        <v>203</v>
      </c>
      <c r="AK11" s="10" t="s">
        <v>204</v>
      </c>
      <c r="AL11" s="10" t="s">
        <v>64</v>
      </c>
      <c r="AM11" s="10" t="s">
        <v>205</v>
      </c>
      <c r="AN11" s="10" t="s">
        <v>50</v>
      </c>
      <c r="AO11" s="11" t="s">
        <v>50</v>
      </c>
      <c r="AP11" s="10" t="s">
        <v>50</v>
      </c>
      <c r="AQ11" s="10" t="s">
        <v>50</v>
      </c>
      <c r="AR11" s="10" t="s">
        <v>50</v>
      </c>
      <c r="AS11" s="10" t="s">
        <v>50</v>
      </c>
      <c r="AT11" s="10" t="s">
        <v>50</v>
      </c>
      <c r="AU11" s="10" t="s">
        <v>50</v>
      </c>
      <c r="AV11" s="11"/>
      <c r="AW11" s="10" t="s">
        <v>66</v>
      </c>
      <c r="AX11" s="10"/>
      <c r="AY11" s="10" t="s">
        <v>66</v>
      </c>
    </row>
    <row r="12" ht="22.5" hidden="1" customHeight="1">
      <c r="A12" s="9" t="s">
        <v>206</v>
      </c>
      <c r="B12" s="10" t="s">
        <v>207</v>
      </c>
      <c r="C12" s="10" t="s">
        <v>43</v>
      </c>
      <c r="D12" s="10" t="s">
        <v>44</v>
      </c>
      <c r="E12" s="10" t="s">
        <v>45</v>
      </c>
      <c r="F12" s="11">
        <v>1.0</v>
      </c>
      <c r="G12" s="11">
        <v>79.0</v>
      </c>
      <c r="H12" s="11"/>
      <c r="I12" s="11">
        <v>-13.43</v>
      </c>
      <c r="J12" s="11">
        <v>-20.45</v>
      </c>
      <c r="K12" s="11"/>
      <c r="L12" s="11">
        <v>45.12</v>
      </c>
      <c r="M12" s="10" t="s">
        <v>46</v>
      </c>
      <c r="N12" s="10" t="s">
        <v>45</v>
      </c>
      <c r="O12" s="10" t="s">
        <v>160</v>
      </c>
      <c r="P12" s="10" t="s">
        <v>161</v>
      </c>
      <c r="Q12" s="10" t="s">
        <v>162</v>
      </c>
      <c r="R12" s="10" t="s">
        <v>74</v>
      </c>
      <c r="S12" s="11">
        <v>79.0</v>
      </c>
      <c r="T12" s="11">
        <v>2.49</v>
      </c>
      <c r="U12" s="11" t="s">
        <v>51</v>
      </c>
      <c r="V12" s="10" t="s">
        <v>52</v>
      </c>
      <c r="W12" s="10" t="s">
        <v>208</v>
      </c>
      <c r="X12" s="10" t="s">
        <v>209</v>
      </c>
      <c r="Y12" s="10" t="s">
        <v>210</v>
      </c>
      <c r="Z12" s="10" t="s">
        <v>50</v>
      </c>
      <c r="AA12" s="10" t="s">
        <v>50</v>
      </c>
      <c r="AB12" s="10" t="s">
        <v>208</v>
      </c>
      <c r="AC12" s="10" t="s">
        <v>211</v>
      </c>
      <c r="AD12" s="10" t="s">
        <v>212</v>
      </c>
      <c r="AE12" s="10" t="s">
        <v>213</v>
      </c>
      <c r="AF12" s="10" t="s">
        <v>214</v>
      </c>
      <c r="AG12" s="10" t="s">
        <v>215</v>
      </c>
      <c r="AH12" s="10" t="s">
        <v>60</v>
      </c>
      <c r="AI12" s="10" t="s">
        <v>61</v>
      </c>
      <c r="AJ12" s="10" t="s">
        <v>216</v>
      </c>
      <c r="AK12" s="10" t="s">
        <v>217</v>
      </c>
      <c r="AL12" s="10" t="s">
        <v>64</v>
      </c>
      <c r="AM12" s="10" t="s">
        <v>218</v>
      </c>
      <c r="AN12" s="10" t="s">
        <v>50</v>
      </c>
      <c r="AO12" s="11" t="s">
        <v>50</v>
      </c>
      <c r="AP12" s="10" t="s">
        <v>50</v>
      </c>
      <c r="AQ12" s="10" t="s">
        <v>50</v>
      </c>
      <c r="AR12" s="10" t="s">
        <v>50</v>
      </c>
      <c r="AS12" s="10" t="s">
        <v>50</v>
      </c>
      <c r="AT12" s="10" t="s">
        <v>50</v>
      </c>
      <c r="AU12" s="10" t="s">
        <v>50</v>
      </c>
      <c r="AV12" s="11"/>
      <c r="AW12" s="10" t="s">
        <v>66</v>
      </c>
      <c r="AX12" s="10"/>
      <c r="AY12" s="10" t="s">
        <v>66</v>
      </c>
    </row>
    <row r="13" ht="22.5" hidden="1" customHeight="1">
      <c r="A13" s="9" t="s">
        <v>219</v>
      </c>
      <c r="B13" s="10" t="s">
        <v>207</v>
      </c>
      <c r="C13" s="10" t="s">
        <v>43</v>
      </c>
      <c r="D13" s="10" t="s">
        <v>125</v>
      </c>
      <c r="E13" s="10" t="s">
        <v>66</v>
      </c>
      <c r="F13" s="11">
        <v>1.0</v>
      </c>
      <c r="G13" s="11">
        <v>79.0</v>
      </c>
      <c r="H13" s="11"/>
      <c r="I13" s="11">
        <v>-13.43</v>
      </c>
      <c r="J13" s="11">
        <v>-20.45</v>
      </c>
      <c r="K13" s="11"/>
      <c r="L13" s="11">
        <v>45.12</v>
      </c>
      <c r="M13" s="10" t="s">
        <v>46</v>
      </c>
      <c r="N13" s="10" t="s">
        <v>45</v>
      </c>
      <c r="O13" s="10" t="s">
        <v>160</v>
      </c>
      <c r="P13" s="10" t="s">
        <v>161</v>
      </c>
      <c r="Q13" s="10" t="s">
        <v>162</v>
      </c>
      <c r="R13" s="10" t="s">
        <v>74</v>
      </c>
      <c r="S13" s="11">
        <v>79.0</v>
      </c>
      <c r="T13" s="11">
        <v>2.49</v>
      </c>
      <c r="U13" s="11" t="s">
        <v>51</v>
      </c>
      <c r="V13" s="10" t="s">
        <v>52</v>
      </c>
      <c r="W13" s="10" t="s">
        <v>220</v>
      </c>
      <c r="X13" s="10" t="s">
        <v>221</v>
      </c>
      <c r="Y13" s="10" t="s">
        <v>222</v>
      </c>
      <c r="Z13" s="10" t="s">
        <v>50</v>
      </c>
      <c r="AA13" s="10" t="s">
        <v>50</v>
      </c>
      <c r="AB13" s="10" t="s">
        <v>220</v>
      </c>
      <c r="AC13" s="10" t="s">
        <v>223</v>
      </c>
      <c r="AD13" s="10" t="s">
        <v>224</v>
      </c>
      <c r="AE13" s="10" t="s">
        <v>151</v>
      </c>
      <c r="AF13" s="10" t="s">
        <v>151</v>
      </c>
      <c r="AG13" s="10" t="s">
        <v>225</v>
      </c>
      <c r="AH13" s="10" t="s">
        <v>60</v>
      </c>
      <c r="AI13" s="10" t="s">
        <v>61</v>
      </c>
      <c r="AJ13" s="10" t="s">
        <v>153</v>
      </c>
      <c r="AK13" s="10" t="s">
        <v>226</v>
      </c>
      <c r="AL13" s="10" t="s">
        <v>64</v>
      </c>
      <c r="AM13" s="10" t="s">
        <v>227</v>
      </c>
      <c r="AN13" s="10" t="s">
        <v>50</v>
      </c>
      <c r="AO13" s="11" t="s">
        <v>50</v>
      </c>
      <c r="AP13" s="10" t="s">
        <v>50</v>
      </c>
      <c r="AQ13" s="10" t="s">
        <v>50</v>
      </c>
      <c r="AR13" s="10" t="s">
        <v>50</v>
      </c>
      <c r="AS13" s="10" t="s">
        <v>50</v>
      </c>
      <c r="AT13" s="10" t="s">
        <v>50</v>
      </c>
      <c r="AU13" s="10" t="s">
        <v>50</v>
      </c>
      <c r="AV13" s="11"/>
      <c r="AW13" s="10" t="s">
        <v>66</v>
      </c>
      <c r="AX13" s="10"/>
      <c r="AY13" s="10" t="s">
        <v>66</v>
      </c>
    </row>
    <row r="14" ht="22.5" hidden="1" customHeight="1">
      <c r="A14" s="9" t="s">
        <v>228</v>
      </c>
      <c r="B14" s="10" t="s">
        <v>229</v>
      </c>
      <c r="C14" s="10" t="s">
        <v>43</v>
      </c>
      <c r="D14" s="10" t="s">
        <v>44</v>
      </c>
      <c r="E14" s="10" t="s">
        <v>45</v>
      </c>
      <c r="F14" s="11">
        <v>2.0</v>
      </c>
      <c r="G14" s="11">
        <v>87.4</v>
      </c>
      <c r="H14" s="11"/>
      <c r="I14" s="11">
        <v>-26.86</v>
      </c>
      <c r="J14" s="11"/>
      <c r="K14" s="11"/>
      <c r="L14" s="11">
        <v>65.78</v>
      </c>
      <c r="M14" s="10" t="s">
        <v>46</v>
      </c>
      <c r="N14" s="10" t="s">
        <v>50</v>
      </c>
      <c r="O14" s="10" t="s">
        <v>176</v>
      </c>
      <c r="P14" s="10" t="s">
        <v>177</v>
      </c>
      <c r="Q14" s="10" t="s">
        <v>178</v>
      </c>
      <c r="R14" s="10" t="s">
        <v>74</v>
      </c>
      <c r="S14" s="11">
        <v>43.7</v>
      </c>
      <c r="T14" s="11">
        <f>2*22.58</f>
        <v>45.16</v>
      </c>
      <c r="U14" s="11" t="s">
        <v>51</v>
      </c>
      <c r="V14" s="10" t="s">
        <v>52</v>
      </c>
      <c r="W14" s="10" t="s">
        <v>230</v>
      </c>
      <c r="X14" s="10" t="s">
        <v>231</v>
      </c>
      <c r="Y14" s="10" t="s">
        <v>232</v>
      </c>
      <c r="Z14" s="10" t="s">
        <v>50</v>
      </c>
      <c r="AA14" s="10" t="s">
        <v>50</v>
      </c>
      <c r="AB14" s="10" t="s">
        <v>230</v>
      </c>
      <c r="AC14" s="10" t="s">
        <v>233</v>
      </c>
      <c r="AD14" s="10" t="s">
        <v>234</v>
      </c>
      <c r="AE14" s="10" t="s">
        <v>235</v>
      </c>
      <c r="AF14" s="10" t="s">
        <v>58</v>
      </c>
      <c r="AG14" s="10" t="s">
        <v>236</v>
      </c>
      <c r="AH14" s="10" t="s">
        <v>60</v>
      </c>
      <c r="AI14" s="10" t="s">
        <v>61</v>
      </c>
      <c r="AJ14" s="10" t="s">
        <v>237</v>
      </c>
      <c r="AK14" s="10" t="s">
        <v>238</v>
      </c>
      <c r="AL14" s="10" t="s">
        <v>64</v>
      </c>
      <c r="AM14" s="10" t="s">
        <v>239</v>
      </c>
      <c r="AN14" s="10" t="s">
        <v>50</v>
      </c>
      <c r="AO14" s="11" t="s">
        <v>50</v>
      </c>
      <c r="AP14" s="10" t="s">
        <v>50</v>
      </c>
      <c r="AQ14" s="10" t="s">
        <v>50</v>
      </c>
      <c r="AR14" s="10" t="s">
        <v>50</v>
      </c>
      <c r="AS14" s="10" t="s">
        <v>50</v>
      </c>
      <c r="AT14" s="10" t="s">
        <v>50</v>
      </c>
      <c r="AU14" s="10" t="s">
        <v>50</v>
      </c>
      <c r="AV14" s="11"/>
      <c r="AW14" s="10" t="s">
        <v>66</v>
      </c>
      <c r="AX14" s="10"/>
      <c r="AY14" s="10" t="s">
        <v>66</v>
      </c>
    </row>
    <row r="15" ht="22.5" hidden="1" customHeight="1">
      <c r="A15" s="9" t="s">
        <v>240</v>
      </c>
      <c r="B15" s="10" t="s">
        <v>241</v>
      </c>
      <c r="C15" s="10" t="s">
        <v>43</v>
      </c>
      <c r="D15" s="10" t="s">
        <v>125</v>
      </c>
      <c r="E15" s="10" t="s">
        <v>66</v>
      </c>
      <c r="F15" s="11">
        <v>1.0</v>
      </c>
      <c r="G15" s="11">
        <v>43.7</v>
      </c>
      <c r="H15" s="11">
        <v>12.33</v>
      </c>
      <c r="I15" s="11">
        <v>-13.43</v>
      </c>
      <c r="J15" s="11">
        <v>-12.33</v>
      </c>
      <c r="K15" s="11"/>
      <c r="L15" s="11">
        <v>32.89</v>
      </c>
      <c r="M15" s="10" t="s">
        <v>46</v>
      </c>
      <c r="N15" s="10" t="s">
        <v>50</v>
      </c>
      <c r="O15" s="10" t="s">
        <v>176</v>
      </c>
      <c r="P15" s="10" t="s">
        <v>177</v>
      </c>
      <c r="Q15" s="10" t="s">
        <v>178</v>
      </c>
      <c r="R15" s="10" t="s">
        <v>74</v>
      </c>
      <c r="S15" s="11">
        <v>43.7</v>
      </c>
      <c r="T15" s="11">
        <v>22.58</v>
      </c>
      <c r="U15" s="11" t="s">
        <v>51</v>
      </c>
      <c r="V15" s="10" t="s">
        <v>52</v>
      </c>
      <c r="W15" s="10" t="s">
        <v>242</v>
      </c>
      <c r="X15" s="10" t="s">
        <v>243</v>
      </c>
      <c r="Y15" s="10" t="s">
        <v>244</v>
      </c>
      <c r="Z15" s="10" t="s">
        <v>50</v>
      </c>
      <c r="AA15" s="10" t="s">
        <v>50</v>
      </c>
      <c r="AB15" s="10" t="s">
        <v>242</v>
      </c>
      <c r="AC15" s="10" t="s">
        <v>245</v>
      </c>
      <c r="AD15" s="10" t="s">
        <v>246</v>
      </c>
      <c r="AE15" s="10" t="s">
        <v>151</v>
      </c>
      <c r="AF15" s="10" t="s">
        <v>151</v>
      </c>
      <c r="AG15" s="10" t="s">
        <v>247</v>
      </c>
      <c r="AH15" s="10" t="s">
        <v>60</v>
      </c>
      <c r="AI15" s="10" t="s">
        <v>61</v>
      </c>
      <c r="AJ15" s="10" t="s">
        <v>248</v>
      </c>
      <c r="AK15" s="10" t="s">
        <v>249</v>
      </c>
      <c r="AL15" s="10" t="s">
        <v>64</v>
      </c>
      <c r="AM15" s="10" t="s">
        <v>250</v>
      </c>
      <c r="AN15" s="10" t="s">
        <v>50</v>
      </c>
      <c r="AO15" s="11" t="s">
        <v>50</v>
      </c>
      <c r="AP15" s="10" t="s">
        <v>50</v>
      </c>
      <c r="AQ15" s="10" t="s">
        <v>50</v>
      </c>
      <c r="AR15" s="10" t="s">
        <v>50</v>
      </c>
      <c r="AS15" s="10" t="s">
        <v>50</v>
      </c>
      <c r="AT15" s="10" t="s">
        <v>50</v>
      </c>
      <c r="AU15" s="10" t="s">
        <v>50</v>
      </c>
      <c r="AV15" s="11"/>
      <c r="AW15" s="10" t="s">
        <v>66</v>
      </c>
      <c r="AX15" s="10"/>
      <c r="AY15" s="10" t="s">
        <v>66</v>
      </c>
    </row>
    <row r="16" ht="22.5" hidden="1" customHeight="1">
      <c r="A16" s="9" t="s">
        <v>251</v>
      </c>
      <c r="B16" s="10" t="s">
        <v>252</v>
      </c>
      <c r="C16" s="10" t="s">
        <v>43</v>
      </c>
      <c r="D16" s="10" t="s">
        <v>99</v>
      </c>
      <c r="E16" s="10" t="s">
        <v>66</v>
      </c>
      <c r="F16" s="11">
        <v>1.0</v>
      </c>
      <c r="G16" s="11">
        <v>80.0</v>
      </c>
      <c r="H16" s="11"/>
      <c r="I16" s="11">
        <v>-13.6</v>
      </c>
      <c r="J16" s="11">
        <v>-19.95</v>
      </c>
      <c r="K16" s="11"/>
      <c r="L16" s="11">
        <v>50.45</v>
      </c>
      <c r="M16" s="10" t="s">
        <v>46</v>
      </c>
      <c r="N16" s="10" t="s">
        <v>50</v>
      </c>
      <c r="O16" s="10" t="s">
        <v>143</v>
      </c>
      <c r="P16" s="10" t="s">
        <v>144</v>
      </c>
      <c r="Q16" s="10" t="s">
        <v>145</v>
      </c>
      <c r="R16" s="10" t="s">
        <v>74</v>
      </c>
      <c r="S16" s="11">
        <v>80.0</v>
      </c>
      <c r="T16" s="11">
        <v>33.38</v>
      </c>
      <c r="U16" s="11" t="s">
        <v>51</v>
      </c>
      <c r="V16" s="10" t="s">
        <v>52</v>
      </c>
      <c r="W16" s="10" t="s">
        <v>253</v>
      </c>
      <c r="X16" s="10" t="s">
        <v>254</v>
      </c>
      <c r="Y16" s="10" t="s">
        <v>255</v>
      </c>
      <c r="Z16" s="10" t="s">
        <v>50</v>
      </c>
      <c r="AA16" s="10" t="s">
        <v>50</v>
      </c>
      <c r="AB16" s="10" t="s">
        <v>253</v>
      </c>
      <c r="AC16" s="10" t="s">
        <v>256</v>
      </c>
      <c r="AD16" s="10" t="s">
        <v>257</v>
      </c>
      <c r="AE16" s="10" t="s">
        <v>258</v>
      </c>
      <c r="AF16" s="10" t="s">
        <v>214</v>
      </c>
      <c r="AG16" s="10" t="s">
        <v>259</v>
      </c>
      <c r="AH16" s="10" t="s">
        <v>60</v>
      </c>
      <c r="AI16" s="10" t="s">
        <v>61</v>
      </c>
      <c r="AJ16" s="10" t="s">
        <v>62</v>
      </c>
      <c r="AK16" s="10" t="s">
        <v>260</v>
      </c>
      <c r="AL16" s="10" t="s">
        <v>64</v>
      </c>
      <c r="AM16" s="10" t="s">
        <v>261</v>
      </c>
      <c r="AN16" s="10" t="s">
        <v>50</v>
      </c>
      <c r="AO16" s="11" t="s">
        <v>50</v>
      </c>
      <c r="AP16" s="10" t="s">
        <v>50</v>
      </c>
      <c r="AQ16" s="10" t="s">
        <v>50</v>
      </c>
      <c r="AR16" s="10" t="s">
        <v>50</v>
      </c>
      <c r="AS16" s="10" t="s">
        <v>50</v>
      </c>
      <c r="AT16" s="10" t="s">
        <v>50</v>
      </c>
      <c r="AU16" s="10" t="s">
        <v>50</v>
      </c>
      <c r="AV16" s="11"/>
      <c r="AW16" s="10" t="s">
        <v>66</v>
      </c>
      <c r="AX16" s="10"/>
      <c r="AY16" s="10" t="s">
        <v>66</v>
      </c>
    </row>
    <row r="17" ht="22.5" hidden="1" customHeight="1">
      <c r="A17" s="9" t="s">
        <v>262</v>
      </c>
      <c r="B17" s="10" t="s">
        <v>263</v>
      </c>
      <c r="C17" s="10" t="s">
        <v>158</v>
      </c>
      <c r="D17" s="10" t="s">
        <v>264</v>
      </c>
      <c r="E17" s="10" t="s">
        <v>45</v>
      </c>
      <c r="F17" s="11">
        <v>1.0</v>
      </c>
      <c r="G17" s="11">
        <v>84.0</v>
      </c>
      <c r="H17" s="11">
        <v>24.03</v>
      </c>
      <c r="I17" s="11">
        <v>-14.28</v>
      </c>
      <c r="J17" s="11">
        <v>-44.48</v>
      </c>
      <c r="K17" s="11"/>
      <c r="L17" s="11">
        <v>49.27</v>
      </c>
      <c r="M17" s="10" t="s">
        <v>46</v>
      </c>
      <c r="N17" s="10" t="s">
        <v>45</v>
      </c>
      <c r="O17" s="10" t="s">
        <v>265</v>
      </c>
      <c r="P17" s="10" t="s">
        <v>266</v>
      </c>
      <c r="Q17" s="10" t="s">
        <v>267</v>
      </c>
      <c r="R17" s="10" t="s">
        <v>74</v>
      </c>
      <c r="S17" s="11">
        <v>84.0</v>
      </c>
      <c r="T17" s="11">
        <v>26.22</v>
      </c>
      <c r="U17" s="11" t="s">
        <v>51</v>
      </c>
      <c r="V17" s="10" t="s">
        <v>52</v>
      </c>
      <c r="W17" s="10" t="s">
        <v>268</v>
      </c>
      <c r="X17" s="10" t="s">
        <v>269</v>
      </c>
      <c r="Y17" s="10" t="s">
        <v>270</v>
      </c>
      <c r="Z17" s="10" t="s">
        <v>50</v>
      </c>
      <c r="AA17" s="10" t="s">
        <v>50</v>
      </c>
      <c r="AB17" s="10" t="s">
        <v>268</v>
      </c>
      <c r="AC17" s="10" t="s">
        <v>271</v>
      </c>
      <c r="AD17" s="10" t="s">
        <v>272</v>
      </c>
      <c r="AE17" s="10" t="s">
        <v>273</v>
      </c>
      <c r="AF17" s="10" t="s">
        <v>169</v>
      </c>
      <c r="AG17" s="10" t="s">
        <v>274</v>
      </c>
      <c r="AH17" s="10" t="s">
        <v>60</v>
      </c>
      <c r="AI17" s="10" t="s">
        <v>61</v>
      </c>
      <c r="AJ17" s="10" t="s">
        <v>171</v>
      </c>
      <c r="AK17" s="10" t="s">
        <v>50</v>
      </c>
      <c r="AL17" s="10" t="s">
        <v>64</v>
      </c>
      <c r="AM17" s="10" t="s">
        <v>275</v>
      </c>
      <c r="AN17" s="10" t="s">
        <v>50</v>
      </c>
      <c r="AO17" s="11" t="s">
        <v>50</v>
      </c>
      <c r="AP17" s="10" t="s">
        <v>50</v>
      </c>
      <c r="AQ17" s="10" t="s">
        <v>50</v>
      </c>
      <c r="AR17" s="10" t="s">
        <v>50</v>
      </c>
      <c r="AS17" s="10" t="s">
        <v>50</v>
      </c>
      <c r="AT17" s="10" t="s">
        <v>50</v>
      </c>
      <c r="AU17" s="10" t="s">
        <v>50</v>
      </c>
      <c r="AV17" s="11"/>
      <c r="AW17" s="10" t="s">
        <v>66</v>
      </c>
      <c r="AX17" s="10"/>
      <c r="AY17" s="10" t="s">
        <v>66</v>
      </c>
    </row>
    <row r="18" ht="22.5" hidden="1" customHeight="1">
      <c r="A18" s="9" t="s">
        <v>276</v>
      </c>
      <c r="B18" s="10" t="s">
        <v>277</v>
      </c>
      <c r="C18" s="10" t="s">
        <v>43</v>
      </c>
      <c r="D18" s="10" t="s">
        <v>99</v>
      </c>
      <c r="E18" s="10" t="s">
        <v>66</v>
      </c>
      <c r="F18" s="11">
        <v>1.0</v>
      </c>
      <c r="G18" s="11">
        <v>79.0</v>
      </c>
      <c r="H18" s="11"/>
      <c r="I18" s="11">
        <v>-13.43</v>
      </c>
      <c r="J18" s="11">
        <v>-20.45</v>
      </c>
      <c r="K18" s="11"/>
      <c r="L18" s="11">
        <v>45.12</v>
      </c>
      <c r="M18" s="10" t="s">
        <v>46</v>
      </c>
      <c r="N18" s="10" t="s">
        <v>45</v>
      </c>
      <c r="O18" s="10" t="s">
        <v>160</v>
      </c>
      <c r="P18" s="10" t="s">
        <v>161</v>
      </c>
      <c r="Q18" s="10" t="s">
        <v>162</v>
      </c>
      <c r="R18" s="10" t="s">
        <v>74</v>
      </c>
      <c r="S18" s="11">
        <v>79.0</v>
      </c>
      <c r="T18" s="11">
        <v>2.49</v>
      </c>
      <c r="U18" s="11" t="s">
        <v>51</v>
      </c>
      <c r="V18" s="10" t="s">
        <v>52</v>
      </c>
      <c r="W18" s="10" t="s">
        <v>278</v>
      </c>
      <c r="X18" s="10" t="s">
        <v>279</v>
      </c>
      <c r="Y18" s="10" t="s">
        <v>280</v>
      </c>
      <c r="Z18" s="10" t="s">
        <v>50</v>
      </c>
      <c r="AA18" s="10" t="s">
        <v>50</v>
      </c>
      <c r="AB18" s="10" t="s">
        <v>278</v>
      </c>
      <c r="AC18" s="10" t="s">
        <v>281</v>
      </c>
      <c r="AD18" s="10" t="s">
        <v>282</v>
      </c>
      <c r="AE18" s="10" t="s">
        <v>283</v>
      </c>
      <c r="AF18" s="10" t="s">
        <v>284</v>
      </c>
      <c r="AG18" s="10" t="s">
        <v>285</v>
      </c>
      <c r="AH18" s="10" t="s">
        <v>60</v>
      </c>
      <c r="AI18" s="10" t="s">
        <v>61</v>
      </c>
      <c r="AJ18" s="10" t="s">
        <v>216</v>
      </c>
      <c r="AK18" s="10" t="s">
        <v>286</v>
      </c>
      <c r="AL18" s="10" t="s">
        <v>64</v>
      </c>
      <c r="AM18" s="10" t="s">
        <v>287</v>
      </c>
      <c r="AN18" s="10" t="s">
        <v>50</v>
      </c>
      <c r="AO18" s="11" t="s">
        <v>50</v>
      </c>
      <c r="AP18" s="10" t="s">
        <v>50</v>
      </c>
      <c r="AQ18" s="10" t="s">
        <v>50</v>
      </c>
      <c r="AR18" s="10" t="s">
        <v>50</v>
      </c>
      <c r="AS18" s="10" t="s">
        <v>50</v>
      </c>
      <c r="AT18" s="10" t="s">
        <v>50</v>
      </c>
      <c r="AU18" s="10" t="s">
        <v>50</v>
      </c>
      <c r="AV18" s="11"/>
      <c r="AW18" s="10" t="s">
        <v>66</v>
      </c>
      <c r="AX18" s="10"/>
      <c r="AY18" s="10" t="s">
        <v>66</v>
      </c>
    </row>
    <row r="19" ht="22.5" customHeight="1">
      <c r="A19" s="9" t="s">
        <v>288</v>
      </c>
      <c r="B19" s="10" t="s">
        <v>289</v>
      </c>
      <c r="C19" s="10" t="s">
        <v>43</v>
      </c>
      <c r="D19" s="10" t="s">
        <v>290</v>
      </c>
      <c r="E19" s="10" t="s">
        <v>45</v>
      </c>
      <c r="F19" s="11">
        <v>2.0</v>
      </c>
      <c r="G19" s="11">
        <v>87.4</v>
      </c>
      <c r="H19" s="11"/>
      <c r="I19" s="11">
        <v>-26.86</v>
      </c>
      <c r="J19" s="11"/>
      <c r="K19" s="11"/>
      <c r="L19" s="11">
        <v>65.78</v>
      </c>
      <c r="M19" s="10" t="s">
        <v>46</v>
      </c>
      <c r="N19" s="10" t="s">
        <v>50</v>
      </c>
      <c r="O19" s="10" t="s">
        <v>176</v>
      </c>
      <c r="P19" s="10" t="s">
        <v>177</v>
      </c>
      <c r="Q19" s="10" t="s">
        <v>178</v>
      </c>
      <c r="R19" s="10" t="s">
        <v>74</v>
      </c>
      <c r="S19" s="11">
        <v>43.7</v>
      </c>
      <c r="T19" s="11">
        <f t="shared" ref="T19:T20" si="1">2*22.58</f>
        <v>45.16</v>
      </c>
      <c r="U19" s="11" t="s">
        <v>51</v>
      </c>
      <c r="V19" s="10" t="s">
        <v>52</v>
      </c>
      <c r="W19" s="10" t="s">
        <v>291</v>
      </c>
      <c r="X19" s="10" t="s">
        <v>292</v>
      </c>
      <c r="Y19" s="10" t="s">
        <v>293</v>
      </c>
      <c r="Z19" s="10" t="s">
        <v>50</v>
      </c>
      <c r="AA19" s="10" t="s">
        <v>50</v>
      </c>
      <c r="AB19" s="10" t="s">
        <v>291</v>
      </c>
      <c r="AC19" s="10" t="s">
        <v>294</v>
      </c>
      <c r="AD19" s="10" t="s">
        <v>295</v>
      </c>
      <c r="AE19" s="10" t="s">
        <v>296</v>
      </c>
      <c r="AF19" s="10" t="s">
        <v>58</v>
      </c>
      <c r="AG19" s="10" t="s">
        <v>297</v>
      </c>
      <c r="AH19" s="10" t="s">
        <v>60</v>
      </c>
      <c r="AI19" s="10" t="s">
        <v>61</v>
      </c>
      <c r="AJ19" s="10" t="s">
        <v>298</v>
      </c>
      <c r="AK19" s="10" t="s">
        <v>299</v>
      </c>
      <c r="AL19" s="10" t="s">
        <v>64</v>
      </c>
      <c r="AM19" s="10" t="s">
        <v>300</v>
      </c>
      <c r="AN19" s="10" t="s">
        <v>50</v>
      </c>
      <c r="AO19" s="11" t="s">
        <v>50</v>
      </c>
      <c r="AP19" s="10" t="s">
        <v>50</v>
      </c>
      <c r="AQ19" s="10" t="s">
        <v>50</v>
      </c>
      <c r="AR19" s="10" t="s">
        <v>50</v>
      </c>
      <c r="AS19" s="10" t="s">
        <v>50</v>
      </c>
      <c r="AT19" s="10" t="s">
        <v>50</v>
      </c>
      <c r="AU19" s="10" t="s">
        <v>50</v>
      </c>
      <c r="AV19" s="11"/>
      <c r="AW19" s="10" t="s">
        <v>66</v>
      </c>
      <c r="AX19" s="10"/>
      <c r="AY19" s="10" t="s">
        <v>66</v>
      </c>
    </row>
    <row r="20" ht="22.5" hidden="1" customHeight="1">
      <c r="A20" s="9" t="s">
        <v>301</v>
      </c>
      <c r="B20" s="10" t="s">
        <v>302</v>
      </c>
      <c r="C20" s="10" t="s">
        <v>43</v>
      </c>
      <c r="D20" s="10" t="s">
        <v>125</v>
      </c>
      <c r="E20" s="10" t="s">
        <v>45</v>
      </c>
      <c r="F20" s="11">
        <v>2.0</v>
      </c>
      <c r="G20" s="11">
        <v>87.4</v>
      </c>
      <c r="H20" s="11">
        <v>17.61</v>
      </c>
      <c r="I20" s="11">
        <v>-26.86</v>
      </c>
      <c r="J20" s="11">
        <v>-17.61</v>
      </c>
      <c r="K20" s="11"/>
      <c r="L20" s="11">
        <v>65.78</v>
      </c>
      <c r="M20" s="10" t="s">
        <v>46</v>
      </c>
      <c r="N20" s="10" t="s">
        <v>50</v>
      </c>
      <c r="O20" s="10" t="s">
        <v>176</v>
      </c>
      <c r="P20" s="10" t="s">
        <v>177</v>
      </c>
      <c r="Q20" s="10" t="s">
        <v>178</v>
      </c>
      <c r="R20" s="10" t="s">
        <v>74</v>
      </c>
      <c r="S20" s="11">
        <v>43.7</v>
      </c>
      <c r="T20" s="11">
        <f t="shared" si="1"/>
        <v>45.16</v>
      </c>
      <c r="U20" s="11" t="s">
        <v>51</v>
      </c>
      <c r="V20" s="10" t="s">
        <v>52</v>
      </c>
      <c r="W20" s="10" t="s">
        <v>303</v>
      </c>
      <c r="X20" s="10" t="s">
        <v>304</v>
      </c>
      <c r="Y20" s="10" t="s">
        <v>305</v>
      </c>
      <c r="Z20" s="10" t="s">
        <v>50</v>
      </c>
      <c r="AA20" s="10" t="s">
        <v>50</v>
      </c>
      <c r="AB20" s="10" t="s">
        <v>303</v>
      </c>
      <c r="AC20" s="10" t="s">
        <v>306</v>
      </c>
      <c r="AD20" s="10" t="s">
        <v>307</v>
      </c>
      <c r="AE20" s="10" t="s">
        <v>308</v>
      </c>
      <c r="AF20" s="10" t="s">
        <v>136</v>
      </c>
      <c r="AG20" s="10" t="s">
        <v>309</v>
      </c>
      <c r="AH20" s="10" t="s">
        <v>60</v>
      </c>
      <c r="AI20" s="10" t="s">
        <v>61</v>
      </c>
      <c r="AJ20" s="10" t="s">
        <v>138</v>
      </c>
      <c r="AK20" s="10" t="s">
        <v>310</v>
      </c>
      <c r="AL20" s="10" t="s">
        <v>64</v>
      </c>
      <c r="AM20" s="10" t="s">
        <v>311</v>
      </c>
      <c r="AN20" s="10" t="s">
        <v>50</v>
      </c>
      <c r="AO20" s="11" t="s">
        <v>50</v>
      </c>
      <c r="AP20" s="10" t="s">
        <v>50</v>
      </c>
      <c r="AQ20" s="10" t="s">
        <v>50</v>
      </c>
      <c r="AR20" s="10" t="s">
        <v>50</v>
      </c>
      <c r="AS20" s="10" t="s">
        <v>50</v>
      </c>
      <c r="AT20" s="10" t="s">
        <v>50</v>
      </c>
      <c r="AU20" s="10" t="s">
        <v>50</v>
      </c>
      <c r="AV20" s="11"/>
      <c r="AW20" s="10" t="s">
        <v>66</v>
      </c>
      <c r="AX20" s="10"/>
      <c r="AY20" s="10" t="s">
        <v>66</v>
      </c>
    </row>
    <row r="21" ht="22.5" hidden="1" customHeight="1">
      <c r="A21" s="9" t="s">
        <v>312</v>
      </c>
      <c r="B21" s="10" t="s">
        <v>313</v>
      </c>
      <c r="C21" s="10" t="s">
        <v>43</v>
      </c>
      <c r="D21" s="10" t="s">
        <v>125</v>
      </c>
      <c r="E21" s="10" t="s">
        <v>66</v>
      </c>
      <c r="F21" s="11">
        <v>1.0</v>
      </c>
      <c r="G21" s="11">
        <v>79.3</v>
      </c>
      <c r="H21" s="11"/>
      <c r="I21" s="11">
        <v>-13.48</v>
      </c>
      <c r="J21" s="11">
        <v>-19.95</v>
      </c>
      <c r="K21" s="11"/>
      <c r="L21" s="11">
        <v>45.87</v>
      </c>
      <c r="M21" s="10" t="s">
        <v>46</v>
      </c>
      <c r="N21" s="10" t="s">
        <v>50</v>
      </c>
      <c r="O21" s="10" t="s">
        <v>314</v>
      </c>
      <c r="P21" s="10" t="s">
        <v>315</v>
      </c>
      <c r="Q21" s="10" t="s">
        <v>316</v>
      </c>
      <c r="R21" s="10" t="s">
        <v>74</v>
      </c>
      <c r="S21" s="11">
        <v>79.3</v>
      </c>
      <c r="T21" s="11">
        <v>6.66</v>
      </c>
      <c r="U21" s="11" t="s">
        <v>51</v>
      </c>
      <c r="V21" s="10" t="s">
        <v>52</v>
      </c>
      <c r="W21" s="10" t="s">
        <v>317</v>
      </c>
      <c r="X21" s="10" t="s">
        <v>318</v>
      </c>
      <c r="Y21" s="10" t="s">
        <v>319</v>
      </c>
      <c r="Z21" s="10" t="s">
        <v>50</v>
      </c>
      <c r="AA21" s="10" t="s">
        <v>50</v>
      </c>
      <c r="AB21" s="10" t="s">
        <v>317</v>
      </c>
      <c r="AC21" s="10" t="s">
        <v>320</v>
      </c>
      <c r="AD21" s="10" t="s">
        <v>321</v>
      </c>
      <c r="AE21" s="10" t="s">
        <v>322</v>
      </c>
      <c r="AF21" s="10" t="s">
        <v>323</v>
      </c>
      <c r="AG21" s="10" t="s">
        <v>324</v>
      </c>
      <c r="AH21" s="10" t="s">
        <v>60</v>
      </c>
      <c r="AI21" s="10" t="s">
        <v>61</v>
      </c>
      <c r="AJ21" s="10" t="s">
        <v>325</v>
      </c>
      <c r="AK21" s="10" t="s">
        <v>326</v>
      </c>
      <c r="AL21" s="10" t="s">
        <v>64</v>
      </c>
      <c r="AM21" s="10" t="s">
        <v>327</v>
      </c>
      <c r="AN21" s="10" t="s">
        <v>50</v>
      </c>
      <c r="AO21" s="11" t="s">
        <v>50</v>
      </c>
      <c r="AP21" s="10" t="s">
        <v>50</v>
      </c>
      <c r="AQ21" s="10" t="s">
        <v>50</v>
      </c>
      <c r="AR21" s="10" t="s">
        <v>50</v>
      </c>
      <c r="AS21" s="10" t="s">
        <v>50</v>
      </c>
      <c r="AT21" s="10" t="s">
        <v>50</v>
      </c>
      <c r="AU21" s="10" t="s">
        <v>50</v>
      </c>
      <c r="AV21" s="11"/>
      <c r="AW21" s="10" t="s">
        <v>66</v>
      </c>
      <c r="AX21" s="10"/>
      <c r="AY21" s="10" t="s">
        <v>66</v>
      </c>
    </row>
    <row r="22" ht="22.5" hidden="1" customHeight="1">
      <c r="A22" s="9" t="s">
        <v>328</v>
      </c>
      <c r="B22" s="10" t="s">
        <v>329</v>
      </c>
      <c r="C22" s="10" t="s">
        <v>43</v>
      </c>
      <c r="D22" s="10" t="s">
        <v>44</v>
      </c>
      <c r="E22" s="10" t="s">
        <v>66</v>
      </c>
      <c r="F22" s="11">
        <v>1.0</v>
      </c>
      <c r="G22" s="11">
        <v>43.7</v>
      </c>
      <c r="H22" s="11">
        <v>9.94</v>
      </c>
      <c r="I22" s="11">
        <v>-13.43</v>
      </c>
      <c r="J22" s="11">
        <v>-9.94</v>
      </c>
      <c r="K22" s="11"/>
      <c r="L22" s="11">
        <v>32.89</v>
      </c>
      <c r="M22" s="10" t="s">
        <v>46</v>
      </c>
      <c r="N22" s="10" t="s">
        <v>45</v>
      </c>
      <c r="O22" s="10" t="s">
        <v>176</v>
      </c>
      <c r="P22" s="10" t="s">
        <v>177</v>
      </c>
      <c r="Q22" s="10" t="s">
        <v>178</v>
      </c>
      <c r="R22" s="10" t="s">
        <v>74</v>
      </c>
      <c r="S22" s="11">
        <v>43.7</v>
      </c>
      <c r="T22" s="11">
        <v>22.58</v>
      </c>
      <c r="U22" s="11" t="s">
        <v>51</v>
      </c>
      <c r="V22" s="10" t="s">
        <v>52</v>
      </c>
      <c r="W22" s="10" t="s">
        <v>330</v>
      </c>
      <c r="X22" s="10" t="s">
        <v>331</v>
      </c>
      <c r="Y22" s="10" t="s">
        <v>332</v>
      </c>
      <c r="Z22" s="10" t="s">
        <v>50</v>
      </c>
      <c r="AA22" s="10" t="s">
        <v>50</v>
      </c>
      <c r="AB22" s="10" t="s">
        <v>330</v>
      </c>
      <c r="AC22" s="10" t="s">
        <v>333</v>
      </c>
      <c r="AD22" s="10" t="s">
        <v>334</v>
      </c>
      <c r="AE22" s="10" t="s">
        <v>335</v>
      </c>
      <c r="AF22" s="10" t="s">
        <v>58</v>
      </c>
      <c r="AG22" s="10" t="s">
        <v>336</v>
      </c>
      <c r="AH22" s="10" t="s">
        <v>60</v>
      </c>
      <c r="AI22" s="10" t="s">
        <v>61</v>
      </c>
      <c r="AJ22" s="10" t="s">
        <v>337</v>
      </c>
      <c r="AK22" s="10" t="s">
        <v>338</v>
      </c>
      <c r="AL22" s="10" t="s">
        <v>64</v>
      </c>
      <c r="AM22" s="10" t="s">
        <v>339</v>
      </c>
      <c r="AN22" s="10" t="s">
        <v>50</v>
      </c>
      <c r="AO22" s="11" t="s">
        <v>50</v>
      </c>
      <c r="AP22" s="10" t="s">
        <v>50</v>
      </c>
      <c r="AQ22" s="10" t="s">
        <v>50</v>
      </c>
      <c r="AR22" s="10" t="s">
        <v>50</v>
      </c>
      <c r="AS22" s="10" t="s">
        <v>50</v>
      </c>
      <c r="AT22" s="10" t="s">
        <v>50</v>
      </c>
      <c r="AU22" s="10" t="s">
        <v>50</v>
      </c>
      <c r="AV22" s="11"/>
      <c r="AW22" s="10" t="s">
        <v>66</v>
      </c>
      <c r="AX22" s="10"/>
      <c r="AY22" s="10" t="s">
        <v>66</v>
      </c>
    </row>
    <row r="23" ht="22.5" hidden="1" customHeight="1">
      <c r="A23" s="9" t="s">
        <v>340</v>
      </c>
      <c r="B23" s="10" t="s">
        <v>341</v>
      </c>
      <c r="C23" s="10" t="s">
        <v>342</v>
      </c>
      <c r="D23" s="10" t="s">
        <v>343</v>
      </c>
      <c r="E23" s="10" t="s">
        <v>66</v>
      </c>
      <c r="F23" s="11">
        <v>1.0</v>
      </c>
      <c r="G23" s="11">
        <v>120.0</v>
      </c>
      <c r="H23" s="11"/>
      <c r="I23" s="11">
        <v>-20.4</v>
      </c>
      <c r="J23" s="11">
        <v>-19.95</v>
      </c>
      <c r="K23" s="11"/>
      <c r="L23" s="11">
        <v>86.85</v>
      </c>
      <c r="M23" s="10" t="s">
        <v>46</v>
      </c>
      <c r="N23" s="10" t="s">
        <v>45</v>
      </c>
      <c r="O23" s="10" t="s">
        <v>85</v>
      </c>
      <c r="P23" s="10" t="s">
        <v>86</v>
      </c>
      <c r="Q23" s="10" t="s">
        <v>87</v>
      </c>
      <c r="R23" s="10" t="s">
        <v>74</v>
      </c>
      <c r="S23" s="11">
        <v>120.0</v>
      </c>
      <c r="T23" s="11">
        <v>65.78</v>
      </c>
      <c r="U23" s="11" t="s">
        <v>51</v>
      </c>
      <c r="V23" s="10" t="s">
        <v>52</v>
      </c>
      <c r="W23" s="10" t="s">
        <v>344</v>
      </c>
      <c r="X23" s="10" t="s">
        <v>345</v>
      </c>
      <c r="Y23" s="10" t="s">
        <v>346</v>
      </c>
      <c r="Z23" s="10" t="s">
        <v>50</v>
      </c>
      <c r="AA23" s="10" t="s">
        <v>50</v>
      </c>
      <c r="AB23" s="10" t="s">
        <v>344</v>
      </c>
      <c r="AC23" s="10" t="s">
        <v>347</v>
      </c>
      <c r="AD23" s="10" t="s">
        <v>348</v>
      </c>
      <c r="AE23" s="10" t="s">
        <v>349</v>
      </c>
      <c r="AF23" s="10" t="s">
        <v>119</v>
      </c>
      <c r="AG23" s="10" t="s">
        <v>350</v>
      </c>
      <c r="AH23" s="10" t="s">
        <v>60</v>
      </c>
      <c r="AI23" s="10" t="s">
        <v>61</v>
      </c>
      <c r="AJ23" s="10" t="s">
        <v>62</v>
      </c>
      <c r="AK23" s="10" t="s">
        <v>50</v>
      </c>
      <c r="AL23" s="10" t="s">
        <v>64</v>
      </c>
      <c r="AM23" s="10" t="s">
        <v>351</v>
      </c>
      <c r="AN23" s="10" t="s">
        <v>50</v>
      </c>
      <c r="AO23" s="11" t="s">
        <v>50</v>
      </c>
      <c r="AP23" s="10" t="s">
        <v>50</v>
      </c>
      <c r="AQ23" s="10" t="s">
        <v>50</v>
      </c>
      <c r="AR23" s="10" t="s">
        <v>50</v>
      </c>
      <c r="AS23" s="10" t="s">
        <v>50</v>
      </c>
      <c r="AT23" s="10" t="s">
        <v>50</v>
      </c>
      <c r="AU23" s="10" t="s">
        <v>50</v>
      </c>
      <c r="AV23" s="11"/>
      <c r="AW23" s="10" t="s">
        <v>66</v>
      </c>
      <c r="AX23" s="10"/>
      <c r="AY23" s="10" t="s">
        <v>66</v>
      </c>
    </row>
    <row r="24" ht="22.5" hidden="1" customHeight="1">
      <c r="A24" s="9" t="s">
        <v>352</v>
      </c>
      <c r="B24" s="10" t="s">
        <v>353</v>
      </c>
      <c r="C24" s="10" t="s">
        <v>354</v>
      </c>
      <c r="D24" s="10" t="s">
        <v>355</v>
      </c>
      <c r="E24" s="10" t="s">
        <v>45</v>
      </c>
      <c r="F24" s="11">
        <v>2.0</v>
      </c>
      <c r="G24" s="11">
        <v>160.0</v>
      </c>
      <c r="H24" s="11"/>
      <c r="I24" s="11">
        <v>-27.2</v>
      </c>
      <c r="J24" s="11">
        <v>-39.9</v>
      </c>
      <c r="K24" s="11"/>
      <c r="L24" s="11">
        <v>100.9</v>
      </c>
      <c r="M24" s="10" t="s">
        <v>46</v>
      </c>
      <c r="N24" s="10" t="s">
        <v>45</v>
      </c>
      <c r="O24" s="10" t="s">
        <v>143</v>
      </c>
      <c r="P24" s="10" t="s">
        <v>144</v>
      </c>
      <c r="Q24" s="10" t="s">
        <v>145</v>
      </c>
      <c r="R24" s="10" t="s">
        <v>74</v>
      </c>
      <c r="S24" s="11">
        <v>80.0</v>
      </c>
      <c r="T24" s="11">
        <v>33.38</v>
      </c>
      <c r="U24" s="11" t="s">
        <v>51</v>
      </c>
      <c r="V24" s="10" t="s">
        <v>52</v>
      </c>
      <c r="W24" s="10" t="s">
        <v>356</v>
      </c>
      <c r="X24" s="10" t="s">
        <v>357</v>
      </c>
      <c r="Y24" s="10" t="s">
        <v>358</v>
      </c>
      <c r="Z24" s="10" t="s">
        <v>50</v>
      </c>
      <c r="AA24" s="10" t="s">
        <v>50</v>
      </c>
      <c r="AB24" s="10" t="s">
        <v>356</v>
      </c>
      <c r="AC24" s="10" t="s">
        <v>359</v>
      </c>
      <c r="AD24" s="10" t="s">
        <v>360</v>
      </c>
      <c r="AE24" s="10" t="s">
        <v>361</v>
      </c>
      <c r="AF24" s="10" t="s">
        <v>323</v>
      </c>
      <c r="AG24" s="10" t="s">
        <v>362</v>
      </c>
      <c r="AH24" s="10" t="s">
        <v>60</v>
      </c>
      <c r="AI24" s="10" t="s">
        <v>61</v>
      </c>
      <c r="AJ24" s="10" t="s">
        <v>363</v>
      </c>
      <c r="AK24" s="10" t="s">
        <v>50</v>
      </c>
      <c r="AL24" s="10" t="s">
        <v>64</v>
      </c>
      <c r="AM24" s="10" t="s">
        <v>364</v>
      </c>
      <c r="AN24" s="10" t="s">
        <v>365</v>
      </c>
      <c r="AO24" s="11" t="s">
        <v>50</v>
      </c>
      <c r="AP24" s="10" t="s">
        <v>50</v>
      </c>
      <c r="AQ24" s="10" t="s">
        <v>50</v>
      </c>
      <c r="AR24" s="10" t="s">
        <v>50</v>
      </c>
      <c r="AS24" s="10" t="s">
        <v>50</v>
      </c>
      <c r="AT24" s="10" t="s">
        <v>50</v>
      </c>
      <c r="AU24" s="10" t="s">
        <v>50</v>
      </c>
      <c r="AV24" s="11"/>
      <c r="AW24" s="10" t="s">
        <v>66</v>
      </c>
      <c r="AX24" s="10"/>
      <c r="AY24" s="10" t="s">
        <v>66</v>
      </c>
    </row>
    <row r="25" ht="22.5" hidden="1" customHeight="1">
      <c r="A25" s="9" t="s">
        <v>366</v>
      </c>
      <c r="B25" s="10" t="s">
        <v>367</v>
      </c>
      <c r="C25" s="10" t="s">
        <v>43</v>
      </c>
      <c r="D25" s="10" t="s">
        <v>44</v>
      </c>
      <c r="E25" s="10" t="s">
        <v>45</v>
      </c>
      <c r="F25" s="11">
        <v>2.0</v>
      </c>
      <c r="G25" s="11">
        <v>87.4</v>
      </c>
      <c r="H25" s="11"/>
      <c r="I25" s="11">
        <v>-26.86</v>
      </c>
      <c r="J25" s="11"/>
      <c r="K25" s="11"/>
      <c r="L25" s="11">
        <v>65.78</v>
      </c>
      <c r="M25" s="10" t="s">
        <v>46</v>
      </c>
      <c r="N25" s="10" t="s">
        <v>50</v>
      </c>
      <c r="O25" s="10" t="s">
        <v>176</v>
      </c>
      <c r="P25" s="10" t="s">
        <v>177</v>
      </c>
      <c r="Q25" s="10" t="s">
        <v>178</v>
      </c>
      <c r="R25" s="10" t="s">
        <v>74</v>
      </c>
      <c r="S25" s="11">
        <v>43.7</v>
      </c>
      <c r="T25" s="11">
        <f>2*22.58</f>
        <v>45.16</v>
      </c>
      <c r="U25" s="11" t="s">
        <v>51</v>
      </c>
      <c r="V25" s="10" t="s">
        <v>52</v>
      </c>
      <c r="W25" s="10" t="s">
        <v>368</v>
      </c>
      <c r="X25" s="10" t="s">
        <v>369</v>
      </c>
      <c r="Y25" s="10" t="s">
        <v>370</v>
      </c>
      <c r="Z25" s="10" t="s">
        <v>50</v>
      </c>
      <c r="AA25" s="10" t="s">
        <v>50</v>
      </c>
      <c r="AB25" s="10" t="s">
        <v>368</v>
      </c>
      <c r="AC25" s="10" t="s">
        <v>371</v>
      </c>
      <c r="AD25" s="10" t="s">
        <v>372</v>
      </c>
      <c r="AE25" s="10" t="s">
        <v>373</v>
      </c>
      <c r="AF25" s="10" t="s">
        <v>58</v>
      </c>
      <c r="AG25" s="10" t="s">
        <v>374</v>
      </c>
      <c r="AH25" s="10" t="s">
        <v>60</v>
      </c>
      <c r="AI25" s="10" t="s">
        <v>61</v>
      </c>
      <c r="AJ25" s="10" t="s">
        <v>237</v>
      </c>
      <c r="AK25" s="10" t="s">
        <v>375</v>
      </c>
      <c r="AL25" s="10" t="s">
        <v>64</v>
      </c>
      <c r="AM25" s="10" t="s">
        <v>376</v>
      </c>
      <c r="AN25" s="10" t="s">
        <v>50</v>
      </c>
      <c r="AO25" s="11" t="s">
        <v>50</v>
      </c>
      <c r="AP25" s="10" t="s">
        <v>50</v>
      </c>
      <c r="AQ25" s="10" t="s">
        <v>50</v>
      </c>
      <c r="AR25" s="10" t="s">
        <v>50</v>
      </c>
      <c r="AS25" s="10" t="s">
        <v>50</v>
      </c>
      <c r="AT25" s="10" t="s">
        <v>50</v>
      </c>
      <c r="AU25" s="10" t="s">
        <v>50</v>
      </c>
      <c r="AV25" s="11"/>
      <c r="AW25" s="10" t="s">
        <v>66</v>
      </c>
      <c r="AX25" s="10"/>
      <c r="AY25" s="10" t="s">
        <v>66</v>
      </c>
    </row>
    <row r="26" ht="22.5" hidden="1" customHeight="1">
      <c r="A26" s="9" t="s">
        <v>377</v>
      </c>
      <c r="B26" s="10" t="s">
        <v>378</v>
      </c>
      <c r="C26" s="10" t="s">
        <v>43</v>
      </c>
      <c r="D26" s="10" t="s">
        <v>44</v>
      </c>
      <c r="E26" s="10" t="s">
        <v>66</v>
      </c>
      <c r="F26" s="11">
        <v>1.0</v>
      </c>
      <c r="G26" s="11">
        <v>120.0</v>
      </c>
      <c r="H26" s="11"/>
      <c r="I26" s="11">
        <v>-20.4</v>
      </c>
      <c r="J26" s="11">
        <v>-19.95</v>
      </c>
      <c r="K26" s="11"/>
      <c r="L26" s="11">
        <v>86.85</v>
      </c>
      <c r="M26" s="10" t="s">
        <v>46</v>
      </c>
      <c r="N26" s="10" t="s">
        <v>45</v>
      </c>
      <c r="O26" s="10" t="s">
        <v>85</v>
      </c>
      <c r="P26" s="10" t="s">
        <v>86</v>
      </c>
      <c r="Q26" s="10" t="s">
        <v>87</v>
      </c>
      <c r="R26" s="10" t="s">
        <v>74</v>
      </c>
      <c r="S26" s="11">
        <v>120.0</v>
      </c>
      <c r="T26" s="11">
        <v>65.78</v>
      </c>
      <c r="U26" s="11" t="s">
        <v>51</v>
      </c>
      <c r="V26" s="10" t="s">
        <v>52</v>
      </c>
      <c r="W26" s="10" t="s">
        <v>379</v>
      </c>
      <c r="X26" s="10" t="s">
        <v>380</v>
      </c>
      <c r="Y26" s="10" t="s">
        <v>381</v>
      </c>
      <c r="Z26" s="10" t="s">
        <v>50</v>
      </c>
      <c r="AA26" s="10" t="s">
        <v>50</v>
      </c>
      <c r="AB26" s="10" t="s">
        <v>379</v>
      </c>
      <c r="AC26" s="10" t="s">
        <v>382</v>
      </c>
      <c r="AD26" s="10" t="s">
        <v>383</v>
      </c>
      <c r="AE26" s="10" t="s">
        <v>384</v>
      </c>
      <c r="AF26" s="10" t="s">
        <v>214</v>
      </c>
      <c r="AG26" s="10" t="s">
        <v>385</v>
      </c>
      <c r="AH26" s="10" t="s">
        <v>60</v>
      </c>
      <c r="AI26" s="10" t="s">
        <v>61</v>
      </c>
      <c r="AJ26" s="10" t="s">
        <v>216</v>
      </c>
      <c r="AK26" s="10" t="s">
        <v>386</v>
      </c>
      <c r="AL26" s="10" t="s">
        <v>64</v>
      </c>
      <c r="AM26" s="10" t="s">
        <v>387</v>
      </c>
      <c r="AN26" s="10" t="s">
        <v>50</v>
      </c>
      <c r="AO26" s="11" t="s">
        <v>50</v>
      </c>
      <c r="AP26" s="10" t="s">
        <v>50</v>
      </c>
      <c r="AQ26" s="10" t="s">
        <v>50</v>
      </c>
      <c r="AR26" s="10" t="s">
        <v>50</v>
      </c>
      <c r="AS26" s="10" t="s">
        <v>50</v>
      </c>
      <c r="AT26" s="10" t="s">
        <v>50</v>
      </c>
      <c r="AU26" s="10" t="s">
        <v>50</v>
      </c>
      <c r="AV26" s="11"/>
      <c r="AW26" s="10" t="s">
        <v>66</v>
      </c>
      <c r="AX26" s="10"/>
      <c r="AY26" s="10" t="s">
        <v>66</v>
      </c>
    </row>
    <row r="27" ht="22.5" hidden="1" customHeight="1">
      <c r="A27" s="9" t="s">
        <v>388</v>
      </c>
      <c r="B27" s="10" t="s">
        <v>389</v>
      </c>
      <c r="C27" s="10" t="s">
        <v>43</v>
      </c>
      <c r="D27" s="10" t="s">
        <v>175</v>
      </c>
      <c r="E27" s="10" t="s">
        <v>66</v>
      </c>
      <c r="F27" s="11">
        <v>1.0</v>
      </c>
      <c r="G27" s="11">
        <v>43.7</v>
      </c>
      <c r="H27" s="11">
        <v>13.87</v>
      </c>
      <c r="I27" s="11">
        <v>-13.43</v>
      </c>
      <c r="J27" s="11">
        <v>-13.87</v>
      </c>
      <c r="K27" s="11"/>
      <c r="L27" s="11">
        <v>32.89</v>
      </c>
      <c r="M27" s="10" t="s">
        <v>46</v>
      </c>
      <c r="N27" s="10" t="s">
        <v>45</v>
      </c>
      <c r="O27" s="10" t="s">
        <v>176</v>
      </c>
      <c r="P27" s="10" t="s">
        <v>177</v>
      </c>
      <c r="Q27" s="10" t="s">
        <v>178</v>
      </c>
      <c r="R27" s="10" t="s">
        <v>74</v>
      </c>
      <c r="S27" s="11">
        <v>43.7</v>
      </c>
      <c r="T27" s="11">
        <v>22.58</v>
      </c>
      <c r="U27" s="11" t="s">
        <v>51</v>
      </c>
      <c r="V27" s="10" t="s">
        <v>52</v>
      </c>
      <c r="W27" s="10" t="s">
        <v>390</v>
      </c>
      <c r="X27" s="10" t="s">
        <v>391</v>
      </c>
      <c r="Y27" s="10" t="s">
        <v>392</v>
      </c>
      <c r="Z27" s="10" t="s">
        <v>50</v>
      </c>
      <c r="AA27" s="10" t="s">
        <v>50</v>
      </c>
      <c r="AB27" s="10" t="s">
        <v>390</v>
      </c>
      <c r="AC27" s="10" t="s">
        <v>393</v>
      </c>
      <c r="AD27" s="10" t="s">
        <v>394</v>
      </c>
      <c r="AE27" s="10" t="s">
        <v>395</v>
      </c>
      <c r="AF27" s="10" t="s">
        <v>185</v>
      </c>
      <c r="AG27" s="10" t="s">
        <v>396</v>
      </c>
      <c r="AH27" s="10" t="s">
        <v>60</v>
      </c>
      <c r="AI27" s="10" t="s">
        <v>61</v>
      </c>
      <c r="AJ27" s="10" t="s">
        <v>397</v>
      </c>
      <c r="AK27" s="10" t="s">
        <v>398</v>
      </c>
      <c r="AL27" s="10" t="s">
        <v>64</v>
      </c>
      <c r="AM27" s="10" t="s">
        <v>399</v>
      </c>
      <c r="AN27" s="10" t="s">
        <v>50</v>
      </c>
      <c r="AO27" s="11" t="s">
        <v>50</v>
      </c>
      <c r="AP27" s="10" t="s">
        <v>50</v>
      </c>
      <c r="AQ27" s="10" t="s">
        <v>50</v>
      </c>
      <c r="AR27" s="10" t="s">
        <v>50</v>
      </c>
      <c r="AS27" s="10" t="s">
        <v>50</v>
      </c>
      <c r="AT27" s="10" t="s">
        <v>50</v>
      </c>
      <c r="AU27" s="10" t="s">
        <v>50</v>
      </c>
      <c r="AV27" s="11"/>
      <c r="AW27" s="10" t="s">
        <v>66</v>
      </c>
      <c r="AX27" s="10"/>
      <c r="AY27" s="10" t="s">
        <v>66</v>
      </c>
    </row>
    <row r="28" ht="22.5" hidden="1" customHeight="1">
      <c r="A28" s="9" t="s">
        <v>400</v>
      </c>
      <c r="B28" s="10" t="s">
        <v>401</v>
      </c>
      <c r="C28" s="10" t="s">
        <v>69</v>
      </c>
      <c r="D28" s="10" t="s">
        <v>402</v>
      </c>
      <c r="E28" s="10" t="s">
        <v>66</v>
      </c>
      <c r="F28" s="11">
        <v>1.0</v>
      </c>
      <c r="G28" s="11">
        <v>120.0</v>
      </c>
      <c r="H28" s="11">
        <v>7.55</v>
      </c>
      <c r="I28" s="11">
        <v>-20.4</v>
      </c>
      <c r="J28" s="11">
        <v>-27.5</v>
      </c>
      <c r="K28" s="11">
        <v>-86.85</v>
      </c>
      <c r="L28" s="11">
        <v>0.0</v>
      </c>
      <c r="M28" s="10" t="s">
        <v>46</v>
      </c>
      <c r="N28" s="10" t="s">
        <v>45</v>
      </c>
      <c r="O28" s="10" t="s">
        <v>85</v>
      </c>
      <c r="P28" s="10" t="s">
        <v>86</v>
      </c>
      <c r="Q28" s="10" t="s">
        <v>87</v>
      </c>
      <c r="R28" s="10" t="s">
        <v>74</v>
      </c>
      <c r="S28" s="11">
        <v>120.0</v>
      </c>
      <c r="T28" s="11"/>
      <c r="U28" s="11" t="s">
        <v>51</v>
      </c>
      <c r="V28" s="10" t="s">
        <v>75</v>
      </c>
      <c r="W28" s="10" t="s">
        <v>403</v>
      </c>
      <c r="X28" s="10" t="s">
        <v>404</v>
      </c>
      <c r="Y28" s="10" t="s">
        <v>405</v>
      </c>
      <c r="Z28" s="10" t="s">
        <v>50</v>
      </c>
      <c r="AA28" s="10" t="s">
        <v>50</v>
      </c>
      <c r="AB28" s="10" t="s">
        <v>403</v>
      </c>
      <c r="AC28" s="10" t="s">
        <v>406</v>
      </c>
      <c r="AD28" s="10" t="s">
        <v>50</v>
      </c>
      <c r="AE28" s="10" t="s">
        <v>407</v>
      </c>
      <c r="AF28" s="10" t="s">
        <v>408</v>
      </c>
      <c r="AG28" s="10" t="s">
        <v>409</v>
      </c>
      <c r="AH28" s="10" t="s">
        <v>60</v>
      </c>
      <c r="AI28" s="10" t="s">
        <v>61</v>
      </c>
      <c r="AJ28" s="10" t="s">
        <v>50</v>
      </c>
      <c r="AK28" s="10" t="s">
        <v>50</v>
      </c>
      <c r="AL28" s="10" t="s">
        <v>64</v>
      </c>
      <c r="AM28" s="10" t="s">
        <v>50</v>
      </c>
      <c r="AN28" s="10" t="s">
        <v>50</v>
      </c>
      <c r="AO28" s="11" t="s">
        <v>50</v>
      </c>
      <c r="AP28" s="10" t="s">
        <v>50</v>
      </c>
      <c r="AQ28" s="10" t="s">
        <v>50</v>
      </c>
      <c r="AR28" s="10" t="s">
        <v>50</v>
      </c>
      <c r="AS28" s="10" t="s">
        <v>50</v>
      </c>
      <c r="AT28" s="10" t="s">
        <v>50</v>
      </c>
      <c r="AU28" s="10" t="s">
        <v>50</v>
      </c>
      <c r="AV28" s="11"/>
      <c r="AW28" s="10" t="s">
        <v>66</v>
      </c>
      <c r="AX28" s="10"/>
      <c r="AY28" s="10" t="s">
        <v>66</v>
      </c>
    </row>
    <row r="29" ht="22.5" hidden="1" customHeight="1">
      <c r="A29" s="9" t="s">
        <v>410</v>
      </c>
      <c r="B29" s="10" t="s">
        <v>411</v>
      </c>
      <c r="C29" s="10" t="s">
        <v>43</v>
      </c>
      <c r="D29" s="10" t="s">
        <v>44</v>
      </c>
      <c r="E29" s="10" t="s">
        <v>45</v>
      </c>
      <c r="F29" s="11">
        <v>1.0</v>
      </c>
      <c r="G29" s="11">
        <v>82.5</v>
      </c>
      <c r="H29" s="11"/>
      <c r="I29" s="11">
        <v>-14.02</v>
      </c>
      <c r="J29" s="11">
        <v>-20.45</v>
      </c>
      <c r="K29" s="11"/>
      <c r="L29" s="11">
        <v>48.03</v>
      </c>
      <c r="M29" s="10" t="s">
        <v>46</v>
      </c>
      <c r="N29" s="10" t="s">
        <v>45</v>
      </c>
      <c r="O29" s="10" t="s">
        <v>412</v>
      </c>
      <c r="P29" s="10" t="s">
        <v>413</v>
      </c>
      <c r="Q29" s="10" t="s">
        <v>414</v>
      </c>
      <c r="R29" s="10" t="s">
        <v>415</v>
      </c>
      <c r="S29" s="11">
        <v>82.5</v>
      </c>
      <c r="T29" s="11">
        <v>10.05</v>
      </c>
      <c r="U29" s="11" t="s">
        <v>51</v>
      </c>
      <c r="V29" s="10" t="s">
        <v>52</v>
      </c>
      <c r="W29" s="10" t="s">
        <v>416</v>
      </c>
      <c r="X29" s="10" t="s">
        <v>417</v>
      </c>
      <c r="Y29" s="10" t="s">
        <v>418</v>
      </c>
      <c r="Z29" s="10" t="s">
        <v>50</v>
      </c>
      <c r="AA29" s="10" t="s">
        <v>50</v>
      </c>
      <c r="AB29" s="10" t="s">
        <v>416</v>
      </c>
      <c r="AC29" s="10" t="s">
        <v>419</v>
      </c>
      <c r="AD29" s="10" t="s">
        <v>420</v>
      </c>
      <c r="AE29" s="10" t="s">
        <v>421</v>
      </c>
      <c r="AF29" s="10" t="s">
        <v>323</v>
      </c>
      <c r="AG29" s="10" t="s">
        <v>422</v>
      </c>
      <c r="AH29" s="10" t="s">
        <v>60</v>
      </c>
      <c r="AI29" s="10" t="s">
        <v>61</v>
      </c>
      <c r="AJ29" s="10" t="s">
        <v>363</v>
      </c>
      <c r="AK29" s="10" t="s">
        <v>423</v>
      </c>
      <c r="AL29" s="10" t="s">
        <v>64</v>
      </c>
      <c r="AM29" s="10" t="s">
        <v>424</v>
      </c>
      <c r="AN29" s="10" t="s">
        <v>50</v>
      </c>
      <c r="AO29" s="11" t="s">
        <v>50</v>
      </c>
      <c r="AP29" s="10" t="s">
        <v>50</v>
      </c>
      <c r="AQ29" s="10" t="s">
        <v>50</v>
      </c>
      <c r="AR29" s="10" t="s">
        <v>50</v>
      </c>
      <c r="AS29" s="10" t="s">
        <v>50</v>
      </c>
      <c r="AT29" s="10" t="s">
        <v>50</v>
      </c>
      <c r="AU29" s="10" t="s">
        <v>50</v>
      </c>
      <c r="AV29" s="11"/>
      <c r="AW29" s="10" t="s">
        <v>66</v>
      </c>
      <c r="AX29" s="10"/>
      <c r="AY29" s="10" t="s">
        <v>66</v>
      </c>
    </row>
    <row r="30" ht="22.5" hidden="1" customHeight="1">
      <c r="A30" s="9" t="s">
        <v>425</v>
      </c>
      <c r="B30" s="10" t="s">
        <v>426</v>
      </c>
      <c r="C30" s="10" t="s">
        <v>43</v>
      </c>
      <c r="D30" s="10" t="s">
        <v>44</v>
      </c>
      <c r="E30" s="10" t="s">
        <v>45</v>
      </c>
      <c r="F30" s="11">
        <v>1.0</v>
      </c>
      <c r="G30" s="11">
        <v>79.2</v>
      </c>
      <c r="H30" s="11"/>
      <c r="I30" s="11">
        <v>-13.46</v>
      </c>
      <c r="J30" s="11">
        <v>-20.45</v>
      </c>
      <c r="K30" s="11"/>
      <c r="L30" s="11">
        <v>45.29</v>
      </c>
      <c r="M30" s="10" t="s">
        <v>46</v>
      </c>
      <c r="N30" s="10" t="s">
        <v>50</v>
      </c>
      <c r="O30" s="10" t="s">
        <v>127</v>
      </c>
      <c r="P30" s="10" t="s">
        <v>128</v>
      </c>
      <c r="Q30" s="10" t="s">
        <v>129</v>
      </c>
      <c r="R30" s="10" t="s">
        <v>74</v>
      </c>
      <c r="S30" s="11">
        <v>79.2</v>
      </c>
      <c r="T30" s="11">
        <v>17.68</v>
      </c>
      <c r="U30" s="11" t="s">
        <v>51</v>
      </c>
      <c r="V30" s="10" t="s">
        <v>52</v>
      </c>
      <c r="W30" s="10" t="s">
        <v>427</v>
      </c>
      <c r="X30" s="10" t="s">
        <v>428</v>
      </c>
      <c r="Y30" s="10" t="s">
        <v>429</v>
      </c>
      <c r="Z30" s="10" t="s">
        <v>50</v>
      </c>
      <c r="AA30" s="10" t="s">
        <v>50</v>
      </c>
      <c r="AB30" s="10" t="s">
        <v>427</v>
      </c>
      <c r="AC30" s="10" t="s">
        <v>430</v>
      </c>
      <c r="AD30" s="10" t="s">
        <v>431</v>
      </c>
      <c r="AE30" s="10" t="s">
        <v>58</v>
      </c>
      <c r="AF30" s="10" t="s">
        <v>58</v>
      </c>
      <c r="AG30" s="10" t="s">
        <v>432</v>
      </c>
      <c r="AH30" s="10" t="s">
        <v>60</v>
      </c>
      <c r="AI30" s="10" t="s">
        <v>61</v>
      </c>
      <c r="AJ30" s="10" t="s">
        <v>433</v>
      </c>
      <c r="AK30" s="10" t="s">
        <v>434</v>
      </c>
      <c r="AL30" s="10" t="s">
        <v>64</v>
      </c>
      <c r="AM30" s="10" t="s">
        <v>435</v>
      </c>
      <c r="AN30" s="10" t="s">
        <v>50</v>
      </c>
      <c r="AO30" s="11" t="s">
        <v>50</v>
      </c>
      <c r="AP30" s="10" t="s">
        <v>50</v>
      </c>
      <c r="AQ30" s="10" t="s">
        <v>50</v>
      </c>
      <c r="AR30" s="10" t="s">
        <v>50</v>
      </c>
      <c r="AS30" s="10" t="s">
        <v>50</v>
      </c>
      <c r="AT30" s="10" t="s">
        <v>50</v>
      </c>
      <c r="AU30" s="10" t="s">
        <v>50</v>
      </c>
      <c r="AV30" s="11"/>
      <c r="AW30" s="10" t="s">
        <v>66</v>
      </c>
      <c r="AX30" s="10"/>
      <c r="AY30" s="10" t="s">
        <v>66</v>
      </c>
    </row>
    <row r="31" ht="22.5" hidden="1" customHeight="1">
      <c r="A31" s="9" t="s">
        <v>436</v>
      </c>
      <c r="B31" s="10" t="s">
        <v>437</v>
      </c>
      <c r="C31" s="10" t="s">
        <v>43</v>
      </c>
      <c r="D31" s="10" t="s">
        <v>99</v>
      </c>
      <c r="E31" s="10" t="s">
        <v>45</v>
      </c>
      <c r="F31" s="11">
        <v>1.0</v>
      </c>
      <c r="G31" s="11">
        <v>43.7</v>
      </c>
      <c r="H31" s="11">
        <v>35.24</v>
      </c>
      <c r="I31" s="11">
        <v>-13.43</v>
      </c>
      <c r="J31" s="11">
        <v>-35.24</v>
      </c>
      <c r="K31" s="11"/>
      <c r="L31" s="11">
        <v>32.89</v>
      </c>
      <c r="M31" s="10" t="s">
        <v>46</v>
      </c>
      <c r="N31" s="10" t="s">
        <v>45</v>
      </c>
      <c r="O31" s="10" t="s">
        <v>176</v>
      </c>
      <c r="P31" s="10" t="s">
        <v>177</v>
      </c>
      <c r="Q31" s="10" t="s">
        <v>178</v>
      </c>
      <c r="R31" s="10" t="s">
        <v>74</v>
      </c>
      <c r="S31" s="11">
        <v>43.7</v>
      </c>
      <c r="T31" s="11">
        <v>22.58</v>
      </c>
      <c r="U31" s="11" t="s">
        <v>51</v>
      </c>
      <c r="V31" s="10" t="s">
        <v>52</v>
      </c>
      <c r="W31" s="10" t="s">
        <v>438</v>
      </c>
      <c r="X31" s="10" t="s">
        <v>439</v>
      </c>
      <c r="Y31" s="10" t="s">
        <v>440</v>
      </c>
      <c r="Z31" s="10" t="s">
        <v>50</v>
      </c>
      <c r="AA31" s="10" t="s">
        <v>50</v>
      </c>
      <c r="AB31" s="10" t="s">
        <v>438</v>
      </c>
      <c r="AC31" s="10" t="s">
        <v>441</v>
      </c>
      <c r="AD31" s="10" t="s">
        <v>442</v>
      </c>
      <c r="AE31" s="10" t="s">
        <v>443</v>
      </c>
      <c r="AF31" s="10" t="s">
        <v>408</v>
      </c>
      <c r="AG31" s="10" t="s">
        <v>444</v>
      </c>
      <c r="AH31" s="10" t="s">
        <v>60</v>
      </c>
      <c r="AI31" s="10" t="s">
        <v>61</v>
      </c>
      <c r="AJ31" s="10" t="s">
        <v>62</v>
      </c>
      <c r="AK31" s="10" t="s">
        <v>445</v>
      </c>
      <c r="AL31" s="10" t="s">
        <v>64</v>
      </c>
      <c r="AM31" s="10" t="s">
        <v>446</v>
      </c>
      <c r="AN31" s="10" t="s">
        <v>50</v>
      </c>
      <c r="AO31" s="11" t="s">
        <v>50</v>
      </c>
      <c r="AP31" s="10" t="s">
        <v>50</v>
      </c>
      <c r="AQ31" s="10" t="s">
        <v>50</v>
      </c>
      <c r="AR31" s="10" t="s">
        <v>50</v>
      </c>
      <c r="AS31" s="10" t="s">
        <v>50</v>
      </c>
      <c r="AT31" s="10" t="s">
        <v>50</v>
      </c>
      <c r="AU31" s="10" t="s">
        <v>50</v>
      </c>
      <c r="AV31" s="11"/>
      <c r="AW31" s="10" t="s">
        <v>66</v>
      </c>
      <c r="AX31" s="10"/>
      <c r="AY31" s="10" t="s">
        <v>66</v>
      </c>
    </row>
    <row r="32" ht="22.5" hidden="1" customHeight="1">
      <c r="A32" s="9" t="s">
        <v>447</v>
      </c>
      <c r="B32" s="10" t="s">
        <v>448</v>
      </c>
      <c r="C32" s="10" t="s">
        <v>43</v>
      </c>
      <c r="D32" s="10" t="s">
        <v>125</v>
      </c>
      <c r="E32" s="10" t="s">
        <v>66</v>
      </c>
      <c r="F32" s="11">
        <v>1.0</v>
      </c>
      <c r="G32" s="11">
        <v>120.0</v>
      </c>
      <c r="H32" s="11"/>
      <c r="I32" s="11">
        <v>-20.4</v>
      </c>
      <c r="J32" s="11">
        <v>-19.95</v>
      </c>
      <c r="K32" s="11"/>
      <c r="L32" s="11">
        <v>86.85</v>
      </c>
      <c r="M32" s="10" t="s">
        <v>46</v>
      </c>
      <c r="N32" s="10" t="s">
        <v>50</v>
      </c>
      <c r="O32" s="10" t="s">
        <v>85</v>
      </c>
      <c r="P32" s="10" t="s">
        <v>86</v>
      </c>
      <c r="Q32" s="10" t="s">
        <v>87</v>
      </c>
      <c r="R32" s="10" t="s">
        <v>74</v>
      </c>
      <c r="S32" s="11">
        <v>120.0</v>
      </c>
      <c r="T32" s="11">
        <v>65.78</v>
      </c>
      <c r="U32" s="11" t="s">
        <v>51</v>
      </c>
      <c r="V32" s="10" t="s">
        <v>52</v>
      </c>
      <c r="W32" s="10" t="s">
        <v>449</v>
      </c>
      <c r="X32" s="10" t="s">
        <v>450</v>
      </c>
      <c r="Y32" s="10" t="s">
        <v>451</v>
      </c>
      <c r="Z32" s="10" t="s">
        <v>50</v>
      </c>
      <c r="AA32" s="10" t="s">
        <v>50</v>
      </c>
      <c r="AB32" s="10" t="s">
        <v>449</v>
      </c>
      <c r="AC32" s="10" t="s">
        <v>452</v>
      </c>
      <c r="AD32" s="10" t="s">
        <v>453</v>
      </c>
      <c r="AE32" s="10" t="s">
        <v>454</v>
      </c>
      <c r="AF32" s="10" t="s">
        <v>323</v>
      </c>
      <c r="AG32" s="10" t="s">
        <v>455</v>
      </c>
      <c r="AH32" s="10" t="s">
        <v>60</v>
      </c>
      <c r="AI32" s="10" t="s">
        <v>61</v>
      </c>
      <c r="AJ32" s="10" t="s">
        <v>456</v>
      </c>
      <c r="AK32" s="10" t="s">
        <v>457</v>
      </c>
      <c r="AL32" s="10" t="s">
        <v>64</v>
      </c>
      <c r="AM32" s="10" t="s">
        <v>458</v>
      </c>
      <c r="AN32" s="10" t="s">
        <v>50</v>
      </c>
      <c r="AO32" s="11" t="s">
        <v>50</v>
      </c>
      <c r="AP32" s="10" t="s">
        <v>50</v>
      </c>
      <c r="AQ32" s="10" t="s">
        <v>50</v>
      </c>
      <c r="AR32" s="10" t="s">
        <v>50</v>
      </c>
      <c r="AS32" s="10" t="s">
        <v>50</v>
      </c>
      <c r="AT32" s="10" t="s">
        <v>50</v>
      </c>
      <c r="AU32" s="10" t="s">
        <v>50</v>
      </c>
      <c r="AV32" s="11"/>
      <c r="AW32" s="10" t="s">
        <v>66</v>
      </c>
      <c r="AX32" s="10"/>
      <c r="AY32" s="10" t="s">
        <v>66</v>
      </c>
    </row>
    <row r="33" ht="22.5" hidden="1" customHeight="1">
      <c r="A33" s="9" t="s">
        <v>459</v>
      </c>
      <c r="B33" s="10" t="s">
        <v>460</v>
      </c>
      <c r="C33" s="10" t="s">
        <v>43</v>
      </c>
      <c r="D33" s="10" t="s">
        <v>99</v>
      </c>
      <c r="E33" s="10" t="s">
        <v>45</v>
      </c>
      <c r="F33" s="11">
        <v>1.0</v>
      </c>
      <c r="G33" s="11">
        <v>79.0</v>
      </c>
      <c r="H33" s="11"/>
      <c r="I33" s="11">
        <v>-13.43</v>
      </c>
      <c r="J33" s="11">
        <v>-20.45</v>
      </c>
      <c r="K33" s="11"/>
      <c r="L33" s="11">
        <v>45.12</v>
      </c>
      <c r="M33" s="10" t="s">
        <v>46</v>
      </c>
      <c r="N33" s="10" t="s">
        <v>50</v>
      </c>
      <c r="O33" s="10" t="s">
        <v>461</v>
      </c>
      <c r="P33" s="10" t="s">
        <v>462</v>
      </c>
      <c r="Q33" s="10" t="s">
        <v>463</v>
      </c>
      <c r="R33" s="10" t="s">
        <v>74</v>
      </c>
      <c r="S33" s="11">
        <v>79.0</v>
      </c>
      <c r="T33" s="11">
        <v>10.09</v>
      </c>
      <c r="U33" s="11" t="s">
        <v>51</v>
      </c>
      <c r="V33" s="10" t="s">
        <v>52</v>
      </c>
      <c r="W33" s="10" t="s">
        <v>464</v>
      </c>
      <c r="X33" s="10" t="s">
        <v>465</v>
      </c>
      <c r="Y33" s="10" t="s">
        <v>466</v>
      </c>
      <c r="Z33" s="10" t="s">
        <v>50</v>
      </c>
      <c r="AA33" s="10" t="s">
        <v>50</v>
      </c>
      <c r="AB33" s="10" t="s">
        <v>464</v>
      </c>
      <c r="AC33" s="10" t="s">
        <v>467</v>
      </c>
      <c r="AD33" s="10" t="s">
        <v>468</v>
      </c>
      <c r="AE33" s="10" t="s">
        <v>469</v>
      </c>
      <c r="AF33" s="10" t="s">
        <v>185</v>
      </c>
      <c r="AG33" s="10" t="s">
        <v>470</v>
      </c>
      <c r="AH33" s="10" t="s">
        <v>60</v>
      </c>
      <c r="AI33" s="10" t="s">
        <v>61</v>
      </c>
      <c r="AJ33" s="10" t="s">
        <v>471</v>
      </c>
      <c r="AK33" s="10" t="s">
        <v>472</v>
      </c>
      <c r="AL33" s="10" t="s">
        <v>64</v>
      </c>
      <c r="AM33" s="10" t="s">
        <v>473</v>
      </c>
      <c r="AN33" s="10" t="s">
        <v>50</v>
      </c>
      <c r="AO33" s="11" t="s">
        <v>50</v>
      </c>
      <c r="AP33" s="10" t="s">
        <v>50</v>
      </c>
      <c r="AQ33" s="10" t="s">
        <v>50</v>
      </c>
      <c r="AR33" s="10" t="s">
        <v>50</v>
      </c>
      <c r="AS33" s="10" t="s">
        <v>50</v>
      </c>
      <c r="AT33" s="10" t="s">
        <v>50</v>
      </c>
      <c r="AU33" s="10" t="s">
        <v>50</v>
      </c>
      <c r="AV33" s="11"/>
      <c r="AW33" s="10" t="s">
        <v>66</v>
      </c>
      <c r="AX33" s="10"/>
      <c r="AY33" s="10" t="s">
        <v>66</v>
      </c>
    </row>
    <row r="34" ht="22.5" hidden="1" customHeight="1">
      <c r="A34" s="9" t="s">
        <v>474</v>
      </c>
      <c r="B34" s="10" t="s">
        <v>475</v>
      </c>
      <c r="C34" s="10" t="s">
        <v>43</v>
      </c>
      <c r="D34" s="10" t="s">
        <v>44</v>
      </c>
      <c r="E34" s="10" t="s">
        <v>66</v>
      </c>
      <c r="F34" s="11">
        <v>1.0</v>
      </c>
      <c r="G34" s="11">
        <v>80.0</v>
      </c>
      <c r="H34" s="11"/>
      <c r="I34" s="11">
        <v>-13.6</v>
      </c>
      <c r="J34" s="11">
        <v>-19.95</v>
      </c>
      <c r="K34" s="11"/>
      <c r="L34" s="11">
        <v>50.45</v>
      </c>
      <c r="M34" s="10" t="s">
        <v>46</v>
      </c>
      <c r="N34" s="10" t="s">
        <v>45</v>
      </c>
      <c r="O34" s="10" t="s">
        <v>143</v>
      </c>
      <c r="P34" s="10" t="s">
        <v>144</v>
      </c>
      <c r="Q34" s="10" t="s">
        <v>145</v>
      </c>
      <c r="R34" s="10" t="s">
        <v>74</v>
      </c>
      <c r="S34" s="11">
        <v>80.0</v>
      </c>
      <c r="T34" s="11">
        <v>33.38</v>
      </c>
      <c r="U34" s="11" t="s">
        <v>51</v>
      </c>
      <c r="V34" s="10" t="s">
        <v>52</v>
      </c>
      <c r="W34" s="10" t="s">
        <v>476</v>
      </c>
      <c r="X34" s="10" t="s">
        <v>477</v>
      </c>
      <c r="Y34" s="10" t="s">
        <v>478</v>
      </c>
      <c r="Z34" s="10" t="s">
        <v>50</v>
      </c>
      <c r="AA34" s="10" t="s">
        <v>50</v>
      </c>
      <c r="AB34" s="10" t="s">
        <v>476</v>
      </c>
      <c r="AC34" s="10" t="s">
        <v>479</v>
      </c>
      <c r="AD34" s="10" t="s">
        <v>480</v>
      </c>
      <c r="AE34" s="10" t="s">
        <v>481</v>
      </c>
      <c r="AF34" s="10" t="s">
        <v>136</v>
      </c>
      <c r="AG34" s="10" t="s">
        <v>482</v>
      </c>
      <c r="AH34" s="10" t="s">
        <v>60</v>
      </c>
      <c r="AI34" s="10" t="s">
        <v>61</v>
      </c>
      <c r="AJ34" s="10" t="s">
        <v>138</v>
      </c>
      <c r="AK34" s="10" t="s">
        <v>483</v>
      </c>
      <c r="AL34" s="10" t="s">
        <v>64</v>
      </c>
      <c r="AM34" s="10" t="s">
        <v>484</v>
      </c>
      <c r="AN34" s="10" t="s">
        <v>50</v>
      </c>
      <c r="AO34" s="11" t="s">
        <v>50</v>
      </c>
      <c r="AP34" s="10" t="s">
        <v>50</v>
      </c>
      <c r="AQ34" s="10" t="s">
        <v>50</v>
      </c>
      <c r="AR34" s="10" t="s">
        <v>50</v>
      </c>
      <c r="AS34" s="10" t="s">
        <v>50</v>
      </c>
      <c r="AT34" s="10" t="s">
        <v>50</v>
      </c>
      <c r="AU34" s="10" t="s">
        <v>50</v>
      </c>
      <c r="AV34" s="11"/>
      <c r="AW34" s="10" t="s">
        <v>66</v>
      </c>
      <c r="AX34" s="10"/>
      <c r="AY34" s="10" t="s">
        <v>66</v>
      </c>
    </row>
    <row r="35" ht="22.5" hidden="1" customHeight="1">
      <c r="A35" s="9" t="s">
        <v>485</v>
      </c>
      <c r="B35" s="10" t="s">
        <v>486</v>
      </c>
      <c r="C35" s="10" t="s">
        <v>43</v>
      </c>
      <c r="D35" s="10" t="s">
        <v>99</v>
      </c>
      <c r="E35" s="10" t="s">
        <v>66</v>
      </c>
      <c r="F35" s="11">
        <v>1.0</v>
      </c>
      <c r="G35" s="11">
        <v>80.5</v>
      </c>
      <c r="H35" s="11"/>
      <c r="I35" s="11">
        <v>-15.3</v>
      </c>
      <c r="J35" s="11">
        <v>-19.95</v>
      </c>
      <c r="K35" s="11"/>
      <c r="L35" s="11">
        <v>45.25</v>
      </c>
      <c r="M35" s="10" t="s">
        <v>46</v>
      </c>
      <c r="N35" s="10" t="s">
        <v>45</v>
      </c>
      <c r="O35" s="10" t="s">
        <v>47</v>
      </c>
      <c r="P35" s="10" t="s">
        <v>48</v>
      </c>
      <c r="Q35" s="10" t="s">
        <v>49</v>
      </c>
      <c r="R35" s="10" t="s">
        <v>50</v>
      </c>
      <c r="S35" s="11">
        <v>80.5</v>
      </c>
      <c r="T35" s="11">
        <v>12.45</v>
      </c>
      <c r="U35" s="11" t="s">
        <v>51</v>
      </c>
      <c r="V35" s="10" t="s">
        <v>52</v>
      </c>
      <c r="W35" s="10" t="s">
        <v>487</v>
      </c>
      <c r="X35" s="10" t="s">
        <v>488</v>
      </c>
      <c r="Y35" s="10" t="s">
        <v>489</v>
      </c>
      <c r="Z35" s="10" t="s">
        <v>50</v>
      </c>
      <c r="AA35" s="10" t="s">
        <v>50</v>
      </c>
      <c r="AB35" s="10" t="s">
        <v>487</v>
      </c>
      <c r="AC35" s="10" t="s">
        <v>490</v>
      </c>
      <c r="AD35" s="10" t="s">
        <v>491</v>
      </c>
      <c r="AE35" s="10" t="s">
        <v>492</v>
      </c>
      <c r="AF35" s="10" t="s">
        <v>58</v>
      </c>
      <c r="AG35" s="10" t="s">
        <v>493</v>
      </c>
      <c r="AH35" s="10" t="s">
        <v>60</v>
      </c>
      <c r="AI35" s="10" t="s">
        <v>61</v>
      </c>
      <c r="AJ35" s="10" t="s">
        <v>237</v>
      </c>
      <c r="AK35" s="10" t="s">
        <v>494</v>
      </c>
      <c r="AL35" s="10" t="s">
        <v>64</v>
      </c>
      <c r="AM35" s="10" t="s">
        <v>495</v>
      </c>
      <c r="AN35" s="10" t="s">
        <v>496</v>
      </c>
      <c r="AO35" s="11" t="s">
        <v>50</v>
      </c>
      <c r="AP35" s="10" t="s">
        <v>50</v>
      </c>
      <c r="AQ35" s="10" t="s">
        <v>50</v>
      </c>
      <c r="AR35" s="10" t="s">
        <v>50</v>
      </c>
      <c r="AS35" s="10" t="s">
        <v>50</v>
      </c>
      <c r="AT35" s="10" t="s">
        <v>50</v>
      </c>
      <c r="AU35" s="10" t="s">
        <v>50</v>
      </c>
      <c r="AV35" s="11"/>
      <c r="AW35" s="10" t="s">
        <v>66</v>
      </c>
      <c r="AX35" s="10"/>
      <c r="AY35" s="10" t="s">
        <v>66</v>
      </c>
    </row>
    <row r="36" ht="22.5" hidden="1" customHeight="1">
      <c r="A36" s="9" t="s">
        <v>497</v>
      </c>
      <c r="B36" s="10" t="s">
        <v>498</v>
      </c>
      <c r="C36" s="10" t="s">
        <v>43</v>
      </c>
      <c r="D36" s="10" t="s">
        <v>44</v>
      </c>
      <c r="E36" s="10" t="s">
        <v>66</v>
      </c>
      <c r="F36" s="11">
        <v>1.0</v>
      </c>
      <c r="G36" s="11">
        <v>79.0</v>
      </c>
      <c r="H36" s="11"/>
      <c r="I36" s="11">
        <v>-13.43</v>
      </c>
      <c r="J36" s="11">
        <v>-20.45</v>
      </c>
      <c r="K36" s="11"/>
      <c r="L36" s="11">
        <v>45.12</v>
      </c>
      <c r="M36" s="10" t="s">
        <v>46</v>
      </c>
      <c r="N36" s="10" t="s">
        <v>50</v>
      </c>
      <c r="O36" s="10" t="s">
        <v>461</v>
      </c>
      <c r="P36" s="10" t="s">
        <v>462</v>
      </c>
      <c r="Q36" s="10" t="s">
        <v>463</v>
      </c>
      <c r="R36" s="10" t="s">
        <v>74</v>
      </c>
      <c r="S36" s="11">
        <v>79.0</v>
      </c>
      <c r="T36" s="11">
        <v>10.09</v>
      </c>
      <c r="U36" s="11" t="s">
        <v>51</v>
      </c>
      <c r="V36" s="10" t="s">
        <v>52</v>
      </c>
      <c r="W36" s="10" t="s">
        <v>499</v>
      </c>
      <c r="X36" s="10" t="s">
        <v>500</v>
      </c>
      <c r="Y36" s="10" t="s">
        <v>501</v>
      </c>
      <c r="Z36" s="10" t="s">
        <v>50</v>
      </c>
      <c r="AA36" s="10" t="s">
        <v>50</v>
      </c>
      <c r="AB36" s="10" t="s">
        <v>499</v>
      </c>
      <c r="AC36" s="10" t="s">
        <v>502</v>
      </c>
      <c r="AD36" s="10" t="s">
        <v>503</v>
      </c>
      <c r="AE36" s="10" t="s">
        <v>504</v>
      </c>
      <c r="AF36" s="10" t="s">
        <v>323</v>
      </c>
      <c r="AG36" s="10" t="s">
        <v>505</v>
      </c>
      <c r="AH36" s="10" t="s">
        <v>60</v>
      </c>
      <c r="AI36" s="10" t="s">
        <v>61</v>
      </c>
      <c r="AJ36" s="10" t="s">
        <v>363</v>
      </c>
      <c r="AK36" s="10" t="s">
        <v>506</v>
      </c>
      <c r="AL36" s="10" t="s">
        <v>64</v>
      </c>
      <c r="AM36" s="10" t="s">
        <v>507</v>
      </c>
      <c r="AN36" s="10" t="s">
        <v>50</v>
      </c>
      <c r="AO36" s="11" t="s">
        <v>50</v>
      </c>
      <c r="AP36" s="10" t="s">
        <v>50</v>
      </c>
      <c r="AQ36" s="10" t="s">
        <v>50</v>
      </c>
      <c r="AR36" s="10" t="s">
        <v>50</v>
      </c>
      <c r="AS36" s="10" t="s">
        <v>50</v>
      </c>
      <c r="AT36" s="10" t="s">
        <v>50</v>
      </c>
      <c r="AU36" s="10" t="s">
        <v>50</v>
      </c>
      <c r="AV36" s="11"/>
      <c r="AW36" s="10" t="s">
        <v>66</v>
      </c>
      <c r="AX36" s="10"/>
      <c r="AY36" s="10" t="s">
        <v>66</v>
      </c>
    </row>
    <row r="37" ht="22.5" hidden="1" customHeight="1">
      <c r="A37" s="9" t="s">
        <v>508</v>
      </c>
      <c r="B37" s="10" t="s">
        <v>509</v>
      </c>
      <c r="C37" s="10" t="s">
        <v>43</v>
      </c>
      <c r="D37" s="10" t="s">
        <v>175</v>
      </c>
      <c r="E37" s="10" t="s">
        <v>45</v>
      </c>
      <c r="F37" s="11">
        <v>2.0</v>
      </c>
      <c r="G37" s="11">
        <v>87.4</v>
      </c>
      <c r="H37" s="11"/>
      <c r="I37" s="11">
        <v>-26.86</v>
      </c>
      <c r="J37" s="11"/>
      <c r="K37" s="11"/>
      <c r="L37" s="11">
        <v>65.78</v>
      </c>
      <c r="M37" s="10" t="s">
        <v>46</v>
      </c>
      <c r="N37" s="10" t="s">
        <v>50</v>
      </c>
      <c r="O37" s="10" t="s">
        <v>176</v>
      </c>
      <c r="P37" s="10" t="s">
        <v>177</v>
      </c>
      <c r="Q37" s="10" t="s">
        <v>178</v>
      </c>
      <c r="R37" s="10" t="s">
        <v>74</v>
      </c>
      <c r="S37" s="11">
        <v>43.7</v>
      </c>
      <c r="T37" s="11">
        <f>2*22.58</f>
        <v>45.16</v>
      </c>
      <c r="U37" s="11" t="s">
        <v>51</v>
      </c>
      <c r="V37" s="10" t="s">
        <v>52</v>
      </c>
      <c r="W37" s="10" t="s">
        <v>510</v>
      </c>
      <c r="X37" s="10" t="s">
        <v>511</v>
      </c>
      <c r="Y37" s="10" t="s">
        <v>512</v>
      </c>
      <c r="Z37" s="10" t="s">
        <v>50</v>
      </c>
      <c r="AA37" s="10" t="s">
        <v>50</v>
      </c>
      <c r="AB37" s="10" t="s">
        <v>510</v>
      </c>
      <c r="AC37" s="10" t="s">
        <v>513</v>
      </c>
      <c r="AD37" s="10" t="s">
        <v>514</v>
      </c>
      <c r="AE37" s="10" t="s">
        <v>515</v>
      </c>
      <c r="AF37" s="10" t="s">
        <v>185</v>
      </c>
      <c r="AG37" s="10" t="s">
        <v>516</v>
      </c>
      <c r="AH37" s="10" t="s">
        <v>60</v>
      </c>
      <c r="AI37" s="10" t="s">
        <v>61</v>
      </c>
      <c r="AJ37" s="10" t="s">
        <v>433</v>
      </c>
      <c r="AK37" s="10" t="s">
        <v>517</v>
      </c>
      <c r="AL37" s="10" t="s">
        <v>64</v>
      </c>
      <c r="AM37" s="10" t="s">
        <v>518</v>
      </c>
      <c r="AN37" s="10" t="s">
        <v>50</v>
      </c>
      <c r="AO37" s="11" t="s">
        <v>50</v>
      </c>
      <c r="AP37" s="10" t="s">
        <v>50</v>
      </c>
      <c r="AQ37" s="10" t="s">
        <v>50</v>
      </c>
      <c r="AR37" s="10" t="s">
        <v>50</v>
      </c>
      <c r="AS37" s="10" t="s">
        <v>50</v>
      </c>
      <c r="AT37" s="10" t="s">
        <v>50</v>
      </c>
      <c r="AU37" s="10" t="s">
        <v>50</v>
      </c>
      <c r="AV37" s="11"/>
      <c r="AW37" s="10" t="s">
        <v>66</v>
      </c>
      <c r="AX37" s="10"/>
      <c r="AY37" s="10" t="s">
        <v>66</v>
      </c>
    </row>
    <row r="38" ht="22.5" hidden="1" customHeight="1">
      <c r="A38" s="9" t="s">
        <v>519</v>
      </c>
      <c r="B38" s="10" t="s">
        <v>520</v>
      </c>
      <c r="C38" s="10" t="s">
        <v>43</v>
      </c>
      <c r="D38" s="10" t="s">
        <v>125</v>
      </c>
      <c r="E38" s="10" t="s">
        <v>66</v>
      </c>
      <c r="F38" s="11">
        <v>1.0</v>
      </c>
      <c r="G38" s="11">
        <v>80.0</v>
      </c>
      <c r="H38" s="11"/>
      <c r="I38" s="11">
        <v>-13.6</v>
      </c>
      <c r="J38" s="11">
        <v>-19.95</v>
      </c>
      <c r="K38" s="11"/>
      <c r="L38" s="11">
        <v>50.45</v>
      </c>
      <c r="M38" s="10" t="s">
        <v>46</v>
      </c>
      <c r="N38" s="10" t="s">
        <v>45</v>
      </c>
      <c r="O38" s="10" t="s">
        <v>143</v>
      </c>
      <c r="P38" s="10" t="s">
        <v>144</v>
      </c>
      <c r="Q38" s="10" t="s">
        <v>145</v>
      </c>
      <c r="R38" s="10" t="s">
        <v>74</v>
      </c>
      <c r="S38" s="11">
        <v>80.0</v>
      </c>
      <c r="T38" s="11">
        <v>33.38</v>
      </c>
      <c r="U38" s="11" t="s">
        <v>51</v>
      </c>
      <c r="V38" s="10" t="s">
        <v>52</v>
      </c>
      <c r="W38" s="10" t="s">
        <v>521</v>
      </c>
      <c r="X38" s="10" t="s">
        <v>522</v>
      </c>
      <c r="Y38" s="10" t="s">
        <v>523</v>
      </c>
      <c r="Z38" s="10" t="s">
        <v>50</v>
      </c>
      <c r="AA38" s="10" t="s">
        <v>50</v>
      </c>
      <c r="AB38" s="10" t="s">
        <v>521</v>
      </c>
      <c r="AC38" s="10" t="s">
        <v>524</v>
      </c>
      <c r="AD38" s="10" t="s">
        <v>525</v>
      </c>
      <c r="AE38" s="10" t="s">
        <v>526</v>
      </c>
      <c r="AF38" s="10" t="s">
        <v>151</v>
      </c>
      <c r="AG38" s="10" t="s">
        <v>527</v>
      </c>
      <c r="AH38" s="10" t="s">
        <v>60</v>
      </c>
      <c r="AI38" s="10" t="s">
        <v>61</v>
      </c>
      <c r="AJ38" s="10" t="s">
        <v>138</v>
      </c>
      <c r="AK38" s="10" t="s">
        <v>528</v>
      </c>
      <c r="AL38" s="10" t="s">
        <v>64</v>
      </c>
      <c r="AM38" s="10" t="s">
        <v>529</v>
      </c>
      <c r="AN38" s="10" t="s">
        <v>50</v>
      </c>
      <c r="AO38" s="11" t="s">
        <v>50</v>
      </c>
      <c r="AP38" s="10" t="s">
        <v>50</v>
      </c>
      <c r="AQ38" s="10" t="s">
        <v>50</v>
      </c>
      <c r="AR38" s="10" t="s">
        <v>50</v>
      </c>
      <c r="AS38" s="10" t="s">
        <v>50</v>
      </c>
      <c r="AT38" s="10" t="s">
        <v>50</v>
      </c>
      <c r="AU38" s="10" t="s">
        <v>50</v>
      </c>
      <c r="AV38" s="11"/>
      <c r="AW38" s="10" t="s">
        <v>66</v>
      </c>
      <c r="AX38" s="10"/>
      <c r="AY38" s="10" t="s">
        <v>66</v>
      </c>
    </row>
    <row r="39" ht="22.5" hidden="1" customHeight="1">
      <c r="A39" s="9" t="s">
        <v>530</v>
      </c>
      <c r="B39" s="10" t="s">
        <v>531</v>
      </c>
      <c r="C39" s="10" t="s">
        <v>43</v>
      </c>
      <c r="D39" s="10" t="s">
        <v>125</v>
      </c>
      <c r="E39" s="10" t="s">
        <v>66</v>
      </c>
      <c r="F39" s="11">
        <v>1.0</v>
      </c>
      <c r="G39" s="11">
        <v>43.7</v>
      </c>
      <c r="H39" s="11">
        <v>13.77</v>
      </c>
      <c r="I39" s="11">
        <v>-13.43</v>
      </c>
      <c r="J39" s="11">
        <v>-13.77</v>
      </c>
      <c r="K39" s="11"/>
      <c r="L39" s="11">
        <v>32.89</v>
      </c>
      <c r="M39" s="10" t="s">
        <v>46</v>
      </c>
      <c r="N39" s="10" t="s">
        <v>50</v>
      </c>
      <c r="O39" s="10" t="s">
        <v>176</v>
      </c>
      <c r="P39" s="10" t="s">
        <v>177</v>
      </c>
      <c r="Q39" s="10" t="s">
        <v>178</v>
      </c>
      <c r="R39" s="10" t="s">
        <v>74</v>
      </c>
      <c r="S39" s="11">
        <v>43.7</v>
      </c>
      <c r="T39" s="11">
        <v>22.58</v>
      </c>
      <c r="U39" s="11" t="s">
        <v>51</v>
      </c>
      <c r="V39" s="10" t="s">
        <v>52</v>
      </c>
      <c r="W39" s="10" t="s">
        <v>532</v>
      </c>
      <c r="X39" s="10" t="s">
        <v>533</v>
      </c>
      <c r="Y39" s="10" t="s">
        <v>534</v>
      </c>
      <c r="Z39" s="10" t="s">
        <v>50</v>
      </c>
      <c r="AA39" s="10" t="s">
        <v>50</v>
      </c>
      <c r="AB39" s="10" t="s">
        <v>532</v>
      </c>
      <c r="AC39" s="10" t="s">
        <v>535</v>
      </c>
      <c r="AD39" s="10" t="s">
        <v>536</v>
      </c>
      <c r="AE39" s="10" t="s">
        <v>454</v>
      </c>
      <c r="AF39" s="10" t="s">
        <v>323</v>
      </c>
      <c r="AG39" s="10" t="s">
        <v>537</v>
      </c>
      <c r="AH39" s="10" t="s">
        <v>60</v>
      </c>
      <c r="AI39" s="10" t="s">
        <v>61</v>
      </c>
      <c r="AJ39" s="10" t="s">
        <v>325</v>
      </c>
      <c r="AK39" s="10" t="s">
        <v>538</v>
      </c>
      <c r="AL39" s="10" t="s">
        <v>64</v>
      </c>
      <c r="AM39" s="10" t="s">
        <v>539</v>
      </c>
      <c r="AN39" s="10" t="s">
        <v>50</v>
      </c>
      <c r="AO39" s="11" t="s">
        <v>50</v>
      </c>
      <c r="AP39" s="10" t="s">
        <v>50</v>
      </c>
      <c r="AQ39" s="10" t="s">
        <v>50</v>
      </c>
      <c r="AR39" s="10" t="s">
        <v>50</v>
      </c>
      <c r="AS39" s="10" t="s">
        <v>50</v>
      </c>
      <c r="AT39" s="10" t="s">
        <v>50</v>
      </c>
      <c r="AU39" s="10" t="s">
        <v>50</v>
      </c>
      <c r="AV39" s="11"/>
      <c r="AW39" s="10" t="s">
        <v>66</v>
      </c>
      <c r="AX39" s="10"/>
      <c r="AY39" s="10" t="s">
        <v>66</v>
      </c>
    </row>
    <row r="40" ht="22.5" hidden="1" customHeight="1">
      <c r="A40" s="9" t="s">
        <v>540</v>
      </c>
      <c r="B40" s="10" t="s">
        <v>541</v>
      </c>
      <c r="C40" s="10" t="s">
        <v>43</v>
      </c>
      <c r="D40" s="10" t="s">
        <v>44</v>
      </c>
      <c r="E40" s="10" t="s">
        <v>66</v>
      </c>
      <c r="F40" s="11">
        <v>1.0</v>
      </c>
      <c r="G40" s="11">
        <v>43.7</v>
      </c>
      <c r="H40" s="11">
        <v>13.87</v>
      </c>
      <c r="I40" s="11">
        <v>-13.43</v>
      </c>
      <c r="J40" s="11">
        <v>-13.87</v>
      </c>
      <c r="K40" s="11"/>
      <c r="L40" s="11">
        <v>32.89</v>
      </c>
      <c r="M40" s="10" t="s">
        <v>46</v>
      </c>
      <c r="N40" s="10" t="s">
        <v>45</v>
      </c>
      <c r="O40" s="10" t="s">
        <v>176</v>
      </c>
      <c r="P40" s="10" t="s">
        <v>177</v>
      </c>
      <c r="Q40" s="10" t="s">
        <v>178</v>
      </c>
      <c r="R40" s="10" t="s">
        <v>74</v>
      </c>
      <c r="S40" s="11">
        <v>43.7</v>
      </c>
      <c r="T40" s="11">
        <v>22.58</v>
      </c>
      <c r="U40" s="11" t="s">
        <v>51</v>
      </c>
      <c r="V40" s="10" t="s">
        <v>52</v>
      </c>
      <c r="W40" s="10" t="s">
        <v>542</v>
      </c>
      <c r="X40" s="10" t="s">
        <v>543</v>
      </c>
      <c r="Y40" s="10" t="s">
        <v>544</v>
      </c>
      <c r="Z40" s="10" t="s">
        <v>50</v>
      </c>
      <c r="AA40" s="10" t="s">
        <v>50</v>
      </c>
      <c r="AB40" s="10" t="s">
        <v>542</v>
      </c>
      <c r="AC40" s="10" t="s">
        <v>545</v>
      </c>
      <c r="AD40" s="10" t="s">
        <v>546</v>
      </c>
      <c r="AE40" s="10" t="s">
        <v>547</v>
      </c>
      <c r="AF40" s="10" t="s">
        <v>58</v>
      </c>
      <c r="AG40" s="10" t="s">
        <v>548</v>
      </c>
      <c r="AH40" s="10" t="s">
        <v>60</v>
      </c>
      <c r="AI40" s="10" t="s">
        <v>61</v>
      </c>
      <c r="AJ40" s="10" t="s">
        <v>62</v>
      </c>
      <c r="AK40" s="10" t="s">
        <v>549</v>
      </c>
      <c r="AL40" s="10" t="s">
        <v>64</v>
      </c>
      <c r="AM40" s="10" t="s">
        <v>550</v>
      </c>
      <c r="AN40" s="10" t="s">
        <v>551</v>
      </c>
      <c r="AO40" s="11" t="s">
        <v>50</v>
      </c>
      <c r="AP40" s="10" t="s">
        <v>50</v>
      </c>
      <c r="AQ40" s="10" t="s">
        <v>50</v>
      </c>
      <c r="AR40" s="10" t="s">
        <v>50</v>
      </c>
      <c r="AS40" s="10" t="s">
        <v>50</v>
      </c>
      <c r="AT40" s="10" t="s">
        <v>50</v>
      </c>
      <c r="AU40" s="10" t="s">
        <v>50</v>
      </c>
      <c r="AV40" s="11"/>
      <c r="AW40" s="10" t="s">
        <v>66</v>
      </c>
      <c r="AX40" s="10"/>
      <c r="AY40" s="10" t="s">
        <v>66</v>
      </c>
    </row>
    <row r="41" ht="22.5" hidden="1" customHeight="1">
      <c r="A41" s="9" t="s">
        <v>552</v>
      </c>
      <c r="B41" s="10" t="s">
        <v>553</v>
      </c>
      <c r="C41" s="10" t="s">
        <v>43</v>
      </c>
      <c r="D41" s="10" t="s">
        <v>554</v>
      </c>
      <c r="E41" s="10" t="s">
        <v>45</v>
      </c>
      <c r="F41" s="11">
        <v>6.0</v>
      </c>
      <c r="G41" s="11">
        <v>262.2</v>
      </c>
      <c r="H41" s="11"/>
      <c r="I41" s="11">
        <v>-80.58</v>
      </c>
      <c r="J41" s="11"/>
      <c r="K41" s="11"/>
      <c r="L41" s="11">
        <v>197.34</v>
      </c>
      <c r="M41" s="10" t="s">
        <v>46</v>
      </c>
      <c r="N41" s="10" t="s">
        <v>50</v>
      </c>
      <c r="O41" s="10" t="s">
        <v>176</v>
      </c>
      <c r="P41" s="10" t="s">
        <v>177</v>
      </c>
      <c r="Q41" s="10" t="s">
        <v>178</v>
      </c>
      <c r="R41" s="10" t="s">
        <v>74</v>
      </c>
      <c r="S41" s="11">
        <v>43.7</v>
      </c>
      <c r="T41" s="11">
        <f>6*22.58</f>
        <v>135.48</v>
      </c>
      <c r="U41" s="11" t="s">
        <v>51</v>
      </c>
      <c r="V41" s="10" t="s">
        <v>52</v>
      </c>
      <c r="W41" s="10" t="s">
        <v>555</v>
      </c>
      <c r="X41" s="10" t="s">
        <v>556</v>
      </c>
      <c r="Y41" s="10" t="s">
        <v>557</v>
      </c>
      <c r="Z41" s="10" t="s">
        <v>50</v>
      </c>
      <c r="AA41" s="10" t="s">
        <v>50</v>
      </c>
      <c r="AB41" s="10" t="s">
        <v>555</v>
      </c>
      <c r="AC41" s="10" t="s">
        <v>558</v>
      </c>
      <c r="AD41" s="10" t="s">
        <v>559</v>
      </c>
      <c r="AE41" s="10" t="s">
        <v>560</v>
      </c>
      <c r="AF41" s="10" t="s">
        <v>561</v>
      </c>
      <c r="AG41" s="10" t="s">
        <v>562</v>
      </c>
      <c r="AH41" s="10" t="s">
        <v>60</v>
      </c>
      <c r="AI41" s="10" t="s">
        <v>61</v>
      </c>
      <c r="AJ41" s="10" t="s">
        <v>433</v>
      </c>
      <c r="AK41" s="10" t="s">
        <v>563</v>
      </c>
      <c r="AL41" s="10" t="s">
        <v>64</v>
      </c>
      <c r="AM41" s="10" t="s">
        <v>564</v>
      </c>
      <c r="AN41" s="10" t="s">
        <v>50</v>
      </c>
      <c r="AO41" s="11" t="s">
        <v>50</v>
      </c>
      <c r="AP41" s="10" t="s">
        <v>50</v>
      </c>
      <c r="AQ41" s="10" t="s">
        <v>50</v>
      </c>
      <c r="AR41" s="10" t="s">
        <v>50</v>
      </c>
      <c r="AS41" s="10" t="s">
        <v>50</v>
      </c>
      <c r="AT41" s="10" t="s">
        <v>50</v>
      </c>
      <c r="AU41" s="10" t="s">
        <v>50</v>
      </c>
      <c r="AV41" s="11"/>
      <c r="AW41" s="10" t="s">
        <v>66</v>
      </c>
      <c r="AX41" s="10"/>
      <c r="AY41" s="10" t="s">
        <v>66</v>
      </c>
    </row>
    <row r="42" ht="22.5" hidden="1" customHeight="1">
      <c r="A42" s="9" t="s">
        <v>565</v>
      </c>
      <c r="B42" s="10" t="s">
        <v>566</v>
      </c>
      <c r="C42" s="10" t="s">
        <v>69</v>
      </c>
      <c r="D42" s="10" t="s">
        <v>50</v>
      </c>
      <c r="E42" s="10" t="s">
        <v>66</v>
      </c>
      <c r="F42" s="11">
        <v>1.0</v>
      </c>
      <c r="G42" s="11">
        <v>120.0</v>
      </c>
      <c r="H42" s="11">
        <v>13.45</v>
      </c>
      <c r="I42" s="11">
        <v>-20.4</v>
      </c>
      <c r="J42" s="11">
        <v>-33.4</v>
      </c>
      <c r="K42" s="11">
        <v>-86.85</v>
      </c>
      <c r="L42" s="11">
        <v>0.0</v>
      </c>
      <c r="M42" s="10" t="s">
        <v>46</v>
      </c>
      <c r="N42" s="10" t="s">
        <v>45</v>
      </c>
      <c r="O42" s="10" t="s">
        <v>85</v>
      </c>
      <c r="P42" s="10" t="s">
        <v>86</v>
      </c>
      <c r="Q42" s="10" t="s">
        <v>87</v>
      </c>
      <c r="R42" s="10" t="s">
        <v>74</v>
      </c>
      <c r="S42" s="11">
        <v>120.0</v>
      </c>
      <c r="T42" s="11"/>
      <c r="U42" s="11" t="s">
        <v>51</v>
      </c>
      <c r="V42" s="10" t="s">
        <v>52</v>
      </c>
      <c r="W42" s="10" t="s">
        <v>567</v>
      </c>
      <c r="X42" s="10" t="s">
        <v>568</v>
      </c>
      <c r="Y42" s="10" t="s">
        <v>569</v>
      </c>
      <c r="Z42" s="10" t="s">
        <v>50</v>
      </c>
      <c r="AA42" s="10" t="s">
        <v>50</v>
      </c>
      <c r="AB42" s="10" t="s">
        <v>567</v>
      </c>
      <c r="AC42" s="10" t="s">
        <v>570</v>
      </c>
      <c r="AD42" s="10" t="s">
        <v>50</v>
      </c>
      <c r="AE42" s="10" t="s">
        <v>273</v>
      </c>
      <c r="AF42" s="10" t="s">
        <v>169</v>
      </c>
      <c r="AG42" s="10" t="s">
        <v>571</v>
      </c>
      <c r="AH42" s="10" t="s">
        <v>60</v>
      </c>
      <c r="AI42" s="10" t="s">
        <v>61</v>
      </c>
      <c r="AJ42" s="10" t="s">
        <v>50</v>
      </c>
      <c r="AK42" s="10" t="s">
        <v>50</v>
      </c>
      <c r="AL42" s="10" t="s">
        <v>64</v>
      </c>
      <c r="AM42" s="10" t="s">
        <v>572</v>
      </c>
      <c r="AN42" s="10" t="s">
        <v>50</v>
      </c>
      <c r="AO42" s="11" t="s">
        <v>50</v>
      </c>
      <c r="AP42" s="10" t="s">
        <v>50</v>
      </c>
      <c r="AQ42" s="10" t="s">
        <v>50</v>
      </c>
      <c r="AR42" s="10" t="s">
        <v>50</v>
      </c>
      <c r="AS42" s="10" t="s">
        <v>50</v>
      </c>
      <c r="AT42" s="10" t="s">
        <v>50</v>
      </c>
      <c r="AU42" s="10" t="s">
        <v>50</v>
      </c>
      <c r="AV42" s="11"/>
      <c r="AW42" s="10" t="s">
        <v>66</v>
      </c>
      <c r="AX42" s="10"/>
      <c r="AY42" s="10" t="s">
        <v>66</v>
      </c>
    </row>
    <row r="43" ht="22.5" hidden="1" customHeight="1">
      <c r="A43" s="9" t="s">
        <v>573</v>
      </c>
      <c r="B43" s="10" t="s">
        <v>574</v>
      </c>
      <c r="C43" s="10" t="s">
        <v>43</v>
      </c>
      <c r="D43" s="10" t="s">
        <v>175</v>
      </c>
      <c r="E43" s="10" t="s">
        <v>66</v>
      </c>
      <c r="F43" s="11">
        <v>1.0</v>
      </c>
      <c r="G43" s="11">
        <v>80.5</v>
      </c>
      <c r="H43" s="11"/>
      <c r="I43" s="11">
        <v>-15.3</v>
      </c>
      <c r="J43" s="11">
        <v>-19.95</v>
      </c>
      <c r="K43" s="11"/>
      <c r="L43" s="11">
        <v>45.25</v>
      </c>
      <c r="M43" s="10" t="s">
        <v>46</v>
      </c>
      <c r="N43" s="10" t="s">
        <v>45</v>
      </c>
      <c r="O43" s="10" t="s">
        <v>47</v>
      </c>
      <c r="P43" s="10" t="s">
        <v>48</v>
      </c>
      <c r="Q43" s="10" t="s">
        <v>49</v>
      </c>
      <c r="R43" s="10" t="s">
        <v>50</v>
      </c>
      <c r="S43" s="11">
        <v>80.5</v>
      </c>
      <c r="T43" s="11">
        <v>12.45</v>
      </c>
      <c r="U43" s="11" t="s">
        <v>51</v>
      </c>
      <c r="V43" s="10" t="s">
        <v>52</v>
      </c>
      <c r="W43" s="10" t="s">
        <v>575</v>
      </c>
      <c r="X43" s="10" t="s">
        <v>576</v>
      </c>
      <c r="Y43" s="10" t="s">
        <v>577</v>
      </c>
      <c r="Z43" s="10" t="s">
        <v>50</v>
      </c>
      <c r="AA43" s="10" t="s">
        <v>50</v>
      </c>
      <c r="AB43" s="10" t="s">
        <v>575</v>
      </c>
      <c r="AC43" s="10" t="s">
        <v>578</v>
      </c>
      <c r="AD43" s="10" t="s">
        <v>579</v>
      </c>
      <c r="AE43" s="10" t="s">
        <v>580</v>
      </c>
      <c r="AF43" s="10" t="s">
        <v>119</v>
      </c>
      <c r="AG43" s="10" t="s">
        <v>581</v>
      </c>
      <c r="AH43" s="10" t="s">
        <v>60</v>
      </c>
      <c r="AI43" s="10" t="s">
        <v>61</v>
      </c>
      <c r="AJ43" s="10" t="s">
        <v>62</v>
      </c>
      <c r="AK43" s="10" t="s">
        <v>582</v>
      </c>
      <c r="AL43" s="10" t="s">
        <v>64</v>
      </c>
      <c r="AM43" s="10" t="s">
        <v>583</v>
      </c>
      <c r="AN43" s="10" t="s">
        <v>50</v>
      </c>
      <c r="AO43" s="11" t="s">
        <v>50</v>
      </c>
      <c r="AP43" s="10" t="s">
        <v>50</v>
      </c>
      <c r="AQ43" s="10" t="s">
        <v>50</v>
      </c>
      <c r="AR43" s="10" t="s">
        <v>50</v>
      </c>
      <c r="AS43" s="10" t="s">
        <v>50</v>
      </c>
      <c r="AT43" s="10" t="s">
        <v>50</v>
      </c>
      <c r="AU43" s="10" t="s">
        <v>50</v>
      </c>
      <c r="AV43" s="11"/>
      <c r="AW43" s="10" t="s">
        <v>66</v>
      </c>
      <c r="AX43" s="10"/>
      <c r="AY43" s="10" t="s">
        <v>66</v>
      </c>
    </row>
    <row r="44" ht="22.5" hidden="1" customHeight="1">
      <c r="A44" s="9" t="s">
        <v>584</v>
      </c>
      <c r="B44" s="10" t="s">
        <v>585</v>
      </c>
      <c r="C44" s="10" t="s">
        <v>43</v>
      </c>
      <c r="D44" s="10" t="s">
        <v>44</v>
      </c>
      <c r="E44" s="10" t="s">
        <v>66</v>
      </c>
      <c r="F44" s="11">
        <v>1.0</v>
      </c>
      <c r="G44" s="11">
        <v>92.15</v>
      </c>
      <c r="H44" s="11"/>
      <c r="I44" s="11">
        <v>-17.51</v>
      </c>
      <c r="J44" s="11">
        <v>-20.45</v>
      </c>
      <c r="K44" s="11"/>
      <c r="L44" s="11">
        <v>59.72</v>
      </c>
      <c r="M44" s="10" t="s">
        <v>46</v>
      </c>
      <c r="N44" s="10" t="s">
        <v>45</v>
      </c>
      <c r="O44" s="10" t="s">
        <v>586</v>
      </c>
      <c r="P44" s="10" t="s">
        <v>587</v>
      </c>
      <c r="Q44" s="10" t="s">
        <v>588</v>
      </c>
      <c r="R44" s="10" t="s">
        <v>50</v>
      </c>
      <c r="S44" s="11">
        <v>92.15</v>
      </c>
      <c r="T44" s="11">
        <v>20.76</v>
      </c>
      <c r="U44" s="11" t="s">
        <v>51</v>
      </c>
      <c r="V44" s="10" t="s">
        <v>52</v>
      </c>
      <c r="W44" s="10" t="s">
        <v>589</v>
      </c>
      <c r="X44" s="10" t="s">
        <v>590</v>
      </c>
      <c r="Y44" s="10" t="s">
        <v>591</v>
      </c>
      <c r="Z44" s="10" t="s">
        <v>50</v>
      </c>
      <c r="AA44" s="10" t="s">
        <v>50</v>
      </c>
      <c r="AB44" s="10" t="s">
        <v>589</v>
      </c>
      <c r="AC44" s="10" t="s">
        <v>592</v>
      </c>
      <c r="AD44" s="10" t="s">
        <v>593</v>
      </c>
      <c r="AE44" s="10" t="s">
        <v>594</v>
      </c>
      <c r="AF44" s="10" t="s">
        <v>323</v>
      </c>
      <c r="AG44" s="10" t="s">
        <v>595</v>
      </c>
      <c r="AH44" s="10" t="s">
        <v>60</v>
      </c>
      <c r="AI44" s="10" t="s">
        <v>61</v>
      </c>
      <c r="AJ44" s="10" t="s">
        <v>596</v>
      </c>
      <c r="AK44" s="10" t="s">
        <v>597</v>
      </c>
      <c r="AL44" s="10" t="s">
        <v>64</v>
      </c>
      <c r="AM44" s="10" t="s">
        <v>598</v>
      </c>
      <c r="AN44" s="10" t="s">
        <v>50</v>
      </c>
      <c r="AO44" s="11" t="s">
        <v>50</v>
      </c>
      <c r="AP44" s="10" t="s">
        <v>50</v>
      </c>
      <c r="AQ44" s="10" t="s">
        <v>50</v>
      </c>
      <c r="AR44" s="10" t="s">
        <v>50</v>
      </c>
      <c r="AS44" s="10" t="s">
        <v>50</v>
      </c>
      <c r="AT44" s="10" t="s">
        <v>50</v>
      </c>
      <c r="AU44" s="10" t="s">
        <v>50</v>
      </c>
      <c r="AV44" s="11"/>
      <c r="AW44" s="10" t="s">
        <v>66</v>
      </c>
      <c r="AX44" s="10"/>
      <c r="AY44" s="10" t="s">
        <v>66</v>
      </c>
    </row>
    <row r="45" ht="22.5" hidden="1" customHeight="1">
      <c r="A45" s="9" t="s">
        <v>599</v>
      </c>
      <c r="B45" s="10" t="s">
        <v>600</v>
      </c>
      <c r="C45" s="10" t="s">
        <v>43</v>
      </c>
      <c r="D45" s="10" t="s">
        <v>175</v>
      </c>
      <c r="E45" s="10" t="s">
        <v>66</v>
      </c>
      <c r="F45" s="11">
        <v>1.0</v>
      </c>
      <c r="G45" s="11">
        <v>43.7</v>
      </c>
      <c r="H45" s="11">
        <v>17.86</v>
      </c>
      <c r="I45" s="11">
        <v>-13.43</v>
      </c>
      <c r="J45" s="11">
        <v>-17.86</v>
      </c>
      <c r="K45" s="11"/>
      <c r="L45" s="11">
        <v>32.89</v>
      </c>
      <c r="M45" s="10" t="s">
        <v>46</v>
      </c>
      <c r="N45" s="10" t="s">
        <v>50</v>
      </c>
      <c r="O45" s="10" t="s">
        <v>176</v>
      </c>
      <c r="P45" s="10" t="s">
        <v>177</v>
      </c>
      <c r="Q45" s="10" t="s">
        <v>178</v>
      </c>
      <c r="R45" s="10" t="s">
        <v>74</v>
      </c>
      <c r="S45" s="11">
        <v>43.7</v>
      </c>
      <c r="T45" s="11">
        <v>22.58</v>
      </c>
      <c r="U45" s="11" t="s">
        <v>51</v>
      </c>
      <c r="V45" s="10" t="s">
        <v>52</v>
      </c>
      <c r="W45" s="10" t="s">
        <v>601</v>
      </c>
      <c r="X45" s="10" t="s">
        <v>602</v>
      </c>
      <c r="Y45" s="10" t="s">
        <v>603</v>
      </c>
      <c r="Z45" s="10" t="s">
        <v>50</v>
      </c>
      <c r="AA45" s="10" t="s">
        <v>50</v>
      </c>
      <c r="AB45" s="10" t="s">
        <v>601</v>
      </c>
      <c r="AC45" s="10" t="s">
        <v>604</v>
      </c>
      <c r="AD45" s="10" t="s">
        <v>605</v>
      </c>
      <c r="AE45" s="10" t="s">
        <v>606</v>
      </c>
      <c r="AF45" s="10" t="s">
        <v>119</v>
      </c>
      <c r="AG45" s="10" t="s">
        <v>607</v>
      </c>
      <c r="AH45" s="10" t="s">
        <v>60</v>
      </c>
      <c r="AI45" s="10" t="s">
        <v>61</v>
      </c>
      <c r="AJ45" s="10" t="s">
        <v>62</v>
      </c>
      <c r="AK45" s="10" t="s">
        <v>608</v>
      </c>
      <c r="AL45" s="10" t="s">
        <v>64</v>
      </c>
      <c r="AM45" s="10" t="s">
        <v>609</v>
      </c>
      <c r="AN45" s="10" t="s">
        <v>50</v>
      </c>
      <c r="AO45" s="11" t="s">
        <v>50</v>
      </c>
      <c r="AP45" s="10" t="s">
        <v>50</v>
      </c>
      <c r="AQ45" s="10" t="s">
        <v>50</v>
      </c>
      <c r="AR45" s="10" t="s">
        <v>50</v>
      </c>
      <c r="AS45" s="10" t="s">
        <v>50</v>
      </c>
      <c r="AT45" s="10" t="s">
        <v>50</v>
      </c>
      <c r="AU45" s="10" t="s">
        <v>50</v>
      </c>
      <c r="AV45" s="11"/>
      <c r="AW45" s="10" t="s">
        <v>66</v>
      </c>
      <c r="AX45" s="10"/>
      <c r="AY45" s="10" t="s">
        <v>66</v>
      </c>
    </row>
    <row r="46" ht="22.5" hidden="1" customHeight="1">
      <c r="A46" s="9" t="s">
        <v>610</v>
      </c>
      <c r="B46" s="10" t="s">
        <v>611</v>
      </c>
      <c r="C46" s="10" t="s">
        <v>43</v>
      </c>
      <c r="D46" s="10" t="s">
        <v>44</v>
      </c>
      <c r="E46" s="10" t="s">
        <v>45</v>
      </c>
      <c r="F46" s="11">
        <v>1.0</v>
      </c>
      <c r="G46" s="11">
        <v>43.7</v>
      </c>
      <c r="H46" s="11">
        <v>17.86</v>
      </c>
      <c r="I46" s="11">
        <v>-13.43</v>
      </c>
      <c r="J46" s="11">
        <v>-17.86</v>
      </c>
      <c r="K46" s="11"/>
      <c r="L46" s="11">
        <v>32.89</v>
      </c>
      <c r="M46" s="10" t="s">
        <v>46</v>
      </c>
      <c r="N46" s="10" t="s">
        <v>50</v>
      </c>
      <c r="O46" s="10" t="s">
        <v>176</v>
      </c>
      <c r="P46" s="10" t="s">
        <v>177</v>
      </c>
      <c r="Q46" s="10" t="s">
        <v>178</v>
      </c>
      <c r="R46" s="10" t="s">
        <v>74</v>
      </c>
      <c r="S46" s="11">
        <v>43.7</v>
      </c>
      <c r="T46" s="11">
        <v>22.58</v>
      </c>
      <c r="U46" s="11" t="s">
        <v>51</v>
      </c>
      <c r="V46" s="10" t="s">
        <v>52</v>
      </c>
      <c r="W46" s="10" t="s">
        <v>612</v>
      </c>
      <c r="X46" s="10" t="s">
        <v>613</v>
      </c>
      <c r="Y46" s="10" t="s">
        <v>614</v>
      </c>
      <c r="Z46" s="10" t="s">
        <v>50</v>
      </c>
      <c r="AA46" s="10" t="s">
        <v>50</v>
      </c>
      <c r="AB46" s="10" t="s">
        <v>612</v>
      </c>
      <c r="AC46" s="10" t="s">
        <v>615</v>
      </c>
      <c r="AD46" s="10" t="s">
        <v>616</v>
      </c>
      <c r="AE46" s="10" t="s">
        <v>617</v>
      </c>
      <c r="AF46" s="10" t="s">
        <v>119</v>
      </c>
      <c r="AG46" s="10" t="s">
        <v>618</v>
      </c>
      <c r="AH46" s="10" t="s">
        <v>60</v>
      </c>
      <c r="AI46" s="10" t="s">
        <v>61</v>
      </c>
      <c r="AJ46" s="10" t="s">
        <v>619</v>
      </c>
      <c r="AK46" s="10" t="s">
        <v>620</v>
      </c>
      <c r="AL46" s="10" t="s">
        <v>64</v>
      </c>
      <c r="AM46" s="10" t="s">
        <v>621</v>
      </c>
      <c r="AN46" s="10" t="s">
        <v>50</v>
      </c>
      <c r="AO46" s="11" t="s">
        <v>50</v>
      </c>
      <c r="AP46" s="10" t="s">
        <v>50</v>
      </c>
      <c r="AQ46" s="10" t="s">
        <v>50</v>
      </c>
      <c r="AR46" s="10" t="s">
        <v>50</v>
      </c>
      <c r="AS46" s="10" t="s">
        <v>50</v>
      </c>
      <c r="AT46" s="10" t="s">
        <v>50</v>
      </c>
      <c r="AU46" s="10" t="s">
        <v>50</v>
      </c>
      <c r="AV46" s="11"/>
      <c r="AW46" s="10" t="s">
        <v>66</v>
      </c>
      <c r="AX46" s="10"/>
      <c r="AY46" s="10" t="s">
        <v>66</v>
      </c>
    </row>
    <row r="47" ht="22.5" hidden="1" customHeight="1">
      <c r="A47" s="9" t="s">
        <v>622</v>
      </c>
      <c r="B47" s="10" t="s">
        <v>623</v>
      </c>
      <c r="C47" s="10" t="s">
        <v>43</v>
      </c>
      <c r="D47" s="10" t="s">
        <v>44</v>
      </c>
      <c r="E47" s="10" t="s">
        <v>66</v>
      </c>
      <c r="F47" s="11">
        <v>1.0</v>
      </c>
      <c r="G47" s="11">
        <v>120.0</v>
      </c>
      <c r="H47" s="11"/>
      <c r="I47" s="11">
        <v>-20.4</v>
      </c>
      <c r="J47" s="11">
        <v>-19.95</v>
      </c>
      <c r="K47" s="11"/>
      <c r="L47" s="11">
        <v>86.85</v>
      </c>
      <c r="M47" s="10" t="s">
        <v>46</v>
      </c>
      <c r="N47" s="10" t="s">
        <v>45</v>
      </c>
      <c r="O47" s="10" t="s">
        <v>85</v>
      </c>
      <c r="P47" s="10" t="s">
        <v>86</v>
      </c>
      <c r="Q47" s="10" t="s">
        <v>87</v>
      </c>
      <c r="R47" s="10" t="s">
        <v>74</v>
      </c>
      <c r="S47" s="11">
        <v>120.0</v>
      </c>
      <c r="T47" s="11">
        <v>65.78</v>
      </c>
      <c r="U47" s="11" t="s">
        <v>51</v>
      </c>
      <c r="V47" s="10" t="s">
        <v>52</v>
      </c>
      <c r="W47" s="10" t="s">
        <v>624</v>
      </c>
      <c r="X47" s="10" t="s">
        <v>625</v>
      </c>
      <c r="Y47" s="10" t="s">
        <v>626</v>
      </c>
      <c r="Z47" s="10" t="s">
        <v>50</v>
      </c>
      <c r="AA47" s="10" t="s">
        <v>50</v>
      </c>
      <c r="AB47" s="10" t="s">
        <v>624</v>
      </c>
      <c r="AC47" s="10" t="s">
        <v>627</v>
      </c>
      <c r="AD47" s="10" t="s">
        <v>628</v>
      </c>
      <c r="AE47" s="10" t="s">
        <v>629</v>
      </c>
      <c r="AF47" s="10" t="s">
        <v>58</v>
      </c>
      <c r="AG47" s="10" t="s">
        <v>630</v>
      </c>
      <c r="AH47" s="10" t="s">
        <v>60</v>
      </c>
      <c r="AI47" s="10" t="s">
        <v>61</v>
      </c>
      <c r="AJ47" s="10" t="s">
        <v>337</v>
      </c>
      <c r="AK47" s="10" t="s">
        <v>631</v>
      </c>
      <c r="AL47" s="10" t="s">
        <v>64</v>
      </c>
      <c r="AM47" s="10" t="s">
        <v>632</v>
      </c>
      <c r="AN47" s="10" t="s">
        <v>50</v>
      </c>
      <c r="AO47" s="11" t="s">
        <v>50</v>
      </c>
      <c r="AP47" s="10" t="s">
        <v>50</v>
      </c>
      <c r="AQ47" s="10" t="s">
        <v>50</v>
      </c>
      <c r="AR47" s="10" t="s">
        <v>50</v>
      </c>
      <c r="AS47" s="10" t="s">
        <v>50</v>
      </c>
      <c r="AT47" s="10" t="s">
        <v>50</v>
      </c>
      <c r="AU47" s="10" t="s">
        <v>50</v>
      </c>
      <c r="AV47" s="11"/>
      <c r="AW47" s="10" t="s">
        <v>66</v>
      </c>
      <c r="AX47" s="10"/>
      <c r="AY47" s="10" t="s">
        <v>66</v>
      </c>
    </row>
    <row r="48" ht="22.5" hidden="1" customHeight="1">
      <c r="A48" s="9" t="s">
        <v>633</v>
      </c>
      <c r="B48" s="10" t="s">
        <v>634</v>
      </c>
      <c r="C48" s="10" t="s">
        <v>43</v>
      </c>
      <c r="D48" s="10" t="s">
        <v>44</v>
      </c>
      <c r="E48" s="10" t="s">
        <v>45</v>
      </c>
      <c r="F48" s="11">
        <v>2.0</v>
      </c>
      <c r="G48" s="11">
        <v>87.4</v>
      </c>
      <c r="H48" s="11"/>
      <c r="I48" s="11">
        <v>-26.86</v>
      </c>
      <c r="J48" s="11"/>
      <c r="K48" s="11"/>
      <c r="L48" s="11">
        <v>65.78</v>
      </c>
      <c r="M48" s="10" t="s">
        <v>46</v>
      </c>
      <c r="N48" s="10" t="s">
        <v>50</v>
      </c>
      <c r="O48" s="10" t="s">
        <v>176</v>
      </c>
      <c r="P48" s="10" t="s">
        <v>177</v>
      </c>
      <c r="Q48" s="10" t="s">
        <v>178</v>
      </c>
      <c r="R48" s="10" t="s">
        <v>74</v>
      </c>
      <c r="S48" s="11">
        <v>43.7</v>
      </c>
      <c r="T48" s="11">
        <f>2*22.58</f>
        <v>45.16</v>
      </c>
      <c r="U48" s="11" t="s">
        <v>51</v>
      </c>
      <c r="V48" s="10" t="s">
        <v>52</v>
      </c>
      <c r="W48" s="10" t="s">
        <v>635</v>
      </c>
      <c r="X48" s="10" t="s">
        <v>636</v>
      </c>
      <c r="Y48" s="10" t="s">
        <v>637</v>
      </c>
      <c r="Z48" s="10" t="s">
        <v>50</v>
      </c>
      <c r="AA48" s="10" t="s">
        <v>50</v>
      </c>
      <c r="AB48" s="10" t="s">
        <v>635</v>
      </c>
      <c r="AC48" s="10" t="s">
        <v>638</v>
      </c>
      <c r="AD48" s="10" t="s">
        <v>639</v>
      </c>
      <c r="AE48" s="10" t="s">
        <v>58</v>
      </c>
      <c r="AF48" s="10" t="s">
        <v>58</v>
      </c>
      <c r="AG48" s="10" t="s">
        <v>640</v>
      </c>
      <c r="AH48" s="10" t="s">
        <v>60</v>
      </c>
      <c r="AI48" s="10" t="s">
        <v>61</v>
      </c>
      <c r="AJ48" s="10" t="s">
        <v>237</v>
      </c>
      <c r="AK48" s="10" t="s">
        <v>641</v>
      </c>
      <c r="AL48" s="10" t="s">
        <v>64</v>
      </c>
      <c r="AM48" s="10" t="s">
        <v>642</v>
      </c>
      <c r="AN48" s="10" t="s">
        <v>50</v>
      </c>
      <c r="AO48" s="11" t="s">
        <v>50</v>
      </c>
      <c r="AP48" s="10" t="s">
        <v>50</v>
      </c>
      <c r="AQ48" s="10" t="s">
        <v>50</v>
      </c>
      <c r="AR48" s="10" t="s">
        <v>50</v>
      </c>
      <c r="AS48" s="10" t="s">
        <v>50</v>
      </c>
      <c r="AT48" s="10" t="s">
        <v>50</v>
      </c>
      <c r="AU48" s="10" t="s">
        <v>50</v>
      </c>
      <c r="AV48" s="11"/>
      <c r="AW48" s="10" t="s">
        <v>66</v>
      </c>
      <c r="AX48" s="10"/>
      <c r="AY48" s="10" t="s">
        <v>66</v>
      </c>
    </row>
    <row r="49" ht="22.5" hidden="1" customHeight="1">
      <c r="A49" s="9" t="s">
        <v>643</v>
      </c>
      <c r="B49" s="10" t="s">
        <v>644</v>
      </c>
      <c r="C49" s="10" t="s">
        <v>43</v>
      </c>
      <c r="D49" s="10" t="s">
        <v>175</v>
      </c>
      <c r="E49" s="10" t="s">
        <v>66</v>
      </c>
      <c r="F49" s="11">
        <v>1.0</v>
      </c>
      <c r="G49" s="11">
        <v>120.0</v>
      </c>
      <c r="H49" s="11"/>
      <c r="I49" s="11">
        <v>-20.4</v>
      </c>
      <c r="J49" s="11">
        <v>-19.95</v>
      </c>
      <c r="K49" s="11"/>
      <c r="L49" s="11">
        <v>86.85</v>
      </c>
      <c r="M49" s="10" t="s">
        <v>46</v>
      </c>
      <c r="N49" s="10" t="s">
        <v>50</v>
      </c>
      <c r="O49" s="10" t="s">
        <v>85</v>
      </c>
      <c r="P49" s="10" t="s">
        <v>86</v>
      </c>
      <c r="Q49" s="10" t="s">
        <v>87</v>
      </c>
      <c r="R49" s="10" t="s">
        <v>74</v>
      </c>
      <c r="S49" s="11">
        <v>120.0</v>
      </c>
      <c r="T49" s="11">
        <v>65.78</v>
      </c>
      <c r="U49" s="11" t="s">
        <v>51</v>
      </c>
      <c r="V49" s="10" t="s">
        <v>52</v>
      </c>
      <c r="W49" s="10" t="s">
        <v>645</v>
      </c>
      <c r="X49" s="10" t="s">
        <v>646</v>
      </c>
      <c r="Y49" s="10" t="s">
        <v>647</v>
      </c>
      <c r="Z49" s="10" t="s">
        <v>50</v>
      </c>
      <c r="AA49" s="10" t="s">
        <v>50</v>
      </c>
      <c r="AB49" s="10" t="s">
        <v>645</v>
      </c>
      <c r="AC49" s="10" t="s">
        <v>648</v>
      </c>
      <c r="AD49" s="10" t="s">
        <v>649</v>
      </c>
      <c r="AE49" s="10" t="s">
        <v>650</v>
      </c>
      <c r="AF49" s="10" t="s">
        <v>185</v>
      </c>
      <c r="AG49" s="10" t="s">
        <v>651</v>
      </c>
      <c r="AH49" s="10" t="s">
        <v>60</v>
      </c>
      <c r="AI49" s="10" t="s">
        <v>61</v>
      </c>
      <c r="AJ49" s="10" t="s">
        <v>171</v>
      </c>
      <c r="AK49" s="10" t="s">
        <v>652</v>
      </c>
      <c r="AL49" s="10" t="s">
        <v>64</v>
      </c>
      <c r="AM49" s="10" t="s">
        <v>653</v>
      </c>
      <c r="AN49" s="10" t="s">
        <v>50</v>
      </c>
      <c r="AO49" s="11" t="s">
        <v>50</v>
      </c>
      <c r="AP49" s="10" t="s">
        <v>50</v>
      </c>
      <c r="AQ49" s="10" t="s">
        <v>50</v>
      </c>
      <c r="AR49" s="10" t="s">
        <v>50</v>
      </c>
      <c r="AS49" s="10" t="s">
        <v>50</v>
      </c>
      <c r="AT49" s="10" t="s">
        <v>50</v>
      </c>
      <c r="AU49" s="10" t="s">
        <v>50</v>
      </c>
      <c r="AV49" s="11"/>
      <c r="AW49" s="10" t="s">
        <v>66</v>
      </c>
      <c r="AX49" s="10"/>
      <c r="AY49" s="10" t="s">
        <v>66</v>
      </c>
    </row>
    <row r="50" ht="22.5" hidden="1" customHeight="1">
      <c r="A50" s="9" t="s">
        <v>654</v>
      </c>
      <c r="B50" s="10" t="s">
        <v>655</v>
      </c>
      <c r="C50" s="10" t="s">
        <v>43</v>
      </c>
      <c r="D50" s="10" t="s">
        <v>554</v>
      </c>
      <c r="E50" s="10" t="s">
        <v>66</v>
      </c>
      <c r="F50" s="11">
        <v>1.0</v>
      </c>
      <c r="G50" s="11">
        <v>79.0</v>
      </c>
      <c r="H50" s="11">
        <v>27.13</v>
      </c>
      <c r="I50" s="11">
        <v>-13.43</v>
      </c>
      <c r="J50" s="11">
        <v>-47.58</v>
      </c>
      <c r="K50" s="11"/>
      <c r="L50" s="11">
        <v>45.12</v>
      </c>
      <c r="M50" s="10" t="s">
        <v>46</v>
      </c>
      <c r="N50" s="10" t="s">
        <v>45</v>
      </c>
      <c r="O50" s="10" t="s">
        <v>160</v>
      </c>
      <c r="P50" s="10" t="s">
        <v>161</v>
      </c>
      <c r="Q50" s="10" t="s">
        <v>162</v>
      </c>
      <c r="R50" s="10" t="s">
        <v>74</v>
      </c>
      <c r="S50" s="11">
        <v>79.0</v>
      </c>
      <c r="T50" s="11">
        <v>2.49</v>
      </c>
      <c r="U50" s="11" t="s">
        <v>51</v>
      </c>
      <c r="V50" s="10" t="s">
        <v>52</v>
      </c>
      <c r="W50" s="10" t="s">
        <v>656</v>
      </c>
      <c r="X50" s="10" t="s">
        <v>657</v>
      </c>
      <c r="Y50" s="10" t="s">
        <v>658</v>
      </c>
      <c r="Z50" s="10" t="s">
        <v>50</v>
      </c>
      <c r="AA50" s="10" t="s">
        <v>50</v>
      </c>
      <c r="AB50" s="10" t="s">
        <v>656</v>
      </c>
      <c r="AC50" s="10" t="s">
        <v>659</v>
      </c>
      <c r="AD50" s="10" t="s">
        <v>660</v>
      </c>
      <c r="AE50" s="10" t="s">
        <v>273</v>
      </c>
      <c r="AF50" s="10" t="s">
        <v>169</v>
      </c>
      <c r="AG50" s="10" t="s">
        <v>661</v>
      </c>
      <c r="AH50" s="10" t="s">
        <v>60</v>
      </c>
      <c r="AI50" s="10" t="s">
        <v>61</v>
      </c>
      <c r="AJ50" s="10" t="s">
        <v>171</v>
      </c>
      <c r="AK50" s="10" t="s">
        <v>662</v>
      </c>
      <c r="AL50" s="10" t="s">
        <v>64</v>
      </c>
      <c r="AM50" s="10" t="s">
        <v>663</v>
      </c>
      <c r="AN50" s="10" t="s">
        <v>50</v>
      </c>
      <c r="AO50" s="11" t="s">
        <v>50</v>
      </c>
      <c r="AP50" s="10" t="s">
        <v>50</v>
      </c>
      <c r="AQ50" s="10" t="s">
        <v>50</v>
      </c>
      <c r="AR50" s="10" t="s">
        <v>50</v>
      </c>
      <c r="AS50" s="10" t="s">
        <v>50</v>
      </c>
      <c r="AT50" s="10" t="s">
        <v>50</v>
      </c>
      <c r="AU50" s="10" t="s">
        <v>50</v>
      </c>
      <c r="AV50" s="11"/>
      <c r="AW50" s="10" t="s">
        <v>66</v>
      </c>
      <c r="AX50" s="10"/>
      <c r="AY50" s="10" t="s">
        <v>66</v>
      </c>
    </row>
    <row r="51" ht="22.5" hidden="1" customHeight="1">
      <c r="A51" s="9" t="s">
        <v>664</v>
      </c>
      <c r="B51" s="10" t="s">
        <v>665</v>
      </c>
      <c r="C51" s="10" t="s">
        <v>43</v>
      </c>
      <c r="D51" s="10" t="s">
        <v>44</v>
      </c>
      <c r="E51" s="10" t="s">
        <v>66</v>
      </c>
      <c r="F51" s="11">
        <v>1.0</v>
      </c>
      <c r="G51" s="11">
        <v>43.7</v>
      </c>
      <c r="H51" s="11">
        <v>15.01</v>
      </c>
      <c r="I51" s="11">
        <v>-13.43</v>
      </c>
      <c r="J51" s="11">
        <v>-15.01</v>
      </c>
      <c r="K51" s="11"/>
      <c r="L51" s="11">
        <v>32.89</v>
      </c>
      <c r="M51" s="10" t="s">
        <v>46</v>
      </c>
      <c r="N51" s="10" t="s">
        <v>50</v>
      </c>
      <c r="O51" s="10" t="s">
        <v>176</v>
      </c>
      <c r="P51" s="10" t="s">
        <v>177</v>
      </c>
      <c r="Q51" s="10" t="s">
        <v>178</v>
      </c>
      <c r="R51" s="10" t="s">
        <v>74</v>
      </c>
      <c r="S51" s="11">
        <v>43.7</v>
      </c>
      <c r="T51" s="11">
        <v>22.58</v>
      </c>
      <c r="U51" s="11" t="s">
        <v>51</v>
      </c>
      <c r="V51" s="10" t="s">
        <v>52</v>
      </c>
      <c r="W51" s="10" t="s">
        <v>666</v>
      </c>
      <c r="X51" s="10" t="s">
        <v>667</v>
      </c>
      <c r="Y51" s="10" t="s">
        <v>668</v>
      </c>
      <c r="Z51" s="10" t="s">
        <v>50</v>
      </c>
      <c r="AA51" s="10" t="s">
        <v>50</v>
      </c>
      <c r="AB51" s="10" t="s">
        <v>666</v>
      </c>
      <c r="AC51" s="10" t="s">
        <v>669</v>
      </c>
      <c r="AD51" s="10" t="s">
        <v>670</v>
      </c>
      <c r="AE51" s="10" t="s">
        <v>671</v>
      </c>
      <c r="AF51" s="10" t="s">
        <v>214</v>
      </c>
      <c r="AG51" s="10" t="s">
        <v>672</v>
      </c>
      <c r="AH51" s="10" t="s">
        <v>60</v>
      </c>
      <c r="AI51" s="10" t="s">
        <v>61</v>
      </c>
      <c r="AJ51" s="10" t="s">
        <v>619</v>
      </c>
      <c r="AK51" s="10" t="s">
        <v>673</v>
      </c>
      <c r="AL51" s="10" t="s">
        <v>64</v>
      </c>
      <c r="AM51" s="10" t="s">
        <v>674</v>
      </c>
      <c r="AN51" s="10" t="s">
        <v>50</v>
      </c>
      <c r="AO51" s="11" t="s">
        <v>50</v>
      </c>
      <c r="AP51" s="10" t="s">
        <v>50</v>
      </c>
      <c r="AQ51" s="10" t="s">
        <v>50</v>
      </c>
      <c r="AR51" s="10" t="s">
        <v>50</v>
      </c>
      <c r="AS51" s="10" t="s">
        <v>50</v>
      </c>
      <c r="AT51" s="10" t="s">
        <v>50</v>
      </c>
      <c r="AU51" s="10" t="s">
        <v>50</v>
      </c>
      <c r="AV51" s="11"/>
      <c r="AW51" s="10" t="s">
        <v>66</v>
      </c>
      <c r="AX51" s="10"/>
      <c r="AY51" s="10" t="s">
        <v>66</v>
      </c>
    </row>
    <row r="52" ht="22.5" hidden="1" customHeight="1">
      <c r="A52" s="9" t="s">
        <v>675</v>
      </c>
      <c r="B52" s="10" t="s">
        <v>676</v>
      </c>
      <c r="C52" s="10" t="s">
        <v>43</v>
      </c>
      <c r="D52" s="10" t="s">
        <v>125</v>
      </c>
      <c r="E52" s="10" t="s">
        <v>45</v>
      </c>
      <c r="F52" s="11">
        <v>1.0</v>
      </c>
      <c r="G52" s="11">
        <v>120.0</v>
      </c>
      <c r="H52" s="11"/>
      <c r="I52" s="11">
        <v>-20.4</v>
      </c>
      <c r="J52" s="11">
        <v>-19.95</v>
      </c>
      <c r="K52" s="11"/>
      <c r="L52" s="11">
        <v>86.85</v>
      </c>
      <c r="M52" s="10" t="s">
        <v>46</v>
      </c>
      <c r="N52" s="10" t="s">
        <v>50</v>
      </c>
      <c r="O52" s="10" t="s">
        <v>85</v>
      </c>
      <c r="P52" s="10" t="s">
        <v>86</v>
      </c>
      <c r="Q52" s="10" t="s">
        <v>87</v>
      </c>
      <c r="R52" s="10" t="s">
        <v>74</v>
      </c>
      <c r="S52" s="11">
        <v>120.0</v>
      </c>
      <c r="T52" s="11">
        <v>65.78</v>
      </c>
      <c r="U52" s="11" t="s">
        <v>51</v>
      </c>
      <c r="V52" s="10" t="s">
        <v>52</v>
      </c>
      <c r="W52" s="10" t="s">
        <v>677</v>
      </c>
      <c r="X52" s="10" t="s">
        <v>678</v>
      </c>
      <c r="Y52" s="10" t="s">
        <v>679</v>
      </c>
      <c r="Z52" s="10" t="s">
        <v>50</v>
      </c>
      <c r="AA52" s="10" t="s">
        <v>50</v>
      </c>
      <c r="AB52" s="10" t="s">
        <v>677</v>
      </c>
      <c r="AC52" s="10" t="s">
        <v>680</v>
      </c>
      <c r="AD52" s="10" t="s">
        <v>681</v>
      </c>
      <c r="AE52" s="10" t="s">
        <v>682</v>
      </c>
      <c r="AF52" s="10" t="s">
        <v>58</v>
      </c>
      <c r="AG52" s="10" t="s">
        <v>683</v>
      </c>
      <c r="AH52" s="10" t="s">
        <v>60</v>
      </c>
      <c r="AI52" s="10" t="s">
        <v>61</v>
      </c>
      <c r="AJ52" s="10" t="s">
        <v>684</v>
      </c>
      <c r="AK52" s="10" t="s">
        <v>685</v>
      </c>
      <c r="AL52" s="10" t="s">
        <v>64</v>
      </c>
      <c r="AM52" s="10" t="s">
        <v>686</v>
      </c>
      <c r="AN52" s="10" t="s">
        <v>50</v>
      </c>
      <c r="AO52" s="11" t="s">
        <v>50</v>
      </c>
      <c r="AP52" s="10" t="s">
        <v>50</v>
      </c>
      <c r="AQ52" s="10" t="s">
        <v>50</v>
      </c>
      <c r="AR52" s="10" t="s">
        <v>50</v>
      </c>
      <c r="AS52" s="10" t="s">
        <v>50</v>
      </c>
      <c r="AT52" s="10" t="s">
        <v>50</v>
      </c>
      <c r="AU52" s="10" t="s">
        <v>50</v>
      </c>
      <c r="AV52" s="11"/>
      <c r="AW52" s="10" t="s">
        <v>66</v>
      </c>
      <c r="AX52" s="10"/>
      <c r="AY52" s="10" t="s">
        <v>66</v>
      </c>
    </row>
    <row r="53" ht="22.5" hidden="1" customHeight="1">
      <c r="A53" s="9" t="s">
        <v>687</v>
      </c>
      <c r="B53" s="10" t="s">
        <v>676</v>
      </c>
      <c r="C53" s="10" t="s">
        <v>43</v>
      </c>
      <c r="D53" s="10" t="s">
        <v>688</v>
      </c>
      <c r="E53" s="10" t="s">
        <v>45</v>
      </c>
      <c r="F53" s="11">
        <v>1.0</v>
      </c>
      <c r="G53" s="11">
        <v>43.7</v>
      </c>
      <c r="H53" s="11">
        <v>12.33</v>
      </c>
      <c r="I53" s="11">
        <v>-13.43</v>
      </c>
      <c r="J53" s="11">
        <v>-12.33</v>
      </c>
      <c r="K53" s="11"/>
      <c r="L53" s="11">
        <v>32.89</v>
      </c>
      <c r="M53" s="10" t="s">
        <v>46</v>
      </c>
      <c r="N53" s="10" t="s">
        <v>50</v>
      </c>
      <c r="O53" s="10" t="s">
        <v>176</v>
      </c>
      <c r="P53" s="10" t="s">
        <v>177</v>
      </c>
      <c r="Q53" s="10" t="s">
        <v>178</v>
      </c>
      <c r="R53" s="10" t="s">
        <v>74</v>
      </c>
      <c r="S53" s="11">
        <v>43.7</v>
      </c>
      <c r="T53" s="11">
        <v>22.58</v>
      </c>
      <c r="U53" s="11" t="s">
        <v>51</v>
      </c>
      <c r="V53" s="10" t="s">
        <v>52</v>
      </c>
      <c r="W53" s="10" t="s">
        <v>689</v>
      </c>
      <c r="X53" s="10" t="s">
        <v>690</v>
      </c>
      <c r="Y53" s="10" t="s">
        <v>691</v>
      </c>
      <c r="Z53" s="10" t="s">
        <v>50</v>
      </c>
      <c r="AA53" s="10" t="s">
        <v>50</v>
      </c>
      <c r="AB53" s="10" t="s">
        <v>689</v>
      </c>
      <c r="AC53" s="10" t="s">
        <v>692</v>
      </c>
      <c r="AD53" s="10" t="s">
        <v>693</v>
      </c>
      <c r="AE53" s="10" t="s">
        <v>322</v>
      </c>
      <c r="AF53" s="10" t="s">
        <v>323</v>
      </c>
      <c r="AG53" s="10" t="s">
        <v>694</v>
      </c>
      <c r="AH53" s="10" t="s">
        <v>60</v>
      </c>
      <c r="AI53" s="10" t="s">
        <v>61</v>
      </c>
      <c r="AJ53" s="10" t="s">
        <v>695</v>
      </c>
      <c r="AK53" s="10" t="s">
        <v>696</v>
      </c>
      <c r="AL53" s="10" t="s">
        <v>64</v>
      </c>
      <c r="AM53" s="10" t="s">
        <v>697</v>
      </c>
      <c r="AN53" s="10" t="s">
        <v>50</v>
      </c>
      <c r="AO53" s="11" t="s">
        <v>50</v>
      </c>
      <c r="AP53" s="10" t="s">
        <v>50</v>
      </c>
      <c r="AQ53" s="10" t="s">
        <v>50</v>
      </c>
      <c r="AR53" s="10" t="s">
        <v>50</v>
      </c>
      <c r="AS53" s="10" t="s">
        <v>50</v>
      </c>
      <c r="AT53" s="10" t="s">
        <v>50</v>
      </c>
      <c r="AU53" s="10" t="s">
        <v>50</v>
      </c>
      <c r="AV53" s="11"/>
      <c r="AW53" s="10" t="s">
        <v>66</v>
      </c>
      <c r="AX53" s="10"/>
      <c r="AY53" s="10" t="s">
        <v>66</v>
      </c>
    </row>
    <row r="54" ht="22.5" hidden="1" customHeight="1">
      <c r="A54" s="9" t="s">
        <v>698</v>
      </c>
      <c r="B54" s="10" t="s">
        <v>699</v>
      </c>
      <c r="C54" s="10" t="s">
        <v>43</v>
      </c>
      <c r="D54" s="10" t="s">
        <v>688</v>
      </c>
      <c r="E54" s="10" t="s">
        <v>66</v>
      </c>
      <c r="F54" s="11">
        <v>1.0</v>
      </c>
      <c r="G54" s="11">
        <v>120.0</v>
      </c>
      <c r="H54" s="11"/>
      <c r="I54" s="11">
        <v>-20.4</v>
      </c>
      <c r="J54" s="11">
        <v>-19.95</v>
      </c>
      <c r="K54" s="11"/>
      <c r="L54" s="11">
        <v>86.85</v>
      </c>
      <c r="M54" s="10" t="s">
        <v>46</v>
      </c>
      <c r="N54" s="10" t="s">
        <v>45</v>
      </c>
      <c r="O54" s="10" t="s">
        <v>85</v>
      </c>
      <c r="P54" s="10" t="s">
        <v>86</v>
      </c>
      <c r="Q54" s="10" t="s">
        <v>87</v>
      </c>
      <c r="R54" s="10" t="s">
        <v>74</v>
      </c>
      <c r="S54" s="11">
        <v>120.0</v>
      </c>
      <c r="T54" s="11">
        <v>65.78</v>
      </c>
      <c r="U54" s="11" t="s">
        <v>51</v>
      </c>
      <c r="V54" s="10" t="s">
        <v>52</v>
      </c>
      <c r="W54" s="10" t="s">
        <v>700</v>
      </c>
      <c r="X54" s="10" t="s">
        <v>701</v>
      </c>
      <c r="Y54" s="10" t="s">
        <v>702</v>
      </c>
      <c r="Z54" s="10" t="s">
        <v>50</v>
      </c>
      <c r="AA54" s="10" t="s">
        <v>50</v>
      </c>
      <c r="AB54" s="10" t="s">
        <v>700</v>
      </c>
      <c r="AC54" s="10" t="s">
        <v>703</v>
      </c>
      <c r="AD54" s="10" t="s">
        <v>704</v>
      </c>
      <c r="AE54" s="10" t="s">
        <v>469</v>
      </c>
      <c r="AF54" s="10" t="s">
        <v>185</v>
      </c>
      <c r="AG54" s="10" t="s">
        <v>705</v>
      </c>
      <c r="AH54" s="10" t="s">
        <v>60</v>
      </c>
      <c r="AI54" s="10" t="s">
        <v>61</v>
      </c>
      <c r="AJ54" s="10" t="s">
        <v>706</v>
      </c>
      <c r="AK54" s="10" t="s">
        <v>707</v>
      </c>
      <c r="AL54" s="10" t="s">
        <v>64</v>
      </c>
      <c r="AM54" s="10" t="s">
        <v>708</v>
      </c>
      <c r="AN54" s="10" t="s">
        <v>50</v>
      </c>
      <c r="AO54" s="11" t="s">
        <v>50</v>
      </c>
      <c r="AP54" s="10" t="s">
        <v>50</v>
      </c>
      <c r="AQ54" s="10" t="s">
        <v>50</v>
      </c>
      <c r="AR54" s="10" t="s">
        <v>50</v>
      </c>
      <c r="AS54" s="10" t="s">
        <v>50</v>
      </c>
      <c r="AT54" s="10" t="s">
        <v>50</v>
      </c>
      <c r="AU54" s="10" t="s">
        <v>50</v>
      </c>
      <c r="AV54" s="11"/>
      <c r="AW54" s="10" t="s">
        <v>66</v>
      </c>
      <c r="AX54" s="10"/>
      <c r="AY54" s="10" t="s">
        <v>66</v>
      </c>
    </row>
    <row r="55" ht="22.5" hidden="1" customHeight="1">
      <c r="A55" s="9" t="s">
        <v>709</v>
      </c>
      <c r="B55" s="10" t="s">
        <v>710</v>
      </c>
      <c r="C55" s="10" t="s">
        <v>43</v>
      </c>
      <c r="D55" s="10" t="s">
        <v>688</v>
      </c>
      <c r="E55" s="10" t="s">
        <v>45</v>
      </c>
      <c r="F55" s="11">
        <v>1.0</v>
      </c>
      <c r="G55" s="11">
        <v>92.15</v>
      </c>
      <c r="H55" s="11"/>
      <c r="I55" s="11">
        <v>-17.51</v>
      </c>
      <c r="J55" s="11">
        <v>-20.45</v>
      </c>
      <c r="K55" s="11"/>
      <c r="L55" s="11">
        <v>59.72</v>
      </c>
      <c r="M55" s="10" t="s">
        <v>46</v>
      </c>
      <c r="N55" s="10" t="s">
        <v>45</v>
      </c>
      <c r="O55" s="10" t="s">
        <v>586</v>
      </c>
      <c r="P55" s="10" t="s">
        <v>587</v>
      </c>
      <c r="Q55" s="10" t="s">
        <v>588</v>
      </c>
      <c r="R55" s="10" t="s">
        <v>50</v>
      </c>
      <c r="S55" s="11">
        <v>92.15</v>
      </c>
      <c r="T55" s="11">
        <v>20.76</v>
      </c>
      <c r="U55" s="11" t="s">
        <v>51</v>
      </c>
      <c r="V55" s="10" t="s">
        <v>52</v>
      </c>
      <c r="W55" s="10" t="s">
        <v>711</v>
      </c>
      <c r="X55" s="10" t="s">
        <v>712</v>
      </c>
      <c r="Y55" s="10" t="s">
        <v>713</v>
      </c>
      <c r="Z55" s="10" t="s">
        <v>50</v>
      </c>
      <c r="AA55" s="10" t="s">
        <v>50</v>
      </c>
      <c r="AB55" s="10" t="s">
        <v>711</v>
      </c>
      <c r="AC55" s="10" t="s">
        <v>714</v>
      </c>
      <c r="AD55" s="10" t="s">
        <v>715</v>
      </c>
      <c r="AE55" s="10" t="s">
        <v>716</v>
      </c>
      <c r="AF55" s="10" t="s">
        <v>185</v>
      </c>
      <c r="AG55" s="10" t="s">
        <v>717</v>
      </c>
      <c r="AH55" s="10" t="s">
        <v>60</v>
      </c>
      <c r="AI55" s="10" t="s">
        <v>61</v>
      </c>
      <c r="AJ55" s="10" t="s">
        <v>718</v>
      </c>
      <c r="AK55" s="10" t="s">
        <v>719</v>
      </c>
      <c r="AL55" s="10" t="s">
        <v>64</v>
      </c>
      <c r="AM55" s="10" t="s">
        <v>720</v>
      </c>
      <c r="AN55" s="10" t="s">
        <v>50</v>
      </c>
      <c r="AO55" s="11" t="s">
        <v>50</v>
      </c>
      <c r="AP55" s="10" t="s">
        <v>50</v>
      </c>
      <c r="AQ55" s="10" t="s">
        <v>50</v>
      </c>
      <c r="AR55" s="10" t="s">
        <v>50</v>
      </c>
      <c r="AS55" s="10" t="s">
        <v>50</v>
      </c>
      <c r="AT55" s="10" t="s">
        <v>50</v>
      </c>
      <c r="AU55" s="10" t="s">
        <v>50</v>
      </c>
      <c r="AV55" s="11"/>
      <c r="AW55" s="10" t="s">
        <v>66</v>
      </c>
      <c r="AX55" s="10"/>
      <c r="AY55" s="10" t="s">
        <v>66</v>
      </c>
    </row>
    <row r="56" ht="22.5" hidden="1" customHeight="1">
      <c r="A56" s="9" t="s">
        <v>721</v>
      </c>
      <c r="B56" s="10" t="s">
        <v>722</v>
      </c>
      <c r="C56" s="10" t="s">
        <v>43</v>
      </c>
      <c r="D56" s="10" t="s">
        <v>125</v>
      </c>
      <c r="E56" s="10" t="s">
        <v>45</v>
      </c>
      <c r="F56" s="11">
        <v>1.0</v>
      </c>
      <c r="G56" s="11">
        <v>84.0</v>
      </c>
      <c r="H56" s="11"/>
      <c r="I56" s="11">
        <v>-14.28</v>
      </c>
      <c r="J56" s="11">
        <v>-20.45</v>
      </c>
      <c r="K56" s="11"/>
      <c r="L56" s="11">
        <v>49.27</v>
      </c>
      <c r="M56" s="10" t="s">
        <v>46</v>
      </c>
      <c r="N56" s="10" t="s">
        <v>45</v>
      </c>
      <c r="O56" s="10" t="s">
        <v>265</v>
      </c>
      <c r="P56" s="10" t="s">
        <v>266</v>
      </c>
      <c r="Q56" s="10" t="s">
        <v>267</v>
      </c>
      <c r="R56" s="10" t="s">
        <v>74</v>
      </c>
      <c r="S56" s="11">
        <v>84.0</v>
      </c>
      <c r="T56" s="11">
        <v>26.22</v>
      </c>
      <c r="U56" s="11" t="s">
        <v>51</v>
      </c>
      <c r="V56" s="10" t="s">
        <v>52</v>
      </c>
      <c r="W56" s="10" t="s">
        <v>723</v>
      </c>
      <c r="X56" s="10" t="s">
        <v>724</v>
      </c>
      <c r="Y56" s="10" t="s">
        <v>725</v>
      </c>
      <c r="Z56" s="10" t="s">
        <v>50</v>
      </c>
      <c r="AA56" s="10" t="s">
        <v>50</v>
      </c>
      <c r="AB56" s="10" t="s">
        <v>723</v>
      </c>
      <c r="AC56" s="10" t="s">
        <v>726</v>
      </c>
      <c r="AD56" s="10" t="s">
        <v>727</v>
      </c>
      <c r="AE56" s="10" t="s">
        <v>58</v>
      </c>
      <c r="AF56" s="10" t="s">
        <v>58</v>
      </c>
      <c r="AG56" s="10" t="s">
        <v>728</v>
      </c>
      <c r="AH56" s="10" t="s">
        <v>60</v>
      </c>
      <c r="AI56" s="10" t="s">
        <v>61</v>
      </c>
      <c r="AJ56" s="10" t="s">
        <v>729</v>
      </c>
      <c r="AK56" s="10" t="s">
        <v>730</v>
      </c>
      <c r="AL56" s="10" t="s">
        <v>64</v>
      </c>
      <c r="AM56" s="10" t="s">
        <v>731</v>
      </c>
      <c r="AN56" s="10" t="s">
        <v>50</v>
      </c>
      <c r="AO56" s="11" t="s">
        <v>50</v>
      </c>
      <c r="AP56" s="10" t="s">
        <v>50</v>
      </c>
      <c r="AQ56" s="10" t="s">
        <v>50</v>
      </c>
      <c r="AR56" s="10" t="s">
        <v>50</v>
      </c>
      <c r="AS56" s="10" t="s">
        <v>50</v>
      </c>
      <c r="AT56" s="10" t="s">
        <v>50</v>
      </c>
      <c r="AU56" s="10" t="s">
        <v>50</v>
      </c>
      <c r="AV56" s="11"/>
      <c r="AW56" s="10" t="s">
        <v>66</v>
      </c>
      <c r="AX56" s="10"/>
      <c r="AY56" s="10" t="s">
        <v>66</v>
      </c>
    </row>
    <row r="57" ht="22.5" hidden="1" customHeight="1">
      <c r="A57" s="9" t="s">
        <v>732</v>
      </c>
      <c r="B57" s="10" t="s">
        <v>733</v>
      </c>
      <c r="C57" s="10" t="s">
        <v>43</v>
      </c>
      <c r="D57" s="10" t="s">
        <v>734</v>
      </c>
      <c r="E57" s="10" t="s">
        <v>66</v>
      </c>
      <c r="F57" s="11">
        <v>1.0</v>
      </c>
      <c r="G57" s="11">
        <v>92.15</v>
      </c>
      <c r="H57" s="11"/>
      <c r="I57" s="11">
        <v>-17.51</v>
      </c>
      <c r="J57" s="11">
        <v>-20.45</v>
      </c>
      <c r="K57" s="11"/>
      <c r="L57" s="11">
        <v>59.72</v>
      </c>
      <c r="M57" s="10" t="s">
        <v>46</v>
      </c>
      <c r="N57" s="10" t="s">
        <v>50</v>
      </c>
      <c r="O57" s="10" t="s">
        <v>586</v>
      </c>
      <c r="P57" s="10" t="s">
        <v>587</v>
      </c>
      <c r="Q57" s="10" t="s">
        <v>588</v>
      </c>
      <c r="R57" s="10" t="s">
        <v>50</v>
      </c>
      <c r="S57" s="11">
        <v>92.15</v>
      </c>
      <c r="T57" s="11">
        <v>20.76</v>
      </c>
      <c r="U57" s="11" t="s">
        <v>51</v>
      </c>
      <c r="V57" s="10" t="s">
        <v>52</v>
      </c>
      <c r="W57" s="10" t="s">
        <v>735</v>
      </c>
      <c r="X57" s="10" t="s">
        <v>736</v>
      </c>
      <c r="Y57" s="10" t="s">
        <v>737</v>
      </c>
      <c r="Z57" s="10" t="s">
        <v>50</v>
      </c>
      <c r="AA57" s="10" t="s">
        <v>50</v>
      </c>
      <c r="AB57" s="10" t="s">
        <v>735</v>
      </c>
      <c r="AC57" s="10" t="s">
        <v>738</v>
      </c>
      <c r="AD57" s="10" t="s">
        <v>739</v>
      </c>
      <c r="AE57" s="10" t="s">
        <v>740</v>
      </c>
      <c r="AF57" s="10" t="s">
        <v>119</v>
      </c>
      <c r="AG57" s="10" t="s">
        <v>741</v>
      </c>
      <c r="AH57" s="10" t="s">
        <v>60</v>
      </c>
      <c r="AI57" s="10" t="s">
        <v>61</v>
      </c>
      <c r="AJ57" s="10" t="s">
        <v>742</v>
      </c>
      <c r="AK57" s="10" t="s">
        <v>743</v>
      </c>
      <c r="AL57" s="10" t="s">
        <v>64</v>
      </c>
      <c r="AM57" s="10" t="s">
        <v>744</v>
      </c>
      <c r="AN57" s="10" t="s">
        <v>50</v>
      </c>
      <c r="AO57" s="11" t="s">
        <v>50</v>
      </c>
      <c r="AP57" s="10" t="s">
        <v>50</v>
      </c>
      <c r="AQ57" s="10" t="s">
        <v>50</v>
      </c>
      <c r="AR57" s="10" t="s">
        <v>50</v>
      </c>
      <c r="AS57" s="10" t="s">
        <v>50</v>
      </c>
      <c r="AT57" s="10" t="s">
        <v>50</v>
      </c>
      <c r="AU57" s="10" t="s">
        <v>50</v>
      </c>
      <c r="AV57" s="11"/>
      <c r="AW57" s="10" t="s">
        <v>66</v>
      </c>
      <c r="AX57" s="10"/>
      <c r="AY57" s="10" t="s">
        <v>66</v>
      </c>
    </row>
    <row r="58" ht="22.5" hidden="1" customHeight="1">
      <c r="A58" s="12" t="s">
        <v>745</v>
      </c>
      <c r="B58" s="13" t="s">
        <v>746</v>
      </c>
      <c r="C58" s="13" t="s">
        <v>747</v>
      </c>
      <c r="D58" s="13" t="s">
        <v>50</v>
      </c>
      <c r="E58" s="13" t="s">
        <v>50</v>
      </c>
      <c r="F58" s="14"/>
      <c r="G58" s="14">
        <v>199.0</v>
      </c>
      <c r="H58" s="14"/>
      <c r="I58" s="14">
        <v>-33.83</v>
      </c>
      <c r="J58" s="14">
        <v>-41.9</v>
      </c>
      <c r="K58" s="14"/>
      <c r="L58" s="14">
        <v>129.27</v>
      </c>
      <c r="M58" s="13" t="s">
        <v>46</v>
      </c>
      <c r="N58" s="13" t="s">
        <v>50</v>
      </c>
      <c r="O58" s="13" t="s">
        <v>50</v>
      </c>
      <c r="P58" s="13" t="s">
        <v>50</v>
      </c>
      <c r="Q58" s="13" t="s">
        <v>50</v>
      </c>
      <c r="R58" s="13" t="s">
        <v>50</v>
      </c>
      <c r="S58" s="14"/>
      <c r="T58" s="11"/>
      <c r="U58" s="14" t="s">
        <v>50</v>
      </c>
      <c r="V58" s="13" t="s">
        <v>52</v>
      </c>
      <c r="W58" s="13" t="s">
        <v>748</v>
      </c>
      <c r="X58" s="13" t="s">
        <v>749</v>
      </c>
      <c r="Y58" s="13" t="s">
        <v>750</v>
      </c>
      <c r="Z58" s="13" t="s">
        <v>50</v>
      </c>
      <c r="AA58" s="13" t="s">
        <v>50</v>
      </c>
      <c r="AB58" s="13" t="s">
        <v>748</v>
      </c>
      <c r="AC58" s="13" t="s">
        <v>751</v>
      </c>
      <c r="AD58" s="13" t="s">
        <v>752</v>
      </c>
      <c r="AE58" s="13" t="s">
        <v>753</v>
      </c>
      <c r="AF58" s="13" t="s">
        <v>58</v>
      </c>
      <c r="AG58" s="13" t="s">
        <v>754</v>
      </c>
      <c r="AH58" s="13" t="s">
        <v>60</v>
      </c>
      <c r="AI58" s="13" t="s">
        <v>61</v>
      </c>
      <c r="AJ58" s="13" t="s">
        <v>755</v>
      </c>
      <c r="AK58" s="13" t="s">
        <v>756</v>
      </c>
      <c r="AL58" s="13" t="s">
        <v>64</v>
      </c>
      <c r="AM58" s="13" t="s">
        <v>757</v>
      </c>
      <c r="AN58" s="13" t="s">
        <v>50</v>
      </c>
      <c r="AO58" s="15" t="s">
        <v>50</v>
      </c>
      <c r="AP58" s="13" t="s">
        <v>50</v>
      </c>
      <c r="AQ58" s="13" t="s">
        <v>50</v>
      </c>
      <c r="AR58" s="13" t="s">
        <v>50</v>
      </c>
      <c r="AS58" s="13" t="s">
        <v>50</v>
      </c>
      <c r="AT58" s="13" t="s">
        <v>50</v>
      </c>
      <c r="AU58" s="13" t="s">
        <v>50</v>
      </c>
      <c r="AV58" s="15"/>
      <c r="AW58" s="13" t="s">
        <v>50</v>
      </c>
      <c r="AX58" s="13"/>
      <c r="AY58" s="13" t="s">
        <v>50</v>
      </c>
    </row>
    <row r="59" ht="22.5" hidden="1" customHeight="1">
      <c r="A59" s="16" t="s">
        <v>758</v>
      </c>
      <c r="B59" s="17" t="s">
        <v>746</v>
      </c>
      <c r="C59" s="17" t="s">
        <v>43</v>
      </c>
      <c r="D59" s="17" t="s">
        <v>759</v>
      </c>
      <c r="E59" s="17" t="s">
        <v>45</v>
      </c>
      <c r="F59" s="18">
        <v>1.0</v>
      </c>
      <c r="G59" s="18"/>
      <c r="H59" s="18"/>
      <c r="I59" s="18"/>
      <c r="J59" s="18"/>
      <c r="K59" s="18"/>
      <c r="L59" s="18"/>
      <c r="M59" s="17" t="s">
        <v>50</v>
      </c>
      <c r="N59" s="17" t="s">
        <v>45</v>
      </c>
      <c r="O59" s="17" t="s">
        <v>160</v>
      </c>
      <c r="P59" s="17" t="s">
        <v>161</v>
      </c>
      <c r="Q59" s="17" t="s">
        <v>162</v>
      </c>
      <c r="R59" s="17" t="s">
        <v>74</v>
      </c>
      <c r="S59" s="18">
        <v>79.0</v>
      </c>
      <c r="T59" s="11">
        <v>2.49</v>
      </c>
      <c r="U59" s="18" t="s">
        <v>51</v>
      </c>
      <c r="V59" s="17" t="s">
        <v>50</v>
      </c>
      <c r="W59" s="17" t="s">
        <v>50</v>
      </c>
      <c r="X59" s="17" t="s">
        <v>50</v>
      </c>
      <c r="Y59" s="17" t="s">
        <v>50</v>
      </c>
      <c r="Z59" s="17" t="s">
        <v>50</v>
      </c>
      <c r="AA59" s="17" t="s">
        <v>50</v>
      </c>
      <c r="AB59" s="17" t="s">
        <v>50</v>
      </c>
      <c r="AC59" s="17" t="s">
        <v>50</v>
      </c>
      <c r="AD59" s="17" t="s">
        <v>50</v>
      </c>
      <c r="AE59" s="17" t="s">
        <v>50</v>
      </c>
      <c r="AF59" s="17" t="s">
        <v>50</v>
      </c>
      <c r="AG59" s="17" t="s">
        <v>50</v>
      </c>
      <c r="AH59" s="17" t="s">
        <v>50</v>
      </c>
      <c r="AI59" s="17" t="s">
        <v>50</v>
      </c>
      <c r="AJ59" s="17" t="s">
        <v>50</v>
      </c>
      <c r="AK59" s="17" t="s">
        <v>50</v>
      </c>
      <c r="AL59" s="17" t="s">
        <v>50</v>
      </c>
      <c r="AM59" s="17" t="s">
        <v>50</v>
      </c>
      <c r="AN59" s="17" t="s">
        <v>50</v>
      </c>
      <c r="AO59" s="18" t="s">
        <v>50</v>
      </c>
      <c r="AP59" s="17" t="s">
        <v>50</v>
      </c>
      <c r="AQ59" s="17" t="s">
        <v>50</v>
      </c>
      <c r="AR59" s="17" t="s">
        <v>50</v>
      </c>
      <c r="AS59" s="17" t="s">
        <v>50</v>
      </c>
      <c r="AT59" s="17" t="s">
        <v>50</v>
      </c>
      <c r="AU59" s="17" t="s">
        <v>50</v>
      </c>
      <c r="AV59" s="18"/>
      <c r="AW59" s="17" t="s">
        <v>66</v>
      </c>
      <c r="AX59" s="17"/>
      <c r="AY59" s="17" t="s">
        <v>66</v>
      </c>
    </row>
    <row r="60" ht="22.5" hidden="1" customHeight="1">
      <c r="A60" s="16" t="s">
        <v>760</v>
      </c>
      <c r="B60" s="17" t="s">
        <v>746</v>
      </c>
      <c r="C60" s="17" t="s">
        <v>43</v>
      </c>
      <c r="D60" s="17" t="s">
        <v>759</v>
      </c>
      <c r="E60" s="17" t="s">
        <v>45</v>
      </c>
      <c r="F60" s="18">
        <v>1.0</v>
      </c>
      <c r="G60" s="18"/>
      <c r="H60" s="18"/>
      <c r="I60" s="18"/>
      <c r="J60" s="18"/>
      <c r="K60" s="18"/>
      <c r="L60" s="18"/>
      <c r="M60" s="17" t="s">
        <v>50</v>
      </c>
      <c r="N60" s="17" t="s">
        <v>45</v>
      </c>
      <c r="O60" s="17" t="s">
        <v>761</v>
      </c>
      <c r="P60" s="17" t="s">
        <v>762</v>
      </c>
      <c r="Q60" s="17" t="s">
        <v>763</v>
      </c>
      <c r="R60" s="17" t="s">
        <v>74</v>
      </c>
      <c r="S60" s="18">
        <v>120.0</v>
      </c>
      <c r="T60" s="18">
        <v>47.94</v>
      </c>
      <c r="U60" s="18" t="s">
        <v>51</v>
      </c>
      <c r="V60" s="17" t="s">
        <v>50</v>
      </c>
      <c r="W60" s="17" t="s">
        <v>50</v>
      </c>
      <c r="X60" s="17" t="s">
        <v>50</v>
      </c>
      <c r="Y60" s="17" t="s">
        <v>50</v>
      </c>
      <c r="Z60" s="17" t="s">
        <v>50</v>
      </c>
      <c r="AA60" s="17" t="s">
        <v>50</v>
      </c>
      <c r="AB60" s="17" t="s">
        <v>50</v>
      </c>
      <c r="AC60" s="17" t="s">
        <v>50</v>
      </c>
      <c r="AD60" s="17" t="s">
        <v>50</v>
      </c>
      <c r="AE60" s="17" t="s">
        <v>50</v>
      </c>
      <c r="AF60" s="17" t="s">
        <v>50</v>
      </c>
      <c r="AG60" s="17" t="s">
        <v>50</v>
      </c>
      <c r="AH60" s="17" t="s">
        <v>50</v>
      </c>
      <c r="AI60" s="17" t="s">
        <v>50</v>
      </c>
      <c r="AJ60" s="17" t="s">
        <v>50</v>
      </c>
      <c r="AK60" s="17" t="s">
        <v>50</v>
      </c>
      <c r="AL60" s="17" t="s">
        <v>50</v>
      </c>
      <c r="AM60" s="17" t="s">
        <v>50</v>
      </c>
      <c r="AN60" s="17" t="s">
        <v>50</v>
      </c>
      <c r="AO60" s="18" t="s">
        <v>50</v>
      </c>
      <c r="AP60" s="17" t="s">
        <v>50</v>
      </c>
      <c r="AQ60" s="17" t="s">
        <v>50</v>
      </c>
      <c r="AR60" s="17" t="s">
        <v>50</v>
      </c>
      <c r="AS60" s="17" t="s">
        <v>50</v>
      </c>
      <c r="AT60" s="17" t="s">
        <v>50</v>
      </c>
      <c r="AU60" s="17" t="s">
        <v>50</v>
      </c>
      <c r="AV60" s="18"/>
      <c r="AW60" s="17" t="s">
        <v>66</v>
      </c>
      <c r="AX60" s="17"/>
      <c r="AY60" s="17" t="s">
        <v>66</v>
      </c>
    </row>
    <row r="61" ht="22.5" hidden="1" customHeight="1">
      <c r="A61" s="9" t="s">
        <v>764</v>
      </c>
      <c r="B61" s="10" t="s">
        <v>765</v>
      </c>
      <c r="C61" s="10" t="s">
        <v>43</v>
      </c>
      <c r="D61" s="10" t="s">
        <v>688</v>
      </c>
      <c r="E61" s="10" t="s">
        <v>66</v>
      </c>
      <c r="F61" s="11">
        <v>1.0</v>
      </c>
      <c r="G61" s="11">
        <v>79.0</v>
      </c>
      <c r="H61" s="11"/>
      <c r="I61" s="11">
        <v>-13.43</v>
      </c>
      <c r="J61" s="11">
        <v>-19.95</v>
      </c>
      <c r="K61" s="11"/>
      <c r="L61" s="11">
        <v>45.62</v>
      </c>
      <c r="M61" s="10" t="s">
        <v>46</v>
      </c>
      <c r="N61" s="10" t="s">
        <v>45</v>
      </c>
      <c r="O61" s="10" t="s">
        <v>766</v>
      </c>
      <c r="P61" s="10" t="s">
        <v>767</v>
      </c>
      <c r="Q61" s="10" t="s">
        <v>768</v>
      </c>
      <c r="R61" s="10" t="s">
        <v>74</v>
      </c>
      <c r="S61" s="11">
        <v>79.0</v>
      </c>
      <c r="T61" s="11">
        <v>13.62</v>
      </c>
      <c r="U61" s="11" t="s">
        <v>51</v>
      </c>
      <c r="V61" s="10" t="s">
        <v>52</v>
      </c>
      <c r="W61" s="10" t="s">
        <v>769</v>
      </c>
      <c r="X61" s="10" t="s">
        <v>770</v>
      </c>
      <c r="Y61" s="10" t="s">
        <v>771</v>
      </c>
      <c r="Z61" s="10" t="s">
        <v>50</v>
      </c>
      <c r="AA61" s="10" t="s">
        <v>50</v>
      </c>
      <c r="AB61" s="10" t="s">
        <v>769</v>
      </c>
      <c r="AC61" s="10" t="s">
        <v>772</v>
      </c>
      <c r="AD61" s="10" t="s">
        <v>773</v>
      </c>
      <c r="AE61" s="10" t="s">
        <v>774</v>
      </c>
      <c r="AF61" s="10" t="s">
        <v>775</v>
      </c>
      <c r="AG61" s="10" t="s">
        <v>776</v>
      </c>
      <c r="AH61" s="10" t="s">
        <v>60</v>
      </c>
      <c r="AI61" s="10" t="s">
        <v>61</v>
      </c>
      <c r="AJ61" s="10" t="s">
        <v>777</v>
      </c>
      <c r="AK61" s="10" t="s">
        <v>778</v>
      </c>
      <c r="AL61" s="10" t="s">
        <v>64</v>
      </c>
      <c r="AM61" s="10" t="s">
        <v>779</v>
      </c>
      <c r="AN61" s="10" t="s">
        <v>50</v>
      </c>
      <c r="AO61" s="11" t="s">
        <v>50</v>
      </c>
      <c r="AP61" s="10" t="s">
        <v>50</v>
      </c>
      <c r="AQ61" s="10" t="s">
        <v>50</v>
      </c>
      <c r="AR61" s="10" t="s">
        <v>50</v>
      </c>
      <c r="AS61" s="10" t="s">
        <v>50</v>
      </c>
      <c r="AT61" s="10" t="s">
        <v>50</v>
      </c>
      <c r="AU61" s="10" t="s">
        <v>50</v>
      </c>
      <c r="AV61" s="11"/>
      <c r="AW61" s="10" t="s">
        <v>66</v>
      </c>
      <c r="AX61" s="10"/>
      <c r="AY61" s="10" t="s">
        <v>66</v>
      </c>
    </row>
    <row r="62" ht="22.5" hidden="1" customHeight="1">
      <c r="A62" s="9" t="s">
        <v>780</v>
      </c>
      <c r="B62" s="10" t="s">
        <v>781</v>
      </c>
      <c r="C62" s="10" t="s">
        <v>43</v>
      </c>
      <c r="D62" s="10" t="s">
        <v>734</v>
      </c>
      <c r="E62" s="10" t="s">
        <v>66</v>
      </c>
      <c r="F62" s="11">
        <v>1.0</v>
      </c>
      <c r="G62" s="11">
        <v>120.0</v>
      </c>
      <c r="H62" s="11"/>
      <c r="I62" s="11">
        <v>-20.4</v>
      </c>
      <c r="J62" s="11">
        <v>-19.95</v>
      </c>
      <c r="K62" s="11"/>
      <c r="L62" s="11">
        <v>86.85</v>
      </c>
      <c r="M62" s="10" t="s">
        <v>46</v>
      </c>
      <c r="N62" s="10" t="s">
        <v>45</v>
      </c>
      <c r="O62" s="10" t="s">
        <v>85</v>
      </c>
      <c r="P62" s="10" t="s">
        <v>86</v>
      </c>
      <c r="Q62" s="10" t="s">
        <v>87</v>
      </c>
      <c r="R62" s="10" t="s">
        <v>74</v>
      </c>
      <c r="S62" s="11">
        <v>120.0</v>
      </c>
      <c r="T62" s="11">
        <v>65.78</v>
      </c>
      <c r="U62" s="11" t="s">
        <v>51</v>
      </c>
      <c r="V62" s="10" t="s">
        <v>52</v>
      </c>
      <c r="W62" s="10" t="s">
        <v>782</v>
      </c>
      <c r="X62" s="10" t="s">
        <v>783</v>
      </c>
      <c r="Y62" s="10" t="s">
        <v>784</v>
      </c>
      <c r="Z62" s="10" t="s">
        <v>50</v>
      </c>
      <c r="AA62" s="10" t="s">
        <v>50</v>
      </c>
      <c r="AB62" s="10" t="s">
        <v>782</v>
      </c>
      <c r="AC62" s="10" t="s">
        <v>785</v>
      </c>
      <c r="AD62" s="10" t="s">
        <v>786</v>
      </c>
      <c r="AE62" s="10" t="s">
        <v>296</v>
      </c>
      <c r="AF62" s="10" t="s">
        <v>58</v>
      </c>
      <c r="AG62" s="10" t="s">
        <v>787</v>
      </c>
      <c r="AH62" s="10" t="s">
        <v>60</v>
      </c>
      <c r="AI62" s="10" t="s">
        <v>61</v>
      </c>
      <c r="AJ62" s="10" t="s">
        <v>788</v>
      </c>
      <c r="AK62" s="10" t="s">
        <v>789</v>
      </c>
      <c r="AL62" s="10" t="s">
        <v>64</v>
      </c>
      <c r="AM62" s="10" t="s">
        <v>790</v>
      </c>
      <c r="AN62" s="10" t="s">
        <v>50</v>
      </c>
      <c r="AO62" s="11" t="s">
        <v>50</v>
      </c>
      <c r="AP62" s="10" t="s">
        <v>50</v>
      </c>
      <c r="AQ62" s="10" t="s">
        <v>50</v>
      </c>
      <c r="AR62" s="10" t="s">
        <v>50</v>
      </c>
      <c r="AS62" s="10" t="s">
        <v>50</v>
      </c>
      <c r="AT62" s="10" t="s">
        <v>50</v>
      </c>
      <c r="AU62" s="10" t="s">
        <v>50</v>
      </c>
      <c r="AV62" s="11"/>
      <c r="AW62" s="10" t="s">
        <v>66</v>
      </c>
      <c r="AX62" s="10"/>
      <c r="AY62" s="10" t="s">
        <v>66</v>
      </c>
    </row>
    <row r="63" ht="22.5" hidden="1" customHeight="1">
      <c r="A63" s="9" t="s">
        <v>791</v>
      </c>
      <c r="B63" s="10" t="s">
        <v>792</v>
      </c>
      <c r="C63" s="10" t="s">
        <v>43</v>
      </c>
      <c r="D63" s="10" t="s">
        <v>734</v>
      </c>
      <c r="E63" s="10" t="s">
        <v>66</v>
      </c>
      <c r="F63" s="11">
        <v>1.0</v>
      </c>
      <c r="G63" s="11">
        <v>120.0</v>
      </c>
      <c r="H63" s="11">
        <v>7.55</v>
      </c>
      <c r="I63" s="11">
        <v>-20.4</v>
      </c>
      <c r="J63" s="11">
        <v>-27.5</v>
      </c>
      <c r="K63" s="11"/>
      <c r="L63" s="11">
        <v>86.85</v>
      </c>
      <c r="M63" s="10" t="s">
        <v>46</v>
      </c>
      <c r="N63" s="10" t="s">
        <v>50</v>
      </c>
      <c r="O63" s="10" t="s">
        <v>85</v>
      </c>
      <c r="P63" s="10" t="s">
        <v>86</v>
      </c>
      <c r="Q63" s="10" t="s">
        <v>87</v>
      </c>
      <c r="R63" s="10" t="s">
        <v>74</v>
      </c>
      <c r="S63" s="11">
        <v>120.0</v>
      </c>
      <c r="T63" s="11">
        <v>65.78</v>
      </c>
      <c r="U63" s="11" t="s">
        <v>51</v>
      </c>
      <c r="V63" s="10" t="s">
        <v>52</v>
      </c>
      <c r="W63" s="10" t="s">
        <v>793</v>
      </c>
      <c r="X63" s="10" t="s">
        <v>794</v>
      </c>
      <c r="Y63" s="10" t="s">
        <v>795</v>
      </c>
      <c r="Z63" s="10" t="s">
        <v>50</v>
      </c>
      <c r="AA63" s="10" t="s">
        <v>50</v>
      </c>
      <c r="AB63" s="10" t="s">
        <v>793</v>
      </c>
      <c r="AC63" s="10" t="s">
        <v>796</v>
      </c>
      <c r="AD63" s="10" t="s">
        <v>797</v>
      </c>
      <c r="AE63" s="10" t="s">
        <v>798</v>
      </c>
      <c r="AF63" s="10" t="s">
        <v>799</v>
      </c>
      <c r="AG63" s="10" t="s">
        <v>800</v>
      </c>
      <c r="AH63" s="10" t="s">
        <v>60</v>
      </c>
      <c r="AI63" s="10" t="s">
        <v>61</v>
      </c>
      <c r="AJ63" s="10" t="s">
        <v>718</v>
      </c>
      <c r="AK63" s="10" t="s">
        <v>801</v>
      </c>
      <c r="AL63" s="10" t="s">
        <v>64</v>
      </c>
      <c r="AM63" s="10" t="s">
        <v>802</v>
      </c>
      <c r="AN63" s="10" t="s">
        <v>50</v>
      </c>
      <c r="AO63" s="11" t="s">
        <v>50</v>
      </c>
      <c r="AP63" s="10" t="s">
        <v>50</v>
      </c>
      <c r="AQ63" s="10" t="s">
        <v>50</v>
      </c>
      <c r="AR63" s="10" t="s">
        <v>50</v>
      </c>
      <c r="AS63" s="10" t="s">
        <v>50</v>
      </c>
      <c r="AT63" s="10" t="s">
        <v>50</v>
      </c>
      <c r="AU63" s="10" t="s">
        <v>50</v>
      </c>
      <c r="AV63" s="11"/>
      <c r="AW63" s="10" t="s">
        <v>66</v>
      </c>
      <c r="AX63" s="10"/>
      <c r="AY63" s="10" t="s">
        <v>66</v>
      </c>
    </row>
    <row r="64" ht="22.5" hidden="1" customHeight="1">
      <c r="A64" s="9" t="s">
        <v>803</v>
      </c>
      <c r="B64" s="10" t="s">
        <v>804</v>
      </c>
      <c r="C64" s="10" t="s">
        <v>43</v>
      </c>
      <c r="D64" s="10" t="s">
        <v>125</v>
      </c>
      <c r="E64" s="10" t="s">
        <v>66</v>
      </c>
      <c r="F64" s="11">
        <v>1.0</v>
      </c>
      <c r="G64" s="11">
        <v>82.5</v>
      </c>
      <c r="H64" s="11"/>
      <c r="I64" s="11">
        <v>-14.02</v>
      </c>
      <c r="J64" s="11">
        <v>-20.45</v>
      </c>
      <c r="K64" s="11"/>
      <c r="L64" s="11">
        <v>48.03</v>
      </c>
      <c r="M64" s="10" t="s">
        <v>46</v>
      </c>
      <c r="N64" s="10" t="s">
        <v>45</v>
      </c>
      <c r="O64" s="10" t="s">
        <v>412</v>
      </c>
      <c r="P64" s="10" t="s">
        <v>413</v>
      </c>
      <c r="Q64" s="10" t="s">
        <v>414</v>
      </c>
      <c r="R64" s="10" t="s">
        <v>415</v>
      </c>
      <c r="S64" s="11">
        <v>82.5</v>
      </c>
      <c r="T64" s="11">
        <v>10.05</v>
      </c>
      <c r="U64" s="11" t="s">
        <v>51</v>
      </c>
      <c r="V64" s="10" t="s">
        <v>52</v>
      </c>
      <c r="W64" s="10" t="s">
        <v>805</v>
      </c>
      <c r="X64" s="10" t="s">
        <v>806</v>
      </c>
      <c r="Y64" s="10" t="s">
        <v>807</v>
      </c>
      <c r="Z64" s="10" t="s">
        <v>50</v>
      </c>
      <c r="AA64" s="10" t="s">
        <v>50</v>
      </c>
      <c r="AB64" s="10" t="s">
        <v>805</v>
      </c>
      <c r="AC64" s="10" t="s">
        <v>808</v>
      </c>
      <c r="AD64" s="10" t="s">
        <v>809</v>
      </c>
      <c r="AE64" s="10" t="s">
        <v>810</v>
      </c>
      <c r="AF64" s="10" t="s">
        <v>323</v>
      </c>
      <c r="AG64" s="10" t="s">
        <v>811</v>
      </c>
      <c r="AH64" s="10" t="s">
        <v>60</v>
      </c>
      <c r="AI64" s="10" t="s">
        <v>61</v>
      </c>
      <c r="AJ64" s="10" t="s">
        <v>812</v>
      </c>
      <c r="AK64" s="10" t="s">
        <v>813</v>
      </c>
      <c r="AL64" s="10" t="s">
        <v>64</v>
      </c>
      <c r="AM64" s="10" t="s">
        <v>814</v>
      </c>
      <c r="AN64" s="10" t="s">
        <v>50</v>
      </c>
      <c r="AO64" s="11" t="s">
        <v>50</v>
      </c>
      <c r="AP64" s="10" t="s">
        <v>50</v>
      </c>
      <c r="AQ64" s="10" t="s">
        <v>50</v>
      </c>
      <c r="AR64" s="10" t="s">
        <v>50</v>
      </c>
      <c r="AS64" s="10" t="s">
        <v>50</v>
      </c>
      <c r="AT64" s="10" t="s">
        <v>50</v>
      </c>
      <c r="AU64" s="10" t="s">
        <v>50</v>
      </c>
      <c r="AV64" s="11"/>
      <c r="AW64" s="10" t="s">
        <v>66</v>
      </c>
      <c r="AX64" s="10"/>
      <c r="AY64" s="10" t="s">
        <v>66</v>
      </c>
    </row>
    <row r="65" ht="22.5" hidden="1" customHeight="1">
      <c r="A65" s="9" t="s">
        <v>815</v>
      </c>
      <c r="B65" s="10" t="s">
        <v>816</v>
      </c>
      <c r="C65" s="10" t="s">
        <v>43</v>
      </c>
      <c r="D65" s="10" t="s">
        <v>125</v>
      </c>
      <c r="E65" s="10" t="s">
        <v>66</v>
      </c>
      <c r="F65" s="11">
        <v>1.0</v>
      </c>
      <c r="G65" s="11">
        <v>80.0</v>
      </c>
      <c r="H65" s="11"/>
      <c r="I65" s="11">
        <v>-13.6</v>
      </c>
      <c r="J65" s="11">
        <v>-19.95</v>
      </c>
      <c r="K65" s="11"/>
      <c r="L65" s="11">
        <v>50.45</v>
      </c>
      <c r="M65" s="10" t="s">
        <v>46</v>
      </c>
      <c r="N65" s="10" t="s">
        <v>45</v>
      </c>
      <c r="O65" s="10" t="s">
        <v>143</v>
      </c>
      <c r="P65" s="10" t="s">
        <v>144</v>
      </c>
      <c r="Q65" s="10" t="s">
        <v>145</v>
      </c>
      <c r="R65" s="10" t="s">
        <v>74</v>
      </c>
      <c r="S65" s="11">
        <v>80.0</v>
      </c>
      <c r="T65" s="11">
        <v>33.38</v>
      </c>
      <c r="U65" s="11" t="s">
        <v>51</v>
      </c>
      <c r="V65" s="10" t="s">
        <v>52</v>
      </c>
      <c r="W65" s="10" t="s">
        <v>817</v>
      </c>
      <c r="X65" s="10" t="s">
        <v>818</v>
      </c>
      <c r="Y65" s="10" t="s">
        <v>819</v>
      </c>
      <c r="Z65" s="10" t="s">
        <v>50</v>
      </c>
      <c r="AA65" s="10" t="s">
        <v>50</v>
      </c>
      <c r="AB65" s="10" t="s">
        <v>817</v>
      </c>
      <c r="AC65" s="10" t="s">
        <v>820</v>
      </c>
      <c r="AD65" s="10" t="s">
        <v>821</v>
      </c>
      <c r="AE65" s="10" t="s">
        <v>822</v>
      </c>
      <c r="AF65" s="10" t="s">
        <v>58</v>
      </c>
      <c r="AG65" s="10" t="s">
        <v>823</v>
      </c>
      <c r="AH65" s="10" t="s">
        <v>60</v>
      </c>
      <c r="AI65" s="10" t="s">
        <v>61</v>
      </c>
      <c r="AJ65" s="10" t="s">
        <v>684</v>
      </c>
      <c r="AK65" s="10" t="s">
        <v>824</v>
      </c>
      <c r="AL65" s="10" t="s">
        <v>64</v>
      </c>
      <c r="AM65" s="10" t="s">
        <v>825</v>
      </c>
      <c r="AN65" s="10" t="s">
        <v>50</v>
      </c>
      <c r="AO65" s="11" t="s">
        <v>50</v>
      </c>
      <c r="AP65" s="10" t="s">
        <v>50</v>
      </c>
      <c r="AQ65" s="10" t="s">
        <v>50</v>
      </c>
      <c r="AR65" s="10" t="s">
        <v>50</v>
      </c>
      <c r="AS65" s="10" t="s">
        <v>50</v>
      </c>
      <c r="AT65" s="10" t="s">
        <v>50</v>
      </c>
      <c r="AU65" s="10" t="s">
        <v>50</v>
      </c>
      <c r="AV65" s="11"/>
      <c r="AW65" s="10" t="s">
        <v>66</v>
      </c>
      <c r="AX65" s="10"/>
      <c r="AY65" s="10" t="s">
        <v>66</v>
      </c>
    </row>
    <row r="66" ht="22.5" hidden="1" customHeight="1">
      <c r="A66" s="9" t="s">
        <v>826</v>
      </c>
      <c r="B66" s="10" t="s">
        <v>827</v>
      </c>
      <c r="C66" s="10" t="s">
        <v>43</v>
      </c>
      <c r="D66" s="10" t="s">
        <v>125</v>
      </c>
      <c r="E66" s="10" t="s">
        <v>66</v>
      </c>
      <c r="F66" s="11">
        <v>1.0</v>
      </c>
      <c r="G66" s="11">
        <v>43.7</v>
      </c>
      <c r="H66" s="11">
        <v>14.63</v>
      </c>
      <c r="I66" s="11">
        <v>-13.43</v>
      </c>
      <c r="J66" s="11">
        <v>-14.63</v>
      </c>
      <c r="K66" s="11"/>
      <c r="L66" s="11">
        <v>32.89</v>
      </c>
      <c r="M66" s="10" t="s">
        <v>46</v>
      </c>
      <c r="N66" s="10" t="s">
        <v>50</v>
      </c>
      <c r="O66" s="10" t="s">
        <v>176</v>
      </c>
      <c r="P66" s="10" t="s">
        <v>177</v>
      </c>
      <c r="Q66" s="10" t="s">
        <v>178</v>
      </c>
      <c r="R66" s="10" t="s">
        <v>74</v>
      </c>
      <c r="S66" s="11">
        <v>43.7</v>
      </c>
      <c r="T66" s="11">
        <v>22.58</v>
      </c>
      <c r="U66" s="11" t="s">
        <v>51</v>
      </c>
      <c r="V66" s="10" t="s">
        <v>52</v>
      </c>
      <c r="W66" s="10" t="s">
        <v>828</v>
      </c>
      <c r="X66" s="10" t="s">
        <v>829</v>
      </c>
      <c r="Y66" s="10" t="s">
        <v>830</v>
      </c>
      <c r="Z66" s="10" t="s">
        <v>50</v>
      </c>
      <c r="AA66" s="10" t="s">
        <v>50</v>
      </c>
      <c r="AB66" s="10" t="s">
        <v>828</v>
      </c>
      <c r="AC66" s="10" t="s">
        <v>831</v>
      </c>
      <c r="AD66" s="10" t="s">
        <v>832</v>
      </c>
      <c r="AE66" s="10" t="s">
        <v>833</v>
      </c>
      <c r="AF66" s="10" t="s">
        <v>58</v>
      </c>
      <c r="AG66" s="10" t="s">
        <v>834</v>
      </c>
      <c r="AH66" s="10" t="s">
        <v>60</v>
      </c>
      <c r="AI66" s="10" t="s">
        <v>61</v>
      </c>
      <c r="AJ66" s="10" t="s">
        <v>835</v>
      </c>
      <c r="AK66" s="10" t="s">
        <v>836</v>
      </c>
      <c r="AL66" s="10" t="s">
        <v>64</v>
      </c>
      <c r="AM66" s="10" t="s">
        <v>837</v>
      </c>
      <c r="AN66" s="10" t="s">
        <v>50</v>
      </c>
      <c r="AO66" s="11" t="s">
        <v>50</v>
      </c>
      <c r="AP66" s="10" t="s">
        <v>50</v>
      </c>
      <c r="AQ66" s="10" t="s">
        <v>50</v>
      </c>
      <c r="AR66" s="10" t="s">
        <v>50</v>
      </c>
      <c r="AS66" s="10" t="s">
        <v>50</v>
      </c>
      <c r="AT66" s="10" t="s">
        <v>50</v>
      </c>
      <c r="AU66" s="10" t="s">
        <v>50</v>
      </c>
      <c r="AV66" s="11"/>
      <c r="AW66" s="10" t="s">
        <v>66</v>
      </c>
      <c r="AX66" s="10"/>
      <c r="AY66" s="10" t="s">
        <v>66</v>
      </c>
    </row>
    <row r="67" ht="22.5" hidden="1" customHeight="1">
      <c r="A67" s="9" t="s">
        <v>838</v>
      </c>
      <c r="B67" s="10" t="s">
        <v>839</v>
      </c>
      <c r="C67" s="10" t="s">
        <v>43</v>
      </c>
      <c r="D67" s="10" t="s">
        <v>734</v>
      </c>
      <c r="E67" s="10" t="s">
        <v>66</v>
      </c>
      <c r="F67" s="11">
        <v>1.0</v>
      </c>
      <c r="G67" s="11">
        <v>79.0</v>
      </c>
      <c r="H67" s="11"/>
      <c r="I67" s="11">
        <v>-13.43</v>
      </c>
      <c r="J67" s="11">
        <v>-20.45</v>
      </c>
      <c r="K67" s="11"/>
      <c r="L67" s="11">
        <v>45.12</v>
      </c>
      <c r="M67" s="10" t="s">
        <v>46</v>
      </c>
      <c r="N67" s="10" t="s">
        <v>50</v>
      </c>
      <c r="O67" s="10" t="s">
        <v>160</v>
      </c>
      <c r="P67" s="10" t="s">
        <v>161</v>
      </c>
      <c r="Q67" s="10" t="s">
        <v>162</v>
      </c>
      <c r="R67" s="10" t="s">
        <v>74</v>
      </c>
      <c r="S67" s="11">
        <v>79.0</v>
      </c>
      <c r="T67" s="11">
        <v>2.49</v>
      </c>
      <c r="U67" s="11" t="s">
        <v>51</v>
      </c>
      <c r="V67" s="10" t="s">
        <v>52</v>
      </c>
      <c r="W67" s="10" t="s">
        <v>840</v>
      </c>
      <c r="X67" s="10" t="s">
        <v>841</v>
      </c>
      <c r="Y67" s="10" t="s">
        <v>842</v>
      </c>
      <c r="Z67" s="10" t="s">
        <v>50</v>
      </c>
      <c r="AA67" s="10" t="s">
        <v>50</v>
      </c>
      <c r="AB67" s="10" t="s">
        <v>840</v>
      </c>
      <c r="AC67" s="10" t="s">
        <v>843</v>
      </c>
      <c r="AD67" s="10" t="s">
        <v>844</v>
      </c>
      <c r="AE67" s="10" t="s">
        <v>845</v>
      </c>
      <c r="AF67" s="10" t="s">
        <v>119</v>
      </c>
      <c r="AG67" s="10" t="s">
        <v>846</v>
      </c>
      <c r="AH67" s="10" t="s">
        <v>60</v>
      </c>
      <c r="AI67" s="10" t="s">
        <v>61</v>
      </c>
      <c r="AJ67" s="10" t="s">
        <v>847</v>
      </c>
      <c r="AK67" s="10" t="s">
        <v>848</v>
      </c>
      <c r="AL67" s="10" t="s">
        <v>64</v>
      </c>
      <c r="AM67" s="10" t="s">
        <v>849</v>
      </c>
      <c r="AN67" s="10" t="s">
        <v>50</v>
      </c>
      <c r="AO67" s="11" t="s">
        <v>50</v>
      </c>
      <c r="AP67" s="10" t="s">
        <v>50</v>
      </c>
      <c r="AQ67" s="10" t="s">
        <v>50</v>
      </c>
      <c r="AR67" s="10" t="s">
        <v>50</v>
      </c>
      <c r="AS67" s="10" t="s">
        <v>50</v>
      </c>
      <c r="AT67" s="10" t="s">
        <v>50</v>
      </c>
      <c r="AU67" s="10" t="s">
        <v>50</v>
      </c>
      <c r="AV67" s="11"/>
      <c r="AW67" s="10" t="s">
        <v>66</v>
      </c>
      <c r="AX67" s="10"/>
      <c r="AY67" s="10" t="s">
        <v>66</v>
      </c>
    </row>
    <row r="68" ht="22.5" hidden="1" customHeight="1">
      <c r="A68" s="9" t="s">
        <v>850</v>
      </c>
      <c r="B68" s="10" t="s">
        <v>851</v>
      </c>
      <c r="C68" s="10" t="s">
        <v>43</v>
      </c>
      <c r="D68" s="10" t="s">
        <v>125</v>
      </c>
      <c r="E68" s="10" t="s">
        <v>66</v>
      </c>
      <c r="F68" s="11">
        <v>1.0</v>
      </c>
      <c r="G68" s="11">
        <v>43.7</v>
      </c>
      <c r="H68" s="11">
        <v>11.11</v>
      </c>
      <c r="I68" s="11">
        <v>-13.43</v>
      </c>
      <c r="J68" s="11">
        <v>-11.11</v>
      </c>
      <c r="K68" s="11"/>
      <c r="L68" s="11">
        <v>32.89</v>
      </c>
      <c r="M68" s="10" t="s">
        <v>46</v>
      </c>
      <c r="N68" s="10" t="s">
        <v>50</v>
      </c>
      <c r="O68" s="10" t="s">
        <v>176</v>
      </c>
      <c r="P68" s="10" t="s">
        <v>177</v>
      </c>
      <c r="Q68" s="10" t="s">
        <v>178</v>
      </c>
      <c r="R68" s="10" t="s">
        <v>74</v>
      </c>
      <c r="S68" s="11">
        <v>43.7</v>
      </c>
      <c r="T68" s="11">
        <v>22.58</v>
      </c>
      <c r="U68" s="11" t="s">
        <v>51</v>
      </c>
      <c r="V68" s="10" t="s">
        <v>52</v>
      </c>
      <c r="W68" s="10" t="s">
        <v>852</v>
      </c>
      <c r="X68" s="10" t="s">
        <v>853</v>
      </c>
      <c r="Y68" s="10" t="s">
        <v>854</v>
      </c>
      <c r="Z68" s="10" t="s">
        <v>50</v>
      </c>
      <c r="AA68" s="10" t="s">
        <v>50</v>
      </c>
      <c r="AB68" s="10" t="s">
        <v>852</v>
      </c>
      <c r="AC68" s="10" t="s">
        <v>855</v>
      </c>
      <c r="AD68" s="10" t="s">
        <v>856</v>
      </c>
      <c r="AE68" s="10" t="s">
        <v>857</v>
      </c>
      <c r="AF68" s="10" t="s">
        <v>58</v>
      </c>
      <c r="AG68" s="10" t="s">
        <v>858</v>
      </c>
      <c r="AH68" s="10" t="s">
        <v>60</v>
      </c>
      <c r="AI68" s="10" t="s">
        <v>61</v>
      </c>
      <c r="AJ68" s="10" t="s">
        <v>684</v>
      </c>
      <c r="AK68" s="10" t="s">
        <v>859</v>
      </c>
      <c r="AL68" s="10" t="s">
        <v>64</v>
      </c>
      <c r="AM68" s="10" t="s">
        <v>860</v>
      </c>
      <c r="AN68" s="10" t="s">
        <v>50</v>
      </c>
      <c r="AO68" s="11" t="s">
        <v>50</v>
      </c>
      <c r="AP68" s="10" t="s">
        <v>50</v>
      </c>
      <c r="AQ68" s="10" t="s">
        <v>50</v>
      </c>
      <c r="AR68" s="10" t="s">
        <v>50</v>
      </c>
      <c r="AS68" s="10" t="s">
        <v>50</v>
      </c>
      <c r="AT68" s="10" t="s">
        <v>50</v>
      </c>
      <c r="AU68" s="10" t="s">
        <v>50</v>
      </c>
      <c r="AV68" s="11"/>
      <c r="AW68" s="10" t="s">
        <v>66</v>
      </c>
      <c r="AX68" s="10"/>
      <c r="AY68" s="10" t="s">
        <v>66</v>
      </c>
    </row>
    <row r="69" ht="22.5" hidden="1" customHeight="1">
      <c r="A69" s="9" t="s">
        <v>861</v>
      </c>
      <c r="B69" s="10" t="s">
        <v>862</v>
      </c>
      <c r="C69" s="10" t="s">
        <v>43</v>
      </c>
      <c r="D69" s="10" t="s">
        <v>759</v>
      </c>
      <c r="E69" s="10" t="s">
        <v>45</v>
      </c>
      <c r="F69" s="11">
        <v>2.0</v>
      </c>
      <c r="G69" s="11">
        <v>81.4</v>
      </c>
      <c r="H69" s="11">
        <v>6.29</v>
      </c>
      <c r="I69" s="11">
        <v>-27.46</v>
      </c>
      <c r="J69" s="11">
        <v>-6.29</v>
      </c>
      <c r="K69" s="11"/>
      <c r="L69" s="11">
        <v>53.94</v>
      </c>
      <c r="M69" s="10" t="s">
        <v>46</v>
      </c>
      <c r="N69" s="10" t="s">
        <v>45</v>
      </c>
      <c r="O69" s="10" t="s">
        <v>863</v>
      </c>
      <c r="P69" s="10" t="s">
        <v>864</v>
      </c>
      <c r="Q69" s="10" t="s">
        <v>865</v>
      </c>
      <c r="R69" s="10" t="s">
        <v>50</v>
      </c>
      <c r="S69" s="11">
        <v>40.7</v>
      </c>
      <c r="T69" s="11">
        <v>4.15</v>
      </c>
      <c r="U69" s="11" t="s">
        <v>51</v>
      </c>
      <c r="V69" s="10" t="s">
        <v>52</v>
      </c>
      <c r="W69" s="10" t="s">
        <v>866</v>
      </c>
      <c r="X69" s="10" t="s">
        <v>867</v>
      </c>
      <c r="Y69" s="10" t="s">
        <v>868</v>
      </c>
      <c r="Z69" s="10" t="s">
        <v>50</v>
      </c>
      <c r="AA69" s="10" t="s">
        <v>50</v>
      </c>
      <c r="AB69" s="10" t="s">
        <v>866</v>
      </c>
      <c r="AC69" s="10" t="s">
        <v>869</v>
      </c>
      <c r="AD69" s="10" t="s">
        <v>870</v>
      </c>
      <c r="AE69" s="10" t="s">
        <v>871</v>
      </c>
      <c r="AF69" s="10" t="s">
        <v>58</v>
      </c>
      <c r="AG69" s="10" t="s">
        <v>872</v>
      </c>
      <c r="AH69" s="10" t="s">
        <v>60</v>
      </c>
      <c r="AI69" s="10" t="s">
        <v>61</v>
      </c>
      <c r="AJ69" s="10" t="s">
        <v>873</v>
      </c>
      <c r="AK69" s="10" t="s">
        <v>874</v>
      </c>
      <c r="AL69" s="10" t="s">
        <v>64</v>
      </c>
      <c r="AM69" s="10" t="s">
        <v>875</v>
      </c>
      <c r="AN69" s="10" t="s">
        <v>50</v>
      </c>
      <c r="AO69" s="11" t="s">
        <v>50</v>
      </c>
      <c r="AP69" s="10" t="s">
        <v>50</v>
      </c>
      <c r="AQ69" s="10" t="s">
        <v>50</v>
      </c>
      <c r="AR69" s="10" t="s">
        <v>50</v>
      </c>
      <c r="AS69" s="10" t="s">
        <v>50</v>
      </c>
      <c r="AT69" s="10" t="s">
        <v>50</v>
      </c>
      <c r="AU69" s="10" t="s">
        <v>50</v>
      </c>
      <c r="AV69" s="11"/>
      <c r="AW69" s="10" t="s">
        <v>66</v>
      </c>
      <c r="AX69" s="10"/>
      <c r="AY69" s="10" t="s">
        <v>66</v>
      </c>
    </row>
    <row r="70" ht="22.5" hidden="1" customHeight="1">
      <c r="A70" s="12" t="s">
        <v>876</v>
      </c>
      <c r="B70" s="13" t="s">
        <v>877</v>
      </c>
      <c r="C70" s="13" t="s">
        <v>747</v>
      </c>
      <c r="D70" s="13" t="s">
        <v>50</v>
      </c>
      <c r="E70" s="13" t="s">
        <v>50</v>
      </c>
      <c r="F70" s="14"/>
      <c r="G70" s="14">
        <v>125.75</v>
      </c>
      <c r="H70" s="14"/>
      <c r="I70" s="14">
        <v>-27.37</v>
      </c>
      <c r="J70" s="14">
        <v>-20.45</v>
      </c>
      <c r="K70" s="14"/>
      <c r="L70" s="14">
        <v>85.47</v>
      </c>
      <c r="M70" s="13" t="s">
        <v>46</v>
      </c>
      <c r="N70" s="13" t="s">
        <v>50</v>
      </c>
      <c r="O70" s="13" t="s">
        <v>50</v>
      </c>
      <c r="P70" s="13" t="s">
        <v>50</v>
      </c>
      <c r="Q70" s="13" t="s">
        <v>50</v>
      </c>
      <c r="R70" s="13" t="s">
        <v>50</v>
      </c>
      <c r="S70" s="14"/>
      <c r="T70" s="14"/>
      <c r="U70" s="14" t="s">
        <v>50</v>
      </c>
      <c r="V70" s="13" t="s">
        <v>52</v>
      </c>
      <c r="W70" s="13" t="s">
        <v>878</v>
      </c>
      <c r="X70" s="13" t="s">
        <v>879</v>
      </c>
      <c r="Y70" s="13" t="s">
        <v>880</v>
      </c>
      <c r="Z70" s="13" t="s">
        <v>50</v>
      </c>
      <c r="AA70" s="13" t="s">
        <v>50</v>
      </c>
      <c r="AB70" s="13" t="s">
        <v>878</v>
      </c>
      <c r="AC70" s="13" t="s">
        <v>881</v>
      </c>
      <c r="AD70" s="13" t="s">
        <v>882</v>
      </c>
      <c r="AE70" s="13" t="s">
        <v>883</v>
      </c>
      <c r="AF70" s="13" t="s">
        <v>58</v>
      </c>
      <c r="AG70" s="13" t="s">
        <v>884</v>
      </c>
      <c r="AH70" s="13" t="s">
        <v>60</v>
      </c>
      <c r="AI70" s="13" t="s">
        <v>61</v>
      </c>
      <c r="AJ70" s="13" t="s">
        <v>718</v>
      </c>
      <c r="AK70" s="13" t="s">
        <v>885</v>
      </c>
      <c r="AL70" s="13" t="s">
        <v>64</v>
      </c>
      <c r="AM70" s="13" t="s">
        <v>886</v>
      </c>
      <c r="AN70" s="13" t="s">
        <v>50</v>
      </c>
      <c r="AO70" s="15" t="s">
        <v>50</v>
      </c>
      <c r="AP70" s="13" t="s">
        <v>50</v>
      </c>
      <c r="AQ70" s="13" t="s">
        <v>50</v>
      </c>
      <c r="AR70" s="13" t="s">
        <v>50</v>
      </c>
      <c r="AS70" s="13" t="s">
        <v>50</v>
      </c>
      <c r="AT70" s="13" t="s">
        <v>50</v>
      </c>
      <c r="AU70" s="13" t="s">
        <v>50</v>
      </c>
      <c r="AV70" s="15"/>
      <c r="AW70" s="13" t="s">
        <v>50</v>
      </c>
      <c r="AX70" s="13"/>
      <c r="AY70" s="13" t="s">
        <v>50</v>
      </c>
    </row>
    <row r="71" ht="22.5" hidden="1" customHeight="1">
      <c r="A71" s="16" t="s">
        <v>887</v>
      </c>
      <c r="B71" s="17" t="s">
        <v>877</v>
      </c>
      <c r="C71" s="17" t="s">
        <v>43</v>
      </c>
      <c r="D71" s="17" t="s">
        <v>734</v>
      </c>
      <c r="E71" s="17" t="s">
        <v>45</v>
      </c>
      <c r="F71" s="18">
        <v>1.0</v>
      </c>
      <c r="G71" s="18"/>
      <c r="H71" s="18"/>
      <c r="I71" s="18"/>
      <c r="J71" s="18"/>
      <c r="K71" s="18"/>
      <c r="L71" s="18"/>
      <c r="M71" s="17" t="s">
        <v>50</v>
      </c>
      <c r="N71" s="17" t="s">
        <v>50</v>
      </c>
      <c r="O71" s="17" t="s">
        <v>888</v>
      </c>
      <c r="P71" s="17" t="s">
        <v>889</v>
      </c>
      <c r="Q71" s="17" t="s">
        <v>890</v>
      </c>
      <c r="R71" s="17" t="s">
        <v>74</v>
      </c>
      <c r="S71" s="18">
        <v>46.55</v>
      </c>
      <c r="T71" s="18">
        <v>16.46</v>
      </c>
      <c r="U71" s="18" t="s">
        <v>51</v>
      </c>
      <c r="V71" s="17" t="s">
        <v>50</v>
      </c>
      <c r="W71" s="17" t="s">
        <v>50</v>
      </c>
      <c r="X71" s="17" t="s">
        <v>50</v>
      </c>
      <c r="Y71" s="17" t="s">
        <v>50</v>
      </c>
      <c r="Z71" s="17" t="s">
        <v>50</v>
      </c>
      <c r="AA71" s="17" t="s">
        <v>50</v>
      </c>
      <c r="AB71" s="17" t="s">
        <v>50</v>
      </c>
      <c r="AC71" s="17" t="s">
        <v>50</v>
      </c>
      <c r="AD71" s="17" t="s">
        <v>50</v>
      </c>
      <c r="AE71" s="17" t="s">
        <v>50</v>
      </c>
      <c r="AF71" s="17" t="s">
        <v>50</v>
      </c>
      <c r="AG71" s="17" t="s">
        <v>50</v>
      </c>
      <c r="AH71" s="17" t="s">
        <v>50</v>
      </c>
      <c r="AI71" s="17" t="s">
        <v>50</v>
      </c>
      <c r="AJ71" s="17" t="s">
        <v>50</v>
      </c>
      <c r="AK71" s="17" t="s">
        <v>50</v>
      </c>
      <c r="AL71" s="17" t="s">
        <v>50</v>
      </c>
      <c r="AM71" s="17" t="s">
        <v>50</v>
      </c>
      <c r="AN71" s="17" t="s">
        <v>50</v>
      </c>
      <c r="AO71" s="18" t="s">
        <v>50</v>
      </c>
      <c r="AP71" s="17" t="s">
        <v>50</v>
      </c>
      <c r="AQ71" s="17" t="s">
        <v>50</v>
      </c>
      <c r="AR71" s="17" t="s">
        <v>50</v>
      </c>
      <c r="AS71" s="17" t="s">
        <v>50</v>
      </c>
      <c r="AT71" s="17" t="s">
        <v>50</v>
      </c>
      <c r="AU71" s="17" t="s">
        <v>50</v>
      </c>
      <c r="AV71" s="18"/>
      <c r="AW71" s="17" t="s">
        <v>66</v>
      </c>
      <c r="AX71" s="17"/>
      <c r="AY71" s="17" t="s">
        <v>66</v>
      </c>
    </row>
    <row r="72" ht="22.5" hidden="1" customHeight="1">
      <c r="A72" s="16" t="s">
        <v>891</v>
      </c>
      <c r="B72" s="17" t="s">
        <v>862</v>
      </c>
      <c r="C72" s="17" t="s">
        <v>43</v>
      </c>
      <c r="D72" s="17" t="s">
        <v>734</v>
      </c>
      <c r="E72" s="17" t="s">
        <v>45</v>
      </c>
      <c r="F72" s="18">
        <v>1.0</v>
      </c>
      <c r="G72" s="18"/>
      <c r="H72" s="18"/>
      <c r="I72" s="18"/>
      <c r="J72" s="18"/>
      <c r="K72" s="18"/>
      <c r="L72" s="18"/>
      <c r="M72" s="17" t="s">
        <v>50</v>
      </c>
      <c r="N72" s="17" t="s">
        <v>50</v>
      </c>
      <c r="O72" s="17" t="s">
        <v>892</v>
      </c>
      <c r="P72" s="17" t="s">
        <v>893</v>
      </c>
      <c r="Q72" s="17" t="s">
        <v>894</v>
      </c>
      <c r="R72" s="17" t="s">
        <v>74</v>
      </c>
      <c r="S72" s="18">
        <v>79.2</v>
      </c>
      <c r="T72" s="18">
        <v>2.97</v>
      </c>
      <c r="U72" s="18" t="s">
        <v>51</v>
      </c>
      <c r="V72" s="17" t="s">
        <v>50</v>
      </c>
      <c r="W72" s="17" t="s">
        <v>50</v>
      </c>
      <c r="X72" s="17" t="s">
        <v>50</v>
      </c>
      <c r="Y72" s="17" t="s">
        <v>50</v>
      </c>
      <c r="Z72" s="17" t="s">
        <v>50</v>
      </c>
      <c r="AA72" s="17" t="s">
        <v>50</v>
      </c>
      <c r="AB72" s="17" t="s">
        <v>50</v>
      </c>
      <c r="AC72" s="17" t="s">
        <v>50</v>
      </c>
      <c r="AD72" s="17" t="s">
        <v>50</v>
      </c>
      <c r="AE72" s="17" t="s">
        <v>50</v>
      </c>
      <c r="AF72" s="17" t="s">
        <v>50</v>
      </c>
      <c r="AG72" s="17" t="s">
        <v>50</v>
      </c>
      <c r="AH72" s="17" t="s">
        <v>50</v>
      </c>
      <c r="AI72" s="17" t="s">
        <v>50</v>
      </c>
      <c r="AJ72" s="17" t="s">
        <v>50</v>
      </c>
      <c r="AK72" s="17" t="s">
        <v>50</v>
      </c>
      <c r="AL72" s="17" t="s">
        <v>50</v>
      </c>
      <c r="AM72" s="17" t="s">
        <v>50</v>
      </c>
      <c r="AN72" s="17" t="s">
        <v>50</v>
      </c>
      <c r="AO72" s="18" t="s">
        <v>50</v>
      </c>
      <c r="AP72" s="17" t="s">
        <v>50</v>
      </c>
      <c r="AQ72" s="17" t="s">
        <v>50</v>
      </c>
      <c r="AR72" s="17" t="s">
        <v>50</v>
      </c>
      <c r="AS72" s="17" t="s">
        <v>50</v>
      </c>
      <c r="AT72" s="17" t="s">
        <v>50</v>
      </c>
      <c r="AU72" s="17" t="s">
        <v>50</v>
      </c>
      <c r="AV72" s="18"/>
      <c r="AW72" s="17" t="s">
        <v>66</v>
      </c>
      <c r="AX72" s="17"/>
      <c r="AY72" s="17" t="s">
        <v>66</v>
      </c>
    </row>
    <row r="73" ht="22.5" hidden="1" customHeight="1">
      <c r="A73" s="9" t="s">
        <v>895</v>
      </c>
      <c r="B73" s="10" t="s">
        <v>896</v>
      </c>
      <c r="C73" s="10" t="s">
        <v>43</v>
      </c>
      <c r="D73" s="10" t="s">
        <v>125</v>
      </c>
      <c r="E73" s="10" t="s">
        <v>45</v>
      </c>
      <c r="F73" s="11">
        <v>1.0</v>
      </c>
      <c r="G73" s="11">
        <v>120.0</v>
      </c>
      <c r="H73" s="11"/>
      <c r="I73" s="11">
        <v>-20.4</v>
      </c>
      <c r="J73" s="11">
        <v>-19.95</v>
      </c>
      <c r="K73" s="11"/>
      <c r="L73" s="11">
        <v>86.85</v>
      </c>
      <c r="M73" s="10" t="s">
        <v>46</v>
      </c>
      <c r="N73" s="10" t="s">
        <v>50</v>
      </c>
      <c r="O73" s="10" t="s">
        <v>85</v>
      </c>
      <c r="P73" s="10" t="s">
        <v>86</v>
      </c>
      <c r="Q73" s="10" t="s">
        <v>87</v>
      </c>
      <c r="R73" s="10" t="s">
        <v>74</v>
      </c>
      <c r="S73" s="11">
        <v>120.0</v>
      </c>
      <c r="T73" s="11">
        <v>65.78</v>
      </c>
      <c r="U73" s="11" t="s">
        <v>51</v>
      </c>
      <c r="V73" s="10" t="s">
        <v>52</v>
      </c>
      <c r="W73" s="10" t="s">
        <v>897</v>
      </c>
      <c r="X73" s="10" t="s">
        <v>898</v>
      </c>
      <c r="Y73" s="10" t="s">
        <v>899</v>
      </c>
      <c r="Z73" s="10" t="s">
        <v>50</v>
      </c>
      <c r="AA73" s="10" t="s">
        <v>50</v>
      </c>
      <c r="AB73" s="10" t="s">
        <v>897</v>
      </c>
      <c r="AC73" s="10" t="s">
        <v>900</v>
      </c>
      <c r="AD73" s="10" t="s">
        <v>901</v>
      </c>
      <c r="AE73" s="10" t="s">
        <v>740</v>
      </c>
      <c r="AF73" s="10" t="s">
        <v>119</v>
      </c>
      <c r="AG73" s="10" t="s">
        <v>902</v>
      </c>
      <c r="AH73" s="10" t="s">
        <v>60</v>
      </c>
      <c r="AI73" s="10" t="s">
        <v>61</v>
      </c>
      <c r="AJ73" s="10" t="s">
        <v>903</v>
      </c>
      <c r="AK73" s="10" t="s">
        <v>904</v>
      </c>
      <c r="AL73" s="10" t="s">
        <v>64</v>
      </c>
      <c r="AM73" s="10" t="s">
        <v>905</v>
      </c>
      <c r="AN73" s="10" t="s">
        <v>50</v>
      </c>
      <c r="AO73" s="11" t="s">
        <v>50</v>
      </c>
      <c r="AP73" s="10" t="s">
        <v>50</v>
      </c>
      <c r="AQ73" s="10" t="s">
        <v>50</v>
      </c>
      <c r="AR73" s="10" t="s">
        <v>50</v>
      </c>
      <c r="AS73" s="10" t="s">
        <v>50</v>
      </c>
      <c r="AT73" s="10" t="s">
        <v>50</v>
      </c>
      <c r="AU73" s="10" t="s">
        <v>50</v>
      </c>
      <c r="AV73" s="11"/>
      <c r="AW73" s="10" t="s">
        <v>66</v>
      </c>
      <c r="AX73" s="10"/>
      <c r="AY73" s="10" t="s">
        <v>66</v>
      </c>
    </row>
    <row r="74" ht="22.5" hidden="1" customHeight="1">
      <c r="A74" s="9" t="s">
        <v>906</v>
      </c>
      <c r="B74" s="10" t="s">
        <v>907</v>
      </c>
      <c r="C74" s="10" t="s">
        <v>43</v>
      </c>
      <c r="D74" s="10" t="s">
        <v>99</v>
      </c>
      <c r="E74" s="10" t="s">
        <v>66</v>
      </c>
      <c r="F74" s="11">
        <v>1.0</v>
      </c>
      <c r="G74" s="11">
        <v>80.0</v>
      </c>
      <c r="H74" s="11"/>
      <c r="I74" s="11">
        <v>-13.6</v>
      </c>
      <c r="J74" s="11">
        <v>-19.95</v>
      </c>
      <c r="K74" s="11"/>
      <c r="L74" s="11">
        <v>50.45</v>
      </c>
      <c r="M74" s="10" t="s">
        <v>46</v>
      </c>
      <c r="N74" s="10" t="s">
        <v>45</v>
      </c>
      <c r="O74" s="10" t="s">
        <v>143</v>
      </c>
      <c r="P74" s="10" t="s">
        <v>144</v>
      </c>
      <c r="Q74" s="10" t="s">
        <v>145</v>
      </c>
      <c r="R74" s="10" t="s">
        <v>74</v>
      </c>
      <c r="S74" s="11">
        <v>80.0</v>
      </c>
      <c r="T74" s="11">
        <v>33.38</v>
      </c>
      <c r="U74" s="11" t="s">
        <v>51</v>
      </c>
      <c r="V74" s="10" t="s">
        <v>52</v>
      </c>
      <c r="W74" s="10" t="s">
        <v>908</v>
      </c>
      <c r="X74" s="10" t="s">
        <v>909</v>
      </c>
      <c r="Y74" s="10" t="s">
        <v>910</v>
      </c>
      <c r="Z74" s="10" t="s">
        <v>50</v>
      </c>
      <c r="AA74" s="10" t="s">
        <v>50</v>
      </c>
      <c r="AB74" s="10" t="s">
        <v>908</v>
      </c>
      <c r="AC74" s="10" t="s">
        <v>911</v>
      </c>
      <c r="AD74" s="10" t="s">
        <v>912</v>
      </c>
      <c r="AE74" s="10" t="s">
        <v>913</v>
      </c>
      <c r="AF74" s="10" t="s">
        <v>185</v>
      </c>
      <c r="AG74" s="10" t="s">
        <v>914</v>
      </c>
      <c r="AH74" s="10" t="s">
        <v>60</v>
      </c>
      <c r="AI74" s="10" t="s">
        <v>61</v>
      </c>
      <c r="AJ74" s="10" t="s">
        <v>915</v>
      </c>
      <c r="AK74" s="10" t="s">
        <v>916</v>
      </c>
      <c r="AL74" s="10" t="s">
        <v>64</v>
      </c>
      <c r="AM74" s="10" t="s">
        <v>917</v>
      </c>
      <c r="AN74" s="10" t="s">
        <v>50</v>
      </c>
      <c r="AO74" s="11" t="s">
        <v>50</v>
      </c>
      <c r="AP74" s="10" t="s">
        <v>50</v>
      </c>
      <c r="AQ74" s="10" t="s">
        <v>50</v>
      </c>
      <c r="AR74" s="10" t="s">
        <v>50</v>
      </c>
      <c r="AS74" s="10" t="s">
        <v>50</v>
      </c>
      <c r="AT74" s="10" t="s">
        <v>50</v>
      </c>
      <c r="AU74" s="10" t="s">
        <v>50</v>
      </c>
      <c r="AV74" s="11"/>
      <c r="AW74" s="10" t="s">
        <v>66</v>
      </c>
      <c r="AX74" s="10"/>
      <c r="AY74" s="10" t="s">
        <v>66</v>
      </c>
    </row>
    <row r="75" ht="22.5" hidden="1" customHeight="1">
      <c r="A75" s="9" t="s">
        <v>918</v>
      </c>
      <c r="B75" s="10" t="s">
        <v>919</v>
      </c>
      <c r="C75" s="10" t="s">
        <v>43</v>
      </c>
      <c r="D75" s="10" t="s">
        <v>99</v>
      </c>
      <c r="E75" s="10" t="s">
        <v>66</v>
      </c>
      <c r="F75" s="11">
        <v>1.0</v>
      </c>
      <c r="G75" s="11">
        <v>81.25</v>
      </c>
      <c r="H75" s="11">
        <v>16.55</v>
      </c>
      <c r="I75" s="11">
        <v>-13.81</v>
      </c>
      <c r="J75" s="11">
        <v>-36.5</v>
      </c>
      <c r="K75" s="11"/>
      <c r="L75" s="11">
        <v>47.49</v>
      </c>
      <c r="M75" s="10" t="s">
        <v>46</v>
      </c>
      <c r="N75" s="10" t="s">
        <v>45</v>
      </c>
      <c r="O75" s="10" t="s">
        <v>920</v>
      </c>
      <c r="P75" s="10" t="s">
        <v>921</v>
      </c>
      <c r="Q75" s="10" t="s">
        <v>922</v>
      </c>
      <c r="R75" s="10" t="s">
        <v>74</v>
      </c>
      <c r="S75" s="11">
        <v>81.25</v>
      </c>
      <c r="T75" s="11">
        <v>26.22</v>
      </c>
      <c r="U75" s="11" t="s">
        <v>51</v>
      </c>
      <c r="V75" s="10" t="s">
        <v>52</v>
      </c>
      <c r="W75" s="10" t="s">
        <v>923</v>
      </c>
      <c r="X75" s="10" t="s">
        <v>924</v>
      </c>
      <c r="Y75" s="10" t="s">
        <v>925</v>
      </c>
      <c r="Z75" s="10" t="s">
        <v>50</v>
      </c>
      <c r="AA75" s="10" t="s">
        <v>50</v>
      </c>
      <c r="AB75" s="10" t="s">
        <v>923</v>
      </c>
      <c r="AC75" s="10" t="s">
        <v>926</v>
      </c>
      <c r="AD75" s="10" t="s">
        <v>927</v>
      </c>
      <c r="AE75" s="10" t="s">
        <v>928</v>
      </c>
      <c r="AF75" s="10" t="s">
        <v>929</v>
      </c>
      <c r="AG75" s="10" t="s">
        <v>930</v>
      </c>
      <c r="AH75" s="10" t="s">
        <v>60</v>
      </c>
      <c r="AI75" s="10" t="s">
        <v>61</v>
      </c>
      <c r="AJ75" s="10" t="s">
        <v>915</v>
      </c>
      <c r="AK75" s="10" t="s">
        <v>931</v>
      </c>
      <c r="AL75" s="10" t="s">
        <v>64</v>
      </c>
      <c r="AM75" s="10" t="s">
        <v>932</v>
      </c>
      <c r="AN75" s="10" t="s">
        <v>50</v>
      </c>
      <c r="AO75" s="11" t="s">
        <v>50</v>
      </c>
      <c r="AP75" s="10" t="s">
        <v>50</v>
      </c>
      <c r="AQ75" s="10" t="s">
        <v>50</v>
      </c>
      <c r="AR75" s="10" t="s">
        <v>50</v>
      </c>
      <c r="AS75" s="10" t="s">
        <v>50</v>
      </c>
      <c r="AT75" s="10" t="s">
        <v>50</v>
      </c>
      <c r="AU75" s="10" t="s">
        <v>50</v>
      </c>
      <c r="AV75" s="11"/>
      <c r="AW75" s="10" t="s">
        <v>66</v>
      </c>
      <c r="AX75" s="10"/>
      <c r="AY75" s="10" t="s">
        <v>66</v>
      </c>
    </row>
    <row r="76" ht="22.5" hidden="1" customHeight="1">
      <c r="A76" s="9" t="s">
        <v>933</v>
      </c>
      <c r="B76" s="10" t="s">
        <v>934</v>
      </c>
      <c r="C76" s="10" t="s">
        <v>43</v>
      </c>
      <c r="D76" s="10" t="s">
        <v>44</v>
      </c>
      <c r="E76" s="10" t="s">
        <v>66</v>
      </c>
      <c r="F76" s="11">
        <v>1.0</v>
      </c>
      <c r="G76" s="11">
        <v>120.0</v>
      </c>
      <c r="H76" s="11"/>
      <c r="I76" s="11">
        <v>-20.4</v>
      </c>
      <c r="J76" s="11">
        <v>-19.95</v>
      </c>
      <c r="K76" s="11"/>
      <c r="L76" s="11">
        <v>86.85</v>
      </c>
      <c r="M76" s="10" t="s">
        <v>46</v>
      </c>
      <c r="N76" s="10" t="s">
        <v>45</v>
      </c>
      <c r="O76" s="10" t="s">
        <v>85</v>
      </c>
      <c r="P76" s="10" t="s">
        <v>86</v>
      </c>
      <c r="Q76" s="10" t="s">
        <v>87</v>
      </c>
      <c r="R76" s="10" t="s">
        <v>74</v>
      </c>
      <c r="S76" s="11">
        <v>120.0</v>
      </c>
      <c r="T76" s="11">
        <v>65.78</v>
      </c>
      <c r="U76" s="11" t="s">
        <v>51</v>
      </c>
      <c r="V76" s="10" t="s">
        <v>52</v>
      </c>
      <c r="W76" s="10" t="s">
        <v>935</v>
      </c>
      <c r="X76" s="10" t="s">
        <v>936</v>
      </c>
      <c r="Y76" s="10" t="s">
        <v>937</v>
      </c>
      <c r="Z76" s="10" t="s">
        <v>50</v>
      </c>
      <c r="AA76" s="10" t="s">
        <v>50</v>
      </c>
      <c r="AB76" s="10" t="s">
        <v>935</v>
      </c>
      <c r="AC76" s="10" t="s">
        <v>938</v>
      </c>
      <c r="AD76" s="10" t="s">
        <v>939</v>
      </c>
      <c r="AE76" s="10" t="s">
        <v>940</v>
      </c>
      <c r="AF76" s="10" t="s">
        <v>323</v>
      </c>
      <c r="AG76" s="10" t="s">
        <v>941</v>
      </c>
      <c r="AH76" s="10" t="s">
        <v>60</v>
      </c>
      <c r="AI76" s="10" t="s">
        <v>61</v>
      </c>
      <c r="AJ76" s="10" t="s">
        <v>942</v>
      </c>
      <c r="AK76" s="10" t="s">
        <v>943</v>
      </c>
      <c r="AL76" s="10" t="s">
        <v>64</v>
      </c>
      <c r="AM76" s="10" t="s">
        <v>944</v>
      </c>
      <c r="AN76" s="10" t="s">
        <v>50</v>
      </c>
      <c r="AO76" s="11" t="s">
        <v>50</v>
      </c>
      <c r="AP76" s="10" t="s">
        <v>50</v>
      </c>
      <c r="AQ76" s="10" t="s">
        <v>50</v>
      </c>
      <c r="AR76" s="10" t="s">
        <v>50</v>
      </c>
      <c r="AS76" s="10" t="s">
        <v>50</v>
      </c>
      <c r="AT76" s="10" t="s">
        <v>50</v>
      </c>
      <c r="AU76" s="10" t="s">
        <v>50</v>
      </c>
      <c r="AV76" s="11"/>
      <c r="AW76" s="10" t="s">
        <v>66</v>
      </c>
      <c r="AX76" s="10"/>
      <c r="AY76" s="10" t="s">
        <v>66</v>
      </c>
    </row>
    <row r="77" ht="22.5" hidden="1" customHeight="1">
      <c r="A77" s="9" t="s">
        <v>945</v>
      </c>
      <c r="B77" s="10" t="s">
        <v>946</v>
      </c>
      <c r="C77" s="10" t="s">
        <v>947</v>
      </c>
      <c r="D77" s="10" t="s">
        <v>948</v>
      </c>
      <c r="E77" s="10" t="s">
        <v>66</v>
      </c>
      <c r="F77" s="11">
        <v>1.0</v>
      </c>
      <c r="G77" s="11">
        <v>120.0</v>
      </c>
      <c r="H77" s="11"/>
      <c r="I77" s="11">
        <v>-20.4</v>
      </c>
      <c r="J77" s="11">
        <v>-19.95</v>
      </c>
      <c r="K77" s="11"/>
      <c r="L77" s="11">
        <v>86.85</v>
      </c>
      <c r="M77" s="10" t="s">
        <v>46</v>
      </c>
      <c r="N77" s="10" t="s">
        <v>50</v>
      </c>
      <c r="O77" s="10" t="s">
        <v>85</v>
      </c>
      <c r="P77" s="10" t="s">
        <v>86</v>
      </c>
      <c r="Q77" s="10" t="s">
        <v>87</v>
      </c>
      <c r="R77" s="10" t="s">
        <v>74</v>
      </c>
      <c r="S77" s="11">
        <v>120.0</v>
      </c>
      <c r="T77" s="11">
        <v>65.78</v>
      </c>
      <c r="U77" s="11" t="s">
        <v>51</v>
      </c>
      <c r="V77" s="10" t="s">
        <v>52</v>
      </c>
      <c r="W77" s="10" t="s">
        <v>949</v>
      </c>
      <c r="X77" s="10" t="s">
        <v>950</v>
      </c>
      <c r="Y77" s="10" t="s">
        <v>951</v>
      </c>
      <c r="Z77" s="10" t="s">
        <v>50</v>
      </c>
      <c r="AA77" s="10" t="s">
        <v>50</v>
      </c>
      <c r="AB77" s="10" t="s">
        <v>949</v>
      </c>
      <c r="AC77" s="10" t="s">
        <v>952</v>
      </c>
      <c r="AD77" s="10" t="s">
        <v>953</v>
      </c>
      <c r="AE77" s="10" t="s">
        <v>954</v>
      </c>
      <c r="AF77" s="10" t="s">
        <v>185</v>
      </c>
      <c r="AG77" s="10" t="s">
        <v>955</v>
      </c>
      <c r="AH77" s="10" t="s">
        <v>60</v>
      </c>
      <c r="AI77" s="10" t="s">
        <v>61</v>
      </c>
      <c r="AJ77" s="10" t="s">
        <v>684</v>
      </c>
      <c r="AK77" s="10" t="s">
        <v>956</v>
      </c>
      <c r="AL77" s="10" t="s">
        <v>64</v>
      </c>
      <c r="AM77" s="10" t="s">
        <v>957</v>
      </c>
      <c r="AN77" s="10" t="s">
        <v>50</v>
      </c>
      <c r="AO77" s="11" t="s">
        <v>50</v>
      </c>
      <c r="AP77" s="10" t="s">
        <v>50</v>
      </c>
      <c r="AQ77" s="10" t="s">
        <v>50</v>
      </c>
      <c r="AR77" s="10" t="s">
        <v>50</v>
      </c>
      <c r="AS77" s="10" t="s">
        <v>50</v>
      </c>
      <c r="AT77" s="10" t="s">
        <v>50</v>
      </c>
      <c r="AU77" s="10" t="s">
        <v>50</v>
      </c>
      <c r="AV77" s="11"/>
      <c r="AW77" s="10" t="s">
        <v>66</v>
      </c>
      <c r="AX77" s="10">
        <v>1.0</v>
      </c>
      <c r="AY77" s="10" t="s">
        <v>66</v>
      </c>
    </row>
    <row r="78" ht="22.5" hidden="1" customHeight="1">
      <c r="A78" s="9" t="s">
        <v>958</v>
      </c>
      <c r="B78" s="10" t="s">
        <v>959</v>
      </c>
      <c r="C78" s="10" t="s">
        <v>43</v>
      </c>
      <c r="D78" s="10" t="s">
        <v>99</v>
      </c>
      <c r="E78" s="10" t="s">
        <v>45</v>
      </c>
      <c r="F78" s="11">
        <v>2.0</v>
      </c>
      <c r="G78" s="11">
        <v>87.4</v>
      </c>
      <c r="H78" s="11">
        <v>6.31</v>
      </c>
      <c r="I78" s="11">
        <v>-26.86</v>
      </c>
      <c r="J78" s="11">
        <v>-6.31</v>
      </c>
      <c r="K78" s="11"/>
      <c r="L78" s="11">
        <v>65.78</v>
      </c>
      <c r="M78" s="10" t="s">
        <v>46</v>
      </c>
      <c r="N78" s="10" t="s">
        <v>50</v>
      </c>
      <c r="O78" s="10" t="s">
        <v>176</v>
      </c>
      <c r="P78" s="10" t="s">
        <v>177</v>
      </c>
      <c r="Q78" s="10" t="s">
        <v>178</v>
      </c>
      <c r="R78" s="10" t="s">
        <v>74</v>
      </c>
      <c r="S78" s="11">
        <v>43.7</v>
      </c>
      <c r="T78" s="11">
        <f>2*22.58</f>
        <v>45.16</v>
      </c>
      <c r="U78" s="11" t="s">
        <v>51</v>
      </c>
      <c r="V78" s="10" t="s">
        <v>52</v>
      </c>
      <c r="W78" s="10" t="s">
        <v>960</v>
      </c>
      <c r="X78" s="10" t="s">
        <v>961</v>
      </c>
      <c r="Y78" s="10" t="s">
        <v>962</v>
      </c>
      <c r="Z78" s="10" t="s">
        <v>50</v>
      </c>
      <c r="AA78" s="10" t="s">
        <v>50</v>
      </c>
      <c r="AB78" s="10" t="s">
        <v>960</v>
      </c>
      <c r="AC78" s="10" t="s">
        <v>963</v>
      </c>
      <c r="AD78" s="10" t="s">
        <v>964</v>
      </c>
      <c r="AE78" s="10" t="s">
        <v>965</v>
      </c>
      <c r="AF78" s="10" t="s">
        <v>284</v>
      </c>
      <c r="AG78" s="10" t="s">
        <v>966</v>
      </c>
      <c r="AH78" s="10" t="s">
        <v>60</v>
      </c>
      <c r="AI78" s="10" t="s">
        <v>61</v>
      </c>
      <c r="AJ78" s="10" t="s">
        <v>967</v>
      </c>
      <c r="AK78" s="10" t="s">
        <v>968</v>
      </c>
      <c r="AL78" s="10" t="s">
        <v>64</v>
      </c>
      <c r="AM78" s="10" t="s">
        <v>969</v>
      </c>
      <c r="AN78" s="10" t="s">
        <v>50</v>
      </c>
      <c r="AO78" s="11" t="s">
        <v>50</v>
      </c>
      <c r="AP78" s="10" t="s">
        <v>50</v>
      </c>
      <c r="AQ78" s="10" t="s">
        <v>50</v>
      </c>
      <c r="AR78" s="10" t="s">
        <v>50</v>
      </c>
      <c r="AS78" s="10" t="s">
        <v>50</v>
      </c>
      <c r="AT78" s="10" t="s">
        <v>50</v>
      </c>
      <c r="AU78" s="10" t="s">
        <v>50</v>
      </c>
      <c r="AV78" s="11"/>
      <c r="AW78" s="10" t="s">
        <v>66</v>
      </c>
      <c r="AX78" s="10"/>
      <c r="AY78" s="10" t="s">
        <v>66</v>
      </c>
    </row>
    <row r="79" ht="22.5" hidden="1" customHeight="1">
      <c r="A79" s="9" t="s">
        <v>970</v>
      </c>
      <c r="B79" s="10" t="s">
        <v>971</v>
      </c>
      <c r="C79" s="10" t="s">
        <v>43</v>
      </c>
      <c r="D79" s="10" t="s">
        <v>99</v>
      </c>
      <c r="E79" s="10" t="s">
        <v>66</v>
      </c>
      <c r="F79" s="11">
        <v>1.0</v>
      </c>
      <c r="G79" s="11">
        <v>79.3</v>
      </c>
      <c r="H79" s="11"/>
      <c r="I79" s="11">
        <v>-13.48</v>
      </c>
      <c r="J79" s="11">
        <v>-19.95</v>
      </c>
      <c r="K79" s="11"/>
      <c r="L79" s="11">
        <v>45.87</v>
      </c>
      <c r="M79" s="10" t="s">
        <v>46</v>
      </c>
      <c r="N79" s="10" t="s">
        <v>45</v>
      </c>
      <c r="O79" s="10" t="s">
        <v>314</v>
      </c>
      <c r="P79" s="10" t="s">
        <v>315</v>
      </c>
      <c r="Q79" s="10" t="s">
        <v>316</v>
      </c>
      <c r="R79" s="10" t="s">
        <v>74</v>
      </c>
      <c r="S79" s="11">
        <v>79.3</v>
      </c>
      <c r="T79" s="11">
        <v>6.66</v>
      </c>
      <c r="U79" s="11" t="s">
        <v>51</v>
      </c>
      <c r="V79" s="10" t="s">
        <v>52</v>
      </c>
      <c r="W79" s="10" t="s">
        <v>972</v>
      </c>
      <c r="X79" s="10" t="s">
        <v>973</v>
      </c>
      <c r="Y79" s="10" t="s">
        <v>974</v>
      </c>
      <c r="Z79" s="10" t="s">
        <v>50</v>
      </c>
      <c r="AA79" s="10" t="s">
        <v>50</v>
      </c>
      <c r="AB79" s="10" t="s">
        <v>972</v>
      </c>
      <c r="AC79" s="10" t="s">
        <v>975</v>
      </c>
      <c r="AD79" s="10" t="s">
        <v>976</v>
      </c>
      <c r="AE79" s="10" t="s">
        <v>977</v>
      </c>
      <c r="AF79" s="10" t="s">
        <v>284</v>
      </c>
      <c r="AG79" s="10" t="s">
        <v>978</v>
      </c>
      <c r="AH79" s="10" t="s">
        <v>60</v>
      </c>
      <c r="AI79" s="10" t="s">
        <v>61</v>
      </c>
      <c r="AJ79" s="10" t="s">
        <v>967</v>
      </c>
      <c r="AK79" s="10" t="s">
        <v>979</v>
      </c>
      <c r="AL79" s="10" t="s">
        <v>64</v>
      </c>
      <c r="AM79" s="10" t="s">
        <v>980</v>
      </c>
      <c r="AN79" s="10" t="s">
        <v>50</v>
      </c>
      <c r="AO79" s="11" t="s">
        <v>50</v>
      </c>
      <c r="AP79" s="10" t="s">
        <v>50</v>
      </c>
      <c r="AQ79" s="10" t="s">
        <v>50</v>
      </c>
      <c r="AR79" s="10" t="s">
        <v>50</v>
      </c>
      <c r="AS79" s="10" t="s">
        <v>50</v>
      </c>
      <c r="AT79" s="10" t="s">
        <v>50</v>
      </c>
      <c r="AU79" s="10" t="s">
        <v>50</v>
      </c>
      <c r="AV79" s="11"/>
      <c r="AW79" s="10" t="s">
        <v>66</v>
      </c>
      <c r="AX79" s="10"/>
      <c r="AY79" s="10" t="s">
        <v>66</v>
      </c>
    </row>
    <row r="80" ht="22.5" hidden="1" customHeight="1">
      <c r="A80" s="9" t="s">
        <v>981</v>
      </c>
      <c r="B80" s="10" t="s">
        <v>982</v>
      </c>
      <c r="C80" s="10" t="s">
        <v>43</v>
      </c>
      <c r="D80" s="10" t="s">
        <v>688</v>
      </c>
      <c r="E80" s="10" t="s">
        <v>66</v>
      </c>
      <c r="F80" s="11">
        <v>1.0</v>
      </c>
      <c r="G80" s="11">
        <v>80.0</v>
      </c>
      <c r="H80" s="11"/>
      <c r="I80" s="11">
        <v>-13.6</v>
      </c>
      <c r="J80" s="11">
        <v>-19.95</v>
      </c>
      <c r="K80" s="11"/>
      <c r="L80" s="11">
        <v>50.45</v>
      </c>
      <c r="M80" s="10" t="s">
        <v>46</v>
      </c>
      <c r="N80" s="10" t="s">
        <v>50</v>
      </c>
      <c r="O80" s="10" t="s">
        <v>143</v>
      </c>
      <c r="P80" s="10" t="s">
        <v>144</v>
      </c>
      <c r="Q80" s="10" t="s">
        <v>145</v>
      </c>
      <c r="R80" s="10" t="s">
        <v>74</v>
      </c>
      <c r="S80" s="11">
        <v>80.0</v>
      </c>
      <c r="T80" s="11">
        <v>33.38</v>
      </c>
      <c r="U80" s="11" t="s">
        <v>51</v>
      </c>
      <c r="V80" s="10" t="s">
        <v>52</v>
      </c>
      <c r="W80" s="10" t="s">
        <v>983</v>
      </c>
      <c r="X80" s="10" t="s">
        <v>984</v>
      </c>
      <c r="Y80" s="10" t="s">
        <v>985</v>
      </c>
      <c r="Z80" s="10" t="s">
        <v>50</v>
      </c>
      <c r="AA80" s="10" t="s">
        <v>50</v>
      </c>
      <c r="AB80" s="10" t="s">
        <v>983</v>
      </c>
      <c r="AC80" s="10" t="s">
        <v>986</v>
      </c>
      <c r="AD80" s="10" t="s">
        <v>987</v>
      </c>
      <c r="AE80" s="10" t="s">
        <v>151</v>
      </c>
      <c r="AF80" s="10" t="s">
        <v>151</v>
      </c>
      <c r="AG80" s="10" t="s">
        <v>988</v>
      </c>
      <c r="AH80" s="10" t="s">
        <v>60</v>
      </c>
      <c r="AI80" s="10" t="s">
        <v>61</v>
      </c>
      <c r="AJ80" s="10" t="s">
        <v>989</v>
      </c>
      <c r="AK80" s="10" t="s">
        <v>990</v>
      </c>
      <c r="AL80" s="10" t="s">
        <v>64</v>
      </c>
      <c r="AM80" s="10" t="s">
        <v>991</v>
      </c>
      <c r="AN80" s="10" t="s">
        <v>50</v>
      </c>
      <c r="AO80" s="11" t="s">
        <v>50</v>
      </c>
      <c r="AP80" s="10" t="s">
        <v>50</v>
      </c>
      <c r="AQ80" s="10" t="s">
        <v>50</v>
      </c>
      <c r="AR80" s="10" t="s">
        <v>50</v>
      </c>
      <c r="AS80" s="10" t="s">
        <v>50</v>
      </c>
      <c r="AT80" s="10" t="s">
        <v>50</v>
      </c>
      <c r="AU80" s="10" t="s">
        <v>50</v>
      </c>
      <c r="AV80" s="11"/>
      <c r="AW80" s="10" t="s">
        <v>66</v>
      </c>
      <c r="AX80" s="10"/>
      <c r="AY80" s="10" t="s">
        <v>66</v>
      </c>
    </row>
    <row r="81" ht="22.5" hidden="1" customHeight="1">
      <c r="A81" s="9" t="s">
        <v>992</v>
      </c>
      <c r="B81" s="10" t="s">
        <v>993</v>
      </c>
      <c r="C81" s="10" t="s">
        <v>43</v>
      </c>
      <c r="D81" s="10" t="s">
        <v>44</v>
      </c>
      <c r="E81" s="10" t="s">
        <v>66</v>
      </c>
      <c r="F81" s="11">
        <v>1.0</v>
      </c>
      <c r="G81" s="11">
        <v>120.0</v>
      </c>
      <c r="H81" s="11"/>
      <c r="I81" s="11">
        <v>-20.4</v>
      </c>
      <c r="J81" s="11">
        <v>-19.95</v>
      </c>
      <c r="K81" s="11"/>
      <c r="L81" s="11">
        <v>86.85</v>
      </c>
      <c r="M81" s="10" t="s">
        <v>46</v>
      </c>
      <c r="N81" s="10" t="s">
        <v>50</v>
      </c>
      <c r="O81" s="10" t="s">
        <v>85</v>
      </c>
      <c r="P81" s="10" t="s">
        <v>86</v>
      </c>
      <c r="Q81" s="10" t="s">
        <v>87</v>
      </c>
      <c r="R81" s="10" t="s">
        <v>74</v>
      </c>
      <c r="S81" s="11">
        <v>120.0</v>
      </c>
      <c r="T81" s="11">
        <v>65.78</v>
      </c>
      <c r="U81" s="11" t="s">
        <v>51</v>
      </c>
      <c r="V81" s="10" t="s">
        <v>52</v>
      </c>
      <c r="W81" s="10" t="s">
        <v>994</v>
      </c>
      <c r="X81" s="10" t="s">
        <v>995</v>
      </c>
      <c r="Y81" s="10" t="s">
        <v>996</v>
      </c>
      <c r="Z81" s="10" t="s">
        <v>50</v>
      </c>
      <c r="AA81" s="10" t="s">
        <v>50</v>
      </c>
      <c r="AB81" s="10" t="s">
        <v>994</v>
      </c>
      <c r="AC81" s="10" t="s">
        <v>997</v>
      </c>
      <c r="AD81" s="10" t="s">
        <v>998</v>
      </c>
      <c r="AE81" s="10" t="s">
        <v>999</v>
      </c>
      <c r="AF81" s="10" t="s">
        <v>284</v>
      </c>
      <c r="AG81" s="10" t="s">
        <v>1000</v>
      </c>
      <c r="AH81" s="10" t="s">
        <v>60</v>
      </c>
      <c r="AI81" s="10" t="s">
        <v>61</v>
      </c>
      <c r="AJ81" s="10" t="s">
        <v>967</v>
      </c>
      <c r="AK81" s="10" t="s">
        <v>1001</v>
      </c>
      <c r="AL81" s="10" t="s">
        <v>64</v>
      </c>
      <c r="AM81" s="10" t="s">
        <v>1002</v>
      </c>
      <c r="AN81" s="10" t="s">
        <v>50</v>
      </c>
      <c r="AO81" s="11" t="s">
        <v>50</v>
      </c>
      <c r="AP81" s="10" t="s">
        <v>50</v>
      </c>
      <c r="AQ81" s="10" t="s">
        <v>50</v>
      </c>
      <c r="AR81" s="10" t="s">
        <v>50</v>
      </c>
      <c r="AS81" s="10" t="s">
        <v>50</v>
      </c>
      <c r="AT81" s="10" t="s">
        <v>50</v>
      </c>
      <c r="AU81" s="10" t="s">
        <v>50</v>
      </c>
      <c r="AV81" s="11"/>
      <c r="AW81" s="10" t="s">
        <v>66</v>
      </c>
      <c r="AX81" s="10"/>
      <c r="AY81" s="10" t="s">
        <v>66</v>
      </c>
    </row>
    <row r="82" ht="22.5" hidden="1" customHeight="1">
      <c r="A82" s="9" t="s">
        <v>1003</v>
      </c>
      <c r="B82" s="10" t="s">
        <v>1004</v>
      </c>
      <c r="C82" s="10" t="s">
        <v>43</v>
      </c>
      <c r="D82" s="10" t="s">
        <v>759</v>
      </c>
      <c r="E82" s="10" t="s">
        <v>66</v>
      </c>
      <c r="F82" s="11">
        <v>1.0</v>
      </c>
      <c r="G82" s="11">
        <v>43.7</v>
      </c>
      <c r="H82" s="11">
        <v>11.11</v>
      </c>
      <c r="I82" s="11">
        <v>-13.43</v>
      </c>
      <c r="J82" s="11">
        <v>-11.11</v>
      </c>
      <c r="K82" s="11"/>
      <c r="L82" s="11">
        <v>32.89</v>
      </c>
      <c r="M82" s="10" t="s">
        <v>46</v>
      </c>
      <c r="N82" s="10" t="s">
        <v>45</v>
      </c>
      <c r="O82" s="10" t="s">
        <v>176</v>
      </c>
      <c r="P82" s="10" t="s">
        <v>177</v>
      </c>
      <c r="Q82" s="10" t="s">
        <v>178</v>
      </c>
      <c r="R82" s="10" t="s">
        <v>74</v>
      </c>
      <c r="S82" s="11">
        <v>43.7</v>
      </c>
      <c r="T82" s="11">
        <v>22.58</v>
      </c>
      <c r="U82" s="11" t="s">
        <v>51</v>
      </c>
      <c r="V82" s="10" t="s">
        <v>52</v>
      </c>
      <c r="W82" s="10" t="s">
        <v>1005</v>
      </c>
      <c r="X82" s="10" t="s">
        <v>1006</v>
      </c>
      <c r="Y82" s="10" t="s">
        <v>1007</v>
      </c>
      <c r="Z82" s="10" t="s">
        <v>50</v>
      </c>
      <c r="AA82" s="10" t="s">
        <v>50</v>
      </c>
      <c r="AB82" s="10" t="s">
        <v>1005</v>
      </c>
      <c r="AC82" s="10" t="s">
        <v>1008</v>
      </c>
      <c r="AD82" s="10" t="s">
        <v>1009</v>
      </c>
      <c r="AE82" s="10" t="s">
        <v>1010</v>
      </c>
      <c r="AF82" s="10" t="s">
        <v>58</v>
      </c>
      <c r="AG82" s="10" t="s">
        <v>1011</v>
      </c>
      <c r="AH82" s="10" t="s">
        <v>60</v>
      </c>
      <c r="AI82" s="10" t="s">
        <v>61</v>
      </c>
      <c r="AJ82" s="10" t="s">
        <v>755</v>
      </c>
      <c r="AK82" s="10" t="s">
        <v>1012</v>
      </c>
      <c r="AL82" s="10" t="s">
        <v>64</v>
      </c>
      <c r="AM82" s="10" t="s">
        <v>1013</v>
      </c>
      <c r="AN82" s="10" t="s">
        <v>50</v>
      </c>
      <c r="AO82" s="11" t="s">
        <v>50</v>
      </c>
      <c r="AP82" s="10" t="s">
        <v>50</v>
      </c>
      <c r="AQ82" s="10" t="s">
        <v>50</v>
      </c>
      <c r="AR82" s="10" t="s">
        <v>50</v>
      </c>
      <c r="AS82" s="10" t="s">
        <v>50</v>
      </c>
      <c r="AT82" s="10" t="s">
        <v>50</v>
      </c>
      <c r="AU82" s="10" t="s">
        <v>50</v>
      </c>
      <c r="AV82" s="11"/>
      <c r="AW82" s="10" t="s">
        <v>66</v>
      </c>
      <c r="AX82" s="10"/>
      <c r="AY82" s="10" t="s">
        <v>66</v>
      </c>
    </row>
    <row r="83" ht="22.5" hidden="1" customHeight="1">
      <c r="A83" s="9" t="s">
        <v>1014</v>
      </c>
      <c r="B83" s="10" t="s">
        <v>1015</v>
      </c>
      <c r="C83" s="10" t="s">
        <v>43</v>
      </c>
      <c r="D83" s="10" t="s">
        <v>175</v>
      </c>
      <c r="E83" s="10" t="s">
        <v>66</v>
      </c>
      <c r="F83" s="11">
        <v>1.0</v>
      </c>
      <c r="G83" s="11">
        <v>92.15</v>
      </c>
      <c r="H83" s="11">
        <v>12.68</v>
      </c>
      <c r="I83" s="11">
        <v>-17.51</v>
      </c>
      <c r="J83" s="11">
        <v>-33.13</v>
      </c>
      <c r="K83" s="11"/>
      <c r="L83" s="11">
        <v>59.72</v>
      </c>
      <c r="M83" s="10" t="s">
        <v>46</v>
      </c>
      <c r="N83" s="10" t="s">
        <v>50</v>
      </c>
      <c r="O83" s="10" t="s">
        <v>586</v>
      </c>
      <c r="P83" s="10" t="s">
        <v>587</v>
      </c>
      <c r="Q83" s="10" t="s">
        <v>588</v>
      </c>
      <c r="R83" s="10" t="s">
        <v>50</v>
      </c>
      <c r="S83" s="11">
        <v>92.15</v>
      </c>
      <c r="T83" s="11">
        <v>20.76</v>
      </c>
      <c r="U83" s="11" t="s">
        <v>51</v>
      </c>
      <c r="V83" s="10" t="s">
        <v>52</v>
      </c>
      <c r="W83" s="10" t="s">
        <v>1016</v>
      </c>
      <c r="X83" s="10" t="s">
        <v>1017</v>
      </c>
      <c r="Y83" s="10" t="s">
        <v>1018</v>
      </c>
      <c r="Z83" s="10" t="s">
        <v>50</v>
      </c>
      <c r="AA83" s="10" t="s">
        <v>50</v>
      </c>
      <c r="AB83" s="10" t="s">
        <v>1016</v>
      </c>
      <c r="AC83" s="10" t="s">
        <v>1019</v>
      </c>
      <c r="AD83" s="10" t="s">
        <v>1020</v>
      </c>
      <c r="AE83" s="10" t="s">
        <v>1021</v>
      </c>
      <c r="AF83" s="10" t="s">
        <v>799</v>
      </c>
      <c r="AG83" s="10" t="s">
        <v>1022</v>
      </c>
      <c r="AH83" s="10" t="s">
        <v>60</v>
      </c>
      <c r="AI83" s="10" t="s">
        <v>61</v>
      </c>
      <c r="AJ83" s="10" t="s">
        <v>1023</v>
      </c>
      <c r="AK83" s="10" t="s">
        <v>1024</v>
      </c>
      <c r="AL83" s="10" t="s">
        <v>1025</v>
      </c>
      <c r="AM83" s="10" t="s">
        <v>1026</v>
      </c>
      <c r="AN83" s="10" t="s">
        <v>1027</v>
      </c>
      <c r="AO83" s="11" t="s">
        <v>50</v>
      </c>
      <c r="AP83" s="10" t="s">
        <v>50</v>
      </c>
      <c r="AQ83" s="10" t="s">
        <v>50</v>
      </c>
      <c r="AR83" s="10" t="s">
        <v>50</v>
      </c>
      <c r="AS83" s="10" t="s">
        <v>50</v>
      </c>
      <c r="AT83" s="10" t="s">
        <v>50</v>
      </c>
      <c r="AU83" s="10" t="s">
        <v>50</v>
      </c>
      <c r="AV83" s="11"/>
      <c r="AW83" s="10" t="s">
        <v>66</v>
      </c>
      <c r="AX83" s="10"/>
      <c r="AY83" s="10" t="s">
        <v>66</v>
      </c>
    </row>
    <row r="84" ht="22.5" hidden="1" customHeight="1">
      <c r="A84" s="9" t="s">
        <v>1028</v>
      </c>
      <c r="B84" s="10" t="s">
        <v>1029</v>
      </c>
      <c r="C84" s="10" t="s">
        <v>43</v>
      </c>
      <c r="D84" s="10" t="s">
        <v>44</v>
      </c>
      <c r="E84" s="10" t="s">
        <v>45</v>
      </c>
      <c r="F84" s="11">
        <v>1.0</v>
      </c>
      <c r="G84" s="11">
        <v>79.0</v>
      </c>
      <c r="H84" s="11">
        <v>9.13</v>
      </c>
      <c r="I84" s="11">
        <v>-13.43</v>
      </c>
      <c r="J84" s="11">
        <v>-29.58</v>
      </c>
      <c r="K84" s="11"/>
      <c r="L84" s="11">
        <v>45.12</v>
      </c>
      <c r="M84" s="10" t="s">
        <v>46</v>
      </c>
      <c r="N84" s="10" t="s">
        <v>45</v>
      </c>
      <c r="O84" s="10" t="s">
        <v>160</v>
      </c>
      <c r="P84" s="10" t="s">
        <v>161</v>
      </c>
      <c r="Q84" s="10" t="s">
        <v>162</v>
      </c>
      <c r="R84" s="10" t="s">
        <v>74</v>
      </c>
      <c r="S84" s="11">
        <v>79.0</v>
      </c>
      <c r="T84" s="11">
        <v>2.49</v>
      </c>
      <c r="U84" s="11" t="s">
        <v>51</v>
      </c>
      <c r="V84" s="10" t="s">
        <v>52</v>
      </c>
      <c r="W84" s="10" t="s">
        <v>1030</v>
      </c>
      <c r="X84" s="10" t="s">
        <v>1031</v>
      </c>
      <c r="Y84" s="10" t="s">
        <v>1032</v>
      </c>
      <c r="Z84" s="10" t="s">
        <v>50</v>
      </c>
      <c r="AA84" s="10" t="s">
        <v>50</v>
      </c>
      <c r="AB84" s="10" t="s">
        <v>1030</v>
      </c>
      <c r="AC84" s="10" t="s">
        <v>1033</v>
      </c>
      <c r="AD84" s="10" t="s">
        <v>1034</v>
      </c>
      <c r="AE84" s="10" t="s">
        <v>1035</v>
      </c>
      <c r="AF84" s="10" t="s">
        <v>561</v>
      </c>
      <c r="AG84" s="10" t="s">
        <v>1036</v>
      </c>
      <c r="AH84" s="10" t="s">
        <v>60</v>
      </c>
      <c r="AI84" s="10" t="s">
        <v>61</v>
      </c>
      <c r="AJ84" s="10" t="s">
        <v>755</v>
      </c>
      <c r="AK84" s="10" t="s">
        <v>1037</v>
      </c>
      <c r="AL84" s="10" t="s">
        <v>64</v>
      </c>
      <c r="AM84" s="10" t="s">
        <v>1038</v>
      </c>
      <c r="AN84" s="10" t="s">
        <v>50</v>
      </c>
      <c r="AO84" s="11" t="s">
        <v>50</v>
      </c>
      <c r="AP84" s="10" t="s">
        <v>50</v>
      </c>
      <c r="AQ84" s="10" t="s">
        <v>50</v>
      </c>
      <c r="AR84" s="10" t="s">
        <v>50</v>
      </c>
      <c r="AS84" s="10" t="s">
        <v>50</v>
      </c>
      <c r="AT84" s="10" t="s">
        <v>50</v>
      </c>
      <c r="AU84" s="10" t="s">
        <v>50</v>
      </c>
      <c r="AV84" s="11"/>
      <c r="AW84" s="10" t="s">
        <v>66</v>
      </c>
      <c r="AX84" s="10"/>
      <c r="AY84" s="10" t="s">
        <v>66</v>
      </c>
    </row>
    <row r="85" ht="22.5" hidden="1" customHeight="1">
      <c r="A85" s="9" t="s">
        <v>1039</v>
      </c>
      <c r="B85" s="10" t="s">
        <v>1040</v>
      </c>
      <c r="C85" s="10" t="s">
        <v>43</v>
      </c>
      <c r="D85" s="10" t="s">
        <v>191</v>
      </c>
      <c r="E85" s="10" t="s">
        <v>66</v>
      </c>
      <c r="F85" s="11">
        <v>1.0</v>
      </c>
      <c r="G85" s="11">
        <v>79.0</v>
      </c>
      <c r="H85" s="11"/>
      <c r="I85" s="11">
        <v>-13.43</v>
      </c>
      <c r="J85" s="11">
        <v>-20.45</v>
      </c>
      <c r="K85" s="11"/>
      <c r="L85" s="11">
        <v>45.12</v>
      </c>
      <c r="M85" s="10" t="s">
        <v>46</v>
      </c>
      <c r="N85" s="10" t="s">
        <v>45</v>
      </c>
      <c r="O85" s="10" t="s">
        <v>461</v>
      </c>
      <c r="P85" s="10" t="s">
        <v>462</v>
      </c>
      <c r="Q85" s="10" t="s">
        <v>463</v>
      </c>
      <c r="R85" s="10" t="s">
        <v>74</v>
      </c>
      <c r="S85" s="11">
        <v>79.0</v>
      </c>
      <c r="T85" s="11">
        <v>10.09</v>
      </c>
      <c r="U85" s="11" t="s">
        <v>51</v>
      </c>
      <c r="V85" s="10" t="s">
        <v>52</v>
      </c>
      <c r="W85" s="10" t="s">
        <v>1041</v>
      </c>
      <c r="X85" s="10" t="s">
        <v>1042</v>
      </c>
      <c r="Y85" s="10" t="s">
        <v>1043</v>
      </c>
      <c r="Z85" s="10" t="s">
        <v>50</v>
      </c>
      <c r="AA85" s="10" t="s">
        <v>50</v>
      </c>
      <c r="AB85" s="10" t="s">
        <v>1041</v>
      </c>
      <c r="AC85" s="10" t="s">
        <v>1044</v>
      </c>
      <c r="AD85" s="10" t="s">
        <v>1045</v>
      </c>
      <c r="AE85" s="10" t="s">
        <v>492</v>
      </c>
      <c r="AF85" s="10" t="s">
        <v>58</v>
      </c>
      <c r="AG85" s="10" t="s">
        <v>1046</v>
      </c>
      <c r="AH85" s="10" t="s">
        <v>60</v>
      </c>
      <c r="AI85" s="10" t="s">
        <v>61</v>
      </c>
      <c r="AJ85" s="10" t="s">
        <v>1047</v>
      </c>
      <c r="AK85" s="10" t="s">
        <v>1048</v>
      </c>
      <c r="AL85" s="10" t="s">
        <v>64</v>
      </c>
      <c r="AM85" s="10" t="s">
        <v>1049</v>
      </c>
      <c r="AN85" s="10" t="s">
        <v>50</v>
      </c>
      <c r="AO85" s="11" t="s">
        <v>50</v>
      </c>
      <c r="AP85" s="10" t="s">
        <v>50</v>
      </c>
      <c r="AQ85" s="10" t="s">
        <v>50</v>
      </c>
      <c r="AR85" s="10" t="s">
        <v>50</v>
      </c>
      <c r="AS85" s="10" t="s">
        <v>50</v>
      </c>
      <c r="AT85" s="10" t="s">
        <v>50</v>
      </c>
      <c r="AU85" s="10" t="s">
        <v>50</v>
      </c>
      <c r="AV85" s="11"/>
      <c r="AW85" s="10" t="s">
        <v>66</v>
      </c>
      <c r="AX85" s="10"/>
      <c r="AY85" s="10" t="s">
        <v>66</v>
      </c>
    </row>
    <row r="86" ht="22.5" hidden="1" customHeight="1">
      <c r="A86" s="9" t="s">
        <v>1050</v>
      </c>
      <c r="B86" s="10" t="s">
        <v>1051</v>
      </c>
      <c r="C86" s="10" t="s">
        <v>43</v>
      </c>
      <c r="D86" s="10" t="s">
        <v>125</v>
      </c>
      <c r="E86" s="10" t="s">
        <v>66</v>
      </c>
      <c r="F86" s="11">
        <v>1.0</v>
      </c>
      <c r="G86" s="11">
        <v>120.0</v>
      </c>
      <c r="H86" s="11"/>
      <c r="I86" s="11">
        <v>-20.4</v>
      </c>
      <c r="J86" s="11">
        <v>-19.95</v>
      </c>
      <c r="K86" s="11"/>
      <c r="L86" s="11">
        <v>86.85</v>
      </c>
      <c r="M86" s="10" t="s">
        <v>46</v>
      </c>
      <c r="N86" s="10" t="s">
        <v>50</v>
      </c>
      <c r="O86" s="10" t="s">
        <v>85</v>
      </c>
      <c r="P86" s="10" t="s">
        <v>86</v>
      </c>
      <c r="Q86" s="10" t="s">
        <v>87</v>
      </c>
      <c r="R86" s="10" t="s">
        <v>74</v>
      </c>
      <c r="S86" s="11">
        <v>120.0</v>
      </c>
      <c r="T86" s="11">
        <v>65.78</v>
      </c>
      <c r="U86" s="11" t="s">
        <v>51</v>
      </c>
      <c r="V86" s="10" t="s">
        <v>52</v>
      </c>
      <c r="W86" s="10" t="s">
        <v>1052</v>
      </c>
      <c r="X86" s="10" t="s">
        <v>1053</v>
      </c>
      <c r="Y86" s="10" t="s">
        <v>1054</v>
      </c>
      <c r="Z86" s="10" t="s">
        <v>50</v>
      </c>
      <c r="AA86" s="10" t="s">
        <v>50</v>
      </c>
      <c r="AB86" s="10" t="s">
        <v>1052</v>
      </c>
      <c r="AC86" s="10" t="s">
        <v>1055</v>
      </c>
      <c r="AD86" s="10" t="s">
        <v>1056</v>
      </c>
      <c r="AE86" s="10" t="s">
        <v>58</v>
      </c>
      <c r="AF86" s="10" t="s">
        <v>58</v>
      </c>
      <c r="AG86" s="10" t="s">
        <v>1057</v>
      </c>
      <c r="AH86" s="10" t="s">
        <v>60</v>
      </c>
      <c r="AI86" s="10" t="s">
        <v>61</v>
      </c>
      <c r="AJ86" s="10" t="s">
        <v>1058</v>
      </c>
      <c r="AK86" s="10" t="s">
        <v>1059</v>
      </c>
      <c r="AL86" s="10" t="s">
        <v>64</v>
      </c>
      <c r="AM86" s="10" t="s">
        <v>1060</v>
      </c>
      <c r="AN86" s="10" t="s">
        <v>50</v>
      </c>
      <c r="AO86" s="11" t="s">
        <v>50</v>
      </c>
      <c r="AP86" s="10" t="s">
        <v>50</v>
      </c>
      <c r="AQ86" s="10" t="s">
        <v>50</v>
      </c>
      <c r="AR86" s="10" t="s">
        <v>50</v>
      </c>
      <c r="AS86" s="10" t="s">
        <v>50</v>
      </c>
      <c r="AT86" s="10" t="s">
        <v>50</v>
      </c>
      <c r="AU86" s="10" t="s">
        <v>50</v>
      </c>
      <c r="AV86" s="11"/>
      <c r="AW86" s="10" t="s">
        <v>66</v>
      </c>
      <c r="AX86" s="10"/>
      <c r="AY86" s="10" t="s">
        <v>66</v>
      </c>
    </row>
    <row r="87" ht="22.5" hidden="1" customHeight="1">
      <c r="A87" s="9" t="s">
        <v>1061</v>
      </c>
      <c r="B87" s="10" t="s">
        <v>1062</v>
      </c>
      <c r="C87" s="10" t="s">
        <v>43</v>
      </c>
      <c r="D87" s="10" t="s">
        <v>44</v>
      </c>
      <c r="E87" s="10" t="s">
        <v>45</v>
      </c>
      <c r="F87" s="11">
        <v>1.0</v>
      </c>
      <c r="G87" s="11">
        <v>101.5</v>
      </c>
      <c r="H87" s="11"/>
      <c r="I87" s="11">
        <v>-19.28</v>
      </c>
      <c r="J87" s="11">
        <v>-19.95</v>
      </c>
      <c r="K87" s="11"/>
      <c r="L87" s="11">
        <v>62.27</v>
      </c>
      <c r="M87" s="10" t="s">
        <v>46</v>
      </c>
      <c r="N87" s="10" t="s">
        <v>50</v>
      </c>
      <c r="O87" s="10" t="s">
        <v>100</v>
      </c>
      <c r="P87" s="10" t="s">
        <v>101</v>
      </c>
      <c r="Q87" s="10" t="s">
        <v>102</v>
      </c>
      <c r="R87" s="10" t="s">
        <v>50</v>
      </c>
      <c r="S87" s="11">
        <v>101.5</v>
      </c>
      <c r="T87" s="11">
        <v>38.61</v>
      </c>
      <c r="U87" s="11" t="s">
        <v>51</v>
      </c>
      <c r="V87" s="10" t="s">
        <v>52</v>
      </c>
      <c r="W87" s="10" t="s">
        <v>1063</v>
      </c>
      <c r="X87" s="10" t="s">
        <v>1064</v>
      </c>
      <c r="Y87" s="10" t="s">
        <v>1065</v>
      </c>
      <c r="Z87" s="10" t="s">
        <v>50</v>
      </c>
      <c r="AA87" s="10" t="s">
        <v>50</v>
      </c>
      <c r="AB87" s="10" t="s">
        <v>1063</v>
      </c>
      <c r="AC87" s="10" t="s">
        <v>1066</v>
      </c>
      <c r="AD87" s="10" t="s">
        <v>1067</v>
      </c>
      <c r="AE87" s="10" t="s">
        <v>213</v>
      </c>
      <c r="AF87" s="10" t="s">
        <v>214</v>
      </c>
      <c r="AG87" s="10" t="s">
        <v>1068</v>
      </c>
      <c r="AH87" s="10" t="s">
        <v>60</v>
      </c>
      <c r="AI87" s="10" t="s">
        <v>61</v>
      </c>
      <c r="AJ87" s="10" t="s">
        <v>847</v>
      </c>
      <c r="AK87" s="10" t="s">
        <v>1069</v>
      </c>
      <c r="AL87" s="10" t="s">
        <v>64</v>
      </c>
      <c r="AM87" s="10" t="s">
        <v>1070</v>
      </c>
      <c r="AN87" s="10" t="s">
        <v>50</v>
      </c>
      <c r="AO87" s="11" t="s">
        <v>50</v>
      </c>
      <c r="AP87" s="10" t="s">
        <v>50</v>
      </c>
      <c r="AQ87" s="10" t="s">
        <v>50</v>
      </c>
      <c r="AR87" s="10" t="s">
        <v>50</v>
      </c>
      <c r="AS87" s="10" t="s">
        <v>50</v>
      </c>
      <c r="AT87" s="10" t="s">
        <v>50</v>
      </c>
      <c r="AU87" s="10" t="s">
        <v>50</v>
      </c>
      <c r="AV87" s="11"/>
      <c r="AW87" s="10" t="s">
        <v>66</v>
      </c>
      <c r="AX87" s="10"/>
      <c r="AY87" s="10" t="s">
        <v>66</v>
      </c>
    </row>
    <row r="88" ht="22.5" hidden="1" customHeight="1">
      <c r="A88" s="9" t="s">
        <v>1071</v>
      </c>
      <c r="B88" s="10" t="s">
        <v>1072</v>
      </c>
      <c r="C88" s="10" t="s">
        <v>43</v>
      </c>
      <c r="D88" s="10" t="s">
        <v>688</v>
      </c>
      <c r="E88" s="10" t="s">
        <v>66</v>
      </c>
      <c r="F88" s="11">
        <v>1.0</v>
      </c>
      <c r="G88" s="11">
        <v>120.0</v>
      </c>
      <c r="H88" s="11"/>
      <c r="I88" s="11">
        <v>-20.4</v>
      </c>
      <c r="J88" s="11">
        <v>-19.95</v>
      </c>
      <c r="K88" s="11"/>
      <c r="L88" s="11">
        <v>86.85</v>
      </c>
      <c r="M88" s="10" t="s">
        <v>46</v>
      </c>
      <c r="N88" s="10" t="s">
        <v>45</v>
      </c>
      <c r="O88" s="10" t="s">
        <v>85</v>
      </c>
      <c r="P88" s="10" t="s">
        <v>86</v>
      </c>
      <c r="Q88" s="10" t="s">
        <v>87</v>
      </c>
      <c r="R88" s="10" t="s">
        <v>74</v>
      </c>
      <c r="S88" s="11">
        <v>120.0</v>
      </c>
      <c r="T88" s="11">
        <v>65.78</v>
      </c>
      <c r="U88" s="11" t="s">
        <v>51</v>
      </c>
      <c r="V88" s="10" t="s">
        <v>52</v>
      </c>
      <c r="W88" s="10" t="s">
        <v>1073</v>
      </c>
      <c r="X88" s="10" t="s">
        <v>1074</v>
      </c>
      <c r="Y88" s="10" t="s">
        <v>1075</v>
      </c>
      <c r="Z88" s="10" t="s">
        <v>50</v>
      </c>
      <c r="AA88" s="10" t="s">
        <v>50</v>
      </c>
      <c r="AB88" s="10" t="s">
        <v>1073</v>
      </c>
      <c r="AC88" s="10" t="s">
        <v>1076</v>
      </c>
      <c r="AD88" s="10" t="s">
        <v>1077</v>
      </c>
      <c r="AE88" s="10" t="s">
        <v>151</v>
      </c>
      <c r="AF88" s="10" t="s">
        <v>151</v>
      </c>
      <c r="AG88" s="10" t="s">
        <v>1078</v>
      </c>
      <c r="AH88" s="10" t="s">
        <v>60</v>
      </c>
      <c r="AI88" s="10" t="s">
        <v>61</v>
      </c>
      <c r="AJ88" s="10" t="s">
        <v>1079</v>
      </c>
      <c r="AK88" s="10" t="s">
        <v>1080</v>
      </c>
      <c r="AL88" s="10" t="s">
        <v>64</v>
      </c>
      <c r="AM88" s="10" t="s">
        <v>1081</v>
      </c>
      <c r="AN88" s="10" t="s">
        <v>50</v>
      </c>
      <c r="AO88" s="11" t="s">
        <v>50</v>
      </c>
      <c r="AP88" s="10" t="s">
        <v>50</v>
      </c>
      <c r="AQ88" s="10" t="s">
        <v>50</v>
      </c>
      <c r="AR88" s="10" t="s">
        <v>50</v>
      </c>
      <c r="AS88" s="10" t="s">
        <v>50</v>
      </c>
      <c r="AT88" s="10" t="s">
        <v>50</v>
      </c>
      <c r="AU88" s="10" t="s">
        <v>50</v>
      </c>
      <c r="AV88" s="11"/>
      <c r="AW88" s="10" t="s">
        <v>66</v>
      </c>
      <c r="AX88" s="10"/>
      <c r="AY88" s="10" t="s">
        <v>66</v>
      </c>
    </row>
    <row r="89" ht="22.5" hidden="1" customHeight="1">
      <c r="A89" s="9" t="s">
        <v>1082</v>
      </c>
      <c r="B89" s="10" t="s">
        <v>1083</v>
      </c>
      <c r="C89" s="10" t="s">
        <v>43</v>
      </c>
      <c r="D89" s="10" t="s">
        <v>44</v>
      </c>
      <c r="E89" s="10" t="s">
        <v>66</v>
      </c>
      <c r="F89" s="11">
        <v>1.0</v>
      </c>
      <c r="G89" s="11">
        <v>79.2</v>
      </c>
      <c r="H89" s="11"/>
      <c r="I89" s="11">
        <v>-13.46</v>
      </c>
      <c r="J89" s="11">
        <v>-20.45</v>
      </c>
      <c r="K89" s="11"/>
      <c r="L89" s="11">
        <v>50.04</v>
      </c>
      <c r="M89" s="10" t="s">
        <v>46</v>
      </c>
      <c r="N89" s="10" t="s">
        <v>45</v>
      </c>
      <c r="O89" s="10" t="s">
        <v>892</v>
      </c>
      <c r="P89" s="10" t="s">
        <v>893</v>
      </c>
      <c r="Q89" s="10" t="s">
        <v>894</v>
      </c>
      <c r="R89" s="10" t="s">
        <v>74</v>
      </c>
      <c r="S89" s="11">
        <v>79.2</v>
      </c>
      <c r="T89" s="11">
        <v>2.97</v>
      </c>
      <c r="U89" s="11" t="s">
        <v>51</v>
      </c>
      <c r="V89" s="10" t="s">
        <v>52</v>
      </c>
      <c r="W89" s="10" t="s">
        <v>1084</v>
      </c>
      <c r="X89" s="10" t="s">
        <v>1085</v>
      </c>
      <c r="Y89" s="10" t="s">
        <v>1086</v>
      </c>
      <c r="Z89" s="10" t="s">
        <v>50</v>
      </c>
      <c r="AA89" s="10" t="s">
        <v>50</v>
      </c>
      <c r="AB89" s="10" t="s">
        <v>1084</v>
      </c>
      <c r="AC89" s="10" t="s">
        <v>1087</v>
      </c>
      <c r="AD89" s="10" t="s">
        <v>1088</v>
      </c>
      <c r="AE89" s="10" t="s">
        <v>1089</v>
      </c>
      <c r="AF89" s="10" t="s">
        <v>284</v>
      </c>
      <c r="AG89" s="10" t="s">
        <v>1090</v>
      </c>
      <c r="AH89" s="10" t="s">
        <v>60</v>
      </c>
      <c r="AI89" s="10" t="s">
        <v>61</v>
      </c>
      <c r="AJ89" s="10" t="s">
        <v>967</v>
      </c>
      <c r="AK89" s="10" t="s">
        <v>1091</v>
      </c>
      <c r="AL89" s="10" t="s">
        <v>64</v>
      </c>
      <c r="AM89" s="10" t="s">
        <v>1092</v>
      </c>
      <c r="AN89" s="10" t="s">
        <v>50</v>
      </c>
      <c r="AO89" s="11" t="s">
        <v>50</v>
      </c>
      <c r="AP89" s="10" t="s">
        <v>50</v>
      </c>
      <c r="AQ89" s="10" t="s">
        <v>50</v>
      </c>
      <c r="AR89" s="10" t="s">
        <v>50</v>
      </c>
      <c r="AS89" s="10" t="s">
        <v>50</v>
      </c>
      <c r="AT89" s="10" t="s">
        <v>50</v>
      </c>
      <c r="AU89" s="10" t="s">
        <v>50</v>
      </c>
      <c r="AV89" s="11"/>
      <c r="AW89" s="10" t="s">
        <v>66</v>
      </c>
      <c r="AX89" s="10"/>
      <c r="AY89" s="10" t="s">
        <v>66</v>
      </c>
    </row>
    <row r="90" ht="22.5" hidden="1" customHeight="1">
      <c r="A90" s="9" t="s">
        <v>1093</v>
      </c>
      <c r="B90" s="10" t="s">
        <v>1094</v>
      </c>
      <c r="C90" s="10" t="s">
        <v>43</v>
      </c>
      <c r="D90" s="10" t="s">
        <v>99</v>
      </c>
      <c r="E90" s="10" t="s">
        <v>66</v>
      </c>
      <c r="F90" s="11">
        <v>1.0</v>
      </c>
      <c r="G90" s="11">
        <v>120.0</v>
      </c>
      <c r="H90" s="11"/>
      <c r="I90" s="11">
        <v>-20.4</v>
      </c>
      <c r="J90" s="11">
        <v>-19.95</v>
      </c>
      <c r="K90" s="11"/>
      <c r="L90" s="11">
        <v>86.85</v>
      </c>
      <c r="M90" s="10" t="s">
        <v>46</v>
      </c>
      <c r="N90" s="10" t="s">
        <v>45</v>
      </c>
      <c r="O90" s="10" t="s">
        <v>85</v>
      </c>
      <c r="P90" s="10" t="s">
        <v>86</v>
      </c>
      <c r="Q90" s="10" t="s">
        <v>87</v>
      </c>
      <c r="R90" s="10" t="s">
        <v>74</v>
      </c>
      <c r="S90" s="11">
        <v>120.0</v>
      </c>
      <c r="T90" s="11">
        <v>65.78</v>
      </c>
      <c r="U90" s="11" t="s">
        <v>51</v>
      </c>
      <c r="V90" s="10" t="s">
        <v>52</v>
      </c>
      <c r="W90" s="10" t="s">
        <v>1095</v>
      </c>
      <c r="X90" s="10" t="s">
        <v>1096</v>
      </c>
      <c r="Y90" s="10" t="s">
        <v>1097</v>
      </c>
      <c r="Z90" s="10" t="s">
        <v>50</v>
      </c>
      <c r="AA90" s="10" t="s">
        <v>50</v>
      </c>
      <c r="AB90" s="10" t="s">
        <v>1095</v>
      </c>
      <c r="AC90" s="10" t="s">
        <v>1098</v>
      </c>
      <c r="AD90" s="10" t="s">
        <v>1099</v>
      </c>
      <c r="AE90" s="10" t="s">
        <v>1100</v>
      </c>
      <c r="AF90" s="10" t="s">
        <v>799</v>
      </c>
      <c r="AG90" s="10" t="s">
        <v>1101</v>
      </c>
      <c r="AH90" s="10" t="s">
        <v>60</v>
      </c>
      <c r="AI90" s="10" t="s">
        <v>61</v>
      </c>
      <c r="AJ90" s="10" t="s">
        <v>915</v>
      </c>
      <c r="AK90" s="10" t="s">
        <v>1102</v>
      </c>
      <c r="AL90" s="10" t="s">
        <v>64</v>
      </c>
      <c r="AM90" s="10" t="s">
        <v>1103</v>
      </c>
      <c r="AN90" s="10" t="s">
        <v>50</v>
      </c>
      <c r="AO90" s="11" t="s">
        <v>50</v>
      </c>
      <c r="AP90" s="10" t="s">
        <v>50</v>
      </c>
      <c r="AQ90" s="10" t="s">
        <v>50</v>
      </c>
      <c r="AR90" s="10" t="s">
        <v>50</v>
      </c>
      <c r="AS90" s="10" t="s">
        <v>50</v>
      </c>
      <c r="AT90" s="10" t="s">
        <v>50</v>
      </c>
      <c r="AU90" s="10" t="s">
        <v>50</v>
      </c>
      <c r="AV90" s="11"/>
      <c r="AW90" s="10" t="s">
        <v>66</v>
      </c>
      <c r="AX90" s="10"/>
      <c r="AY90" s="10" t="s">
        <v>66</v>
      </c>
    </row>
    <row r="91" ht="22.5" hidden="1" customHeight="1">
      <c r="A91" s="9" t="s">
        <v>1104</v>
      </c>
      <c r="B91" s="10" t="s">
        <v>1105</v>
      </c>
      <c r="C91" s="10" t="s">
        <v>43</v>
      </c>
      <c r="D91" s="10" t="s">
        <v>125</v>
      </c>
      <c r="E91" s="10" t="s">
        <v>66</v>
      </c>
      <c r="F91" s="11">
        <v>1.0</v>
      </c>
      <c r="G91" s="11">
        <v>88.35</v>
      </c>
      <c r="H91" s="11"/>
      <c r="I91" s="11">
        <v>-15.02</v>
      </c>
      <c r="J91" s="11">
        <v>-21.45</v>
      </c>
      <c r="K91" s="11"/>
      <c r="L91" s="11">
        <v>57.18</v>
      </c>
      <c r="M91" s="10" t="s">
        <v>46</v>
      </c>
      <c r="N91" s="10" t="s">
        <v>50</v>
      </c>
      <c r="O91" s="10" t="s">
        <v>1106</v>
      </c>
      <c r="P91" s="10" t="s">
        <v>1107</v>
      </c>
      <c r="Q91" s="10" t="s">
        <v>1108</v>
      </c>
      <c r="R91" s="10" t="s">
        <v>74</v>
      </c>
      <c r="S91" s="11">
        <v>88.35</v>
      </c>
      <c r="T91" s="11">
        <v>6.87</v>
      </c>
      <c r="U91" s="11" t="s">
        <v>51</v>
      </c>
      <c r="V91" s="10" t="s">
        <v>52</v>
      </c>
      <c r="W91" s="10" t="s">
        <v>1109</v>
      </c>
      <c r="X91" s="10" t="s">
        <v>1110</v>
      </c>
      <c r="Y91" s="10" t="s">
        <v>1111</v>
      </c>
      <c r="Z91" s="10" t="s">
        <v>50</v>
      </c>
      <c r="AA91" s="10" t="s">
        <v>50</v>
      </c>
      <c r="AB91" s="10" t="s">
        <v>1109</v>
      </c>
      <c r="AC91" s="10" t="s">
        <v>1112</v>
      </c>
      <c r="AD91" s="10" t="s">
        <v>1113</v>
      </c>
      <c r="AE91" s="10" t="s">
        <v>1114</v>
      </c>
      <c r="AF91" s="10" t="s">
        <v>284</v>
      </c>
      <c r="AG91" s="10" t="s">
        <v>1115</v>
      </c>
      <c r="AH91" s="10" t="s">
        <v>60</v>
      </c>
      <c r="AI91" s="10" t="s">
        <v>61</v>
      </c>
      <c r="AJ91" s="10" t="s">
        <v>847</v>
      </c>
      <c r="AK91" s="10" t="s">
        <v>1116</v>
      </c>
      <c r="AL91" s="10" t="s">
        <v>64</v>
      </c>
      <c r="AM91" s="10" t="s">
        <v>1117</v>
      </c>
      <c r="AN91" s="10" t="s">
        <v>50</v>
      </c>
      <c r="AO91" s="11" t="s">
        <v>50</v>
      </c>
      <c r="AP91" s="10" t="s">
        <v>50</v>
      </c>
      <c r="AQ91" s="10" t="s">
        <v>50</v>
      </c>
      <c r="AR91" s="10" t="s">
        <v>50</v>
      </c>
      <c r="AS91" s="10" t="s">
        <v>50</v>
      </c>
      <c r="AT91" s="10" t="s">
        <v>50</v>
      </c>
      <c r="AU91" s="10" t="s">
        <v>50</v>
      </c>
      <c r="AV91" s="11"/>
      <c r="AW91" s="10" t="s">
        <v>66</v>
      </c>
      <c r="AX91" s="10"/>
      <c r="AY91" s="10" t="s">
        <v>66</v>
      </c>
    </row>
    <row r="92" ht="22.5" hidden="1" customHeight="1">
      <c r="A92" s="9" t="s">
        <v>1118</v>
      </c>
      <c r="B92" s="10" t="s">
        <v>1119</v>
      </c>
      <c r="C92" s="10" t="s">
        <v>43</v>
      </c>
      <c r="D92" s="10" t="s">
        <v>99</v>
      </c>
      <c r="E92" s="10" t="s">
        <v>66</v>
      </c>
      <c r="F92" s="11">
        <v>1.0</v>
      </c>
      <c r="G92" s="11">
        <v>120.0</v>
      </c>
      <c r="H92" s="11"/>
      <c r="I92" s="11">
        <v>-20.4</v>
      </c>
      <c r="J92" s="11">
        <v>-19.95</v>
      </c>
      <c r="K92" s="11"/>
      <c r="L92" s="11">
        <v>86.85</v>
      </c>
      <c r="M92" s="10" t="s">
        <v>46</v>
      </c>
      <c r="N92" s="10" t="s">
        <v>45</v>
      </c>
      <c r="O92" s="10" t="s">
        <v>85</v>
      </c>
      <c r="P92" s="10" t="s">
        <v>86</v>
      </c>
      <c r="Q92" s="10" t="s">
        <v>87</v>
      </c>
      <c r="R92" s="10" t="s">
        <v>74</v>
      </c>
      <c r="S92" s="11">
        <v>120.0</v>
      </c>
      <c r="T92" s="11">
        <v>65.78</v>
      </c>
      <c r="U92" s="11" t="s">
        <v>51</v>
      </c>
      <c r="V92" s="10" t="s">
        <v>52</v>
      </c>
      <c r="W92" s="10" t="s">
        <v>1120</v>
      </c>
      <c r="X92" s="10" t="s">
        <v>1121</v>
      </c>
      <c r="Y92" s="10" t="s">
        <v>1122</v>
      </c>
      <c r="Z92" s="10" t="s">
        <v>50</v>
      </c>
      <c r="AA92" s="10" t="s">
        <v>50</v>
      </c>
      <c r="AB92" s="10" t="s">
        <v>1120</v>
      </c>
      <c r="AC92" s="10" t="s">
        <v>1123</v>
      </c>
      <c r="AD92" s="10" t="s">
        <v>1124</v>
      </c>
      <c r="AE92" s="10" t="s">
        <v>308</v>
      </c>
      <c r="AF92" s="10" t="s">
        <v>136</v>
      </c>
      <c r="AG92" s="10" t="s">
        <v>1125</v>
      </c>
      <c r="AH92" s="10" t="s">
        <v>60</v>
      </c>
      <c r="AI92" s="10" t="s">
        <v>61</v>
      </c>
      <c r="AJ92" s="10" t="s">
        <v>1126</v>
      </c>
      <c r="AK92" s="10" t="s">
        <v>1127</v>
      </c>
      <c r="AL92" s="10" t="s">
        <v>64</v>
      </c>
      <c r="AM92" s="10" t="s">
        <v>1128</v>
      </c>
      <c r="AN92" s="10" t="s">
        <v>50</v>
      </c>
      <c r="AO92" s="11" t="s">
        <v>50</v>
      </c>
      <c r="AP92" s="10" t="s">
        <v>50</v>
      </c>
      <c r="AQ92" s="10" t="s">
        <v>50</v>
      </c>
      <c r="AR92" s="10" t="s">
        <v>50</v>
      </c>
      <c r="AS92" s="10" t="s">
        <v>50</v>
      </c>
      <c r="AT92" s="10" t="s">
        <v>50</v>
      </c>
      <c r="AU92" s="10" t="s">
        <v>50</v>
      </c>
      <c r="AV92" s="11"/>
      <c r="AW92" s="10" t="s">
        <v>66</v>
      </c>
      <c r="AX92" s="10"/>
      <c r="AY92" s="10" t="s">
        <v>66</v>
      </c>
    </row>
    <row r="93" ht="22.5" hidden="1" customHeight="1">
      <c r="A93" s="9" t="s">
        <v>1129</v>
      </c>
      <c r="B93" s="10" t="s">
        <v>1130</v>
      </c>
      <c r="C93" s="10" t="s">
        <v>43</v>
      </c>
      <c r="D93" s="10" t="s">
        <v>99</v>
      </c>
      <c r="E93" s="10" t="s">
        <v>66</v>
      </c>
      <c r="F93" s="11">
        <v>1.0</v>
      </c>
      <c r="G93" s="11">
        <v>80.0</v>
      </c>
      <c r="H93" s="11"/>
      <c r="I93" s="11">
        <v>-13.6</v>
      </c>
      <c r="J93" s="11">
        <v>-19.95</v>
      </c>
      <c r="K93" s="11"/>
      <c r="L93" s="11">
        <v>50.45</v>
      </c>
      <c r="M93" s="10" t="s">
        <v>46</v>
      </c>
      <c r="N93" s="10" t="s">
        <v>50</v>
      </c>
      <c r="O93" s="10" t="s">
        <v>143</v>
      </c>
      <c r="P93" s="10" t="s">
        <v>144</v>
      </c>
      <c r="Q93" s="10" t="s">
        <v>145</v>
      </c>
      <c r="R93" s="10" t="s">
        <v>74</v>
      </c>
      <c r="S93" s="11">
        <v>80.0</v>
      </c>
      <c r="T93" s="11">
        <v>33.38</v>
      </c>
      <c r="U93" s="11" t="s">
        <v>51</v>
      </c>
      <c r="V93" s="10" t="s">
        <v>52</v>
      </c>
      <c r="W93" s="10" t="s">
        <v>1131</v>
      </c>
      <c r="X93" s="10" t="s">
        <v>1132</v>
      </c>
      <c r="Y93" s="10" t="s">
        <v>1133</v>
      </c>
      <c r="Z93" s="10" t="s">
        <v>50</v>
      </c>
      <c r="AA93" s="10" t="s">
        <v>50</v>
      </c>
      <c r="AB93" s="10" t="s">
        <v>1131</v>
      </c>
      <c r="AC93" s="10" t="s">
        <v>1134</v>
      </c>
      <c r="AD93" s="10" t="s">
        <v>1135</v>
      </c>
      <c r="AE93" s="10" t="s">
        <v>1136</v>
      </c>
      <c r="AF93" s="10" t="s">
        <v>561</v>
      </c>
      <c r="AG93" s="10" t="s">
        <v>1137</v>
      </c>
      <c r="AH93" s="10" t="s">
        <v>60</v>
      </c>
      <c r="AI93" s="10" t="s">
        <v>61</v>
      </c>
      <c r="AJ93" s="10" t="s">
        <v>1138</v>
      </c>
      <c r="AK93" s="10" t="s">
        <v>1139</v>
      </c>
      <c r="AL93" s="10" t="s">
        <v>64</v>
      </c>
      <c r="AM93" s="10" t="s">
        <v>1140</v>
      </c>
      <c r="AN93" s="10" t="s">
        <v>50</v>
      </c>
      <c r="AO93" s="11" t="s">
        <v>50</v>
      </c>
      <c r="AP93" s="10" t="s">
        <v>50</v>
      </c>
      <c r="AQ93" s="10" t="s">
        <v>50</v>
      </c>
      <c r="AR93" s="10" t="s">
        <v>50</v>
      </c>
      <c r="AS93" s="10" t="s">
        <v>50</v>
      </c>
      <c r="AT93" s="10" t="s">
        <v>50</v>
      </c>
      <c r="AU93" s="10" t="s">
        <v>50</v>
      </c>
      <c r="AV93" s="11"/>
      <c r="AW93" s="10" t="s">
        <v>66</v>
      </c>
      <c r="AX93" s="10"/>
      <c r="AY93" s="10" t="s">
        <v>66</v>
      </c>
    </row>
    <row r="94" ht="22.5" hidden="1" customHeight="1">
      <c r="A94" s="9" t="s">
        <v>1141</v>
      </c>
      <c r="B94" s="10" t="s">
        <v>1142</v>
      </c>
      <c r="C94" s="10" t="s">
        <v>43</v>
      </c>
      <c r="D94" s="10" t="s">
        <v>125</v>
      </c>
      <c r="E94" s="10" t="s">
        <v>66</v>
      </c>
      <c r="F94" s="11">
        <v>1.0</v>
      </c>
      <c r="G94" s="11">
        <v>43.7</v>
      </c>
      <c r="H94" s="11">
        <v>14.15</v>
      </c>
      <c r="I94" s="11">
        <v>-13.43</v>
      </c>
      <c r="J94" s="11">
        <v>-14.15</v>
      </c>
      <c r="K94" s="11"/>
      <c r="L94" s="11">
        <v>32.89</v>
      </c>
      <c r="M94" s="10" t="s">
        <v>46</v>
      </c>
      <c r="N94" s="10" t="s">
        <v>50</v>
      </c>
      <c r="O94" s="10" t="s">
        <v>176</v>
      </c>
      <c r="P94" s="10" t="s">
        <v>177</v>
      </c>
      <c r="Q94" s="10" t="s">
        <v>178</v>
      </c>
      <c r="R94" s="10" t="s">
        <v>74</v>
      </c>
      <c r="S94" s="11">
        <v>43.7</v>
      </c>
      <c r="T94" s="11">
        <v>22.58</v>
      </c>
      <c r="U94" s="11" t="s">
        <v>51</v>
      </c>
      <c r="V94" s="10" t="s">
        <v>52</v>
      </c>
      <c r="W94" s="10" t="s">
        <v>1143</v>
      </c>
      <c r="X94" s="10" t="s">
        <v>1144</v>
      </c>
      <c r="Y94" s="10" t="s">
        <v>1145</v>
      </c>
      <c r="Z94" s="10" t="s">
        <v>50</v>
      </c>
      <c r="AA94" s="10" t="s">
        <v>50</v>
      </c>
      <c r="AB94" s="10" t="s">
        <v>1143</v>
      </c>
      <c r="AC94" s="10" t="s">
        <v>1146</v>
      </c>
      <c r="AD94" s="10" t="s">
        <v>1147</v>
      </c>
      <c r="AE94" s="10" t="s">
        <v>1148</v>
      </c>
      <c r="AF94" s="10" t="s">
        <v>58</v>
      </c>
      <c r="AG94" s="10" t="s">
        <v>1149</v>
      </c>
      <c r="AH94" s="10" t="s">
        <v>60</v>
      </c>
      <c r="AI94" s="10" t="s">
        <v>61</v>
      </c>
      <c r="AJ94" s="10" t="s">
        <v>1058</v>
      </c>
      <c r="AK94" s="10" t="s">
        <v>1150</v>
      </c>
      <c r="AL94" s="10" t="s">
        <v>64</v>
      </c>
      <c r="AM94" s="10" t="s">
        <v>1151</v>
      </c>
      <c r="AN94" s="10" t="s">
        <v>50</v>
      </c>
      <c r="AO94" s="11" t="s">
        <v>50</v>
      </c>
      <c r="AP94" s="10" t="s">
        <v>50</v>
      </c>
      <c r="AQ94" s="10" t="s">
        <v>50</v>
      </c>
      <c r="AR94" s="10" t="s">
        <v>50</v>
      </c>
      <c r="AS94" s="10" t="s">
        <v>50</v>
      </c>
      <c r="AT94" s="10" t="s">
        <v>50</v>
      </c>
      <c r="AU94" s="10" t="s">
        <v>50</v>
      </c>
      <c r="AV94" s="11"/>
      <c r="AW94" s="10" t="s">
        <v>66</v>
      </c>
      <c r="AX94" s="10"/>
      <c r="AY94" s="10" t="s">
        <v>66</v>
      </c>
    </row>
    <row r="95" ht="22.5" hidden="1" customHeight="1">
      <c r="A95" s="9" t="s">
        <v>1152</v>
      </c>
      <c r="B95" s="10" t="s">
        <v>1153</v>
      </c>
      <c r="C95" s="10" t="s">
        <v>43</v>
      </c>
      <c r="D95" s="10" t="s">
        <v>759</v>
      </c>
      <c r="E95" s="10" t="s">
        <v>45</v>
      </c>
      <c r="F95" s="11">
        <v>1.0</v>
      </c>
      <c r="G95" s="11">
        <v>79.0</v>
      </c>
      <c r="H95" s="11"/>
      <c r="I95" s="11">
        <v>-13.43</v>
      </c>
      <c r="J95" s="11">
        <v>-20.45</v>
      </c>
      <c r="K95" s="11"/>
      <c r="L95" s="11">
        <v>45.12</v>
      </c>
      <c r="M95" s="10" t="s">
        <v>46</v>
      </c>
      <c r="N95" s="10" t="s">
        <v>45</v>
      </c>
      <c r="O95" s="10" t="s">
        <v>160</v>
      </c>
      <c r="P95" s="10" t="s">
        <v>161</v>
      </c>
      <c r="Q95" s="10" t="s">
        <v>162</v>
      </c>
      <c r="R95" s="10" t="s">
        <v>74</v>
      </c>
      <c r="S95" s="11">
        <v>79.0</v>
      </c>
      <c r="T95" s="11">
        <v>2.49</v>
      </c>
      <c r="U95" s="11" t="s">
        <v>51</v>
      </c>
      <c r="V95" s="10" t="s">
        <v>52</v>
      </c>
      <c r="W95" s="10" t="s">
        <v>1154</v>
      </c>
      <c r="X95" s="10" t="s">
        <v>1155</v>
      </c>
      <c r="Y95" s="10" t="s">
        <v>1156</v>
      </c>
      <c r="Z95" s="10" t="s">
        <v>50</v>
      </c>
      <c r="AA95" s="10" t="s">
        <v>50</v>
      </c>
      <c r="AB95" s="10" t="s">
        <v>1154</v>
      </c>
      <c r="AC95" s="10" t="s">
        <v>1157</v>
      </c>
      <c r="AD95" s="10" t="s">
        <v>1158</v>
      </c>
      <c r="AE95" s="10" t="s">
        <v>58</v>
      </c>
      <c r="AF95" s="10" t="s">
        <v>58</v>
      </c>
      <c r="AG95" s="10" t="s">
        <v>1159</v>
      </c>
      <c r="AH95" s="10" t="s">
        <v>60</v>
      </c>
      <c r="AI95" s="10" t="s">
        <v>61</v>
      </c>
      <c r="AJ95" s="10" t="s">
        <v>755</v>
      </c>
      <c r="AK95" s="10" t="s">
        <v>1160</v>
      </c>
      <c r="AL95" s="10" t="s">
        <v>64</v>
      </c>
      <c r="AM95" s="10" t="s">
        <v>1161</v>
      </c>
      <c r="AN95" s="10" t="s">
        <v>50</v>
      </c>
      <c r="AO95" s="11" t="s">
        <v>50</v>
      </c>
      <c r="AP95" s="10" t="s">
        <v>50</v>
      </c>
      <c r="AQ95" s="10" t="s">
        <v>50</v>
      </c>
      <c r="AR95" s="10" t="s">
        <v>50</v>
      </c>
      <c r="AS95" s="10" t="s">
        <v>50</v>
      </c>
      <c r="AT95" s="10" t="s">
        <v>50</v>
      </c>
      <c r="AU95" s="10" t="s">
        <v>50</v>
      </c>
      <c r="AV95" s="11"/>
      <c r="AW95" s="10" t="s">
        <v>66</v>
      </c>
      <c r="AX95" s="10"/>
      <c r="AY95" s="10" t="s">
        <v>66</v>
      </c>
    </row>
    <row r="96" ht="22.5" hidden="1" customHeight="1">
      <c r="A96" s="9" t="s">
        <v>1162</v>
      </c>
      <c r="B96" s="10" t="s">
        <v>1163</v>
      </c>
      <c r="C96" s="10" t="s">
        <v>43</v>
      </c>
      <c r="D96" s="10" t="s">
        <v>688</v>
      </c>
      <c r="E96" s="10" t="s">
        <v>66</v>
      </c>
      <c r="F96" s="11">
        <v>1.0</v>
      </c>
      <c r="G96" s="11">
        <v>120.0</v>
      </c>
      <c r="H96" s="11"/>
      <c r="I96" s="11">
        <v>-20.4</v>
      </c>
      <c r="J96" s="11">
        <v>-19.95</v>
      </c>
      <c r="K96" s="11"/>
      <c r="L96" s="11">
        <v>86.85</v>
      </c>
      <c r="M96" s="10" t="s">
        <v>46</v>
      </c>
      <c r="N96" s="10" t="s">
        <v>45</v>
      </c>
      <c r="O96" s="10" t="s">
        <v>85</v>
      </c>
      <c r="P96" s="10" t="s">
        <v>86</v>
      </c>
      <c r="Q96" s="10" t="s">
        <v>87</v>
      </c>
      <c r="R96" s="10" t="s">
        <v>74</v>
      </c>
      <c r="S96" s="11">
        <v>120.0</v>
      </c>
      <c r="T96" s="11">
        <v>65.78</v>
      </c>
      <c r="U96" s="11" t="s">
        <v>51</v>
      </c>
      <c r="V96" s="10" t="s">
        <v>52</v>
      </c>
      <c r="W96" s="10" t="s">
        <v>1164</v>
      </c>
      <c r="X96" s="10" t="s">
        <v>1165</v>
      </c>
      <c r="Y96" s="10" t="s">
        <v>1166</v>
      </c>
      <c r="Z96" s="10" t="s">
        <v>50</v>
      </c>
      <c r="AA96" s="10" t="s">
        <v>50</v>
      </c>
      <c r="AB96" s="10" t="s">
        <v>1164</v>
      </c>
      <c r="AC96" s="10" t="s">
        <v>1167</v>
      </c>
      <c r="AD96" s="10" t="s">
        <v>1168</v>
      </c>
      <c r="AE96" s="10" t="s">
        <v>1169</v>
      </c>
      <c r="AF96" s="10" t="s">
        <v>323</v>
      </c>
      <c r="AG96" s="10" t="s">
        <v>1170</v>
      </c>
      <c r="AH96" s="10" t="s">
        <v>60</v>
      </c>
      <c r="AI96" s="10" t="s">
        <v>61</v>
      </c>
      <c r="AJ96" s="10" t="s">
        <v>1171</v>
      </c>
      <c r="AK96" s="10" t="s">
        <v>1172</v>
      </c>
      <c r="AL96" s="10" t="s">
        <v>64</v>
      </c>
      <c r="AM96" s="10" t="s">
        <v>1173</v>
      </c>
      <c r="AN96" s="10" t="s">
        <v>50</v>
      </c>
      <c r="AO96" s="11" t="s">
        <v>50</v>
      </c>
      <c r="AP96" s="10" t="s">
        <v>50</v>
      </c>
      <c r="AQ96" s="10" t="s">
        <v>50</v>
      </c>
      <c r="AR96" s="10" t="s">
        <v>50</v>
      </c>
      <c r="AS96" s="10" t="s">
        <v>50</v>
      </c>
      <c r="AT96" s="10" t="s">
        <v>50</v>
      </c>
      <c r="AU96" s="10" t="s">
        <v>50</v>
      </c>
      <c r="AV96" s="11"/>
      <c r="AW96" s="10" t="s">
        <v>66</v>
      </c>
      <c r="AX96" s="10"/>
      <c r="AY96" s="10" t="s">
        <v>66</v>
      </c>
    </row>
    <row r="97" ht="22.5" hidden="1" customHeight="1">
      <c r="A97" s="9" t="s">
        <v>1174</v>
      </c>
      <c r="B97" s="10" t="s">
        <v>1175</v>
      </c>
      <c r="C97" s="10" t="s">
        <v>43</v>
      </c>
      <c r="D97" s="10" t="s">
        <v>44</v>
      </c>
      <c r="E97" s="10" t="s">
        <v>66</v>
      </c>
      <c r="F97" s="11">
        <v>1.0</v>
      </c>
      <c r="G97" s="11">
        <v>43.7</v>
      </c>
      <c r="H97" s="11">
        <v>13.77</v>
      </c>
      <c r="I97" s="11">
        <v>-13.43</v>
      </c>
      <c r="J97" s="11">
        <v>-13.77</v>
      </c>
      <c r="K97" s="11"/>
      <c r="L97" s="11">
        <v>32.89</v>
      </c>
      <c r="M97" s="10" t="s">
        <v>46</v>
      </c>
      <c r="N97" s="10" t="s">
        <v>50</v>
      </c>
      <c r="O97" s="10" t="s">
        <v>176</v>
      </c>
      <c r="P97" s="10" t="s">
        <v>177</v>
      </c>
      <c r="Q97" s="10" t="s">
        <v>178</v>
      </c>
      <c r="R97" s="10" t="s">
        <v>74</v>
      </c>
      <c r="S97" s="11">
        <v>43.7</v>
      </c>
      <c r="T97" s="11">
        <v>22.58</v>
      </c>
      <c r="U97" s="11" t="s">
        <v>51</v>
      </c>
      <c r="V97" s="10" t="s">
        <v>52</v>
      </c>
      <c r="W97" s="10" t="s">
        <v>1176</v>
      </c>
      <c r="X97" s="10" t="s">
        <v>1177</v>
      </c>
      <c r="Y97" s="10" t="s">
        <v>1178</v>
      </c>
      <c r="Z97" s="10" t="s">
        <v>50</v>
      </c>
      <c r="AA97" s="10" t="s">
        <v>50</v>
      </c>
      <c r="AB97" s="10" t="s">
        <v>1176</v>
      </c>
      <c r="AC97" s="10" t="s">
        <v>1179</v>
      </c>
      <c r="AD97" s="10" t="s">
        <v>1180</v>
      </c>
      <c r="AE97" s="10" t="s">
        <v>1181</v>
      </c>
      <c r="AF97" s="10" t="s">
        <v>323</v>
      </c>
      <c r="AG97" s="10" t="s">
        <v>1182</v>
      </c>
      <c r="AH97" s="10" t="s">
        <v>60</v>
      </c>
      <c r="AI97" s="10" t="s">
        <v>61</v>
      </c>
      <c r="AJ97" s="10" t="s">
        <v>942</v>
      </c>
      <c r="AK97" s="10" t="s">
        <v>1183</v>
      </c>
      <c r="AL97" s="10" t="s">
        <v>64</v>
      </c>
      <c r="AM97" s="10" t="s">
        <v>1184</v>
      </c>
      <c r="AN97" s="10" t="s">
        <v>50</v>
      </c>
      <c r="AO97" s="11" t="s">
        <v>50</v>
      </c>
      <c r="AP97" s="10" t="s">
        <v>50</v>
      </c>
      <c r="AQ97" s="10" t="s">
        <v>50</v>
      </c>
      <c r="AR97" s="10" t="s">
        <v>50</v>
      </c>
      <c r="AS97" s="10" t="s">
        <v>50</v>
      </c>
      <c r="AT97" s="10" t="s">
        <v>50</v>
      </c>
      <c r="AU97" s="10" t="s">
        <v>50</v>
      </c>
      <c r="AV97" s="11"/>
      <c r="AW97" s="10" t="s">
        <v>66</v>
      </c>
      <c r="AX97" s="10"/>
      <c r="AY97" s="10" t="s">
        <v>66</v>
      </c>
    </row>
    <row r="98" ht="22.5" hidden="1" customHeight="1">
      <c r="A98" s="9" t="s">
        <v>1185</v>
      </c>
      <c r="B98" s="10" t="s">
        <v>1186</v>
      </c>
      <c r="C98" s="10" t="s">
        <v>43</v>
      </c>
      <c r="D98" s="10" t="s">
        <v>125</v>
      </c>
      <c r="E98" s="10" t="s">
        <v>66</v>
      </c>
      <c r="F98" s="11">
        <v>1.0</v>
      </c>
      <c r="G98" s="11">
        <v>80.5</v>
      </c>
      <c r="H98" s="11"/>
      <c r="I98" s="11">
        <v>-15.3</v>
      </c>
      <c r="J98" s="11">
        <v>-19.95</v>
      </c>
      <c r="K98" s="11"/>
      <c r="L98" s="11">
        <v>45.25</v>
      </c>
      <c r="M98" s="10" t="s">
        <v>46</v>
      </c>
      <c r="N98" s="10" t="s">
        <v>45</v>
      </c>
      <c r="O98" s="10" t="s">
        <v>47</v>
      </c>
      <c r="P98" s="10" t="s">
        <v>48</v>
      </c>
      <c r="Q98" s="10" t="s">
        <v>49</v>
      </c>
      <c r="R98" s="10" t="s">
        <v>50</v>
      </c>
      <c r="S98" s="11">
        <v>80.5</v>
      </c>
      <c r="T98" s="11">
        <v>12.45</v>
      </c>
      <c r="U98" s="11" t="s">
        <v>51</v>
      </c>
      <c r="V98" s="10" t="s">
        <v>52</v>
      </c>
      <c r="W98" s="10" t="s">
        <v>1187</v>
      </c>
      <c r="X98" s="10" t="s">
        <v>1188</v>
      </c>
      <c r="Y98" s="10" t="s">
        <v>1189</v>
      </c>
      <c r="Z98" s="10" t="s">
        <v>50</v>
      </c>
      <c r="AA98" s="10" t="s">
        <v>50</v>
      </c>
      <c r="AB98" s="10" t="s">
        <v>1187</v>
      </c>
      <c r="AC98" s="10" t="s">
        <v>1190</v>
      </c>
      <c r="AD98" s="10" t="s">
        <v>1191</v>
      </c>
      <c r="AE98" s="10" t="s">
        <v>1192</v>
      </c>
      <c r="AF98" s="10" t="s">
        <v>58</v>
      </c>
      <c r="AG98" s="10" t="s">
        <v>1193</v>
      </c>
      <c r="AH98" s="10" t="s">
        <v>60</v>
      </c>
      <c r="AI98" s="10" t="s">
        <v>61</v>
      </c>
      <c r="AJ98" s="10" t="s">
        <v>1058</v>
      </c>
      <c r="AK98" s="10" t="s">
        <v>1194</v>
      </c>
      <c r="AL98" s="10" t="s">
        <v>64</v>
      </c>
      <c r="AM98" s="10" t="s">
        <v>1195</v>
      </c>
      <c r="AN98" s="10" t="s">
        <v>50</v>
      </c>
      <c r="AO98" s="11" t="s">
        <v>50</v>
      </c>
      <c r="AP98" s="10" t="s">
        <v>50</v>
      </c>
      <c r="AQ98" s="10" t="s">
        <v>50</v>
      </c>
      <c r="AR98" s="10" t="s">
        <v>50</v>
      </c>
      <c r="AS98" s="10" t="s">
        <v>50</v>
      </c>
      <c r="AT98" s="10" t="s">
        <v>50</v>
      </c>
      <c r="AU98" s="10" t="s">
        <v>50</v>
      </c>
      <c r="AV98" s="11"/>
      <c r="AW98" s="10" t="s">
        <v>66</v>
      </c>
      <c r="AX98" s="10"/>
      <c r="AY98" s="10" t="s">
        <v>66</v>
      </c>
    </row>
    <row r="99" ht="22.5" hidden="1" customHeight="1">
      <c r="A99" s="9" t="s">
        <v>1196</v>
      </c>
      <c r="B99" s="10" t="s">
        <v>1197</v>
      </c>
      <c r="C99" s="10" t="s">
        <v>43</v>
      </c>
      <c r="D99" s="10" t="s">
        <v>191</v>
      </c>
      <c r="E99" s="10" t="s">
        <v>45</v>
      </c>
      <c r="F99" s="11">
        <v>1.0</v>
      </c>
      <c r="G99" s="11">
        <v>80.0</v>
      </c>
      <c r="H99" s="11"/>
      <c r="I99" s="11">
        <v>-13.6</v>
      </c>
      <c r="J99" s="11">
        <v>-19.95</v>
      </c>
      <c r="K99" s="11"/>
      <c r="L99" s="11">
        <v>50.45</v>
      </c>
      <c r="M99" s="10" t="s">
        <v>46</v>
      </c>
      <c r="N99" s="10" t="s">
        <v>50</v>
      </c>
      <c r="O99" s="10" t="s">
        <v>143</v>
      </c>
      <c r="P99" s="10" t="s">
        <v>144</v>
      </c>
      <c r="Q99" s="10" t="s">
        <v>145</v>
      </c>
      <c r="R99" s="10" t="s">
        <v>74</v>
      </c>
      <c r="S99" s="11">
        <v>80.0</v>
      </c>
      <c r="T99" s="11">
        <v>33.38</v>
      </c>
      <c r="U99" s="11" t="s">
        <v>51</v>
      </c>
      <c r="V99" s="10" t="s">
        <v>52</v>
      </c>
      <c r="W99" s="10" t="s">
        <v>1198</v>
      </c>
      <c r="X99" s="10" t="s">
        <v>1199</v>
      </c>
      <c r="Y99" s="10" t="s">
        <v>1200</v>
      </c>
      <c r="Z99" s="10" t="s">
        <v>50</v>
      </c>
      <c r="AA99" s="10" t="s">
        <v>50</v>
      </c>
      <c r="AB99" s="10" t="s">
        <v>1198</v>
      </c>
      <c r="AC99" s="10" t="s">
        <v>1201</v>
      </c>
      <c r="AD99" s="10" t="s">
        <v>1202</v>
      </c>
      <c r="AE99" s="10" t="s">
        <v>151</v>
      </c>
      <c r="AF99" s="10" t="s">
        <v>151</v>
      </c>
      <c r="AG99" s="10" t="s">
        <v>1203</v>
      </c>
      <c r="AH99" s="10" t="s">
        <v>60</v>
      </c>
      <c r="AI99" s="10" t="s">
        <v>61</v>
      </c>
      <c r="AJ99" s="10" t="s">
        <v>1204</v>
      </c>
      <c r="AK99" s="10" t="s">
        <v>1205</v>
      </c>
      <c r="AL99" s="10" t="s">
        <v>64</v>
      </c>
      <c r="AM99" s="10" t="s">
        <v>1206</v>
      </c>
      <c r="AN99" s="10" t="s">
        <v>50</v>
      </c>
      <c r="AO99" s="11" t="s">
        <v>50</v>
      </c>
      <c r="AP99" s="10" t="s">
        <v>50</v>
      </c>
      <c r="AQ99" s="10" t="s">
        <v>50</v>
      </c>
      <c r="AR99" s="10" t="s">
        <v>50</v>
      </c>
      <c r="AS99" s="10" t="s">
        <v>50</v>
      </c>
      <c r="AT99" s="10" t="s">
        <v>50</v>
      </c>
      <c r="AU99" s="10" t="s">
        <v>50</v>
      </c>
      <c r="AV99" s="11"/>
      <c r="AW99" s="10" t="s">
        <v>66</v>
      </c>
      <c r="AX99" s="10"/>
      <c r="AY99" s="10" t="s">
        <v>66</v>
      </c>
    </row>
    <row r="100" ht="22.5" hidden="1" customHeight="1">
      <c r="A100" s="9" t="s">
        <v>1207</v>
      </c>
      <c r="B100" s="10" t="s">
        <v>1197</v>
      </c>
      <c r="C100" s="10" t="s">
        <v>69</v>
      </c>
      <c r="D100" s="10" t="s">
        <v>1208</v>
      </c>
      <c r="E100" s="10" t="s">
        <v>66</v>
      </c>
      <c r="F100" s="11">
        <v>1.0</v>
      </c>
      <c r="G100" s="11">
        <v>120.0</v>
      </c>
      <c r="H100" s="11"/>
      <c r="I100" s="11">
        <v>-20.4</v>
      </c>
      <c r="J100" s="11">
        <v>-19.95</v>
      </c>
      <c r="K100" s="11">
        <v>-86.85</v>
      </c>
      <c r="L100" s="11">
        <v>0.0</v>
      </c>
      <c r="M100" s="10" t="s">
        <v>46</v>
      </c>
      <c r="N100" s="10" t="s">
        <v>45</v>
      </c>
      <c r="O100" s="10" t="s">
        <v>85</v>
      </c>
      <c r="P100" s="10" t="s">
        <v>86</v>
      </c>
      <c r="Q100" s="10" t="s">
        <v>87</v>
      </c>
      <c r="R100" s="10" t="s">
        <v>74</v>
      </c>
      <c r="S100" s="11">
        <v>120.0</v>
      </c>
      <c r="T100" s="11"/>
      <c r="U100" s="11" t="s">
        <v>51</v>
      </c>
      <c r="V100" s="10" t="s">
        <v>52</v>
      </c>
      <c r="W100" s="10" t="s">
        <v>1209</v>
      </c>
      <c r="X100" s="10" t="s">
        <v>1210</v>
      </c>
      <c r="Y100" s="10" t="s">
        <v>1211</v>
      </c>
      <c r="Z100" s="10" t="s">
        <v>50</v>
      </c>
      <c r="AA100" s="10" t="s">
        <v>50</v>
      </c>
      <c r="AB100" s="10" t="s">
        <v>1209</v>
      </c>
      <c r="AC100" s="10" t="s">
        <v>1212</v>
      </c>
      <c r="AD100" s="10" t="s">
        <v>50</v>
      </c>
      <c r="AE100" s="10" t="s">
        <v>1213</v>
      </c>
      <c r="AF100" s="10" t="s">
        <v>284</v>
      </c>
      <c r="AG100" s="10" t="s">
        <v>1214</v>
      </c>
      <c r="AH100" s="10" t="s">
        <v>60</v>
      </c>
      <c r="AI100" s="10" t="s">
        <v>61</v>
      </c>
      <c r="AJ100" s="10" t="s">
        <v>50</v>
      </c>
      <c r="AK100" s="10" t="s">
        <v>50</v>
      </c>
      <c r="AL100" s="10" t="s">
        <v>64</v>
      </c>
      <c r="AM100" s="10" t="s">
        <v>1215</v>
      </c>
      <c r="AN100" s="10" t="s">
        <v>50</v>
      </c>
      <c r="AO100" s="11" t="s">
        <v>50</v>
      </c>
      <c r="AP100" s="10" t="s">
        <v>50</v>
      </c>
      <c r="AQ100" s="10" t="s">
        <v>50</v>
      </c>
      <c r="AR100" s="10" t="s">
        <v>50</v>
      </c>
      <c r="AS100" s="10" t="s">
        <v>50</v>
      </c>
      <c r="AT100" s="10" t="s">
        <v>50</v>
      </c>
      <c r="AU100" s="10" t="s">
        <v>50</v>
      </c>
      <c r="AV100" s="11"/>
      <c r="AW100" s="10" t="s">
        <v>66</v>
      </c>
      <c r="AX100" s="10"/>
      <c r="AY100" s="10" t="s">
        <v>66</v>
      </c>
    </row>
    <row r="101" ht="22.5" hidden="1" customHeight="1">
      <c r="A101" s="9" t="s">
        <v>1216</v>
      </c>
      <c r="B101" s="10" t="s">
        <v>1217</v>
      </c>
      <c r="C101" s="10" t="s">
        <v>43</v>
      </c>
      <c r="D101" s="10" t="s">
        <v>99</v>
      </c>
      <c r="E101" s="10" t="s">
        <v>66</v>
      </c>
      <c r="F101" s="11">
        <v>1.0</v>
      </c>
      <c r="G101" s="11">
        <v>79.2</v>
      </c>
      <c r="H101" s="11"/>
      <c r="I101" s="11">
        <v>-13.46</v>
      </c>
      <c r="J101" s="11">
        <v>-20.45</v>
      </c>
      <c r="K101" s="11"/>
      <c r="L101" s="11">
        <v>50.04</v>
      </c>
      <c r="M101" s="10" t="s">
        <v>46</v>
      </c>
      <c r="N101" s="10" t="s">
        <v>45</v>
      </c>
      <c r="O101" s="10" t="s">
        <v>892</v>
      </c>
      <c r="P101" s="10" t="s">
        <v>893</v>
      </c>
      <c r="Q101" s="10" t="s">
        <v>894</v>
      </c>
      <c r="R101" s="10" t="s">
        <v>74</v>
      </c>
      <c r="S101" s="11">
        <v>79.2</v>
      </c>
      <c r="T101" s="11">
        <v>2.97</v>
      </c>
      <c r="U101" s="11" t="s">
        <v>51</v>
      </c>
      <c r="V101" s="10" t="s">
        <v>52</v>
      </c>
      <c r="W101" s="10" t="s">
        <v>1218</v>
      </c>
      <c r="X101" s="10" t="s">
        <v>1219</v>
      </c>
      <c r="Y101" s="10" t="s">
        <v>1220</v>
      </c>
      <c r="Z101" s="10" t="s">
        <v>50</v>
      </c>
      <c r="AA101" s="10" t="s">
        <v>50</v>
      </c>
      <c r="AB101" s="10" t="s">
        <v>1218</v>
      </c>
      <c r="AC101" s="10" t="s">
        <v>1221</v>
      </c>
      <c r="AD101" s="10" t="s">
        <v>1222</v>
      </c>
      <c r="AE101" s="10" t="s">
        <v>1223</v>
      </c>
      <c r="AF101" s="10" t="s">
        <v>214</v>
      </c>
      <c r="AG101" s="10" t="s">
        <v>1224</v>
      </c>
      <c r="AH101" s="10" t="s">
        <v>60</v>
      </c>
      <c r="AI101" s="10" t="s">
        <v>61</v>
      </c>
      <c r="AJ101" s="10" t="s">
        <v>967</v>
      </c>
      <c r="AK101" s="10" t="s">
        <v>1225</v>
      </c>
      <c r="AL101" s="10" t="s">
        <v>64</v>
      </c>
      <c r="AM101" s="10" t="s">
        <v>1226</v>
      </c>
      <c r="AN101" s="10" t="s">
        <v>50</v>
      </c>
      <c r="AO101" s="11" t="s">
        <v>50</v>
      </c>
      <c r="AP101" s="10" t="s">
        <v>50</v>
      </c>
      <c r="AQ101" s="10" t="s">
        <v>50</v>
      </c>
      <c r="AR101" s="10" t="s">
        <v>50</v>
      </c>
      <c r="AS101" s="10" t="s">
        <v>50</v>
      </c>
      <c r="AT101" s="10" t="s">
        <v>50</v>
      </c>
      <c r="AU101" s="10" t="s">
        <v>50</v>
      </c>
      <c r="AV101" s="11"/>
      <c r="AW101" s="10" t="s">
        <v>66</v>
      </c>
      <c r="AX101" s="10"/>
      <c r="AY101" s="10" t="s">
        <v>66</v>
      </c>
    </row>
    <row r="102" ht="22.5" hidden="1" customHeight="1">
      <c r="A102" s="9" t="s">
        <v>1227</v>
      </c>
      <c r="B102" s="10" t="s">
        <v>1228</v>
      </c>
      <c r="C102" s="10" t="s">
        <v>43</v>
      </c>
      <c r="D102" s="10" t="s">
        <v>125</v>
      </c>
      <c r="E102" s="10" t="s">
        <v>66</v>
      </c>
      <c r="F102" s="11">
        <v>1.0</v>
      </c>
      <c r="G102" s="11">
        <v>120.0</v>
      </c>
      <c r="H102" s="11"/>
      <c r="I102" s="11">
        <v>-20.4</v>
      </c>
      <c r="J102" s="11">
        <v>-19.95</v>
      </c>
      <c r="K102" s="11"/>
      <c r="L102" s="11">
        <v>86.85</v>
      </c>
      <c r="M102" s="10" t="s">
        <v>46</v>
      </c>
      <c r="N102" s="10" t="s">
        <v>50</v>
      </c>
      <c r="O102" s="10" t="s">
        <v>85</v>
      </c>
      <c r="P102" s="10" t="s">
        <v>86</v>
      </c>
      <c r="Q102" s="10" t="s">
        <v>87</v>
      </c>
      <c r="R102" s="10" t="s">
        <v>74</v>
      </c>
      <c r="S102" s="11">
        <v>120.0</v>
      </c>
      <c r="T102" s="11">
        <v>65.78</v>
      </c>
      <c r="U102" s="11" t="s">
        <v>51</v>
      </c>
      <c r="V102" s="10" t="s">
        <v>52</v>
      </c>
      <c r="W102" s="10" t="s">
        <v>1229</v>
      </c>
      <c r="X102" s="10" t="s">
        <v>1230</v>
      </c>
      <c r="Y102" s="10" t="s">
        <v>1231</v>
      </c>
      <c r="Z102" s="10" t="s">
        <v>50</v>
      </c>
      <c r="AA102" s="10" t="s">
        <v>50</v>
      </c>
      <c r="AB102" s="10" t="s">
        <v>1229</v>
      </c>
      <c r="AC102" s="10" t="s">
        <v>1232</v>
      </c>
      <c r="AD102" s="10" t="s">
        <v>1233</v>
      </c>
      <c r="AE102" s="10" t="s">
        <v>1234</v>
      </c>
      <c r="AF102" s="10" t="s">
        <v>58</v>
      </c>
      <c r="AG102" s="10" t="s">
        <v>1235</v>
      </c>
      <c r="AH102" s="10" t="s">
        <v>60</v>
      </c>
      <c r="AI102" s="10" t="s">
        <v>61</v>
      </c>
      <c r="AJ102" s="10" t="s">
        <v>729</v>
      </c>
      <c r="AK102" s="10" t="s">
        <v>1236</v>
      </c>
      <c r="AL102" s="10" t="s">
        <v>64</v>
      </c>
      <c r="AM102" s="10" t="s">
        <v>1237</v>
      </c>
      <c r="AN102" s="10" t="s">
        <v>50</v>
      </c>
      <c r="AO102" s="11" t="s">
        <v>50</v>
      </c>
      <c r="AP102" s="10" t="s">
        <v>50</v>
      </c>
      <c r="AQ102" s="10" t="s">
        <v>50</v>
      </c>
      <c r="AR102" s="10" t="s">
        <v>50</v>
      </c>
      <c r="AS102" s="10" t="s">
        <v>50</v>
      </c>
      <c r="AT102" s="10" t="s">
        <v>50</v>
      </c>
      <c r="AU102" s="10" t="s">
        <v>50</v>
      </c>
      <c r="AV102" s="11"/>
      <c r="AW102" s="10" t="s">
        <v>66</v>
      </c>
      <c r="AX102" s="10"/>
      <c r="AY102" s="10" t="s">
        <v>66</v>
      </c>
    </row>
    <row r="103" ht="22.5" hidden="1" customHeight="1">
      <c r="A103" s="9" t="s">
        <v>1238</v>
      </c>
      <c r="B103" s="10" t="s">
        <v>1239</v>
      </c>
      <c r="C103" s="10" t="s">
        <v>43</v>
      </c>
      <c r="D103" s="10" t="s">
        <v>99</v>
      </c>
      <c r="E103" s="10" t="s">
        <v>45</v>
      </c>
      <c r="F103" s="11">
        <v>1.0</v>
      </c>
      <c r="G103" s="11">
        <v>43.7</v>
      </c>
      <c r="H103" s="11"/>
      <c r="I103" s="11">
        <v>-13.43</v>
      </c>
      <c r="J103" s="11"/>
      <c r="K103" s="11"/>
      <c r="L103" s="11">
        <v>32.89</v>
      </c>
      <c r="M103" s="10" t="s">
        <v>46</v>
      </c>
      <c r="N103" s="10" t="s">
        <v>45</v>
      </c>
      <c r="O103" s="10" t="s">
        <v>176</v>
      </c>
      <c r="P103" s="10" t="s">
        <v>177</v>
      </c>
      <c r="Q103" s="10" t="s">
        <v>178</v>
      </c>
      <c r="R103" s="10" t="s">
        <v>74</v>
      </c>
      <c r="S103" s="11">
        <v>43.7</v>
      </c>
      <c r="T103" s="11">
        <v>22.58</v>
      </c>
      <c r="U103" s="11" t="s">
        <v>51</v>
      </c>
      <c r="V103" s="10" t="s">
        <v>52</v>
      </c>
      <c r="W103" s="10" t="s">
        <v>1240</v>
      </c>
      <c r="X103" s="10" t="s">
        <v>1241</v>
      </c>
      <c r="Y103" s="10" t="s">
        <v>1242</v>
      </c>
      <c r="Z103" s="10" t="s">
        <v>50</v>
      </c>
      <c r="AA103" s="10" t="s">
        <v>50</v>
      </c>
      <c r="AB103" s="10" t="s">
        <v>1240</v>
      </c>
      <c r="AC103" s="10" t="s">
        <v>1243</v>
      </c>
      <c r="AD103" s="10" t="s">
        <v>1244</v>
      </c>
      <c r="AE103" s="10" t="s">
        <v>1245</v>
      </c>
      <c r="AF103" s="10" t="s">
        <v>185</v>
      </c>
      <c r="AG103" s="10" t="s">
        <v>1246</v>
      </c>
      <c r="AH103" s="10" t="s">
        <v>60</v>
      </c>
      <c r="AI103" s="10" t="s">
        <v>61</v>
      </c>
      <c r="AJ103" s="10" t="s">
        <v>684</v>
      </c>
      <c r="AK103" s="10" t="s">
        <v>1247</v>
      </c>
      <c r="AL103" s="10" t="s">
        <v>64</v>
      </c>
      <c r="AM103" s="10" t="s">
        <v>1248</v>
      </c>
      <c r="AN103" s="10" t="s">
        <v>50</v>
      </c>
      <c r="AO103" s="11" t="s">
        <v>50</v>
      </c>
      <c r="AP103" s="10" t="s">
        <v>50</v>
      </c>
      <c r="AQ103" s="10" t="s">
        <v>50</v>
      </c>
      <c r="AR103" s="10" t="s">
        <v>50</v>
      </c>
      <c r="AS103" s="10" t="s">
        <v>50</v>
      </c>
      <c r="AT103" s="10" t="s">
        <v>50</v>
      </c>
      <c r="AU103" s="10" t="s">
        <v>50</v>
      </c>
      <c r="AV103" s="11"/>
      <c r="AW103" s="10" t="s">
        <v>66</v>
      </c>
      <c r="AX103" s="10"/>
      <c r="AY103" s="10" t="s">
        <v>66</v>
      </c>
    </row>
    <row r="104" ht="22.5" hidden="1" customHeight="1">
      <c r="A104" s="9" t="s">
        <v>1249</v>
      </c>
      <c r="B104" s="10" t="s">
        <v>1250</v>
      </c>
      <c r="C104" s="10" t="s">
        <v>43</v>
      </c>
      <c r="D104" s="10" t="s">
        <v>125</v>
      </c>
      <c r="E104" s="10" t="s">
        <v>45</v>
      </c>
      <c r="F104" s="11">
        <v>2.0</v>
      </c>
      <c r="G104" s="11">
        <v>160.0</v>
      </c>
      <c r="H104" s="11"/>
      <c r="I104" s="11">
        <v>-27.2</v>
      </c>
      <c r="J104" s="11">
        <v>-39.9</v>
      </c>
      <c r="K104" s="11"/>
      <c r="L104" s="11">
        <v>100.9</v>
      </c>
      <c r="M104" s="10" t="s">
        <v>46</v>
      </c>
      <c r="N104" s="10" t="s">
        <v>45</v>
      </c>
      <c r="O104" s="10" t="s">
        <v>143</v>
      </c>
      <c r="P104" s="10" t="s">
        <v>144</v>
      </c>
      <c r="Q104" s="10" t="s">
        <v>145</v>
      </c>
      <c r="R104" s="10" t="s">
        <v>74</v>
      </c>
      <c r="S104" s="11">
        <v>80.0</v>
      </c>
      <c r="T104" s="11">
        <v>33.38</v>
      </c>
      <c r="U104" s="11" t="s">
        <v>51</v>
      </c>
      <c r="V104" s="10" t="s">
        <v>52</v>
      </c>
      <c r="W104" s="10" t="s">
        <v>1251</v>
      </c>
      <c r="X104" s="10" t="s">
        <v>1252</v>
      </c>
      <c r="Y104" s="10" t="s">
        <v>1253</v>
      </c>
      <c r="Z104" s="10" t="s">
        <v>50</v>
      </c>
      <c r="AA104" s="10" t="s">
        <v>50</v>
      </c>
      <c r="AB104" s="10" t="s">
        <v>1251</v>
      </c>
      <c r="AC104" s="10" t="s">
        <v>1254</v>
      </c>
      <c r="AD104" s="10" t="s">
        <v>1255</v>
      </c>
      <c r="AE104" s="10" t="s">
        <v>58</v>
      </c>
      <c r="AF104" s="10" t="s">
        <v>58</v>
      </c>
      <c r="AG104" s="10" t="s">
        <v>1256</v>
      </c>
      <c r="AH104" s="10" t="s">
        <v>60</v>
      </c>
      <c r="AI104" s="10" t="s">
        <v>61</v>
      </c>
      <c r="AJ104" s="10" t="s">
        <v>1257</v>
      </c>
      <c r="AK104" s="10" t="s">
        <v>1258</v>
      </c>
      <c r="AL104" s="10" t="s">
        <v>64</v>
      </c>
      <c r="AM104" s="10" t="s">
        <v>1259</v>
      </c>
      <c r="AN104" s="10" t="s">
        <v>50</v>
      </c>
      <c r="AO104" s="11" t="s">
        <v>50</v>
      </c>
      <c r="AP104" s="10" t="s">
        <v>50</v>
      </c>
      <c r="AQ104" s="10" t="s">
        <v>50</v>
      </c>
      <c r="AR104" s="10" t="s">
        <v>50</v>
      </c>
      <c r="AS104" s="10" t="s">
        <v>50</v>
      </c>
      <c r="AT104" s="10" t="s">
        <v>50</v>
      </c>
      <c r="AU104" s="10" t="s">
        <v>50</v>
      </c>
      <c r="AV104" s="11"/>
      <c r="AW104" s="10" t="s">
        <v>66</v>
      </c>
      <c r="AX104" s="10"/>
      <c r="AY104" s="10" t="s">
        <v>66</v>
      </c>
    </row>
    <row r="105" ht="22.5" hidden="1" customHeight="1">
      <c r="A105" s="9" t="s">
        <v>1260</v>
      </c>
      <c r="B105" s="10" t="s">
        <v>1261</v>
      </c>
      <c r="C105" s="10" t="s">
        <v>43</v>
      </c>
      <c r="D105" s="10" t="s">
        <v>1262</v>
      </c>
      <c r="E105" s="10" t="s">
        <v>45</v>
      </c>
      <c r="F105" s="11">
        <v>1.0</v>
      </c>
      <c r="G105" s="11">
        <v>120.0</v>
      </c>
      <c r="H105" s="11"/>
      <c r="I105" s="11">
        <v>-20.4</v>
      </c>
      <c r="J105" s="11">
        <v>-19.95</v>
      </c>
      <c r="K105" s="11"/>
      <c r="L105" s="11">
        <v>86.85</v>
      </c>
      <c r="M105" s="10" t="s">
        <v>46</v>
      </c>
      <c r="N105" s="10" t="s">
        <v>50</v>
      </c>
      <c r="O105" s="10" t="s">
        <v>85</v>
      </c>
      <c r="P105" s="10" t="s">
        <v>86</v>
      </c>
      <c r="Q105" s="10" t="s">
        <v>87</v>
      </c>
      <c r="R105" s="10" t="s">
        <v>74</v>
      </c>
      <c r="S105" s="11">
        <v>120.0</v>
      </c>
      <c r="T105" s="11">
        <v>65.78</v>
      </c>
      <c r="U105" s="11" t="s">
        <v>51</v>
      </c>
      <c r="V105" s="10" t="s">
        <v>52</v>
      </c>
      <c r="W105" s="10" t="s">
        <v>1263</v>
      </c>
      <c r="X105" s="10" t="s">
        <v>1264</v>
      </c>
      <c r="Y105" s="10" t="s">
        <v>1265</v>
      </c>
      <c r="Z105" s="10" t="s">
        <v>50</v>
      </c>
      <c r="AA105" s="10" t="s">
        <v>50</v>
      </c>
      <c r="AB105" s="10" t="s">
        <v>1263</v>
      </c>
      <c r="AC105" s="10" t="s">
        <v>1266</v>
      </c>
      <c r="AD105" s="10" t="s">
        <v>1267</v>
      </c>
      <c r="AE105" s="10" t="s">
        <v>1268</v>
      </c>
      <c r="AF105" s="10" t="s">
        <v>58</v>
      </c>
      <c r="AG105" s="10" t="s">
        <v>1269</v>
      </c>
      <c r="AH105" s="10" t="s">
        <v>60</v>
      </c>
      <c r="AI105" s="10" t="s">
        <v>61</v>
      </c>
      <c r="AJ105" s="10" t="s">
        <v>1270</v>
      </c>
      <c r="AK105" s="10" t="s">
        <v>1271</v>
      </c>
      <c r="AL105" s="10" t="s">
        <v>64</v>
      </c>
      <c r="AM105" s="10" t="s">
        <v>1272</v>
      </c>
      <c r="AN105" s="10" t="s">
        <v>50</v>
      </c>
      <c r="AO105" s="11" t="s">
        <v>50</v>
      </c>
      <c r="AP105" s="10" t="s">
        <v>50</v>
      </c>
      <c r="AQ105" s="10" t="s">
        <v>50</v>
      </c>
      <c r="AR105" s="10" t="s">
        <v>50</v>
      </c>
      <c r="AS105" s="10" t="s">
        <v>50</v>
      </c>
      <c r="AT105" s="10" t="s">
        <v>50</v>
      </c>
      <c r="AU105" s="10" t="s">
        <v>50</v>
      </c>
      <c r="AV105" s="11"/>
      <c r="AW105" s="10" t="s">
        <v>66</v>
      </c>
      <c r="AX105" s="10"/>
      <c r="AY105" s="10" t="s">
        <v>66</v>
      </c>
    </row>
    <row r="106" ht="22.5" hidden="1" customHeight="1">
      <c r="A106" s="9" t="s">
        <v>1273</v>
      </c>
      <c r="B106" s="10" t="s">
        <v>1274</v>
      </c>
      <c r="C106" s="10" t="s">
        <v>43</v>
      </c>
      <c r="D106" s="10" t="s">
        <v>44</v>
      </c>
      <c r="E106" s="10" t="s">
        <v>66</v>
      </c>
      <c r="F106" s="11">
        <v>1.0</v>
      </c>
      <c r="G106" s="11">
        <v>80.0</v>
      </c>
      <c r="H106" s="11"/>
      <c r="I106" s="11">
        <v>-13.6</v>
      </c>
      <c r="J106" s="11">
        <v>-19.95</v>
      </c>
      <c r="K106" s="11"/>
      <c r="L106" s="11">
        <v>50.45</v>
      </c>
      <c r="M106" s="10" t="s">
        <v>46</v>
      </c>
      <c r="N106" s="10" t="s">
        <v>50</v>
      </c>
      <c r="O106" s="10" t="s">
        <v>143</v>
      </c>
      <c r="P106" s="10" t="s">
        <v>144</v>
      </c>
      <c r="Q106" s="10" t="s">
        <v>145</v>
      </c>
      <c r="R106" s="10" t="s">
        <v>74</v>
      </c>
      <c r="S106" s="11">
        <v>80.0</v>
      </c>
      <c r="T106" s="11">
        <v>33.38</v>
      </c>
      <c r="U106" s="11" t="s">
        <v>51</v>
      </c>
      <c r="V106" s="10" t="s">
        <v>52</v>
      </c>
      <c r="W106" s="10" t="s">
        <v>1275</v>
      </c>
      <c r="X106" s="10" t="s">
        <v>1276</v>
      </c>
      <c r="Y106" s="10" t="s">
        <v>1277</v>
      </c>
      <c r="Z106" s="10" t="s">
        <v>50</v>
      </c>
      <c r="AA106" s="10" t="s">
        <v>50</v>
      </c>
      <c r="AB106" s="10" t="s">
        <v>1275</v>
      </c>
      <c r="AC106" s="10" t="s">
        <v>1278</v>
      </c>
      <c r="AD106" s="10" t="s">
        <v>1279</v>
      </c>
      <c r="AE106" s="10" t="s">
        <v>335</v>
      </c>
      <c r="AF106" s="10" t="s">
        <v>58</v>
      </c>
      <c r="AG106" s="10" t="s">
        <v>1280</v>
      </c>
      <c r="AH106" s="10" t="s">
        <v>60</v>
      </c>
      <c r="AI106" s="10" t="s">
        <v>61</v>
      </c>
      <c r="AJ106" s="10" t="s">
        <v>1138</v>
      </c>
      <c r="AK106" s="10" t="s">
        <v>1281</v>
      </c>
      <c r="AL106" s="10" t="s">
        <v>64</v>
      </c>
      <c r="AM106" s="10" t="s">
        <v>1282</v>
      </c>
      <c r="AN106" s="10" t="s">
        <v>1283</v>
      </c>
      <c r="AO106" s="11" t="s">
        <v>50</v>
      </c>
      <c r="AP106" s="10" t="s">
        <v>50</v>
      </c>
      <c r="AQ106" s="10" t="s">
        <v>50</v>
      </c>
      <c r="AR106" s="10" t="s">
        <v>50</v>
      </c>
      <c r="AS106" s="10" t="s">
        <v>50</v>
      </c>
      <c r="AT106" s="10" t="s">
        <v>50</v>
      </c>
      <c r="AU106" s="10" t="s">
        <v>50</v>
      </c>
      <c r="AV106" s="11"/>
      <c r="AW106" s="10" t="s">
        <v>66</v>
      </c>
      <c r="AX106" s="10"/>
      <c r="AY106" s="10" t="s">
        <v>66</v>
      </c>
    </row>
    <row r="107" ht="22.5" hidden="1" customHeight="1">
      <c r="A107" s="9" t="s">
        <v>1284</v>
      </c>
      <c r="B107" s="10" t="s">
        <v>1285</v>
      </c>
      <c r="C107" s="10" t="s">
        <v>43</v>
      </c>
      <c r="D107" s="10" t="s">
        <v>44</v>
      </c>
      <c r="E107" s="10" t="s">
        <v>66</v>
      </c>
      <c r="F107" s="11">
        <v>1.0</v>
      </c>
      <c r="G107" s="11">
        <v>84.0</v>
      </c>
      <c r="H107" s="11"/>
      <c r="I107" s="11">
        <v>-14.28</v>
      </c>
      <c r="J107" s="11">
        <v>-20.45</v>
      </c>
      <c r="K107" s="11"/>
      <c r="L107" s="11">
        <v>49.27</v>
      </c>
      <c r="M107" s="10" t="s">
        <v>46</v>
      </c>
      <c r="N107" s="10" t="s">
        <v>45</v>
      </c>
      <c r="O107" s="10" t="s">
        <v>265</v>
      </c>
      <c r="P107" s="10" t="s">
        <v>266</v>
      </c>
      <c r="Q107" s="10" t="s">
        <v>267</v>
      </c>
      <c r="R107" s="10" t="s">
        <v>74</v>
      </c>
      <c r="S107" s="11">
        <v>84.0</v>
      </c>
      <c r="T107" s="11">
        <v>26.22</v>
      </c>
      <c r="U107" s="11" t="s">
        <v>51</v>
      </c>
      <c r="V107" s="10" t="s">
        <v>52</v>
      </c>
      <c r="W107" s="10" t="s">
        <v>1286</v>
      </c>
      <c r="X107" s="10" t="s">
        <v>1287</v>
      </c>
      <c r="Y107" s="10" t="s">
        <v>1288</v>
      </c>
      <c r="Z107" s="10" t="s">
        <v>50</v>
      </c>
      <c r="AA107" s="10" t="s">
        <v>50</v>
      </c>
      <c r="AB107" s="10" t="s">
        <v>1286</v>
      </c>
      <c r="AC107" s="10" t="s">
        <v>1289</v>
      </c>
      <c r="AD107" s="10" t="s">
        <v>1290</v>
      </c>
      <c r="AE107" s="10" t="s">
        <v>1291</v>
      </c>
      <c r="AF107" s="10" t="s">
        <v>201</v>
      </c>
      <c r="AG107" s="10" t="s">
        <v>1292</v>
      </c>
      <c r="AH107" s="10" t="s">
        <v>60</v>
      </c>
      <c r="AI107" s="10" t="s">
        <v>61</v>
      </c>
      <c r="AJ107" s="10" t="s">
        <v>835</v>
      </c>
      <c r="AK107" s="10" t="s">
        <v>1293</v>
      </c>
      <c r="AL107" s="10" t="s">
        <v>64</v>
      </c>
      <c r="AM107" s="10" t="s">
        <v>1294</v>
      </c>
      <c r="AN107" s="10" t="s">
        <v>50</v>
      </c>
      <c r="AO107" s="11" t="s">
        <v>50</v>
      </c>
      <c r="AP107" s="10" t="s">
        <v>50</v>
      </c>
      <c r="AQ107" s="10" t="s">
        <v>50</v>
      </c>
      <c r="AR107" s="10" t="s">
        <v>50</v>
      </c>
      <c r="AS107" s="10" t="s">
        <v>50</v>
      </c>
      <c r="AT107" s="10" t="s">
        <v>50</v>
      </c>
      <c r="AU107" s="10" t="s">
        <v>50</v>
      </c>
      <c r="AV107" s="11"/>
      <c r="AW107" s="10" t="s">
        <v>66</v>
      </c>
      <c r="AX107" s="10"/>
      <c r="AY107" s="10" t="s">
        <v>66</v>
      </c>
    </row>
    <row r="108" ht="22.5" hidden="1" customHeight="1">
      <c r="A108" s="9" t="s">
        <v>1295</v>
      </c>
      <c r="B108" s="10" t="s">
        <v>1296</v>
      </c>
      <c r="C108" s="10" t="s">
        <v>43</v>
      </c>
      <c r="D108" s="10" t="s">
        <v>125</v>
      </c>
      <c r="E108" s="10" t="s">
        <v>45</v>
      </c>
      <c r="F108" s="11">
        <v>1.0</v>
      </c>
      <c r="G108" s="11">
        <v>82.5</v>
      </c>
      <c r="H108" s="11"/>
      <c r="I108" s="11">
        <v>-14.02</v>
      </c>
      <c r="J108" s="11">
        <v>-20.45</v>
      </c>
      <c r="K108" s="11"/>
      <c r="L108" s="11">
        <v>48.03</v>
      </c>
      <c r="M108" s="10" t="s">
        <v>46</v>
      </c>
      <c r="N108" s="10" t="s">
        <v>45</v>
      </c>
      <c r="O108" s="10" t="s">
        <v>412</v>
      </c>
      <c r="P108" s="10" t="s">
        <v>413</v>
      </c>
      <c r="Q108" s="10" t="s">
        <v>414</v>
      </c>
      <c r="R108" s="10" t="s">
        <v>415</v>
      </c>
      <c r="S108" s="11">
        <v>82.5</v>
      </c>
      <c r="T108" s="11">
        <v>10.05</v>
      </c>
      <c r="U108" s="11" t="s">
        <v>51</v>
      </c>
      <c r="V108" s="10" t="s">
        <v>52</v>
      </c>
      <c r="W108" s="10" t="s">
        <v>1297</v>
      </c>
      <c r="X108" s="10" t="s">
        <v>1298</v>
      </c>
      <c r="Y108" s="10" t="s">
        <v>1299</v>
      </c>
      <c r="Z108" s="10" t="s">
        <v>50</v>
      </c>
      <c r="AA108" s="10" t="s">
        <v>50</v>
      </c>
      <c r="AB108" s="10" t="s">
        <v>1297</v>
      </c>
      <c r="AC108" s="10" t="s">
        <v>1300</v>
      </c>
      <c r="AD108" s="10" t="s">
        <v>1301</v>
      </c>
      <c r="AE108" s="10" t="s">
        <v>504</v>
      </c>
      <c r="AF108" s="10" t="s">
        <v>323</v>
      </c>
      <c r="AG108" s="10" t="s">
        <v>1302</v>
      </c>
      <c r="AH108" s="10" t="s">
        <v>60</v>
      </c>
      <c r="AI108" s="10" t="s">
        <v>61</v>
      </c>
      <c r="AJ108" s="10" t="s">
        <v>1303</v>
      </c>
      <c r="AK108" s="10" t="s">
        <v>1304</v>
      </c>
      <c r="AL108" s="10" t="s">
        <v>64</v>
      </c>
      <c r="AM108" s="10" t="s">
        <v>1305</v>
      </c>
      <c r="AN108" s="10" t="s">
        <v>50</v>
      </c>
      <c r="AO108" s="11" t="s">
        <v>50</v>
      </c>
      <c r="AP108" s="10" t="s">
        <v>50</v>
      </c>
      <c r="AQ108" s="10" t="s">
        <v>50</v>
      </c>
      <c r="AR108" s="10" t="s">
        <v>50</v>
      </c>
      <c r="AS108" s="10" t="s">
        <v>50</v>
      </c>
      <c r="AT108" s="10" t="s">
        <v>50</v>
      </c>
      <c r="AU108" s="10" t="s">
        <v>50</v>
      </c>
      <c r="AV108" s="11"/>
      <c r="AW108" s="10" t="s">
        <v>66</v>
      </c>
      <c r="AX108" s="10"/>
      <c r="AY108" s="10" t="s">
        <v>66</v>
      </c>
    </row>
    <row r="109" ht="22.5" hidden="1" customHeight="1">
      <c r="A109" s="9" t="s">
        <v>1306</v>
      </c>
      <c r="B109" s="10" t="s">
        <v>1307</v>
      </c>
      <c r="C109" s="10" t="s">
        <v>43</v>
      </c>
      <c r="D109" s="10" t="s">
        <v>125</v>
      </c>
      <c r="E109" s="10" t="s">
        <v>66</v>
      </c>
      <c r="F109" s="11">
        <v>1.0</v>
      </c>
      <c r="G109" s="11">
        <v>36.8</v>
      </c>
      <c r="H109" s="11">
        <v>14.63</v>
      </c>
      <c r="I109" s="11">
        <v>-12.26</v>
      </c>
      <c r="J109" s="11">
        <v>-14.63</v>
      </c>
      <c r="K109" s="11"/>
      <c r="L109" s="11">
        <v>26.38</v>
      </c>
      <c r="M109" s="10" t="s">
        <v>46</v>
      </c>
      <c r="N109" s="10" t="s">
        <v>45</v>
      </c>
      <c r="O109" s="10" t="s">
        <v>71</v>
      </c>
      <c r="P109" s="10" t="s">
        <v>72</v>
      </c>
      <c r="Q109" s="10" t="s">
        <v>73</v>
      </c>
      <c r="R109" s="10" t="s">
        <v>74</v>
      </c>
      <c r="S109" s="11">
        <v>36.8</v>
      </c>
      <c r="T109" s="11">
        <v>4.58</v>
      </c>
      <c r="U109" s="11" t="s">
        <v>51</v>
      </c>
      <c r="V109" s="10" t="s">
        <v>52</v>
      </c>
      <c r="W109" s="10" t="s">
        <v>1308</v>
      </c>
      <c r="X109" s="10" t="s">
        <v>1309</v>
      </c>
      <c r="Y109" s="10" t="s">
        <v>1310</v>
      </c>
      <c r="Z109" s="10" t="s">
        <v>50</v>
      </c>
      <c r="AA109" s="10" t="s">
        <v>50</v>
      </c>
      <c r="AB109" s="10" t="s">
        <v>1308</v>
      </c>
      <c r="AC109" s="10" t="s">
        <v>1311</v>
      </c>
      <c r="AD109" s="10" t="s">
        <v>1312</v>
      </c>
      <c r="AE109" s="10" t="s">
        <v>58</v>
      </c>
      <c r="AF109" s="10" t="s">
        <v>58</v>
      </c>
      <c r="AG109" s="10" t="s">
        <v>1313</v>
      </c>
      <c r="AH109" s="10" t="s">
        <v>60</v>
      </c>
      <c r="AI109" s="10" t="s">
        <v>61</v>
      </c>
      <c r="AJ109" s="10" t="s">
        <v>1058</v>
      </c>
      <c r="AK109" s="10" t="s">
        <v>1314</v>
      </c>
      <c r="AL109" s="10" t="s">
        <v>64</v>
      </c>
      <c r="AM109" s="10" t="s">
        <v>1315</v>
      </c>
      <c r="AN109" s="10" t="s">
        <v>50</v>
      </c>
      <c r="AO109" s="11" t="s">
        <v>50</v>
      </c>
      <c r="AP109" s="10" t="s">
        <v>50</v>
      </c>
      <c r="AQ109" s="10" t="s">
        <v>50</v>
      </c>
      <c r="AR109" s="10" t="s">
        <v>50</v>
      </c>
      <c r="AS109" s="10" t="s">
        <v>50</v>
      </c>
      <c r="AT109" s="10" t="s">
        <v>50</v>
      </c>
      <c r="AU109" s="10" t="s">
        <v>50</v>
      </c>
      <c r="AV109" s="11"/>
      <c r="AW109" s="10" t="s">
        <v>66</v>
      </c>
      <c r="AX109" s="10"/>
      <c r="AY109" s="10" t="s">
        <v>66</v>
      </c>
    </row>
    <row r="110" ht="22.5" hidden="1" customHeight="1">
      <c r="A110" s="9" t="s">
        <v>1316</v>
      </c>
      <c r="B110" s="10" t="s">
        <v>1317</v>
      </c>
      <c r="C110" s="10" t="s">
        <v>43</v>
      </c>
      <c r="D110" s="10" t="s">
        <v>688</v>
      </c>
      <c r="E110" s="10" t="s">
        <v>45</v>
      </c>
      <c r="F110" s="11">
        <v>4.0</v>
      </c>
      <c r="G110" s="11">
        <v>174.8</v>
      </c>
      <c r="H110" s="11"/>
      <c r="I110" s="11">
        <v>-53.72</v>
      </c>
      <c r="J110" s="11"/>
      <c r="K110" s="11"/>
      <c r="L110" s="11">
        <v>131.56</v>
      </c>
      <c r="M110" s="10" t="s">
        <v>46</v>
      </c>
      <c r="N110" s="10" t="s">
        <v>50</v>
      </c>
      <c r="O110" s="10" t="s">
        <v>176</v>
      </c>
      <c r="P110" s="10" t="s">
        <v>177</v>
      </c>
      <c r="Q110" s="10" t="s">
        <v>178</v>
      </c>
      <c r="R110" s="10" t="s">
        <v>74</v>
      </c>
      <c r="S110" s="11">
        <v>43.7</v>
      </c>
      <c r="T110" s="11">
        <f>4*22.58</f>
        <v>90.32</v>
      </c>
      <c r="U110" s="11" t="s">
        <v>51</v>
      </c>
      <c r="V110" s="10" t="s">
        <v>52</v>
      </c>
      <c r="W110" s="10" t="s">
        <v>1318</v>
      </c>
      <c r="X110" s="10" t="s">
        <v>1319</v>
      </c>
      <c r="Y110" s="10" t="s">
        <v>1320</v>
      </c>
      <c r="Z110" s="10" t="s">
        <v>50</v>
      </c>
      <c r="AA110" s="10" t="s">
        <v>50</v>
      </c>
      <c r="AB110" s="10" t="s">
        <v>1318</v>
      </c>
      <c r="AC110" s="10" t="s">
        <v>1321</v>
      </c>
      <c r="AD110" s="10" t="s">
        <v>1322</v>
      </c>
      <c r="AE110" s="10" t="s">
        <v>1323</v>
      </c>
      <c r="AF110" s="10" t="s">
        <v>151</v>
      </c>
      <c r="AG110" s="10" t="s">
        <v>1324</v>
      </c>
      <c r="AH110" s="10" t="s">
        <v>60</v>
      </c>
      <c r="AI110" s="10" t="s">
        <v>61</v>
      </c>
      <c r="AJ110" s="10" t="s">
        <v>1325</v>
      </c>
      <c r="AK110" s="10" t="s">
        <v>1326</v>
      </c>
      <c r="AL110" s="10" t="s">
        <v>64</v>
      </c>
      <c r="AM110" s="10" t="s">
        <v>1327</v>
      </c>
      <c r="AN110" s="10" t="s">
        <v>50</v>
      </c>
      <c r="AO110" s="11" t="s">
        <v>50</v>
      </c>
      <c r="AP110" s="10" t="s">
        <v>50</v>
      </c>
      <c r="AQ110" s="10" t="s">
        <v>50</v>
      </c>
      <c r="AR110" s="10" t="s">
        <v>50</v>
      </c>
      <c r="AS110" s="10" t="s">
        <v>50</v>
      </c>
      <c r="AT110" s="10" t="s">
        <v>50</v>
      </c>
      <c r="AU110" s="10" t="s">
        <v>50</v>
      </c>
      <c r="AV110" s="11"/>
      <c r="AW110" s="10" t="s">
        <v>66</v>
      </c>
      <c r="AX110" s="10"/>
      <c r="AY110" s="10" t="s">
        <v>66</v>
      </c>
    </row>
    <row r="111" ht="22.5" hidden="1" customHeight="1">
      <c r="A111" s="9" t="s">
        <v>1328</v>
      </c>
      <c r="B111" s="10" t="s">
        <v>1329</v>
      </c>
      <c r="C111" s="10" t="s">
        <v>43</v>
      </c>
      <c r="D111" s="10" t="s">
        <v>44</v>
      </c>
      <c r="E111" s="10" t="s">
        <v>45</v>
      </c>
      <c r="F111" s="11">
        <v>2.0</v>
      </c>
      <c r="G111" s="11">
        <v>240.0</v>
      </c>
      <c r="H111" s="11"/>
      <c r="I111" s="11">
        <v>-40.8</v>
      </c>
      <c r="J111" s="11">
        <v>-39.9</v>
      </c>
      <c r="K111" s="11"/>
      <c r="L111" s="11">
        <v>173.7</v>
      </c>
      <c r="M111" s="10" t="s">
        <v>46</v>
      </c>
      <c r="N111" s="10" t="s">
        <v>50</v>
      </c>
      <c r="O111" s="10" t="s">
        <v>85</v>
      </c>
      <c r="P111" s="10" t="s">
        <v>86</v>
      </c>
      <c r="Q111" s="10" t="s">
        <v>87</v>
      </c>
      <c r="R111" s="10" t="s">
        <v>74</v>
      </c>
      <c r="S111" s="11">
        <v>120.0</v>
      </c>
      <c r="T111" s="11">
        <f>2*65.78</f>
        <v>131.56</v>
      </c>
      <c r="U111" s="11" t="s">
        <v>51</v>
      </c>
      <c r="V111" s="10" t="s">
        <v>52</v>
      </c>
      <c r="W111" s="10" t="s">
        <v>1330</v>
      </c>
      <c r="X111" s="10" t="s">
        <v>1331</v>
      </c>
      <c r="Y111" s="10" t="s">
        <v>1332</v>
      </c>
      <c r="Z111" s="10" t="s">
        <v>50</v>
      </c>
      <c r="AA111" s="10" t="s">
        <v>50</v>
      </c>
      <c r="AB111" s="10" t="s">
        <v>1330</v>
      </c>
      <c r="AC111" s="10" t="s">
        <v>1333</v>
      </c>
      <c r="AD111" s="10" t="s">
        <v>1334</v>
      </c>
      <c r="AE111" s="10" t="s">
        <v>1335</v>
      </c>
      <c r="AF111" s="10" t="s">
        <v>775</v>
      </c>
      <c r="AG111" s="10" t="s">
        <v>1336</v>
      </c>
      <c r="AH111" s="10" t="s">
        <v>60</v>
      </c>
      <c r="AI111" s="10" t="s">
        <v>61</v>
      </c>
      <c r="AJ111" s="10" t="s">
        <v>915</v>
      </c>
      <c r="AK111" s="10" t="s">
        <v>1337</v>
      </c>
      <c r="AL111" s="10" t="s">
        <v>64</v>
      </c>
      <c r="AM111" s="10" t="s">
        <v>1338</v>
      </c>
      <c r="AN111" s="10" t="s">
        <v>50</v>
      </c>
      <c r="AO111" s="11" t="s">
        <v>50</v>
      </c>
      <c r="AP111" s="10" t="s">
        <v>50</v>
      </c>
      <c r="AQ111" s="10" t="s">
        <v>50</v>
      </c>
      <c r="AR111" s="10" t="s">
        <v>50</v>
      </c>
      <c r="AS111" s="10" t="s">
        <v>50</v>
      </c>
      <c r="AT111" s="10" t="s">
        <v>50</v>
      </c>
      <c r="AU111" s="10" t="s">
        <v>50</v>
      </c>
      <c r="AV111" s="11"/>
      <c r="AW111" s="10" t="s">
        <v>66</v>
      </c>
      <c r="AX111" s="10"/>
      <c r="AY111" s="10" t="s">
        <v>66</v>
      </c>
    </row>
    <row r="112" ht="22.5" hidden="1" customHeight="1">
      <c r="A112" s="9" t="s">
        <v>1339</v>
      </c>
      <c r="B112" s="10" t="s">
        <v>1340</v>
      </c>
      <c r="C112" s="10" t="s">
        <v>43</v>
      </c>
      <c r="D112" s="10" t="s">
        <v>125</v>
      </c>
      <c r="E112" s="10" t="s">
        <v>66</v>
      </c>
      <c r="F112" s="11">
        <v>1.0</v>
      </c>
      <c r="G112" s="11">
        <v>120.0</v>
      </c>
      <c r="H112" s="11"/>
      <c r="I112" s="11">
        <v>-20.4</v>
      </c>
      <c r="J112" s="11">
        <v>-19.95</v>
      </c>
      <c r="K112" s="11"/>
      <c r="L112" s="11">
        <v>86.85</v>
      </c>
      <c r="M112" s="10" t="s">
        <v>46</v>
      </c>
      <c r="N112" s="10" t="s">
        <v>50</v>
      </c>
      <c r="O112" s="10" t="s">
        <v>85</v>
      </c>
      <c r="P112" s="10" t="s">
        <v>86</v>
      </c>
      <c r="Q112" s="10" t="s">
        <v>87</v>
      </c>
      <c r="R112" s="10" t="s">
        <v>74</v>
      </c>
      <c r="S112" s="11">
        <v>120.0</v>
      </c>
      <c r="T112" s="11">
        <v>65.78</v>
      </c>
      <c r="U112" s="11" t="s">
        <v>51</v>
      </c>
      <c r="V112" s="10" t="s">
        <v>52</v>
      </c>
      <c r="W112" s="10" t="s">
        <v>1341</v>
      </c>
      <c r="X112" s="10" t="s">
        <v>1342</v>
      </c>
      <c r="Y112" s="10" t="s">
        <v>1343</v>
      </c>
      <c r="Z112" s="10" t="s">
        <v>50</v>
      </c>
      <c r="AA112" s="10" t="s">
        <v>50</v>
      </c>
      <c r="AB112" s="10" t="s">
        <v>1341</v>
      </c>
      <c r="AC112" s="10" t="s">
        <v>1344</v>
      </c>
      <c r="AD112" s="10" t="s">
        <v>1345</v>
      </c>
      <c r="AE112" s="10" t="s">
        <v>1346</v>
      </c>
      <c r="AF112" s="10" t="s">
        <v>1347</v>
      </c>
      <c r="AG112" s="10" t="s">
        <v>1348</v>
      </c>
      <c r="AH112" s="10" t="s">
        <v>60</v>
      </c>
      <c r="AI112" s="10" t="s">
        <v>61</v>
      </c>
      <c r="AJ112" s="10" t="s">
        <v>915</v>
      </c>
      <c r="AK112" s="10" t="s">
        <v>1349</v>
      </c>
      <c r="AL112" s="10" t="s">
        <v>64</v>
      </c>
      <c r="AM112" s="10" t="s">
        <v>1350</v>
      </c>
      <c r="AN112" s="10" t="s">
        <v>50</v>
      </c>
      <c r="AO112" s="11" t="s">
        <v>50</v>
      </c>
      <c r="AP112" s="10" t="s">
        <v>50</v>
      </c>
      <c r="AQ112" s="10" t="s">
        <v>50</v>
      </c>
      <c r="AR112" s="10" t="s">
        <v>50</v>
      </c>
      <c r="AS112" s="10" t="s">
        <v>50</v>
      </c>
      <c r="AT112" s="10" t="s">
        <v>50</v>
      </c>
      <c r="AU112" s="10" t="s">
        <v>50</v>
      </c>
      <c r="AV112" s="11"/>
      <c r="AW112" s="10" t="s">
        <v>66</v>
      </c>
      <c r="AX112" s="10"/>
      <c r="AY112" s="10" t="s">
        <v>66</v>
      </c>
    </row>
    <row r="113" ht="22.5" hidden="1" customHeight="1">
      <c r="A113" s="9" t="s">
        <v>1351</v>
      </c>
      <c r="B113" s="10" t="s">
        <v>1352</v>
      </c>
      <c r="C113" s="10" t="s">
        <v>43</v>
      </c>
      <c r="D113" s="10" t="s">
        <v>734</v>
      </c>
      <c r="E113" s="10" t="s">
        <v>66</v>
      </c>
      <c r="F113" s="11">
        <v>1.0</v>
      </c>
      <c r="G113" s="11">
        <v>43.7</v>
      </c>
      <c r="H113" s="11"/>
      <c r="I113" s="11">
        <v>-13.43</v>
      </c>
      <c r="J113" s="11"/>
      <c r="K113" s="11"/>
      <c r="L113" s="11">
        <v>32.89</v>
      </c>
      <c r="M113" s="10" t="s">
        <v>46</v>
      </c>
      <c r="N113" s="10" t="s">
        <v>50</v>
      </c>
      <c r="O113" s="10" t="s">
        <v>176</v>
      </c>
      <c r="P113" s="10" t="s">
        <v>177</v>
      </c>
      <c r="Q113" s="10" t="s">
        <v>178</v>
      </c>
      <c r="R113" s="10" t="s">
        <v>74</v>
      </c>
      <c r="S113" s="11">
        <v>43.7</v>
      </c>
      <c r="T113" s="11">
        <v>22.58</v>
      </c>
      <c r="U113" s="11" t="s">
        <v>51</v>
      </c>
      <c r="V113" s="10" t="s">
        <v>52</v>
      </c>
      <c r="W113" s="10" t="s">
        <v>1353</v>
      </c>
      <c r="X113" s="10" t="s">
        <v>1354</v>
      </c>
      <c r="Y113" s="10" t="s">
        <v>1355</v>
      </c>
      <c r="Z113" s="10" t="s">
        <v>50</v>
      </c>
      <c r="AA113" s="10" t="s">
        <v>50</v>
      </c>
      <c r="AB113" s="10" t="s">
        <v>1353</v>
      </c>
      <c r="AC113" s="10" t="s">
        <v>1356</v>
      </c>
      <c r="AD113" s="10" t="s">
        <v>1357</v>
      </c>
      <c r="AE113" s="10" t="s">
        <v>1089</v>
      </c>
      <c r="AF113" s="10" t="s">
        <v>284</v>
      </c>
      <c r="AG113" s="10" t="s">
        <v>1358</v>
      </c>
      <c r="AH113" s="10" t="s">
        <v>60</v>
      </c>
      <c r="AI113" s="10" t="s">
        <v>61</v>
      </c>
      <c r="AJ113" s="10" t="s">
        <v>1359</v>
      </c>
      <c r="AK113" s="10" t="s">
        <v>1360</v>
      </c>
      <c r="AL113" s="10" t="s">
        <v>64</v>
      </c>
      <c r="AM113" s="10" t="s">
        <v>1361</v>
      </c>
      <c r="AN113" s="10" t="s">
        <v>50</v>
      </c>
      <c r="AO113" s="11" t="s">
        <v>50</v>
      </c>
      <c r="AP113" s="10" t="s">
        <v>50</v>
      </c>
      <c r="AQ113" s="10" t="s">
        <v>50</v>
      </c>
      <c r="AR113" s="10" t="s">
        <v>50</v>
      </c>
      <c r="AS113" s="10" t="s">
        <v>50</v>
      </c>
      <c r="AT113" s="10" t="s">
        <v>50</v>
      </c>
      <c r="AU113" s="10" t="s">
        <v>50</v>
      </c>
      <c r="AV113" s="11"/>
      <c r="AW113" s="10" t="s">
        <v>66</v>
      </c>
      <c r="AX113" s="10"/>
      <c r="AY113" s="10" t="s">
        <v>66</v>
      </c>
    </row>
    <row r="114" ht="22.5" hidden="1" customHeight="1">
      <c r="A114" s="9" t="s">
        <v>1362</v>
      </c>
      <c r="B114" s="10" t="s">
        <v>1363</v>
      </c>
      <c r="C114" s="10" t="s">
        <v>43</v>
      </c>
      <c r="D114" s="10" t="s">
        <v>734</v>
      </c>
      <c r="E114" s="10" t="s">
        <v>45</v>
      </c>
      <c r="F114" s="11">
        <v>1.0</v>
      </c>
      <c r="G114" s="11">
        <v>79.3</v>
      </c>
      <c r="H114" s="11"/>
      <c r="I114" s="11">
        <v>-13.48</v>
      </c>
      <c r="J114" s="11">
        <v>-19.95</v>
      </c>
      <c r="K114" s="11"/>
      <c r="L114" s="11">
        <v>45.87</v>
      </c>
      <c r="M114" s="10" t="s">
        <v>46</v>
      </c>
      <c r="N114" s="10" t="s">
        <v>45</v>
      </c>
      <c r="O114" s="10" t="s">
        <v>314</v>
      </c>
      <c r="P114" s="10" t="s">
        <v>315</v>
      </c>
      <c r="Q114" s="10" t="s">
        <v>316</v>
      </c>
      <c r="R114" s="10" t="s">
        <v>74</v>
      </c>
      <c r="S114" s="11">
        <v>79.3</v>
      </c>
      <c r="T114" s="11">
        <v>6.66</v>
      </c>
      <c r="U114" s="11" t="s">
        <v>51</v>
      </c>
      <c r="V114" s="10" t="s">
        <v>52</v>
      </c>
      <c r="W114" s="10" t="s">
        <v>1364</v>
      </c>
      <c r="X114" s="10" t="s">
        <v>1365</v>
      </c>
      <c r="Y114" s="10" t="s">
        <v>1366</v>
      </c>
      <c r="Z114" s="10" t="s">
        <v>50</v>
      </c>
      <c r="AA114" s="10" t="s">
        <v>50</v>
      </c>
      <c r="AB114" s="10" t="s">
        <v>1364</v>
      </c>
      <c r="AC114" s="10" t="s">
        <v>1367</v>
      </c>
      <c r="AD114" s="10" t="s">
        <v>1368</v>
      </c>
      <c r="AE114" s="10" t="s">
        <v>833</v>
      </c>
      <c r="AF114" s="10" t="s">
        <v>58</v>
      </c>
      <c r="AG114" s="10" t="s">
        <v>1369</v>
      </c>
      <c r="AH114" s="10" t="s">
        <v>60</v>
      </c>
      <c r="AI114" s="10" t="s">
        <v>61</v>
      </c>
      <c r="AJ114" s="10" t="s">
        <v>718</v>
      </c>
      <c r="AK114" s="10" t="s">
        <v>1370</v>
      </c>
      <c r="AL114" s="10" t="s">
        <v>64</v>
      </c>
      <c r="AM114" s="10" t="s">
        <v>1371</v>
      </c>
      <c r="AN114" s="10" t="s">
        <v>50</v>
      </c>
      <c r="AO114" s="11" t="s">
        <v>50</v>
      </c>
      <c r="AP114" s="10" t="s">
        <v>50</v>
      </c>
      <c r="AQ114" s="10" t="s">
        <v>50</v>
      </c>
      <c r="AR114" s="10" t="s">
        <v>50</v>
      </c>
      <c r="AS114" s="10" t="s">
        <v>50</v>
      </c>
      <c r="AT114" s="10" t="s">
        <v>50</v>
      </c>
      <c r="AU114" s="10" t="s">
        <v>50</v>
      </c>
      <c r="AV114" s="11"/>
      <c r="AW114" s="10" t="s">
        <v>66</v>
      </c>
      <c r="AX114" s="10"/>
      <c r="AY114" s="10" t="s">
        <v>66</v>
      </c>
    </row>
    <row r="115" ht="22.5" hidden="1" customHeight="1">
      <c r="A115" s="9" t="s">
        <v>1372</v>
      </c>
      <c r="B115" s="10" t="s">
        <v>1373</v>
      </c>
      <c r="C115" s="10" t="s">
        <v>43</v>
      </c>
      <c r="D115" s="10" t="s">
        <v>759</v>
      </c>
      <c r="E115" s="10" t="s">
        <v>45</v>
      </c>
      <c r="F115" s="11">
        <v>1.0</v>
      </c>
      <c r="G115" s="11">
        <v>84.0</v>
      </c>
      <c r="H115" s="11"/>
      <c r="I115" s="11">
        <v>-14.28</v>
      </c>
      <c r="J115" s="11">
        <v>-20.45</v>
      </c>
      <c r="K115" s="11"/>
      <c r="L115" s="11">
        <v>49.27</v>
      </c>
      <c r="M115" s="10" t="s">
        <v>46</v>
      </c>
      <c r="N115" s="10" t="s">
        <v>50</v>
      </c>
      <c r="O115" s="10" t="s">
        <v>265</v>
      </c>
      <c r="P115" s="10" t="s">
        <v>266</v>
      </c>
      <c r="Q115" s="10" t="s">
        <v>267</v>
      </c>
      <c r="R115" s="10" t="s">
        <v>74</v>
      </c>
      <c r="S115" s="11">
        <v>84.0</v>
      </c>
      <c r="T115" s="11">
        <v>26.22</v>
      </c>
      <c r="U115" s="11" t="s">
        <v>51</v>
      </c>
      <c r="V115" s="10" t="s">
        <v>52</v>
      </c>
      <c r="W115" s="10" t="s">
        <v>1374</v>
      </c>
      <c r="X115" s="10" t="s">
        <v>1375</v>
      </c>
      <c r="Y115" s="10" t="s">
        <v>1376</v>
      </c>
      <c r="Z115" s="10" t="s">
        <v>50</v>
      </c>
      <c r="AA115" s="10" t="s">
        <v>50</v>
      </c>
      <c r="AB115" s="10" t="s">
        <v>1374</v>
      </c>
      <c r="AC115" s="10" t="s">
        <v>1377</v>
      </c>
      <c r="AD115" s="10" t="s">
        <v>1378</v>
      </c>
      <c r="AE115" s="10" t="s">
        <v>1379</v>
      </c>
      <c r="AF115" s="10" t="s">
        <v>58</v>
      </c>
      <c r="AG115" s="10" t="s">
        <v>1380</v>
      </c>
      <c r="AH115" s="10" t="s">
        <v>60</v>
      </c>
      <c r="AI115" s="10" t="s">
        <v>61</v>
      </c>
      <c r="AJ115" s="10" t="s">
        <v>873</v>
      </c>
      <c r="AK115" s="10" t="s">
        <v>1381</v>
      </c>
      <c r="AL115" s="10" t="s">
        <v>64</v>
      </c>
      <c r="AM115" s="10" t="s">
        <v>1382</v>
      </c>
      <c r="AN115" s="10" t="s">
        <v>50</v>
      </c>
      <c r="AO115" s="11" t="s">
        <v>50</v>
      </c>
      <c r="AP115" s="10" t="s">
        <v>50</v>
      </c>
      <c r="AQ115" s="10" t="s">
        <v>50</v>
      </c>
      <c r="AR115" s="10" t="s">
        <v>50</v>
      </c>
      <c r="AS115" s="10" t="s">
        <v>50</v>
      </c>
      <c r="AT115" s="10" t="s">
        <v>50</v>
      </c>
      <c r="AU115" s="10" t="s">
        <v>50</v>
      </c>
      <c r="AV115" s="11"/>
      <c r="AW115" s="10" t="s">
        <v>66</v>
      </c>
      <c r="AX115" s="10"/>
      <c r="AY115" s="10" t="s">
        <v>66</v>
      </c>
    </row>
    <row r="116" ht="22.5" hidden="1" customHeight="1">
      <c r="A116" s="9" t="s">
        <v>1383</v>
      </c>
      <c r="B116" s="10" t="s">
        <v>1384</v>
      </c>
      <c r="C116" s="10" t="s">
        <v>1385</v>
      </c>
      <c r="D116" s="10" t="s">
        <v>1386</v>
      </c>
      <c r="E116" s="10" t="s">
        <v>45</v>
      </c>
      <c r="F116" s="11">
        <v>3.0</v>
      </c>
      <c r="G116" s="11">
        <v>131.1</v>
      </c>
      <c r="H116" s="11"/>
      <c r="I116" s="11">
        <v>-40.29</v>
      </c>
      <c r="J116" s="11"/>
      <c r="K116" s="11"/>
      <c r="L116" s="11">
        <v>98.67</v>
      </c>
      <c r="M116" s="10" t="s">
        <v>46</v>
      </c>
      <c r="N116" s="10" t="s">
        <v>50</v>
      </c>
      <c r="O116" s="10" t="s">
        <v>176</v>
      </c>
      <c r="P116" s="10" t="s">
        <v>177</v>
      </c>
      <c r="Q116" s="10" t="s">
        <v>178</v>
      </c>
      <c r="R116" s="10" t="s">
        <v>74</v>
      </c>
      <c r="S116" s="11">
        <v>43.7</v>
      </c>
      <c r="T116" s="11">
        <f>3*22.58</f>
        <v>67.74</v>
      </c>
      <c r="U116" s="11" t="s">
        <v>51</v>
      </c>
      <c r="V116" s="10" t="s">
        <v>52</v>
      </c>
      <c r="W116" s="10" t="s">
        <v>1387</v>
      </c>
      <c r="X116" s="10" t="s">
        <v>1388</v>
      </c>
      <c r="Y116" s="10" t="s">
        <v>1389</v>
      </c>
      <c r="Z116" s="10" t="s">
        <v>50</v>
      </c>
      <c r="AA116" s="10" t="s">
        <v>50</v>
      </c>
      <c r="AB116" s="10" t="s">
        <v>1387</v>
      </c>
      <c r="AC116" s="10" t="s">
        <v>1390</v>
      </c>
      <c r="AD116" s="10" t="s">
        <v>1391</v>
      </c>
      <c r="AE116" s="10" t="s">
        <v>151</v>
      </c>
      <c r="AF116" s="10" t="s">
        <v>151</v>
      </c>
      <c r="AG116" s="10" t="s">
        <v>1392</v>
      </c>
      <c r="AH116" s="10" t="s">
        <v>60</v>
      </c>
      <c r="AI116" s="10" t="s">
        <v>61</v>
      </c>
      <c r="AJ116" s="10" t="s">
        <v>1393</v>
      </c>
      <c r="AK116" s="10" t="s">
        <v>50</v>
      </c>
      <c r="AL116" s="10" t="s">
        <v>64</v>
      </c>
      <c r="AM116" s="10" t="s">
        <v>1394</v>
      </c>
      <c r="AN116" s="10" t="s">
        <v>1395</v>
      </c>
      <c r="AO116" s="11" t="s">
        <v>50</v>
      </c>
      <c r="AP116" s="10" t="s">
        <v>50</v>
      </c>
      <c r="AQ116" s="10" t="s">
        <v>50</v>
      </c>
      <c r="AR116" s="10" t="s">
        <v>50</v>
      </c>
      <c r="AS116" s="10" t="s">
        <v>50</v>
      </c>
      <c r="AT116" s="10" t="s">
        <v>50</v>
      </c>
      <c r="AU116" s="10" t="s">
        <v>50</v>
      </c>
      <c r="AV116" s="11"/>
      <c r="AW116" s="9" t="s">
        <v>45</v>
      </c>
      <c r="AX116" s="10"/>
      <c r="AY116" s="10" t="s">
        <v>66</v>
      </c>
    </row>
    <row r="117" ht="22.5" hidden="1" customHeight="1">
      <c r="A117" s="9" t="s">
        <v>1396</v>
      </c>
      <c r="B117" s="10" t="s">
        <v>1397</v>
      </c>
      <c r="C117" s="10" t="s">
        <v>43</v>
      </c>
      <c r="D117" s="10" t="s">
        <v>1398</v>
      </c>
      <c r="E117" s="10" t="s">
        <v>45</v>
      </c>
      <c r="F117" s="11">
        <v>2.0</v>
      </c>
      <c r="G117" s="11">
        <v>87.4</v>
      </c>
      <c r="H117" s="11"/>
      <c r="I117" s="11">
        <v>-26.86</v>
      </c>
      <c r="J117" s="11"/>
      <c r="K117" s="11"/>
      <c r="L117" s="11">
        <v>65.78</v>
      </c>
      <c r="M117" s="10" t="s">
        <v>46</v>
      </c>
      <c r="N117" s="10" t="s">
        <v>50</v>
      </c>
      <c r="O117" s="10" t="s">
        <v>176</v>
      </c>
      <c r="P117" s="10" t="s">
        <v>177</v>
      </c>
      <c r="Q117" s="10" t="s">
        <v>178</v>
      </c>
      <c r="R117" s="10" t="s">
        <v>74</v>
      </c>
      <c r="S117" s="11">
        <v>43.7</v>
      </c>
      <c r="T117" s="11">
        <f>2*22.58</f>
        <v>45.16</v>
      </c>
      <c r="U117" s="11" t="s">
        <v>51</v>
      </c>
      <c r="V117" s="10" t="s">
        <v>52</v>
      </c>
      <c r="W117" s="10" t="s">
        <v>1399</v>
      </c>
      <c r="X117" s="10" t="s">
        <v>1400</v>
      </c>
      <c r="Y117" s="10" t="s">
        <v>1401</v>
      </c>
      <c r="Z117" s="10" t="s">
        <v>50</v>
      </c>
      <c r="AA117" s="10" t="s">
        <v>50</v>
      </c>
      <c r="AB117" s="10" t="s">
        <v>1399</v>
      </c>
      <c r="AC117" s="10" t="s">
        <v>1402</v>
      </c>
      <c r="AD117" s="10" t="s">
        <v>1403</v>
      </c>
      <c r="AE117" s="10" t="s">
        <v>1404</v>
      </c>
      <c r="AF117" s="10" t="s">
        <v>58</v>
      </c>
      <c r="AG117" s="10" t="s">
        <v>1405</v>
      </c>
      <c r="AH117" s="10" t="s">
        <v>60</v>
      </c>
      <c r="AI117" s="10" t="s">
        <v>61</v>
      </c>
      <c r="AJ117" s="10" t="s">
        <v>1406</v>
      </c>
      <c r="AK117" s="10" t="s">
        <v>1407</v>
      </c>
      <c r="AL117" s="10" t="s">
        <v>64</v>
      </c>
      <c r="AM117" s="10" t="s">
        <v>1408</v>
      </c>
      <c r="AN117" s="10" t="s">
        <v>50</v>
      </c>
      <c r="AO117" s="11" t="s">
        <v>50</v>
      </c>
      <c r="AP117" s="10" t="s">
        <v>50</v>
      </c>
      <c r="AQ117" s="10" t="s">
        <v>50</v>
      </c>
      <c r="AR117" s="10" t="s">
        <v>50</v>
      </c>
      <c r="AS117" s="10" t="s">
        <v>50</v>
      </c>
      <c r="AT117" s="10" t="s">
        <v>50</v>
      </c>
      <c r="AU117" s="10" t="s">
        <v>50</v>
      </c>
      <c r="AV117" s="11"/>
      <c r="AW117" s="10" t="s">
        <v>66</v>
      </c>
      <c r="AX117" s="10"/>
      <c r="AY117" s="10" t="s">
        <v>66</v>
      </c>
    </row>
    <row r="118" ht="22.5" hidden="1" customHeight="1">
      <c r="A118" s="9" t="s">
        <v>1409</v>
      </c>
      <c r="B118" s="10" t="s">
        <v>1410</v>
      </c>
      <c r="C118" s="10" t="s">
        <v>43</v>
      </c>
      <c r="D118" s="10" t="s">
        <v>125</v>
      </c>
      <c r="E118" s="10" t="s">
        <v>66</v>
      </c>
      <c r="F118" s="11">
        <v>1.0</v>
      </c>
      <c r="G118" s="11">
        <v>79.0</v>
      </c>
      <c r="H118" s="11">
        <v>19.73</v>
      </c>
      <c r="I118" s="11">
        <v>-13.43</v>
      </c>
      <c r="J118" s="11">
        <v>-40.18</v>
      </c>
      <c r="K118" s="11"/>
      <c r="L118" s="11">
        <v>45.12</v>
      </c>
      <c r="M118" s="10" t="s">
        <v>46</v>
      </c>
      <c r="N118" s="10" t="s">
        <v>45</v>
      </c>
      <c r="O118" s="10" t="s">
        <v>160</v>
      </c>
      <c r="P118" s="10" t="s">
        <v>161</v>
      </c>
      <c r="Q118" s="10" t="s">
        <v>162</v>
      </c>
      <c r="R118" s="10" t="s">
        <v>74</v>
      </c>
      <c r="S118" s="11">
        <v>79.0</v>
      </c>
      <c r="T118" s="11">
        <v>2.49</v>
      </c>
      <c r="U118" s="11" t="s">
        <v>51</v>
      </c>
      <c r="V118" s="10" t="s">
        <v>52</v>
      </c>
      <c r="W118" s="10" t="s">
        <v>1411</v>
      </c>
      <c r="X118" s="10" t="s">
        <v>1412</v>
      </c>
      <c r="Y118" s="10" t="s">
        <v>1413</v>
      </c>
      <c r="Z118" s="10" t="s">
        <v>50</v>
      </c>
      <c r="AA118" s="10" t="s">
        <v>50</v>
      </c>
      <c r="AB118" s="10" t="s">
        <v>1411</v>
      </c>
      <c r="AC118" s="10" t="s">
        <v>1414</v>
      </c>
      <c r="AD118" s="10" t="s">
        <v>1415</v>
      </c>
      <c r="AE118" s="10" t="s">
        <v>1416</v>
      </c>
      <c r="AF118" s="10" t="s">
        <v>1417</v>
      </c>
      <c r="AG118" s="10" t="s">
        <v>1418</v>
      </c>
      <c r="AH118" s="10" t="s">
        <v>60</v>
      </c>
      <c r="AI118" s="10" t="s">
        <v>61</v>
      </c>
      <c r="AJ118" s="10" t="s">
        <v>755</v>
      </c>
      <c r="AK118" s="10" t="s">
        <v>1419</v>
      </c>
      <c r="AL118" s="10" t="s">
        <v>64</v>
      </c>
      <c r="AM118" s="10" t="s">
        <v>1420</v>
      </c>
      <c r="AN118" s="10" t="s">
        <v>50</v>
      </c>
      <c r="AO118" s="11" t="s">
        <v>50</v>
      </c>
      <c r="AP118" s="10" t="s">
        <v>50</v>
      </c>
      <c r="AQ118" s="10" t="s">
        <v>50</v>
      </c>
      <c r="AR118" s="10" t="s">
        <v>50</v>
      </c>
      <c r="AS118" s="10" t="s">
        <v>50</v>
      </c>
      <c r="AT118" s="10" t="s">
        <v>50</v>
      </c>
      <c r="AU118" s="10" t="s">
        <v>50</v>
      </c>
      <c r="AV118" s="11"/>
      <c r="AW118" s="10" t="s">
        <v>66</v>
      </c>
      <c r="AX118" s="10"/>
      <c r="AY118" s="10" t="s">
        <v>66</v>
      </c>
    </row>
    <row r="119" ht="22.5" hidden="1" customHeight="1">
      <c r="A119" s="9" t="s">
        <v>1421</v>
      </c>
      <c r="B119" s="10" t="s">
        <v>1422</v>
      </c>
      <c r="C119" s="10" t="s">
        <v>43</v>
      </c>
      <c r="D119" s="10" t="s">
        <v>759</v>
      </c>
      <c r="E119" s="10" t="s">
        <v>45</v>
      </c>
      <c r="F119" s="11">
        <v>1.0</v>
      </c>
      <c r="G119" s="11">
        <v>79.2</v>
      </c>
      <c r="H119" s="11"/>
      <c r="I119" s="11">
        <v>-13.46</v>
      </c>
      <c r="J119" s="11">
        <v>-20.45</v>
      </c>
      <c r="K119" s="11"/>
      <c r="L119" s="11">
        <v>45.29</v>
      </c>
      <c r="M119" s="10" t="s">
        <v>46</v>
      </c>
      <c r="N119" s="10" t="s">
        <v>45</v>
      </c>
      <c r="O119" s="10" t="s">
        <v>127</v>
      </c>
      <c r="P119" s="10" t="s">
        <v>128</v>
      </c>
      <c r="Q119" s="10" t="s">
        <v>129</v>
      </c>
      <c r="R119" s="10" t="s">
        <v>74</v>
      </c>
      <c r="S119" s="11">
        <v>79.2</v>
      </c>
      <c r="T119" s="11">
        <v>17.68</v>
      </c>
      <c r="U119" s="11" t="s">
        <v>51</v>
      </c>
      <c r="V119" s="10" t="s">
        <v>52</v>
      </c>
      <c r="W119" s="10" t="s">
        <v>1423</v>
      </c>
      <c r="X119" s="10" t="s">
        <v>1424</v>
      </c>
      <c r="Y119" s="10" t="s">
        <v>1425</v>
      </c>
      <c r="Z119" s="10" t="s">
        <v>50</v>
      </c>
      <c r="AA119" s="10" t="s">
        <v>50</v>
      </c>
      <c r="AB119" s="10" t="s">
        <v>1423</v>
      </c>
      <c r="AC119" s="10" t="s">
        <v>1426</v>
      </c>
      <c r="AD119" s="10" t="s">
        <v>1427</v>
      </c>
      <c r="AE119" s="10" t="s">
        <v>58</v>
      </c>
      <c r="AF119" s="10" t="s">
        <v>58</v>
      </c>
      <c r="AG119" s="10" t="s">
        <v>1428</v>
      </c>
      <c r="AH119" s="10" t="s">
        <v>60</v>
      </c>
      <c r="AI119" s="10" t="s">
        <v>61</v>
      </c>
      <c r="AJ119" s="10" t="s">
        <v>873</v>
      </c>
      <c r="AK119" s="10" t="s">
        <v>1429</v>
      </c>
      <c r="AL119" s="10" t="s">
        <v>64</v>
      </c>
      <c r="AM119" s="10" t="s">
        <v>1430</v>
      </c>
      <c r="AN119" s="10" t="s">
        <v>50</v>
      </c>
      <c r="AO119" s="11" t="s">
        <v>50</v>
      </c>
      <c r="AP119" s="10" t="s">
        <v>50</v>
      </c>
      <c r="AQ119" s="10" t="s">
        <v>50</v>
      </c>
      <c r="AR119" s="10" t="s">
        <v>50</v>
      </c>
      <c r="AS119" s="10" t="s">
        <v>50</v>
      </c>
      <c r="AT119" s="10" t="s">
        <v>50</v>
      </c>
      <c r="AU119" s="10" t="s">
        <v>50</v>
      </c>
      <c r="AV119" s="11"/>
      <c r="AW119" s="10" t="s">
        <v>66</v>
      </c>
      <c r="AX119" s="10"/>
      <c r="AY119" s="10" t="s">
        <v>66</v>
      </c>
    </row>
    <row r="120" ht="22.5" hidden="1" customHeight="1">
      <c r="A120" s="9" t="s">
        <v>1431</v>
      </c>
      <c r="B120" s="10" t="s">
        <v>1432</v>
      </c>
      <c r="C120" s="10" t="s">
        <v>43</v>
      </c>
      <c r="D120" s="10" t="s">
        <v>1398</v>
      </c>
      <c r="E120" s="10" t="s">
        <v>66</v>
      </c>
      <c r="F120" s="11">
        <v>1.0</v>
      </c>
      <c r="G120" s="11">
        <v>43.7</v>
      </c>
      <c r="H120" s="11">
        <v>14.15</v>
      </c>
      <c r="I120" s="11">
        <v>-13.43</v>
      </c>
      <c r="J120" s="11">
        <v>-14.15</v>
      </c>
      <c r="K120" s="11"/>
      <c r="L120" s="11">
        <v>32.89</v>
      </c>
      <c r="M120" s="10" t="s">
        <v>46</v>
      </c>
      <c r="N120" s="10" t="s">
        <v>50</v>
      </c>
      <c r="O120" s="10" t="s">
        <v>176</v>
      </c>
      <c r="P120" s="10" t="s">
        <v>177</v>
      </c>
      <c r="Q120" s="10" t="s">
        <v>178</v>
      </c>
      <c r="R120" s="10" t="s">
        <v>74</v>
      </c>
      <c r="S120" s="11">
        <v>43.7</v>
      </c>
      <c r="T120" s="11">
        <v>22.58</v>
      </c>
      <c r="U120" s="11" t="s">
        <v>51</v>
      </c>
      <c r="V120" s="10" t="s">
        <v>52</v>
      </c>
      <c r="W120" s="10" t="s">
        <v>1433</v>
      </c>
      <c r="X120" s="10" t="s">
        <v>1434</v>
      </c>
      <c r="Y120" s="10" t="s">
        <v>1435</v>
      </c>
      <c r="Z120" s="10" t="s">
        <v>50</v>
      </c>
      <c r="AA120" s="10" t="s">
        <v>50</v>
      </c>
      <c r="AB120" s="10" t="s">
        <v>1433</v>
      </c>
      <c r="AC120" s="10" t="s">
        <v>1436</v>
      </c>
      <c r="AD120" s="10" t="s">
        <v>1437</v>
      </c>
      <c r="AE120" s="10" t="s">
        <v>108</v>
      </c>
      <c r="AF120" s="10" t="s">
        <v>58</v>
      </c>
      <c r="AG120" s="10" t="s">
        <v>1438</v>
      </c>
      <c r="AH120" s="10" t="s">
        <v>60</v>
      </c>
      <c r="AI120" s="10" t="s">
        <v>61</v>
      </c>
      <c r="AJ120" s="10" t="s">
        <v>1439</v>
      </c>
      <c r="AK120" s="10" t="s">
        <v>1440</v>
      </c>
      <c r="AL120" s="10" t="s">
        <v>64</v>
      </c>
      <c r="AM120" s="10" t="s">
        <v>1441</v>
      </c>
      <c r="AN120" s="10" t="s">
        <v>50</v>
      </c>
      <c r="AO120" s="11" t="s">
        <v>50</v>
      </c>
      <c r="AP120" s="10" t="s">
        <v>50</v>
      </c>
      <c r="AQ120" s="10" t="s">
        <v>50</v>
      </c>
      <c r="AR120" s="10" t="s">
        <v>50</v>
      </c>
      <c r="AS120" s="10" t="s">
        <v>50</v>
      </c>
      <c r="AT120" s="10" t="s">
        <v>50</v>
      </c>
      <c r="AU120" s="10" t="s">
        <v>50</v>
      </c>
      <c r="AV120" s="11"/>
      <c r="AW120" s="10" t="s">
        <v>66</v>
      </c>
      <c r="AX120" s="10"/>
      <c r="AY120" s="10" t="s">
        <v>66</v>
      </c>
    </row>
    <row r="121" ht="22.5" hidden="1" customHeight="1">
      <c r="A121" s="9" t="s">
        <v>1442</v>
      </c>
      <c r="B121" s="10" t="s">
        <v>1443</v>
      </c>
      <c r="C121" s="10" t="s">
        <v>43</v>
      </c>
      <c r="D121" s="10" t="s">
        <v>1398</v>
      </c>
      <c r="E121" s="10" t="s">
        <v>45</v>
      </c>
      <c r="F121" s="11">
        <v>2.0</v>
      </c>
      <c r="G121" s="11">
        <v>87.4</v>
      </c>
      <c r="H121" s="11"/>
      <c r="I121" s="11">
        <v>-26.86</v>
      </c>
      <c r="J121" s="11"/>
      <c r="K121" s="11"/>
      <c r="L121" s="11">
        <v>65.78</v>
      </c>
      <c r="M121" s="10" t="s">
        <v>46</v>
      </c>
      <c r="N121" s="10" t="s">
        <v>50</v>
      </c>
      <c r="O121" s="10" t="s">
        <v>176</v>
      </c>
      <c r="P121" s="10" t="s">
        <v>177</v>
      </c>
      <c r="Q121" s="10" t="s">
        <v>178</v>
      </c>
      <c r="R121" s="10" t="s">
        <v>74</v>
      </c>
      <c r="S121" s="11">
        <v>43.7</v>
      </c>
      <c r="T121" s="11">
        <f>2*22.58</f>
        <v>45.16</v>
      </c>
      <c r="U121" s="11" t="s">
        <v>51</v>
      </c>
      <c r="V121" s="10" t="s">
        <v>52</v>
      </c>
      <c r="W121" s="10" t="s">
        <v>1444</v>
      </c>
      <c r="X121" s="10" t="s">
        <v>1445</v>
      </c>
      <c r="Y121" s="10" t="s">
        <v>1446</v>
      </c>
      <c r="Z121" s="10" t="s">
        <v>50</v>
      </c>
      <c r="AA121" s="10" t="s">
        <v>50</v>
      </c>
      <c r="AB121" s="10" t="s">
        <v>1444</v>
      </c>
      <c r="AC121" s="10" t="s">
        <v>1447</v>
      </c>
      <c r="AD121" s="10" t="s">
        <v>1448</v>
      </c>
      <c r="AE121" s="10" t="s">
        <v>58</v>
      </c>
      <c r="AF121" s="10" t="s">
        <v>58</v>
      </c>
      <c r="AG121" s="10" t="s">
        <v>1449</v>
      </c>
      <c r="AH121" s="10" t="s">
        <v>60</v>
      </c>
      <c r="AI121" s="10" t="s">
        <v>61</v>
      </c>
      <c r="AJ121" s="10" t="s">
        <v>1450</v>
      </c>
      <c r="AK121" s="10" t="s">
        <v>1451</v>
      </c>
      <c r="AL121" s="10" t="s">
        <v>64</v>
      </c>
      <c r="AM121" s="10" t="s">
        <v>1452</v>
      </c>
      <c r="AN121" s="10" t="s">
        <v>50</v>
      </c>
      <c r="AO121" s="11" t="s">
        <v>50</v>
      </c>
      <c r="AP121" s="10" t="s">
        <v>50</v>
      </c>
      <c r="AQ121" s="10" t="s">
        <v>50</v>
      </c>
      <c r="AR121" s="10" t="s">
        <v>50</v>
      </c>
      <c r="AS121" s="10" t="s">
        <v>50</v>
      </c>
      <c r="AT121" s="10" t="s">
        <v>50</v>
      </c>
      <c r="AU121" s="10" t="s">
        <v>50</v>
      </c>
      <c r="AV121" s="11"/>
      <c r="AW121" s="10" t="s">
        <v>66</v>
      </c>
      <c r="AX121" s="10"/>
      <c r="AY121" s="10" t="s">
        <v>66</v>
      </c>
    </row>
    <row r="122" ht="22.5" hidden="1" customHeight="1">
      <c r="A122" s="9" t="s">
        <v>1453</v>
      </c>
      <c r="B122" s="10" t="s">
        <v>1454</v>
      </c>
      <c r="C122" s="10" t="s">
        <v>43</v>
      </c>
      <c r="D122" s="10" t="s">
        <v>688</v>
      </c>
      <c r="E122" s="10" t="s">
        <v>45</v>
      </c>
      <c r="F122" s="11">
        <v>1.0</v>
      </c>
      <c r="G122" s="11">
        <v>101.5</v>
      </c>
      <c r="H122" s="11"/>
      <c r="I122" s="11">
        <v>-19.28</v>
      </c>
      <c r="J122" s="11">
        <v>-19.95</v>
      </c>
      <c r="K122" s="11"/>
      <c r="L122" s="11">
        <v>62.27</v>
      </c>
      <c r="M122" s="10" t="s">
        <v>46</v>
      </c>
      <c r="N122" s="10" t="s">
        <v>45</v>
      </c>
      <c r="O122" s="10" t="s">
        <v>100</v>
      </c>
      <c r="P122" s="10" t="s">
        <v>101</v>
      </c>
      <c r="Q122" s="10" t="s">
        <v>102</v>
      </c>
      <c r="R122" s="10" t="s">
        <v>50</v>
      </c>
      <c r="S122" s="11">
        <v>101.5</v>
      </c>
      <c r="T122" s="11">
        <v>38.61</v>
      </c>
      <c r="U122" s="11" t="s">
        <v>51</v>
      </c>
      <c r="V122" s="10" t="s">
        <v>52</v>
      </c>
      <c r="W122" s="10" t="s">
        <v>1455</v>
      </c>
      <c r="X122" s="10" t="s">
        <v>1456</v>
      </c>
      <c r="Y122" s="10" t="s">
        <v>1457</v>
      </c>
      <c r="Z122" s="10" t="s">
        <v>50</v>
      </c>
      <c r="AA122" s="10" t="s">
        <v>50</v>
      </c>
      <c r="AB122" s="10" t="s">
        <v>1455</v>
      </c>
      <c r="AC122" s="10" t="s">
        <v>1458</v>
      </c>
      <c r="AD122" s="10" t="s">
        <v>1459</v>
      </c>
      <c r="AE122" s="10" t="s">
        <v>1460</v>
      </c>
      <c r="AF122" s="10" t="s">
        <v>185</v>
      </c>
      <c r="AG122" s="10" t="s">
        <v>1461</v>
      </c>
      <c r="AH122" s="10" t="s">
        <v>60</v>
      </c>
      <c r="AI122" s="10" t="s">
        <v>61</v>
      </c>
      <c r="AJ122" s="10" t="s">
        <v>1462</v>
      </c>
      <c r="AK122" s="10" t="s">
        <v>1463</v>
      </c>
      <c r="AL122" s="10" t="s">
        <v>64</v>
      </c>
      <c r="AM122" s="10" t="s">
        <v>1464</v>
      </c>
      <c r="AN122" s="10" t="s">
        <v>50</v>
      </c>
      <c r="AO122" s="11" t="s">
        <v>50</v>
      </c>
      <c r="AP122" s="10" t="s">
        <v>50</v>
      </c>
      <c r="AQ122" s="10" t="s">
        <v>50</v>
      </c>
      <c r="AR122" s="10" t="s">
        <v>50</v>
      </c>
      <c r="AS122" s="10" t="s">
        <v>50</v>
      </c>
      <c r="AT122" s="10" t="s">
        <v>50</v>
      </c>
      <c r="AU122" s="10" t="s">
        <v>50</v>
      </c>
      <c r="AV122" s="11"/>
      <c r="AW122" s="10" t="s">
        <v>66</v>
      </c>
      <c r="AX122" s="10"/>
      <c r="AY122" s="10" t="s">
        <v>66</v>
      </c>
    </row>
    <row r="123" ht="22.5" hidden="1" customHeight="1">
      <c r="A123" s="9" t="s">
        <v>1465</v>
      </c>
      <c r="B123" s="10" t="s">
        <v>1466</v>
      </c>
      <c r="C123" s="10" t="s">
        <v>43</v>
      </c>
      <c r="D123" s="10" t="s">
        <v>191</v>
      </c>
      <c r="E123" s="10" t="s">
        <v>66</v>
      </c>
      <c r="F123" s="11">
        <v>1.0</v>
      </c>
      <c r="G123" s="11">
        <v>79.2</v>
      </c>
      <c r="H123" s="11"/>
      <c r="I123" s="11">
        <v>-15.05</v>
      </c>
      <c r="J123" s="11">
        <v>-19.95</v>
      </c>
      <c r="K123" s="11"/>
      <c r="L123" s="11">
        <v>44.2</v>
      </c>
      <c r="M123" s="10" t="s">
        <v>46</v>
      </c>
      <c r="N123" s="10" t="s">
        <v>50</v>
      </c>
      <c r="O123" s="10" t="s">
        <v>586</v>
      </c>
      <c r="P123" s="10" t="s">
        <v>1467</v>
      </c>
      <c r="Q123" s="10" t="s">
        <v>1468</v>
      </c>
      <c r="R123" s="10" t="s">
        <v>50</v>
      </c>
      <c r="S123" s="11">
        <v>79.2</v>
      </c>
      <c r="T123" s="11">
        <v>9.89</v>
      </c>
      <c r="U123" s="11" t="s">
        <v>51</v>
      </c>
      <c r="V123" s="10" t="s">
        <v>52</v>
      </c>
      <c r="W123" s="10" t="s">
        <v>1469</v>
      </c>
      <c r="X123" s="10" t="s">
        <v>1470</v>
      </c>
      <c r="Y123" s="10" t="s">
        <v>1471</v>
      </c>
      <c r="Z123" s="10" t="s">
        <v>50</v>
      </c>
      <c r="AA123" s="10" t="s">
        <v>50</v>
      </c>
      <c r="AB123" s="10" t="s">
        <v>1469</v>
      </c>
      <c r="AC123" s="10" t="s">
        <v>1472</v>
      </c>
      <c r="AD123" s="10" t="s">
        <v>1473</v>
      </c>
      <c r="AE123" s="10" t="s">
        <v>1474</v>
      </c>
      <c r="AF123" s="10" t="s">
        <v>151</v>
      </c>
      <c r="AG123" s="10" t="s">
        <v>1475</v>
      </c>
      <c r="AH123" s="10" t="s">
        <v>60</v>
      </c>
      <c r="AI123" s="10" t="s">
        <v>61</v>
      </c>
      <c r="AJ123" s="10" t="s">
        <v>1476</v>
      </c>
      <c r="AK123" s="10" t="s">
        <v>1477</v>
      </c>
      <c r="AL123" s="10" t="s">
        <v>64</v>
      </c>
      <c r="AM123" s="10" t="s">
        <v>1478</v>
      </c>
      <c r="AN123" s="10" t="s">
        <v>50</v>
      </c>
      <c r="AO123" s="11" t="s">
        <v>50</v>
      </c>
      <c r="AP123" s="10" t="s">
        <v>50</v>
      </c>
      <c r="AQ123" s="10" t="s">
        <v>50</v>
      </c>
      <c r="AR123" s="10" t="s">
        <v>50</v>
      </c>
      <c r="AS123" s="10" t="s">
        <v>50</v>
      </c>
      <c r="AT123" s="10" t="s">
        <v>50</v>
      </c>
      <c r="AU123" s="10" t="s">
        <v>50</v>
      </c>
      <c r="AV123" s="11"/>
      <c r="AW123" s="10" t="s">
        <v>66</v>
      </c>
      <c r="AX123" s="10"/>
      <c r="AY123" s="10" t="s">
        <v>66</v>
      </c>
    </row>
    <row r="124" ht="22.5" hidden="1" customHeight="1">
      <c r="A124" s="9" t="s">
        <v>1479</v>
      </c>
      <c r="B124" s="10" t="s">
        <v>1466</v>
      </c>
      <c r="C124" s="10" t="s">
        <v>43</v>
      </c>
      <c r="D124" s="10" t="s">
        <v>759</v>
      </c>
      <c r="E124" s="10" t="s">
        <v>66</v>
      </c>
      <c r="F124" s="11">
        <v>1.0</v>
      </c>
      <c r="G124" s="11">
        <v>120.0</v>
      </c>
      <c r="H124" s="11"/>
      <c r="I124" s="11">
        <v>-20.4</v>
      </c>
      <c r="J124" s="11">
        <v>-19.95</v>
      </c>
      <c r="K124" s="11"/>
      <c r="L124" s="11">
        <v>86.85</v>
      </c>
      <c r="M124" s="10" t="s">
        <v>46</v>
      </c>
      <c r="N124" s="10" t="s">
        <v>50</v>
      </c>
      <c r="O124" s="10" t="s">
        <v>85</v>
      </c>
      <c r="P124" s="10" t="s">
        <v>86</v>
      </c>
      <c r="Q124" s="10" t="s">
        <v>87</v>
      </c>
      <c r="R124" s="10" t="s">
        <v>74</v>
      </c>
      <c r="S124" s="11">
        <v>120.0</v>
      </c>
      <c r="T124" s="11">
        <v>65.78</v>
      </c>
      <c r="U124" s="11" t="s">
        <v>51</v>
      </c>
      <c r="V124" s="10" t="s">
        <v>52</v>
      </c>
      <c r="W124" s="10" t="s">
        <v>1480</v>
      </c>
      <c r="X124" s="10" t="s">
        <v>1481</v>
      </c>
      <c r="Y124" s="10" t="s">
        <v>1482</v>
      </c>
      <c r="Z124" s="10" t="s">
        <v>50</v>
      </c>
      <c r="AA124" s="10" t="s">
        <v>50</v>
      </c>
      <c r="AB124" s="10" t="s">
        <v>1480</v>
      </c>
      <c r="AC124" s="10" t="s">
        <v>1483</v>
      </c>
      <c r="AD124" s="10" t="s">
        <v>1484</v>
      </c>
      <c r="AE124" s="10" t="s">
        <v>58</v>
      </c>
      <c r="AF124" s="10" t="s">
        <v>58</v>
      </c>
      <c r="AG124" s="10" t="s">
        <v>1485</v>
      </c>
      <c r="AH124" s="10" t="s">
        <v>60</v>
      </c>
      <c r="AI124" s="10" t="s">
        <v>61</v>
      </c>
      <c r="AJ124" s="10" t="s">
        <v>755</v>
      </c>
      <c r="AK124" s="10" t="s">
        <v>1486</v>
      </c>
      <c r="AL124" s="10" t="s">
        <v>64</v>
      </c>
      <c r="AM124" s="10" t="s">
        <v>1487</v>
      </c>
      <c r="AN124" s="10" t="s">
        <v>50</v>
      </c>
      <c r="AO124" s="11" t="s">
        <v>50</v>
      </c>
      <c r="AP124" s="10" t="s">
        <v>50</v>
      </c>
      <c r="AQ124" s="10" t="s">
        <v>50</v>
      </c>
      <c r="AR124" s="10" t="s">
        <v>50</v>
      </c>
      <c r="AS124" s="10" t="s">
        <v>50</v>
      </c>
      <c r="AT124" s="10" t="s">
        <v>50</v>
      </c>
      <c r="AU124" s="10" t="s">
        <v>50</v>
      </c>
      <c r="AV124" s="11"/>
      <c r="AW124" s="10" t="s">
        <v>66</v>
      </c>
      <c r="AX124" s="10"/>
      <c r="AY124" s="10" t="s">
        <v>66</v>
      </c>
    </row>
    <row r="125" ht="22.5" hidden="1" customHeight="1">
      <c r="A125" s="9" t="s">
        <v>1488</v>
      </c>
      <c r="B125" s="10" t="s">
        <v>1489</v>
      </c>
      <c r="C125" s="10" t="s">
        <v>43</v>
      </c>
      <c r="D125" s="10" t="s">
        <v>1398</v>
      </c>
      <c r="E125" s="10" t="s">
        <v>66</v>
      </c>
      <c r="F125" s="11">
        <v>1.0</v>
      </c>
      <c r="G125" s="11">
        <v>43.7</v>
      </c>
      <c r="H125" s="11">
        <v>15.22</v>
      </c>
      <c r="I125" s="11">
        <v>-13.43</v>
      </c>
      <c r="J125" s="11">
        <v>-15.22</v>
      </c>
      <c r="K125" s="11"/>
      <c r="L125" s="11">
        <v>32.89</v>
      </c>
      <c r="M125" s="10" t="s">
        <v>46</v>
      </c>
      <c r="N125" s="10" t="s">
        <v>50</v>
      </c>
      <c r="O125" s="10" t="s">
        <v>176</v>
      </c>
      <c r="P125" s="10" t="s">
        <v>177</v>
      </c>
      <c r="Q125" s="10" t="s">
        <v>178</v>
      </c>
      <c r="R125" s="10" t="s">
        <v>74</v>
      </c>
      <c r="S125" s="11">
        <v>43.7</v>
      </c>
      <c r="T125" s="11">
        <v>22.58</v>
      </c>
      <c r="U125" s="11" t="s">
        <v>51</v>
      </c>
      <c r="V125" s="10" t="s">
        <v>52</v>
      </c>
      <c r="W125" s="10" t="s">
        <v>1490</v>
      </c>
      <c r="X125" s="10" t="s">
        <v>1491</v>
      </c>
      <c r="Y125" s="10" t="s">
        <v>1492</v>
      </c>
      <c r="Z125" s="10" t="s">
        <v>50</v>
      </c>
      <c r="AA125" s="10" t="s">
        <v>50</v>
      </c>
      <c r="AB125" s="10" t="s">
        <v>1490</v>
      </c>
      <c r="AC125" s="10" t="s">
        <v>1493</v>
      </c>
      <c r="AD125" s="10" t="s">
        <v>1494</v>
      </c>
      <c r="AE125" s="10" t="s">
        <v>1495</v>
      </c>
      <c r="AF125" s="10" t="s">
        <v>58</v>
      </c>
      <c r="AG125" s="10" t="s">
        <v>1496</v>
      </c>
      <c r="AH125" s="10" t="s">
        <v>60</v>
      </c>
      <c r="AI125" s="10" t="s">
        <v>61</v>
      </c>
      <c r="AJ125" s="10" t="s">
        <v>1497</v>
      </c>
      <c r="AK125" s="10" t="s">
        <v>1498</v>
      </c>
      <c r="AL125" s="10" t="s">
        <v>64</v>
      </c>
      <c r="AM125" s="10" t="s">
        <v>1499</v>
      </c>
      <c r="AN125" s="10" t="s">
        <v>50</v>
      </c>
      <c r="AO125" s="11" t="s">
        <v>50</v>
      </c>
      <c r="AP125" s="10" t="s">
        <v>50</v>
      </c>
      <c r="AQ125" s="10" t="s">
        <v>50</v>
      </c>
      <c r="AR125" s="10" t="s">
        <v>50</v>
      </c>
      <c r="AS125" s="10" t="s">
        <v>50</v>
      </c>
      <c r="AT125" s="10" t="s">
        <v>50</v>
      </c>
      <c r="AU125" s="10" t="s">
        <v>50</v>
      </c>
      <c r="AV125" s="11"/>
      <c r="AW125" s="10" t="s">
        <v>66</v>
      </c>
      <c r="AX125" s="10"/>
      <c r="AY125" s="10" t="s">
        <v>66</v>
      </c>
    </row>
    <row r="126" ht="22.5" hidden="1" customHeight="1">
      <c r="A126" s="9" t="s">
        <v>1500</v>
      </c>
      <c r="B126" s="10" t="s">
        <v>1501</v>
      </c>
      <c r="C126" s="10" t="s">
        <v>43</v>
      </c>
      <c r="D126" s="10" t="s">
        <v>290</v>
      </c>
      <c r="E126" s="10" t="s">
        <v>45</v>
      </c>
      <c r="F126" s="11">
        <v>2.0</v>
      </c>
      <c r="G126" s="11">
        <v>87.4</v>
      </c>
      <c r="H126" s="11">
        <v>8.11</v>
      </c>
      <c r="I126" s="11">
        <v>-26.86</v>
      </c>
      <c r="J126" s="11">
        <v>-8.11</v>
      </c>
      <c r="K126" s="11"/>
      <c r="L126" s="11">
        <v>65.78</v>
      </c>
      <c r="M126" s="10" t="s">
        <v>46</v>
      </c>
      <c r="N126" s="10" t="s">
        <v>50</v>
      </c>
      <c r="O126" s="10" t="s">
        <v>176</v>
      </c>
      <c r="P126" s="10" t="s">
        <v>177</v>
      </c>
      <c r="Q126" s="10" t="s">
        <v>178</v>
      </c>
      <c r="R126" s="10" t="s">
        <v>74</v>
      </c>
      <c r="S126" s="11">
        <v>43.7</v>
      </c>
      <c r="T126" s="11">
        <f>2*22.58</f>
        <v>45.16</v>
      </c>
      <c r="U126" s="11" t="s">
        <v>51</v>
      </c>
      <c r="V126" s="10" t="s">
        <v>52</v>
      </c>
      <c r="W126" s="10" t="s">
        <v>1502</v>
      </c>
      <c r="X126" s="10" t="s">
        <v>1503</v>
      </c>
      <c r="Y126" s="10" t="s">
        <v>1504</v>
      </c>
      <c r="Z126" s="10" t="s">
        <v>50</v>
      </c>
      <c r="AA126" s="10" t="s">
        <v>50</v>
      </c>
      <c r="AB126" s="10" t="s">
        <v>1502</v>
      </c>
      <c r="AC126" s="10" t="s">
        <v>1505</v>
      </c>
      <c r="AD126" s="10" t="s">
        <v>1506</v>
      </c>
      <c r="AE126" s="10" t="s">
        <v>1507</v>
      </c>
      <c r="AF126" s="10" t="s">
        <v>151</v>
      </c>
      <c r="AG126" s="10" t="s">
        <v>1508</v>
      </c>
      <c r="AH126" s="10" t="s">
        <v>60</v>
      </c>
      <c r="AI126" s="10" t="s">
        <v>61</v>
      </c>
      <c r="AJ126" s="10" t="s">
        <v>1509</v>
      </c>
      <c r="AK126" s="10" t="s">
        <v>1510</v>
      </c>
      <c r="AL126" s="10" t="s">
        <v>64</v>
      </c>
      <c r="AM126" s="10" t="s">
        <v>1511</v>
      </c>
      <c r="AN126" s="10" t="s">
        <v>50</v>
      </c>
      <c r="AO126" s="11" t="s">
        <v>50</v>
      </c>
      <c r="AP126" s="10" t="s">
        <v>50</v>
      </c>
      <c r="AQ126" s="10" t="s">
        <v>50</v>
      </c>
      <c r="AR126" s="10" t="s">
        <v>50</v>
      </c>
      <c r="AS126" s="10" t="s">
        <v>50</v>
      </c>
      <c r="AT126" s="10" t="s">
        <v>50</v>
      </c>
      <c r="AU126" s="10" t="s">
        <v>50</v>
      </c>
      <c r="AV126" s="11"/>
      <c r="AW126" s="10" t="s">
        <v>66</v>
      </c>
      <c r="AX126" s="10"/>
      <c r="AY126" s="10" t="s">
        <v>66</v>
      </c>
    </row>
    <row r="127" ht="22.5" hidden="1" customHeight="1">
      <c r="A127" s="9" t="s">
        <v>1512</v>
      </c>
      <c r="B127" s="10" t="s">
        <v>1513</v>
      </c>
      <c r="C127" s="10" t="s">
        <v>69</v>
      </c>
      <c r="D127" s="10" t="s">
        <v>1208</v>
      </c>
      <c r="E127" s="10" t="s">
        <v>66</v>
      </c>
      <c r="F127" s="11">
        <v>1.0</v>
      </c>
      <c r="G127" s="11">
        <v>120.0</v>
      </c>
      <c r="H127" s="11"/>
      <c r="I127" s="11">
        <v>-20.4</v>
      </c>
      <c r="J127" s="11">
        <v>-19.95</v>
      </c>
      <c r="K127" s="11">
        <v>-86.85</v>
      </c>
      <c r="L127" s="11">
        <v>0.0</v>
      </c>
      <c r="M127" s="10" t="s">
        <v>46</v>
      </c>
      <c r="N127" s="10" t="s">
        <v>50</v>
      </c>
      <c r="O127" s="10" t="s">
        <v>85</v>
      </c>
      <c r="P127" s="10" t="s">
        <v>86</v>
      </c>
      <c r="Q127" s="10" t="s">
        <v>87</v>
      </c>
      <c r="R127" s="10" t="s">
        <v>74</v>
      </c>
      <c r="S127" s="11">
        <v>120.0</v>
      </c>
      <c r="T127" s="11"/>
      <c r="U127" s="11" t="s">
        <v>51</v>
      </c>
      <c r="V127" s="10" t="s">
        <v>52</v>
      </c>
      <c r="W127" s="10" t="s">
        <v>1514</v>
      </c>
      <c r="X127" s="10" t="s">
        <v>1515</v>
      </c>
      <c r="Y127" s="10" t="s">
        <v>1516</v>
      </c>
      <c r="Z127" s="10" t="s">
        <v>50</v>
      </c>
      <c r="AA127" s="10" t="s">
        <v>50</v>
      </c>
      <c r="AB127" s="10" t="s">
        <v>1514</v>
      </c>
      <c r="AC127" s="10" t="s">
        <v>1517</v>
      </c>
      <c r="AD127" s="10" t="s">
        <v>50</v>
      </c>
      <c r="AE127" s="10" t="s">
        <v>322</v>
      </c>
      <c r="AF127" s="10" t="s">
        <v>323</v>
      </c>
      <c r="AG127" s="10" t="s">
        <v>1518</v>
      </c>
      <c r="AH127" s="10" t="s">
        <v>60</v>
      </c>
      <c r="AI127" s="10" t="s">
        <v>61</v>
      </c>
      <c r="AJ127" s="10" t="s">
        <v>50</v>
      </c>
      <c r="AK127" s="10" t="s">
        <v>50</v>
      </c>
      <c r="AL127" s="10" t="s">
        <v>64</v>
      </c>
      <c r="AM127" s="10" t="s">
        <v>1519</v>
      </c>
      <c r="AN127" s="10" t="s">
        <v>50</v>
      </c>
      <c r="AO127" s="11" t="s">
        <v>50</v>
      </c>
      <c r="AP127" s="10" t="s">
        <v>50</v>
      </c>
      <c r="AQ127" s="10" t="s">
        <v>50</v>
      </c>
      <c r="AR127" s="10" t="s">
        <v>50</v>
      </c>
      <c r="AS127" s="10" t="s">
        <v>50</v>
      </c>
      <c r="AT127" s="10" t="s">
        <v>50</v>
      </c>
      <c r="AU127" s="10" t="s">
        <v>50</v>
      </c>
      <c r="AV127" s="11"/>
      <c r="AW127" s="10" t="s">
        <v>66</v>
      </c>
      <c r="AX127" s="10"/>
      <c r="AY127" s="10" t="s">
        <v>66</v>
      </c>
    </row>
    <row r="128" ht="22.5" hidden="1" customHeight="1">
      <c r="A128" s="9" t="s">
        <v>1520</v>
      </c>
      <c r="B128" s="10" t="s">
        <v>1521</v>
      </c>
      <c r="C128" s="10" t="s">
        <v>43</v>
      </c>
      <c r="D128" s="10" t="s">
        <v>44</v>
      </c>
      <c r="E128" s="10" t="s">
        <v>66</v>
      </c>
      <c r="F128" s="11">
        <v>1.0</v>
      </c>
      <c r="G128" s="11">
        <v>79.0</v>
      </c>
      <c r="H128" s="11">
        <v>9.13</v>
      </c>
      <c r="I128" s="11">
        <v>-13.43</v>
      </c>
      <c r="J128" s="11">
        <v>-29.58</v>
      </c>
      <c r="K128" s="11"/>
      <c r="L128" s="11">
        <v>45.12</v>
      </c>
      <c r="M128" s="10" t="s">
        <v>46</v>
      </c>
      <c r="N128" s="10" t="s">
        <v>45</v>
      </c>
      <c r="O128" s="10" t="s">
        <v>160</v>
      </c>
      <c r="P128" s="10" t="s">
        <v>161</v>
      </c>
      <c r="Q128" s="10" t="s">
        <v>162</v>
      </c>
      <c r="R128" s="10" t="s">
        <v>74</v>
      </c>
      <c r="S128" s="11">
        <v>79.0</v>
      </c>
      <c r="T128" s="11">
        <v>2.49</v>
      </c>
      <c r="U128" s="11" t="s">
        <v>51</v>
      </c>
      <c r="V128" s="10" t="s">
        <v>52</v>
      </c>
      <c r="W128" s="10" t="s">
        <v>1522</v>
      </c>
      <c r="X128" s="10" t="s">
        <v>1523</v>
      </c>
      <c r="Y128" s="10" t="s">
        <v>1524</v>
      </c>
      <c r="Z128" s="10" t="s">
        <v>50</v>
      </c>
      <c r="AA128" s="10" t="s">
        <v>50</v>
      </c>
      <c r="AB128" s="10" t="s">
        <v>1522</v>
      </c>
      <c r="AC128" s="10" t="s">
        <v>1525</v>
      </c>
      <c r="AD128" s="10" t="s">
        <v>1526</v>
      </c>
      <c r="AE128" s="10" t="s">
        <v>1527</v>
      </c>
      <c r="AF128" s="10" t="s">
        <v>561</v>
      </c>
      <c r="AG128" s="10" t="s">
        <v>1528</v>
      </c>
      <c r="AH128" s="10" t="s">
        <v>60</v>
      </c>
      <c r="AI128" s="10" t="s">
        <v>61</v>
      </c>
      <c r="AJ128" s="10" t="s">
        <v>755</v>
      </c>
      <c r="AK128" s="10" t="s">
        <v>1529</v>
      </c>
      <c r="AL128" s="10" t="s">
        <v>64</v>
      </c>
      <c r="AM128" s="10" t="s">
        <v>1530</v>
      </c>
      <c r="AN128" s="10" t="s">
        <v>50</v>
      </c>
      <c r="AO128" s="11" t="s">
        <v>50</v>
      </c>
      <c r="AP128" s="10" t="s">
        <v>50</v>
      </c>
      <c r="AQ128" s="10" t="s">
        <v>50</v>
      </c>
      <c r="AR128" s="10" t="s">
        <v>50</v>
      </c>
      <c r="AS128" s="10" t="s">
        <v>50</v>
      </c>
      <c r="AT128" s="10" t="s">
        <v>50</v>
      </c>
      <c r="AU128" s="10" t="s">
        <v>50</v>
      </c>
      <c r="AV128" s="11"/>
      <c r="AW128" s="10" t="s">
        <v>66</v>
      </c>
      <c r="AX128" s="10"/>
      <c r="AY128" s="10" t="s">
        <v>66</v>
      </c>
    </row>
    <row r="129" ht="22.5" hidden="1" customHeight="1">
      <c r="A129" s="9" t="s">
        <v>1531</v>
      </c>
      <c r="B129" s="10" t="s">
        <v>1532</v>
      </c>
      <c r="C129" s="10" t="s">
        <v>43</v>
      </c>
      <c r="D129" s="10" t="s">
        <v>191</v>
      </c>
      <c r="E129" s="10" t="s">
        <v>45</v>
      </c>
      <c r="F129" s="11">
        <v>1.0</v>
      </c>
      <c r="G129" s="11">
        <v>84.0</v>
      </c>
      <c r="H129" s="11"/>
      <c r="I129" s="11">
        <v>-14.28</v>
      </c>
      <c r="J129" s="11">
        <v>-20.45</v>
      </c>
      <c r="K129" s="11"/>
      <c r="L129" s="11">
        <v>49.27</v>
      </c>
      <c r="M129" s="10" t="s">
        <v>46</v>
      </c>
      <c r="N129" s="10" t="s">
        <v>45</v>
      </c>
      <c r="O129" s="10" t="s">
        <v>265</v>
      </c>
      <c r="P129" s="10" t="s">
        <v>266</v>
      </c>
      <c r="Q129" s="10" t="s">
        <v>267</v>
      </c>
      <c r="R129" s="10" t="s">
        <v>74</v>
      </c>
      <c r="S129" s="11">
        <v>84.0</v>
      </c>
      <c r="T129" s="11">
        <v>26.22</v>
      </c>
      <c r="U129" s="11" t="s">
        <v>51</v>
      </c>
      <c r="V129" s="10" t="s">
        <v>52</v>
      </c>
      <c r="W129" s="10" t="s">
        <v>1533</v>
      </c>
      <c r="X129" s="10" t="s">
        <v>1534</v>
      </c>
      <c r="Y129" s="10" t="s">
        <v>1535</v>
      </c>
      <c r="Z129" s="10" t="s">
        <v>50</v>
      </c>
      <c r="AA129" s="10" t="s">
        <v>50</v>
      </c>
      <c r="AB129" s="10" t="s">
        <v>1533</v>
      </c>
      <c r="AC129" s="10" t="s">
        <v>1536</v>
      </c>
      <c r="AD129" s="10" t="s">
        <v>1537</v>
      </c>
      <c r="AE129" s="10" t="s">
        <v>151</v>
      </c>
      <c r="AF129" s="10" t="s">
        <v>151</v>
      </c>
      <c r="AG129" s="10" t="s">
        <v>1538</v>
      </c>
      <c r="AH129" s="10" t="s">
        <v>60</v>
      </c>
      <c r="AI129" s="10" t="s">
        <v>61</v>
      </c>
      <c r="AJ129" s="10" t="s">
        <v>1204</v>
      </c>
      <c r="AK129" s="10" t="s">
        <v>1539</v>
      </c>
      <c r="AL129" s="10" t="s">
        <v>64</v>
      </c>
      <c r="AM129" s="10" t="s">
        <v>1540</v>
      </c>
      <c r="AN129" s="10" t="s">
        <v>50</v>
      </c>
      <c r="AO129" s="11" t="s">
        <v>50</v>
      </c>
      <c r="AP129" s="10" t="s">
        <v>50</v>
      </c>
      <c r="AQ129" s="10" t="s">
        <v>50</v>
      </c>
      <c r="AR129" s="10" t="s">
        <v>50</v>
      </c>
      <c r="AS129" s="10" t="s">
        <v>50</v>
      </c>
      <c r="AT129" s="10" t="s">
        <v>50</v>
      </c>
      <c r="AU129" s="10" t="s">
        <v>50</v>
      </c>
      <c r="AV129" s="11"/>
      <c r="AW129" s="10" t="s">
        <v>66</v>
      </c>
      <c r="AX129" s="10"/>
      <c r="AY129" s="10" t="s">
        <v>66</v>
      </c>
    </row>
    <row r="130" ht="22.5" hidden="1" customHeight="1">
      <c r="A130" s="9" t="s">
        <v>1541</v>
      </c>
      <c r="B130" s="10" t="s">
        <v>1542</v>
      </c>
      <c r="C130" s="10" t="s">
        <v>43</v>
      </c>
      <c r="D130" s="10" t="s">
        <v>759</v>
      </c>
      <c r="E130" s="10" t="s">
        <v>66</v>
      </c>
      <c r="F130" s="11">
        <v>1.0</v>
      </c>
      <c r="G130" s="11">
        <v>120.0</v>
      </c>
      <c r="H130" s="11"/>
      <c r="I130" s="11">
        <v>-20.4</v>
      </c>
      <c r="J130" s="11">
        <v>-19.95</v>
      </c>
      <c r="K130" s="11"/>
      <c r="L130" s="11">
        <v>86.85</v>
      </c>
      <c r="M130" s="10" t="s">
        <v>46</v>
      </c>
      <c r="N130" s="10" t="s">
        <v>50</v>
      </c>
      <c r="O130" s="10" t="s">
        <v>85</v>
      </c>
      <c r="P130" s="10" t="s">
        <v>86</v>
      </c>
      <c r="Q130" s="10" t="s">
        <v>87</v>
      </c>
      <c r="R130" s="10" t="s">
        <v>74</v>
      </c>
      <c r="S130" s="11">
        <v>120.0</v>
      </c>
      <c r="T130" s="11">
        <v>65.78</v>
      </c>
      <c r="U130" s="11" t="s">
        <v>51</v>
      </c>
      <c r="V130" s="10" t="s">
        <v>52</v>
      </c>
      <c r="W130" s="10" t="s">
        <v>1543</v>
      </c>
      <c r="X130" s="10" t="s">
        <v>1544</v>
      </c>
      <c r="Y130" s="10" t="s">
        <v>1545</v>
      </c>
      <c r="Z130" s="10" t="s">
        <v>50</v>
      </c>
      <c r="AA130" s="10" t="s">
        <v>50</v>
      </c>
      <c r="AB130" s="10" t="s">
        <v>1543</v>
      </c>
      <c r="AC130" s="10" t="s">
        <v>1546</v>
      </c>
      <c r="AD130" s="10" t="s">
        <v>1547</v>
      </c>
      <c r="AE130" s="10" t="s">
        <v>1548</v>
      </c>
      <c r="AF130" s="10" t="s">
        <v>58</v>
      </c>
      <c r="AG130" s="10" t="s">
        <v>1549</v>
      </c>
      <c r="AH130" s="10" t="s">
        <v>60</v>
      </c>
      <c r="AI130" s="10" t="s">
        <v>61</v>
      </c>
      <c r="AJ130" s="10" t="s">
        <v>755</v>
      </c>
      <c r="AK130" s="10" t="s">
        <v>1550</v>
      </c>
      <c r="AL130" s="10" t="s">
        <v>64</v>
      </c>
      <c r="AM130" s="10" t="s">
        <v>1551</v>
      </c>
      <c r="AN130" s="10" t="s">
        <v>50</v>
      </c>
      <c r="AO130" s="11" t="s">
        <v>50</v>
      </c>
      <c r="AP130" s="10" t="s">
        <v>50</v>
      </c>
      <c r="AQ130" s="10" t="s">
        <v>50</v>
      </c>
      <c r="AR130" s="10" t="s">
        <v>50</v>
      </c>
      <c r="AS130" s="10" t="s">
        <v>50</v>
      </c>
      <c r="AT130" s="10" t="s">
        <v>50</v>
      </c>
      <c r="AU130" s="10" t="s">
        <v>50</v>
      </c>
      <c r="AV130" s="11"/>
      <c r="AW130" s="10" t="s">
        <v>66</v>
      </c>
      <c r="AX130" s="10"/>
      <c r="AY130" s="10" t="s">
        <v>66</v>
      </c>
    </row>
    <row r="131" ht="22.5" hidden="1" customHeight="1">
      <c r="A131" s="9" t="s">
        <v>1552</v>
      </c>
      <c r="B131" s="10" t="s">
        <v>1553</v>
      </c>
      <c r="C131" s="10" t="s">
        <v>43</v>
      </c>
      <c r="D131" s="10" t="s">
        <v>44</v>
      </c>
      <c r="E131" s="10" t="s">
        <v>66</v>
      </c>
      <c r="F131" s="11">
        <v>1.0</v>
      </c>
      <c r="G131" s="11">
        <v>81.25</v>
      </c>
      <c r="H131" s="11"/>
      <c r="I131" s="11">
        <v>-13.81</v>
      </c>
      <c r="J131" s="11">
        <v>-19.95</v>
      </c>
      <c r="K131" s="11"/>
      <c r="L131" s="11">
        <v>47.49</v>
      </c>
      <c r="M131" s="10" t="s">
        <v>46</v>
      </c>
      <c r="N131" s="10" t="s">
        <v>50</v>
      </c>
      <c r="O131" s="10" t="s">
        <v>920</v>
      </c>
      <c r="P131" s="10" t="s">
        <v>921</v>
      </c>
      <c r="Q131" s="10" t="s">
        <v>922</v>
      </c>
      <c r="R131" s="10" t="s">
        <v>74</v>
      </c>
      <c r="S131" s="11">
        <v>81.25</v>
      </c>
      <c r="T131" s="11">
        <v>26.22</v>
      </c>
      <c r="U131" s="11" t="s">
        <v>51</v>
      </c>
      <c r="V131" s="10" t="s">
        <v>52</v>
      </c>
      <c r="W131" s="10" t="s">
        <v>1554</v>
      </c>
      <c r="X131" s="10" t="s">
        <v>1555</v>
      </c>
      <c r="Y131" s="10" t="s">
        <v>1556</v>
      </c>
      <c r="Z131" s="10" t="s">
        <v>50</v>
      </c>
      <c r="AA131" s="10" t="s">
        <v>50</v>
      </c>
      <c r="AB131" s="10" t="s">
        <v>1554</v>
      </c>
      <c r="AC131" s="10" t="s">
        <v>1557</v>
      </c>
      <c r="AD131" s="10" t="s">
        <v>1558</v>
      </c>
      <c r="AE131" s="10" t="s">
        <v>1559</v>
      </c>
      <c r="AF131" s="10" t="s">
        <v>201</v>
      </c>
      <c r="AG131" s="10" t="s">
        <v>1560</v>
      </c>
      <c r="AH131" s="10" t="s">
        <v>60</v>
      </c>
      <c r="AI131" s="10" t="s">
        <v>61</v>
      </c>
      <c r="AJ131" s="10" t="s">
        <v>755</v>
      </c>
      <c r="AK131" s="10" t="s">
        <v>1561</v>
      </c>
      <c r="AL131" s="10" t="s">
        <v>64</v>
      </c>
      <c r="AM131" s="10" t="s">
        <v>1562</v>
      </c>
      <c r="AN131" s="10" t="s">
        <v>1563</v>
      </c>
      <c r="AO131" s="11" t="s">
        <v>50</v>
      </c>
      <c r="AP131" s="10" t="s">
        <v>50</v>
      </c>
      <c r="AQ131" s="10" t="s">
        <v>50</v>
      </c>
      <c r="AR131" s="10" t="s">
        <v>50</v>
      </c>
      <c r="AS131" s="10" t="s">
        <v>50</v>
      </c>
      <c r="AT131" s="10" t="s">
        <v>50</v>
      </c>
      <c r="AU131" s="10" t="s">
        <v>50</v>
      </c>
      <c r="AV131" s="11"/>
      <c r="AW131" s="10" t="s">
        <v>66</v>
      </c>
      <c r="AX131" s="10"/>
      <c r="AY131" s="10" t="s">
        <v>66</v>
      </c>
    </row>
    <row r="132" ht="22.5" hidden="1" customHeight="1">
      <c r="A132" s="9" t="s">
        <v>1564</v>
      </c>
      <c r="B132" s="10" t="s">
        <v>1565</v>
      </c>
      <c r="C132" s="10" t="s">
        <v>43</v>
      </c>
      <c r="D132" s="10" t="s">
        <v>734</v>
      </c>
      <c r="E132" s="10" t="s">
        <v>66</v>
      </c>
      <c r="F132" s="11">
        <v>1.0</v>
      </c>
      <c r="G132" s="11">
        <v>79.0</v>
      </c>
      <c r="H132" s="11"/>
      <c r="I132" s="11">
        <v>-13.43</v>
      </c>
      <c r="J132" s="11">
        <v>-20.45</v>
      </c>
      <c r="K132" s="11"/>
      <c r="L132" s="11">
        <v>45.12</v>
      </c>
      <c r="M132" s="10" t="s">
        <v>46</v>
      </c>
      <c r="N132" s="10" t="s">
        <v>45</v>
      </c>
      <c r="O132" s="10" t="s">
        <v>160</v>
      </c>
      <c r="P132" s="10" t="s">
        <v>161</v>
      </c>
      <c r="Q132" s="10" t="s">
        <v>162</v>
      </c>
      <c r="R132" s="10" t="s">
        <v>74</v>
      </c>
      <c r="S132" s="11">
        <v>79.0</v>
      </c>
      <c r="T132" s="11">
        <v>2.49</v>
      </c>
      <c r="U132" s="11" t="s">
        <v>51</v>
      </c>
      <c r="V132" s="10" t="s">
        <v>52</v>
      </c>
      <c r="W132" s="10" t="s">
        <v>1566</v>
      </c>
      <c r="X132" s="10" t="s">
        <v>1567</v>
      </c>
      <c r="Y132" s="10" t="s">
        <v>1568</v>
      </c>
      <c r="Z132" s="10" t="s">
        <v>50</v>
      </c>
      <c r="AA132" s="10" t="s">
        <v>50</v>
      </c>
      <c r="AB132" s="10" t="s">
        <v>1566</v>
      </c>
      <c r="AC132" s="10" t="s">
        <v>1569</v>
      </c>
      <c r="AD132" s="10" t="s">
        <v>1570</v>
      </c>
      <c r="AE132" s="10" t="s">
        <v>845</v>
      </c>
      <c r="AF132" s="10" t="s">
        <v>119</v>
      </c>
      <c r="AG132" s="10" t="s">
        <v>1571</v>
      </c>
      <c r="AH132" s="10" t="s">
        <v>60</v>
      </c>
      <c r="AI132" s="10" t="s">
        <v>61</v>
      </c>
      <c r="AJ132" s="10" t="s">
        <v>847</v>
      </c>
      <c r="AK132" s="10" t="s">
        <v>1572</v>
      </c>
      <c r="AL132" s="10" t="s">
        <v>64</v>
      </c>
      <c r="AM132" s="10" t="s">
        <v>1573</v>
      </c>
      <c r="AN132" s="10" t="s">
        <v>50</v>
      </c>
      <c r="AO132" s="11" t="s">
        <v>50</v>
      </c>
      <c r="AP132" s="10" t="s">
        <v>50</v>
      </c>
      <c r="AQ132" s="10" t="s">
        <v>50</v>
      </c>
      <c r="AR132" s="10" t="s">
        <v>50</v>
      </c>
      <c r="AS132" s="10" t="s">
        <v>50</v>
      </c>
      <c r="AT132" s="10" t="s">
        <v>50</v>
      </c>
      <c r="AU132" s="10" t="s">
        <v>50</v>
      </c>
      <c r="AV132" s="11"/>
      <c r="AW132" s="10" t="s">
        <v>66</v>
      </c>
      <c r="AX132" s="10"/>
      <c r="AY132" s="10" t="s">
        <v>66</v>
      </c>
    </row>
    <row r="133" ht="22.5" hidden="1" customHeight="1">
      <c r="A133" s="9" t="s">
        <v>1574</v>
      </c>
      <c r="B133" s="10" t="s">
        <v>1575</v>
      </c>
      <c r="C133" s="10" t="s">
        <v>43</v>
      </c>
      <c r="D133" s="10" t="s">
        <v>125</v>
      </c>
      <c r="E133" s="10" t="s">
        <v>66</v>
      </c>
      <c r="F133" s="11">
        <v>1.0</v>
      </c>
      <c r="G133" s="11">
        <v>120.0</v>
      </c>
      <c r="H133" s="11"/>
      <c r="I133" s="11">
        <v>-20.4</v>
      </c>
      <c r="J133" s="11">
        <v>-19.95</v>
      </c>
      <c r="K133" s="11"/>
      <c r="L133" s="11">
        <v>86.85</v>
      </c>
      <c r="M133" s="10" t="s">
        <v>46</v>
      </c>
      <c r="N133" s="10" t="s">
        <v>50</v>
      </c>
      <c r="O133" s="10" t="s">
        <v>85</v>
      </c>
      <c r="P133" s="10" t="s">
        <v>86</v>
      </c>
      <c r="Q133" s="10" t="s">
        <v>87</v>
      </c>
      <c r="R133" s="10" t="s">
        <v>74</v>
      </c>
      <c r="S133" s="11">
        <v>120.0</v>
      </c>
      <c r="T133" s="11">
        <v>65.78</v>
      </c>
      <c r="U133" s="11" t="s">
        <v>51</v>
      </c>
      <c r="V133" s="10" t="s">
        <v>52</v>
      </c>
      <c r="W133" s="10" t="s">
        <v>1576</v>
      </c>
      <c r="X133" s="10" t="s">
        <v>1577</v>
      </c>
      <c r="Y133" s="10" t="s">
        <v>1578</v>
      </c>
      <c r="Z133" s="10" t="s">
        <v>50</v>
      </c>
      <c r="AA133" s="10" t="s">
        <v>50</v>
      </c>
      <c r="AB133" s="10" t="s">
        <v>1576</v>
      </c>
      <c r="AC133" s="10" t="s">
        <v>1579</v>
      </c>
      <c r="AD133" s="10" t="s">
        <v>1580</v>
      </c>
      <c r="AE133" s="10" t="s">
        <v>1581</v>
      </c>
      <c r="AF133" s="10" t="s">
        <v>214</v>
      </c>
      <c r="AG133" s="10" t="s">
        <v>1582</v>
      </c>
      <c r="AH133" s="10" t="s">
        <v>60</v>
      </c>
      <c r="AI133" s="10" t="s">
        <v>61</v>
      </c>
      <c r="AJ133" s="10" t="s">
        <v>847</v>
      </c>
      <c r="AK133" s="10" t="s">
        <v>1583</v>
      </c>
      <c r="AL133" s="10" t="s">
        <v>64</v>
      </c>
      <c r="AM133" s="10" t="s">
        <v>1584</v>
      </c>
      <c r="AN133" s="10" t="s">
        <v>50</v>
      </c>
      <c r="AO133" s="11" t="s">
        <v>50</v>
      </c>
      <c r="AP133" s="10" t="s">
        <v>50</v>
      </c>
      <c r="AQ133" s="10" t="s">
        <v>50</v>
      </c>
      <c r="AR133" s="10" t="s">
        <v>50</v>
      </c>
      <c r="AS133" s="10" t="s">
        <v>50</v>
      </c>
      <c r="AT133" s="10" t="s">
        <v>50</v>
      </c>
      <c r="AU133" s="10" t="s">
        <v>50</v>
      </c>
      <c r="AV133" s="11"/>
      <c r="AW133" s="10" t="s">
        <v>66</v>
      </c>
      <c r="AX133" s="10"/>
      <c r="AY133" s="10" t="s">
        <v>66</v>
      </c>
    </row>
    <row r="134" ht="22.5" hidden="1" customHeight="1">
      <c r="A134" s="9" t="s">
        <v>1585</v>
      </c>
      <c r="B134" s="10" t="s">
        <v>1586</v>
      </c>
      <c r="C134" s="10" t="s">
        <v>43</v>
      </c>
      <c r="D134" s="10" t="s">
        <v>125</v>
      </c>
      <c r="E134" s="10" t="s">
        <v>66</v>
      </c>
      <c r="F134" s="11">
        <v>1.0</v>
      </c>
      <c r="G134" s="11">
        <v>80.5</v>
      </c>
      <c r="H134" s="11"/>
      <c r="I134" s="11">
        <v>-15.3</v>
      </c>
      <c r="J134" s="11">
        <v>-19.95</v>
      </c>
      <c r="K134" s="11"/>
      <c r="L134" s="11">
        <v>45.25</v>
      </c>
      <c r="M134" s="10" t="s">
        <v>46</v>
      </c>
      <c r="N134" s="10" t="s">
        <v>45</v>
      </c>
      <c r="O134" s="10" t="s">
        <v>47</v>
      </c>
      <c r="P134" s="10" t="s">
        <v>48</v>
      </c>
      <c r="Q134" s="10" t="s">
        <v>49</v>
      </c>
      <c r="R134" s="10" t="s">
        <v>50</v>
      </c>
      <c r="S134" s="11">
        <v>80.5</v>
      </c>
      <c r="T134" s="11">
        <v>12.45</v>
      </c>
      <c r="U134" s="11" t="s">
        <v>51</v>
      </c>
      <c r="V134" s="10" t="s">
        <v>52</v>
      </c>
      <c r="W134" s="10" t="s">
        <v>1587</v>
      </c>
      <c r="X134" s="10" t="s">
        <v>1588</v>
      </c>
      <c r="Y134" s="10" t="s">
        <v>1589</v>
      </c>
      <c r="Z134" s="10" t="s">
        <v>50</v>
      </c>
      <c r="AA134" s="10" t="s">
        <v>50</v>
      </c>
      <c r="AB134" s="10" t="s">
        <v>1587</v>
      </c>
      <c r="AC134" s="10" t="s">
        <v>1590</v>
      </c>
      <c r="AD134" s="10" t="s">
        <v>1591</v>
      </c>
      <c r="AE134" s="10" t="s">
        <v>1592</v>
      </c>
      <c r="AF134" s="10" t="s">
        <v>1593</v>
      </c>
      <c r="AG134" s="10" t="s">
        <v>1594</v>
      </c>
      <c r="AH134" s="10" t="s">
        <v>60</v>
      </c>
      <c r="AI134" s="10" t="s">
        <v>61</v>
      </c>
      <c r="AJ134" s="10" t="s">
        <v>1595</v>
      </c>
      <c r="AK134" s="10" t="s">
        <v>1596</v>
      </c>
      <c r="AL134" s="10" t="s">
        <v>64</v>
      </c>
      <c r="AM134" s="10" t="s">
        <v>1597</v>
      </c>
      <c r="AN134" s="10" t="s">
        <v>50</v>
      </c>
      <c r="AO134" s="11" t="s">
        <v>50</v>
      </c>
      <c r="AP134" s="10" t="s">
        <v>50</v>
      </c>
      <c r="AQ134" s="10" t="s">
        <v>50</v>
      </c>
      <c r="AR134" s="10" t="s">
        <v>50</v>
      </c>
      <c r="AS134" s="10" t="s">
        <v>50</v>
      </c>
      <c r="AT134" s="10" t="s">
        <v>50</v>
      </c>
      <c r="AU134" s="10" t="s">
        <v>50</v>
      </c>
      <c r="AV134" s="11"/>
      <c r="AW134" s="10" t="s">
        <v>66</v>
      </c>
      <c r="AX134" s="10"/>
      <c r="AY134" s="10" t="s">
        <v>66</v>
      </c>
    </row>
    <row r="135" ht="22.5" hidden="1" customHeight="1">
      <c r="A135" s="9" t="s">
        <v>1598</v>
      </c>
      <c r="B135" s="10" t="s">
        <v>1599</v>
      </c>
      <c r="C135" s="10" t="s">
        <v>43</v>
      </c>
      <c r="D135" s="10" t="s">
        <v>734</v>
      </c>
      <c r="E135" s="10" t="s">
        <v>45</v>
      </c>
      <c r="F135" s="11">
        <v>2.0</v>
      </c>
      <c r="G135" s="11">
        <v>87.4</v>
      </c>
      <c r="H135" s="11"/>
      <c r="I135" s="11">
        <v>-26.86</v>
      </c>
      <c r="J135" s="11"/>
      <c r="K135" s="11"/>
      <c r="L135" s="11">
        <v>65.78</v>
      </c>
      <c r="M135" s="10" t="s">
        <v>46</v>
      </c>
      <c r="N135" s="10" t="s">
        <v>50</v>
      </c>
      <c r="O135" s="10" t="s">
        <v>176</v>
      </c>
      <c r="P135" s="10" t="s">
        <v>177</v>
      </c>
      <c r="Q135" s="10" t="s">
        <v>178</v>
      </c>
      <c r="R135" s="10" t="s">
        <v>74</v>
      </c>
      <c r="S135" s="11">
        <v>43.7</v>
      </c>
      <c r="T135" s="11">
        <f>2*22.58</f>
        <v>45.16</v>
      </c>
      <c r="U135" s="11" t="s">
        <v>51</v>
      </c>
      <c r="V135" s="10" t="s">
        <v>52</v>
      </c>
      <c r="W135" s="10" t="s">
        <v>1600</v>
      </c>
      <c r="X135" s="10" t="s">
        <v>1601</v>
      </c>
      <c r="Y135" s="10" t="s">
        <v>1602</v>
      </c>
      <c r="Z135" s="10" t="s">
        <v>50</v>
      </c>
      <c r="AA135" s="10" t="s">
        <v>50</v>
      </c>
      <c r="AB135" s="10" t="s">
        <v>1600</v>
      </c>
      <c r="AC135" s="10" t="s">
        <v>1603</v>
      </c>
      <c r="AD135" s="10" t="s">
        <v>1604</v>
      </c>
      <c r="AE135" s="10" t="s">
        <v>1605</v>
      </c>
      <c r="AF135" s="10" t="s">
        <v>185</v>
      </c>
      <c r="AG135" s="10" t="s">
        <v>1606</v>
      </c>
      <c r="AH135" s="10" t="s">
        <v>60</v>
      </c>
      <c r="AI135" s="10" t="s">
        <v>61</v>
      </c>
      <c r="AJ135" s="10" t="s">
        <v>1607</v>
      </c>
      <c r="AK135" s="10" t="s">
        <v>1608</v>
      </c>
      <c r="AL135" s="10" t="s">
        <v>64</v>
      </c>
      <c r="AM135" s="10" t="s">
        <v>1609</v>
      </c>
      <c r="AN135" s="10" t="s">
        <v>50</v>
      </c>
      <c r="AO135" s="11" t="s">
        <v>50</v>
      </c>
      <c r="AP135" s="10" t="s">
        <v>50</v>
      </c>
      <c r="AQ135" s="10" t="s">
        <v>50</v>
      </c>
      <c r="AR135" s="10" t="s">
        <v>50</v>
      </c>
      <c r="AS135" s="10" t="s">
        <v>50</v>
      </c>
      <c r="AT135" s="10" t="s">
        <v>50</v>
      </c>
      <c r="AU135" s="10" t="s">
        <v>50</v>
      </c>
      <c r="AV135" s="11"/>
      <c r="AW135" s="10" t="s">
        <v>66</v>
      </c>
      <c r="AX135" s="10"/>
      <c r="AY135" s="10" t="s">
        <v>66</v>
      </c>
    </row>
    <row r="136" ht="22.5" hidden="1" customHeight="1">
      <c r="A136" s="9" t="s">
        <v>1610</v>
      </c>
      <c r="B136" s="10" t="s">
        <v>1611</v>
      </c>
      <c r="C136" s="10" t="s">
        <v>43</v>
      </c>
      <c r="D136" s="10" t="s">
        <v>1398</v>
      </c>
      <c r="E136" s="10" t="s">
        <v>66</v>
      </c>
      <c r="F136" s="11">
        <v>1.0</v>
      </c>
      <c r="G136" s="11">
        <v>43.7</v>
      </c>
      <c r="H136" s="11">
        <v>17.0</v>
      </c>
      <c r="I136" s="11">
        <v>-13.43</v>
      </c>
      <c r="J136" s="11">
        <v>-17.0</v>
      </c>
      <c r="K136" s="11"/>
      <c r="L136" s="11">
        <v>32.89</v>
      </c>
      <c r="M136" s="10" t="s">
        <v>46</v>
      </c>
      <c r="N136" s="10" t="s">
        <v>45</v>
      </c>
      <c r="O136" s="10" t="s">
        <v>176</v>
      </c>
      <c r="P136" s="10" t="s">
        <v>177</v>
      </c>
      <c r="Q136" s="10" t="s">
        <v>178</v>
      </c>
      <c r="R136" s="10" t="s">
        <v>74</v>
      </c>
      <c r="S136" s="11">
        <v>43.7</v>
      </c>
      <c r="T136" s="11">
        <v>22.58</v>
      </c>
      <c r="U136" s="11" t="s">
        <v>51</v>
      </c>
      <c r="V136" s="10" t="s">
        <v>52</v>
      </c>
      <c r="W136" s="10" t="s">
        <v>1612</v>
      </c>
      <c r="X136" s="10" t="s">
        <v>1613</v>
      </c>
      <c r="Y136" s="10" t="s">
        <v>1614</v>
      </c>
      <c r="Z136" s="10" t="s">
        <v>50</v>
      </c>
      <c r="AA136" s="10" t="s">
        <v>50</v>
      </c>
      <c r="AB136" s="10" t="s">
        <v>1612</v>
      </c>
      <c r="AC136" s="10" t="s">
        <v>1615</v>
      </c>
      <c r="AD136" s="10" t="s">
        <v>1616</v>
      </c>
      <c r="AE136" s="10" t="s">
        <v>1617</v>
      </c>
      <c r="AF136" s="10" t="s">
        <v>58</v>
      </c>
      <c r="AG136" s="10" t="s">
        <v>1618</v>
      </c>
      <c r="AH136" s="10" t="s">
        <v>60</v>
      </c>
      <c r="AI136" s="10" t="s">
        <v>61</v>
      </c>
      <c r="AJ136" s="10" t="s">
        <v>1619</v>
      </c>
      <c r="AK136" s="10" t="s">
        <v>1620</v>
      </c>
      <c r="AL136" s="10" t="s">
        <v>64</v>
      </c>
      <c r="AM136" s="10" t="s">
        <v>1621</v>
      </c>
      <c r="AN136" s="10" t="s">
        <v>50</v>
      </c>
      <c r="AO136" s="11" t="s">
        <v>50</v>
      </c>
      <c r="AP136" s="10" t="s">
        <v>50</v>
      </c>
      <c r="AQ136" s="10" t="s">
        <v>50</v>
      </c>
      <c r="AR136" s="10" t="s">
        <v>50</v>
      </c>
      <c r="AS136" s="10" t="s">
        <v>50</v>
      </c>
      <c r="AT136" s="10" t="s">
        <v>50</v>
      </c>
      <c r="AU136" s="10" t="s">
        <v>50</v>
      </c>
      <c r="AV136" s="11"/>
      <c r="AW136" s="10" t="s">
        <v>66</v>
      </c>
      <c r="AX136" s="10"/>
      <c r="AY136" s="10" t="s">
        <v>66</v>
      </c>
    </row>
    <row r="137" ht="22.5" hidden="1" customHeight="1">
      <c r="A137" s="9" t="s">
        <v>1622</v>
      </c>
      <c r="B137" s="10" t="s">
        <v>1623</v>
      </c>
      <c r="C137" s="10" t="s">
        <v>43</v>
      </c>
      <c r="D137" s="10" t="s">
        <v>759</v>
      </c>
      <c r="E137" s="10" t="s">
        <v>66</v>
      </c>
      <c r="F137" s="11">
        <v>1.0</v>
      </c>
      <c r="G137" s="11">
        <v>79.2</v>
      </c>
      <c r="H137" s="11"/>
      <c r="I137" s="11">
        <v>-13.46</v>
      </c>
      <c r="J137" s="11">
        <v>-20.45</v>
      </c>
      <c r="K137" s="11"/>
      <c r="L137" s="11">
        <v>50.04</v>
      </c>
      <c r="M137" s="10" t="s">
        <v>46</v>
      </c>
      <c r="N137" s="10" t="s">
        <v>45</v>
      </c>
      <c r="O137" s="10" t="s">
        <v>892</v>
      </c>
      <c r="P137" s="10" t="s">
        <v>893</v>
      </c>
      <c r="Q137" s="10" t="s">
        <v>894</v>
      </c>
      <c r="R137" s="10" t="s">
        <v>74</v>
      </c>
      <c r="S137" s="11">
        <v>79.2</v>
      </c>
      <c r="T137" s="11">
        <v>2.97</v>
      </c>
      <c r="U137" s="11" t="s">
        <v>51</v>
      </c>
      <c r="V137" s="10" t="s">
        <v>52</v>
      </c>
      <c r="W137" s="10" t="s">
        <v>1624</v>
      </c>
      <c r="X137" s="10" t="s">
        <v>1625</v>
      </c>
      <c r="Y137" s="10" t="s">
        <v>1626</v>
      </c>
      <c r="Z137" s="10" t="s">
        <v>50</v>
      </c>
      <c r="AA137" s="10" t="s">
        <v>50</v>
      </c>
      <c r="AB137" s="10" t="s">
        <v>1624</v>
      </c>
      <c r="AC137" s="10" t="s">
        <v>1627</v>
      </c>
      <c r="AD137" s="10" t="s">
        <v>1628</v>
      </c>
      <c r="AE137" s="10" t="s">
        <v>1629</v>
      </c>
      <c r="AF137" s="10" t="s">
        <v>58</v>
      </c>
      <c r="AG137" s="10" t="s">
        <v>1630</v>
      </c>
      <c r="AH137" s="10" t="s">
        <v>60</v>
      </c>
      <c r="AI137" s="10" t="s">
        <v>61</v>
      </c>
      <c r="AJ137" s="10" t="s">
        <v>873</v>
      </c>
      <c r="AK137" s="10" t="s">
        <v>1631</v>
      </c>
      <c r="AL137" s="10" t="s">
        <v>64</v>
      </c>
      <c r="AM137" s="10" t="s">
        <v>1632</v>
      </c>
      <c r="AN137" s="10" t="s">
        <v>50</v>
      </c>
      <c r="AO137" s="11" t="s">
        <v>50</v>
      </c>
      <c r="AP137" s="10" t="s">
        <v>50</v>
      </c>
      <c r="AQ137" s="10" t="s">
        <v>50</v>
      </c>
      <c r="AR137" s="10" t="s">
        <v>50</v>
      </c>
      <c r="AS137" s="10" t="s">
        <v>50</v>
      </c>
      <c r="AT137" s="10" t="s">
        <v>50</v>
      </c>
      <c r="AU137" s="10" t="s">
        <v>50</v>
      </c>
      <c r="AV137" s="11"/>
      <c r="AW137" s="10" t="s">
        <v>66</v>
      </c>
      <c r="AX137" s="10"/>
      <c r="AY137" s="10" t="s">
        <v>66</v>
      </c>
    </row>
    <row r="138" ht="22.5" hidden="1" customHeight="1">
      <c r="A138" s="9" t="s">
        <v>1633</v>
      </c>
      <c r="B138" s="10" t="s">
        <v>1623</v>
      </c>
      <c r="C138" s="10" t="s">
        <v>43</v>
      </c>
      <c r="D138" s="10" t="s">
        <v>759</v>
      </c>
      <c r="E138" s="10" t="s">
        <v>66</v>
      </c>
      <c r="F138" s="11">
        <v>1.0</v>
      </c>
      <c r="G138" s="11">
        <v>80.0</v>
      </c>
      <c r="H138" s="11"/>
      <c r="I138" s="11">
        <v>-13.6</v>
      </c>
      <c r="J138" s="11">
        <v>-19.95</v>
      </c>
      <c r="K138" s="11"/>
      <c r="L138" s="11">
        <v>50.45</v>
      </c>
      <c r="M138" s="10" t="s">
        <v>46</v>
      </c>
      <c r="N138" s="10" t="s">
        <v>45</v>
      </c>
      <c r="O138" s="10" t="s">
        <v>143</v>
      </c>
      <c r="P138" s="10" t="s">
        <v>144</v>
      </c>
      <c r="Q138" s="10" t="s">
        <v>145</v>
      </c>
      <c r="R138" s="10" t="s">
        <v>74</v>
      </c>
      <c r="S138" s="11">
        <v>80.0</v>
      </c>
      <c r="T138" s="11">
        <v>33.38</v>
      </c>
      <c r="U138" s="11" t="s">
        <v>51</v>
      </c>
      <c r="V138" s="10" t="s">
        <v>52</v>
      </c>
      <c r="W138" s="10" t="s">
        <v>1634</v>
      </c>
      <c r="X138" s="10" t="s">
        <v>1635</v>
      </c>
      <c r="Y138" s="10" t="s">
        <v>1636</v>
      </c>
      <c r="Z138" s="10" t="s">
        <v>50</v>
      </c>
      <c r="AA138" s="10" t="s">
        <v>50</v>
      </c>
      <c r="AB138" s="10" t="s">
        <v>1634</v>
      </c>
      <c r="AC138" s="10" t="s">
        <v>1637</v>
      </c>
      <c r="AD138" s="10" t="s">
        <v>1638</v>
      </c>
      <c r="AE138" s="10" t="s">
        <v>1639</v>
      </c>
      <c r="AF138" s="10" t="s">
        <v>929</v>
      </c>
      <c r="AG138" s="10" t="s">
        <v>1640</v>
      </c>
      <c r="AH138" s="10" t="s">
        <v>60</v>
      </c>
      <c r="AI138" s="10" t="s">
        <v>61</v>
      </c>
      <c r="AJ138" s="10" t="s">
        <v>1641</v>
      </c>
      <c r="AK138" s="10" t="s">
        <v>1642</v>
      </c>
      <c r="AL138" s="10" t="s">
        <v>64</v>
      </c>
      <c r="AM138" s="10" t="s">
        <v>1643</v>
      </c>
      <c r="AN138" s="10" t="s">
        <v>50</v>
      </c>
      <c r="AO138" s="11" t="s">
        <v>50</v>
      </c>
      <c r="AP138" s="10" t="s">
        <v>50</v>
      </c>
      <c r="AQ138" s="10" t="s">
        <v>50</v>
      </c>
      <c r="AR138" s="10" t="s">
        <v>50</v>
      </c>
      <c r="AS138" s="10" t="s">
        <v>50</v>
      </c>
      <c r="AT138" s="10" t="s">
        <v>50</v>
      </c>
      <c r="AU138" s="10" t="s">
        <v>50</v>
      </c>
      <c r="AV138" s="11"/>
      <c r="AW138" s="10" t="s">
        <v>66</v>
      </c>
      <c r="AX138" s="10"/>
      <c r="AY138" s="10" t="s">
        <v>66</v>
      </c>
    </row>
    <row r="139" ht="22.5" hidden="1" customHeight="1">
      <c r="A139" s="9" t="s">
        <v>1644</v>
      </c>
      <c r="B139" s="10" t="s">
        <v>1645</v>
      </c>
      <c r="C139" s="10" t="s">
        <v>43</v>
      </c>
      <c r="D139" s="10" t="s">
        <v>191</v>
      </c>
      <c r="E139" s="10" t="s">
        <v>45</v>
      </c>
      <c r="F139" s="11">
        <v>1.0</v>
      </c>
      <c r="G139" s="11">
        <v>80.0</v>
      </c>
      <c r="H139" s="11"/>
      <c r="I139" s="11">
        <v>-13.6</v>
      </c>
      <c r="J139" s="11">
        <v>-19.95</v>
      </c>
      <c r="K139" s="11"/>
      <c r="L139" s="11">
        <v>50.45</v>
      </c>
      <c r="M139" s="10" t="s">
        <v>46</v>
      </c>
      <c r="N139" s="10" t="s">
        <v>45</v>
      </c>
      <c r="O139" s="10" t="s">
        <v>143</v>
      </c>
      <c r="P139" s="10" t="s">
        <v>144</v>
      </c>
      <c r="Q139" s="10" t="s">
        <v>145</v>
      </c>
      <c r="R139" s="10" t="s">
        <v>74</v>
      </c>
      <c r="S139" s="11">
        <v>80.0</v>
      </c>
      <c r="T139" s="11">
        <v>33.38</v>
      </c>
      <c r="U139" s="11" t="s">
        <v>51</v>
      </c>
      <c r="V139" s="10" t="s">
        <v>52</v>
      </c>
      <c r="W139" s="10" t="s">
        <v>1646</v>
      </c>
      <c r="X139" s="10" t="s">
        <v>1647</v>
      </c>
      <c r="Y139" s="10" t="s">
        <v>1648</v>
      </c>
      <c r="Z139" s="10" t="s">
        <v>50</v>
      </c>
      <c r="AA139" s="10" t="s">
        <v>50</v>
      </c>
      <c r="AB139" s="10" t="s">
        <v>1646</v>
      </c>
      <c r="AC139" s="10" t="s">
        <v>1649</v>
      </c>
      <c r="AD139" s="10" t="s">
        <v>1650</v>
      </c>
      <c r="AE139" s="10" t="s">
        <v>774</v>
      </c>
      <c r="AF139" s="10" t="s">
        <v>775</v>
      </c>
      <c r="AG139" s="10" t="s">
        <v>1651</v>
      </c>
      <c r="AH139" s="10" t="s">
        <v>60</v>
      </c>
      <c r="AI139" s="10" t="s">
        <v>61</v>
      </c>
      <c r="AJ139" s="10" t="s">
        <v>1652</v>
      </c>
      <c r="AK139" s="10" t="s">
        <v>1653</v>
      </c>
      <c r="AL139" s="10" t="s">
        <v>64</v>
      </c>
      <c r="AM139" s="10" t="s">
        <v>1654</v>
      </c>
      <c r="AN139" s="10" t="s">
        <v>50</v>
      </c>
      <c r="AO139" s="11" t="s">
        <v>50</v>
      </c>
      <c r="AP139" s="10" t="s">
        <v>50</v>
      </c>
      <c r="AQ139" s="10" t="s">
        <v>50</v>
      </c>
      <c r="AR139" s="10" t="s">
        <v>50</v>
      </c>
      <c r="AS139" s="10" t="s">
        <v>50</v>
      </c>
      <c r="AT139" s="10" t="s">
        <v>50</v>
      </c>
      <c r="AU139" s="10" t="s">
        <v>50</v>
      </c>
      <c r="AV139" s="11"/>
      <c r="AW139" s="10" t="s">
        <v>66</v>
      </c>
      <c r="AX139" s="10"/>
      <c r="AY139" s="10" t="s">
        <v>66</v>
      </c>
    </row>
    <row r="140" ht="22.5" hidden="1" customHeight="1">
      <c r="A140" s="9" t="s">
        <v>1655</v>
      </c>
      <c r="B140" s="10" t="s">
        <v>1656</v>
      </c>
      <c r="C140" s="10" t="s">
        <v>43</v>
      </c>
      <c r="D140" s="10" t="s">
        <v>191</v>
      </c>
      <c r="E140" s="10" t="s">
        <v>66</v>
      </c>
      <c r="F140" s="11">
        <v>1.0</v>
      </c>
      <c r="G140" s="11">
        <v>82.5</v>
      </c>
      <c r="H140" s="11"/>
      <c r="I140" s="11">
        <v>-14.02</v>
      </c>
      <c r="J140" s="11">
        <v>-20.45</v>
      </c>
      <c r="K140" s="11"/>
      <c r="L140" s="11">
        <v>48.03</v>
      </c>
      <c r="M140" s="10" t="s">
        <v>46</v>
      </c>
      <c r="N140" s="10" t="s">
        <v>45</v>
      </c>
      <c r="O140" s="10" t="s">
        <v>412</v>
      </c>
      <c r="P140" s="10" t="s">
        <v>413</v>
      </c>
      <c r="Q140" s="10" t="s">
        <v>414</v>
      </c>
      <c r="R140" s="10" t="s">
        <v>415</v>
      </c>
      <c r="S140" s="11">
        <v>82.5</v>
      </c>
      <c r="T140" s="11">
        <v>10.05</v>
      </c>
      <c r="U140" s="11" t="s">
        <v>51</v>
      </c>
      <c r="V140" s="10" t="s">
        <v>52</v>
      </c>
      <c r="W140" s="10" t="s">
        <v>1657</v>
      </c>
      <c r="X140" s="10" t="s">
        <v>1658</v>
      </c>
      <c r="Y140" s="10" t="s">
        <v>1659</v>
      </c>
      <c r="Z140" s="10" t="s">
        <v>50</v>
      </c>
      <c r="AA140" s="10" t="s">
        <v>50</v>
      </c>
      <c r="AB140" s="10" t="s">
        <v>1657</v>
      </c>
      <c r="AC140" s="10" t="s">
        <v>1660</v>
      </c>
      <c r="AD140" s="10" t="s">
        <v>1661</v>
      </c>
      <c r="AE140" s="10" t="s">
        <v>322</v>
      </c>
      <c r="AF140" s="10" t="s">
        <v>323</v>
      </c>
      <c r="AG140" s="10" t="s">
        <v>1662</v>
      </c>
      <c r="AH140" s="10" t="s">
        <v>60</v>
      </c>
      <c r="AI140" s="10" t="s">
        <v>61</v>
      </c>
      <c r="AJ140" s="10" t="s">
        <v>1663</v>
      </c>
      <c r="AK140" s="10" t="s">
        <v>1664</v>
      </c>
      <c r="AL140" s="10" t="s">
        <v>64</v>
      </c>
      <c r="AM140" s="10" t="s">
        <v>1665</v>
      </c>
      <c r="AN140" s="10" t="s">
        <v>50</v>
      </c>
      <c r="AO140" s="11" t="s">
        <v>50</v>
      </c>
      <c r="AP140" s="10" t="s">
        <v>50</v>
      </c>
      <c r="AQ140" s="10" t="s">
        <v>50</v>
      </c>
      <c r="AR140" s="10" t="s">
        <v>50</v>
      </c>
      <c r="AS140" s="10" t="s">
        <v>50</v>
      </c>
      <c r="AT140" s="10" t="s">
        <v>50</v>
      </c>
      <c r="AU140" s="10" t="s">
        <v>50</v>
      </c>
      <c r="AV140" s="11"/>
      <c r="AW140" s="10" t="s">
        <v>66</v>
      </c>
      <c r="AX140" s="10"/>
      <c r="AY140" s="10" t="s">
        <v>66</v>
      </c>
    </row>
    <row r="141" ht="22.5" hidden="1" customHeight="1">
      <c r="A141" s="9" t="s">
        <v>1666</v>
      </c>
      <c r="B141" s="10" t="s">
        <v>1667</v>
      </c>
      <c r="C141" s="10" t="s">
        <v>43</v>
      </c>
      <c r="D141" s="10" t="s">
        <v>734</v>
      </c>
      <c r="E141" s="10" t="s">
        <v>45</v>
      </c>
      <c r="F141" s="11">
        <v>1.0</v>
      </c>
      <c r="G141" s="11">
        <v>90.0</v>
      </c>
      <c r="H141" s="11"/>
      <c r="I141" s="11">
        <v>-15.3</v>
      </c>
      <c r="J141" s="11">
        <v>-19.95</v>
      </c>
      <c r="K141" s="11"/>
      <c r="L141" s="11">
        <v>57.01</v>
      </c>
      <c r="M141" s="10" t="s">
        <v>46</v>
      </c>
      <c r="N141" s="10" t="s">
        <v>50</v>
      </c>
      <c r="O141" s="10" t="s">
        <v>1668</v>
      </c>
      <c r="P141" s="10" t="s">
        <v>1669</v>
      </c>
      <c r="Q141" s="10" t="s">
        <v>1670</v>
      </c>
      <c r="R141" s="10" t="s">
        <v>74</v>
      </c>
      <c r="S141" s="11">
        <v>90.0</v>
      </c>
      <c r="T141" s="11">
        <v>3.12</v>
      </c>
      <c r="U141" s="11" t="s">
        <v>51</v>
      </c>
      <c r="V141" s="10" t="s">
        <v>52</v>
      </c>
      <c r="W141" s="10" t="s">
        <v>1671</v>
      </c>
      <c r="X141" s="10" t="s">
        <v>1672</v>
      </c>
      <c r="Y141" s="10" t="s">
        <v>1673</v>
      </c>
      <c r="Z141" s="10" t="s">
        <v>50</v>
      </c>
      <c r="AA141" s="10" t="s">
        <v>50</v>
      </c>
      <c r="AB141" s="10" t="s">
        <v>1671</v>
      </c>
      <c r="AC141" s="10" t="s">
        <v>1674</v>
      </c>
      <c r="AD141" s="10" t="s">
        <v>1675</v>
      </c>
      <c r="AE141" s="10" t="s">
        <v>1676</v>
      </c>
      <c r="AF141" s="10" t="s">
        <v>58</v>
      </c>
      <c r="AG141" s="10" t="s">
        <v>1677</v>
      </c>
      <c r="AH141" s="10" t="s">
        <v>60</v>
      </c>
      <c r="AI141" s="10" t="s">
        <v>61</v>
      </c>
      <c r="AJ141" s="10" t="s">
        <v>755</v>
      </c>
      <c r="AK141" s="10" t="s">
        <v>1678</v>
      </c>
      <c r="AL141" s="10" t="s">
        <v>64</v>
      </c>
      <c r="AM141" s="10" t="s">
        <v>1679</v>
      </c>
      <c r="AN141" s="10" t="s">
        <v>50</v>
      </c>
      <c r="AO141" s="11" t="s">
        <v>50</v>
      </c>
      <c r="AP141" s="10" t="s">
        <v>50</v>
      </c>
      <c r="AQ141" s="10" t="s">
        <v>50</v>
      </c>
      <c r="AR141" s="10" t="s">
        <v>50</v>
      </c>
      <c r="AS141" s="10" t="s">
        <v>50</v>
      </c>
      <c r="AT141" s="10" t="s">
        <v>50</v>
      </c>
      <c r="AU141" s="10" t="s">
        <v>50</v>
      </c>
      <c r="AV141" s="11"/>
      <c r="AW141" s="10" t="s">
        <v>66</v>
      </c>
      <c r="AX141" s="10"/>
      <c r="AY141" s="10" t="s">
        <v>66</v>
      </c>
    </row>
    <row r="142" ht="22.5" hidden="1" customHeight="1">
      <c r="A142" s="9" t="s">
        <v>1680</v>
      </c>
      <c r="B142" s="10" t="s">
        <v>1681</v>
      </c>
      <c r="C142" s="10" t="s">
        <v>43</v>
      </c>
      <c r="D142" s="10" t="s">
        <v>759</v>
      </c>
      <c r="E142" s="10" t="s">
        <v>66</v>
      </c>
      <c r="F142" s="11">
        <v>1.0</v>
      </c>
      <c r="G142" s="11">
        <v>79.2</v>
      </c>
      <c r="H142" s="11"/>
      <c r="I142" s="11">
        <v>-15.05</v>
      </c>
      <c r="J142" s="11">
        <v>-19.95</v>
      </c>
      <c r="K142" s="11"/>
      <c r="L142" s="11">
        <v>44.2</v>
      </c>
      <c r="M142" s="10" t="s">
        <v>46</v>
      </c>
      <c r="N142" s="10" t="s">
        <v>50</v>
      </c>
      <c r="O142" s="10" t="s">
        <v>586</v>
      </c>
      <c r="P142" s="10" t="s">
        <v>1467</v>
      </c>
      <c r="Q142" s="10" t="s">
        <v>1468</v>
      </c>
      <c r="R142" s="10" t="s">
        <v>50</v>
      </c>
      <c r="S142" s="11">
        <v>79.2</v>
      </c>
      <c r="T142" s="11">
        <v>9.89</v>
      </c>
      <c r="U142" s="11" t="s">
        <v>51</v>
      </c>
      <c r="V142" s="10" t="s">
        <v>52</v>
      </c>
      <c r="W142" s="10" t="s">
        <v>1682</v>
      </c>
      <c r="X142" s="10" t="s">
        <v>1683</v>
      </c>
      <c r="Y142" s="10" t="s">
        <v>1684</v>
      </c>
      <c r="Z142" s="10" t="s">
        <v>50</v>
      </c>
      <c r="AA142" s="10" t="s">
        <v>50</v>
      </c>
      <c r="AB142" s="10" t="s">
        <v>1682</v>
      </c>
      <c r="AC142" s="10" t="s">
        <v>1685</v>
      </c>
      <c r="AD142" s="10" t="s">
        <v>1686</v>
      </c>
      <c r="AE142" s="10" t="s">
        <v>58</v>
      </c>
      <c r="AF142" s="10" t="s">
        <v>58</v>
      </c>
      <c r="AG142" s="10" t="s">
        <v>1687</v>
      </c>
      <c r="AH142" s="10" t="s">
        <v>60</v>
      </c>
      <c r="AI142" s="10" t="s">
        <v>61</v>
      </c>
      <c r="AJ142" s="10" t="s">
        <v>873</v>
      </c>
      <c r="AK142" s="10" t="s">
        <v>1688</v>
      </c>
      <c r="AL142" s="10" t="s">
        <v>64</v>
      </c>
      <c r="AM142" s="10" t="s">
        <v>1689</v>
      </c>
      <c r="AN142" s="10" t="s">
        <v>50</v>
      </c>
      <c r="AO142" s="11" t="s">
        <v>50</v>
      </c>
      <c r="AP142" s="10" t="s">
        <v>50</v>
      </c>
      <c r="AQ142" s="10" t="s">
        <v>50</v>
      </c>
      <c r="AR142" s="10" t="s">
        <v>50</v>
      </c>
      <c r="AS142" s="10" t="s">
        <v>50</v>
      </c>
      <c r="AT142" s="10" t="s">
        <v>50</v>
      </c>
      <c r="AU142" s="10" t="s">
        <v>50</v>
      </c>
      <c r="AV142" s="11"/>
      <c r="AW142" s="10" t="s">
        <v>66</v>
      </c>
      <c r="AX142" s="10"/>
      <c r="AY142" s="10" t="s">
        <v>66</v>
      </c>
    </row>
    <row r="143" ht="22.5" hidden="1" customHeight="1">
      <c r="A143" s="9" t="s">
        <v>1690</v>
      </c>
      <c r="B143" s="10" t="s">
        <v>1691</v>
      </c>
      <c r="C143" s="10" t="s">
        <v>43</v>
      </c>
      <c r="D143" s="10" t="s">
        <v>191</v>
      </c>
      <c r="E143" s="10" t="s">
        <v>66</v>
      </c>
      <c r="F143" s="11">
        <v>1.0</v>
      </c>
      <c r="G143" s="11">
        <v>120.0</v>
      </c>
      <c r="H143" s="11"/>
      <c r="I143" s="11">
        <v>-20.4</v>
      </c>
      <c r="J143" s="11">
        <v>-19.95</v>
      </c>
      <c r="K143" s="11"/>
      <c r="L143" s="11">
        <v>86.85</v>
      </c>
      <c r="M143" s="10" t="s">
        <v>46</v>
      </c>
      <c r="N143" s="10" t="s">
        <v>45</v>
      </c>
      <c r="O143" s="10" t="s">
        <v>85</v>
      </c>
      <c r="P143" s="10" t="s">
        <v>86</v>
      </c>
      <c r="Q143" s="10" t="s">
        <v>87</v>
      </c>
      <c r="R143" s="10" t="s">
        <v>74</v>
      </c>
      <c r="S143" s="11">
        <v>120.0</v>
      </c>
      <c r="T143" s="11">
        <v>65.78</v>
      </c>
      <c r="U143" s="11" t="s">
        <v>51</v>
      </c>
      <c r="V143" s="10" t="s">
        <v>52</v>
      </c>
      <c r="W143" s="10" t="s">
        <v>1692</v>
      </c>
      <c r="X143" s="10" t="s">
        <v>1693</v>
      </c>
      <c r="Y143" s="10" t="s">
        <v>1694</v>
      </c>
      <c r="Z143" s="10" t="s">
        <v>50</v>
      </c>
      <c r="AA143" s="10" t="s">
        <v>50</v>
      </c>
      <c r="AB143" s="10" t="s">
        <v>1692</v>
      </c>
      <c r="AC143" s="10" t="s">
        <v>1695</v>
      </c>
      <c r="AD143" s="10" t="s">
        <v>1696</v>
      </c>
      <c r="AE143" s="10" t="s">
        <v>1697</v>
      </c>
      <c r="AF143" s="10" t="s">
        <v>323</v>
      </c>
      <c r="AG143" s="10" t="s">
        <v>1698</v>
      </c>
      <c r="AH143" s="10" t="s">
        <v>60</v>
      </c>
      <c r="AI143" s="10" t="s">
        <v>61</v>
      </c>
      <c r="AJ143" s="10" t="s">
        <v>1699</v>
      </c>
      <c r="AK143" s="10" t="s">
        <v>1700</v>
      </c>
      <c r="AL143" s="10" t="s">
        <v>64</v>
      </c>
      <c r="AM143" s="10" t="s">
        <v>1701</v>
      </c>
      <c r="AN143" s="10" t="s">
        <v>50</v>
      </c>
      <c r="AO143" s="11" t="s">
        <v>50</v>
      </c>
      <c r="AP143" s="10" t="s">
        <v>50</v>
      </c>
      <c r="AQ143" s="10" t="s">
        <v>50</v>
      </c>
      <c r="AR143" s="10" t="s">
        <v>50</v>
      </c>
      <c r="AS143" s="10" t="s">
        <v>50</v>
      </c>
      <c r="AT143" s="10" t="s">
        <v>50</v>
      </c>
      <c r="AU143" s="10" t="s">
        <v>50</v>
      </c>
      <c r="AV143" s="11"/>
      <c r="AW143" s="10" t="s">
        <v>66</v>
      </c>
      <c r="AX143" s="10"/>
      <c r="AY143" s="10" t="s">
        <v>66</v>
      </c>
    </row>
    <row r="144" ht="22.5" hidden="1" customHeight="1">
      <c r="A144" s="9" t="s">
        <v>1702</v>
      </c>
      <c r="B144" s="10" t="s">
        <v>1703</v>
      </c>
      <c r="C144" s="10" t="s">
        <v>43</v>
      </c>
      <c r="D144" s="10" t="s">
        <v>759</v>
      </c>
      <c r="E144" s="10" t="s">
        <v>66</v>
      </c>
      <c r="F144" s="11">
        <v>1.0</v>
      </c>
      <c r="G144" s="11">
        <v>80.5</v>
      </c>
      <c r="H144" s="11"/>
      <c r="I144" s="11">
        <v>-15.3</v>
      </c>
      <c r="J144" s="11">
        <v>-19.95</v>
      </c>
      <c r="K144" s="11"/>
      <c r="L144" s="11">
        <v>45.25</v>
      </c>
      <c r="M144" s="10" t="s">
        <v>46</v>
      </c>
      <c r="N144" s="10" t="s">
        <v>45</v>
      </c>
      <c r="O144" s="10" t="s">
        <v>47</v>
      </c>
      <c r="P144" s="10" t="s">
        <v>48</v>
      </c>
      <c r="Q144" s="10" t="s">
        <v>49</v>
      </c>
      <c r="R144" s="10" t="s">
        <v>50</v>
      </c>
      <c r="S144" s="11">
        <v>80.5</v>
      </c>
      <c r="T144" s="11">
        <v>12.45</v>
      </c>
      <c r="U144" s="11" t="s">
        <v>51</v>
      </c>
      <c r="V144" s="10" t="s">
        <v>52</v>
      </c>
      <c r="W144" s="10" t="s">
        <v>1704</v>
      </c>
      <c r="X144" s="10" t="s">
        <v>1705</v>
      </c>
      <c r="Y144" s="10" t="s">
        <v>1706</v>
      </c>
      <c r="Z144" s="10" t="s">
        <v>50</v>
      </c>
      <c r="AA144" s="10" t="s">
        <v>50</v>
      </c>
      <c r="AB144" s="10" t="s">
        <v>1704</v>
      </c>
      <c r="AC144" s="10" t="s">
        <v>1707</v>
      </c>
      <c r="AD144" s="10" t="s">
        <v>1708</v>
      </c>
      <c r="AE144" s="10" t="s">
        <v>740</v>
      </c>
      <c r="AF144" s="10" t="s">
        <v>119</v>
      </c>
      <c r="AG144" s="10" t="s">
        <v>1709</v>
      </c>
      <c r="AH144" s="10" t="s">
        <v>60</v>
      </c>
      <c r="AI144" s="10" t="s">
        <v>61</v>
      </c>
      <c r="AJ144" s="10" t="s">
        <v>742</v>
      </c>
      <c r="AK144" s="10" t="s">
        <v>1710</v>
      </c>
      <c r="AL144" s="10" t="s">
        <v>64</v>
      </c>
      <c r="AM144" s="10" t="s">
        <v>1711</v>
      </c>
      <c r="AN144" s="10" t="s">
        <v>50</v>
      </c>
      <c r="AO144" s="11" t="s">
        <v>50</v>
      </c>
      <c r="AP144" s="10" t="s">
        <v>50</v>
      </c>
      <c r="AQ144" s="10" t="s">
        <v>50</v>
      </c>
      <c r="AR144" s="10" t="s">
        <v>50</v>
      </c>
      <c r="AS144" s="10" t="s">
        <v>50</v>
      </c>
      <c r="AT144" s="10" t="s">
        <v>50</v>
      </c>
      <c r="AU144" s="10" t="s">
        <v>50</v>
      </c>
      <c r="AV144" s="11"/>
      <c r="AW144" s="10" t="s">
        <v>66</v>
      </c>
      <c r="AX144" s="10"/>
      <c r="AY144" s="10" t="s">
        <v>66</v>
      </c>
    </row>
    <row r="145" ht="22.5" hidden="1" customHeight="1">
      <c r="A145" s="9" t="s">
        <v>1712</v>
      </c>
      <c r="B145" s="10" t="s">
        <v>1713</v>
      </c>
      <c r="C145" s="10" t="s">
        <v>43</v>
      </c>
      <c r="D145" s="10" t="s">
        <v>125</v>
      </c>
      <c r="E145" s="10" t="s">
        <v>66</v>
      </c>
      <c r="F145" s="11">
        <v>1.0</v>
      </c>
      <c r="G145" s="11">
        <v>120.0</v>
      </c>
      <c r="H145" s="11"/>
      <c r="I145" s="11">
        <v>-20.4</v>
      </c>
      <c r="J145" s="11">
        <v>-19.95</v>
      </c>
      <c r="K145" s="11"/>
      <c r="L145" s="11">
        <v>86.85</v>
      </c>
      <c r="M145" s="10" t="s">
        <v>46</v>
      </c>
      <c r="N145" s="10" t="s">
        <v>45</v>
      </c>
      <c r="O145" s="10" t="s">
        <v>85</v>
      </c>
      <c r="P145" s="10" t="s">
        <v>86</v>
      </c>
      <c r="Q145" s="10" t="s">
        <v>87</v>
      </c>
      <c r="R145" s="10" t="s">
        <v>74</v>
      </c>
      <c r="S145" s="11">
        <v>120.0</v>
      </c>
      <c r="T145" s="11">
        <v>65.78</v>
      </c>
      <c r="U145" s="11" t="s">
        <v>51</v>
      </c>
      <c r="V145" s="10" t="s">
        <v>52</v>
      </c>
      <c r="W145" s="10" t="s">
        <v>1714</v>
      </c>
      <c r="X145" s="10" t="s">
        <v>1715</v>
      </c>
      <c r="Y145" s="10" t="s">
        <v>1716</v>
      </c>
      <c r="Z145" s="10" t="s">
        <v>50</v>
      </c>
      <c r="AA145" s="10" t="s">
        <v>50</v>
      </c>
      <c r="AB145" s="10" t="s">
        <v>1714</v>
      </c>
      <c r="AC145" s="10" t="s">
        <v>1717</v>
      </c>
      <c r="AD145" s="10" t="s">
        <v>1718</v>
      </c>
      <c r="AE145" s="10" t="s">
        <v>1719</v>
      </c>
      <c r="AF145" s="10" t="s">
        <v>284</v>
      </c>
      <c r="AG145" s="10" t="s">
        <v>1720</v>
      </c>
      <c r="AH145" s="10" t="s">
        <v>60</v>
      </c>
      <c r="AI145" s="10" t="s">
        <v>61</v>
      </c>
      <c r="AJ145" s="10" t="s">
        <v>847</v>
      </c>
      <c r="AK145" s="10" t="s">
        <v>1721</v>
      </c>
      <c r="AL145" s="10" t="s">
        <v>64</v>
      </c>
      <c r="AM145" s="10" t="s">
        <v>1722</v>
      </c>
      <c r="AN145" s="10" t="s">
        <v>50</v>
      </c>
      <c r="AO145" s="11" t="s">
        <v>50</v>
      </c>
      <c r="AP145" s="10" t="s">
        <v>50</v>
      </c>
      <c r="AQ145" s="10" t="s">
        <v>50</v>
      </c>
      <c r="AR145" s="10" t="s">
        <v>50</v>
      </c>
      <c r="AS145" s="10" t="s">
        <v>50</v>
      </c>
      <c r="AT145" s="10" t="s">
        <v>50</v>
      </c>
      <c r="AU145" s="10" t="s">
        <v>50</v>
      </c>
      <c r="AV145" s="11"/>
      <c r="AW145" s="10" t="s">
        <v>66</v>
      </c>
      <c r="AX145" s="10"/>
      <c r="AY145" s="10" t="s">
        <v>66</v>
      </c>
    </row>
    <row r="146" ht="22.5" hidden="1" customHeight="1">
      <c r="A146" s="9" t="s">
        <v>1723</v>
      </c>
      <c r="B146" s="10" t="s">
        <v>1724</v>
      </c>
      <c r="C146" s="10" t="s">
        <v>43</v>
      </c>
      <c r="D146" s="10" t="s">
        <v>1398</v>
      </c>
      <c r="E146" s="10" t="s">
        <v>66</v>
      </c>
      <c r="F146" s="11">
        <v>1.0</v>
      </c>
      <c r="G146" s="11">
        <v>80.0</v>
      </c>
      <c r="H146" s="11"/>
      <c r="I146" s="11">
        <v>-13.6</v>
      </c>
      <c r="J146" s="11">
        <v>-19.95</v>
      </c>
      <c r="K146" s="11"/>
      <c r="L146" s="11">
        <v>50.45</v>
      </c>
      <c r="M146" s="10" t="s">
        <v>46</v>
      </c>
      <c r="N146" s="10" t="s">
        <v>45</v>
      </c>
      <c r="O146" s="10" t="s">
        <v>143</v>
      </c>
      <c r="P146" s="10" t="s">
        <v>144</v>
      </c>
      <c r="Q146" s="10" t="s">
        <v>145</v>
      </c>
      <c r="R146" s="10" t="s">
        <v>74</v>
      </c>
      <c r="S146" s="11">
        <v>80.0</v>
      </c>
      <c r="T146" s="11">
        <v>33.38</v>
      </c>
      <c r="U146" s="11" t="s">
        <v>51</v>
      </c>
      <c r="V146" s="10" t="s">
        <v>52</v>
      </c>
      <c r="W146" s="10" t="s">
        <v>1725</v>
      </c>
      <c r="X146" s="10" t="s">
        <v>1726</v>
      </c>
      <c r="Y146" s="10" t="s">
        <v>1727</v>
      </c>
      <c r="Z146" s="10" t="s">
        <v>50</v>
      </c>
      <c r="AA146" s="10" t="s">
        <v>50</v>
      </c>
      <c r="AB146" s="10" t="s">
        <v>1725</v>
      </c>
      <c r="AC146" s="10" t="s">
        <v>1728</v>
      </c>
      <c r="AD146" s="10" t="s">
        <v>1729</v>
      </c>
      <c r="AE146" s="10" t="s">
        <v>1730</v>
      </c>
      <c r="AF146" s="10" t="s">
        <v>58</v>
      </c>
      <c r="AG146" s="10" t="s">
        <v>1731</v>
      </c>
      <c r="AH146" s="10" t="s">
        <v>60</v>
      </c>
      <c r="AI146" s="10" t="s">
        <v>61</v>
      </c>
      <c r="AJ146" s="10" t="s">
        <v>1732</v>
      </c>
      <c r="AK146" s="10" t="s">
        <v>1733</v>
      </c>
      <c r="AL146" s="10" t="s">
        <v>64</v>
      </c>
      <c r="AM146" s="10" t="s">
        <v>1734</v>
      </c>
      <c r="AN146" s="10" t="s">
        <v>50</v>
      </c>
      <c r="AO146" s="11" t="s">
        <v>50</v>
      </c>
      <c r="AP146" s="10" t="s">
        <v>50</v>
      </c>
      <c r="AQ146" s="10" t="s">
        <v>50</v>
      </c>
      <c r="AR146" s="10" t="s">
        <v>50</v>
      </c>
      <c r="AS146" s="10" t="s">
        <v>50</v>
      </c>
      <c r="AT146" s="10" t="s">
        <v>50</v>
      </c>
      <c r="AU146" s="10" t="s">
        <v>50</v>
      </c>
      <c r="AV146" s="11"/>
      <c r="AW146" s="10" t="s">
        <v>66</v>
      </c>
      <c r="AX146" s="10"/>
      <c r="AY146" s="10" t="s">
        <v>66</v>
      </c>
    </row>
    <row r="147" ht="22.5" hidden="1" customHeight="1">
      <c r="A147" s="9" t="s">
        <v>1735</v>
      </c>
      <c r="B147" s="10" t="s">
        <v>1736</v>
      </c>
      <c r="C147" s="10" t="s">
        <v>43</v>
      </c>
      <c r="D147" s="10" t="s">
        <v>191</v>
      </c>
      <c r="E147" s="10" t="s">
        <v>66</v>
      </c>
      <c r="F147" s="11">
        <v>1.0</v>
      </c>
      <c r="G147" s="11">
        <v>120.0</v>
      </c>
      <c r="H147" s="11"/>
      <c r="I147" s="11">
        <v>-20.4</v>
      </c>
      <c r="J147" s="11">
        <v>-19.95</v>
      </c>
      <c r="K147" s="11"/>
      <c r="L147" s="11">
        <v>86.85</v>
      </c>
      <c r="M147" s="10" t="s">
        <v>46</v>
      </c>
      <c r="N147" s="10" t="s">
        <v>45</v>
      </c>
      <c r="O147" s="10" t="s">
        <v>85</v>
      </c>
      <c r="P147" s="10" t="s">
        <v>86</v>
      </c>
      <c r="Q147" s="10" t="s">
        <v>87</v>
      </c>
      <c r="R147" s="10" t="s">
        <v>74</v>
      </c>
      <c r="S147" s="11">
        <v>120.0</v>
      </c>
      <c r="T147" s="11">
        <v>65.78</v>
      </c>
      <c r="U147" s="11" t="s">
        <v>51</v>
      </c>
      <c r="V147" s="10" t="s">
        <v>52</v>
      </c>
      <c r="W147" s="10" t="s">
        <v>1737</v>
      </c>
      <c r="X147" s="10" t="s">
        <v>1738</v>
      </c>
      <c r="Y147" s="10" t="s">
        <v>1739</v>
      </c>
      <c r="Z147" s="10" t="s">
        <v>50</v>
      </c>
      <c r="AA147" s="10" t="s">
        <v>50</v>
      </c>
      <c r="AB147" s="10" t="s">
        <v>1737</v>
      </c>
      <c r="AC147" s="10" t="s">
        <v>1740</v>
      </c>
      <c r="AD147" s="10" t="s">
        <v>1741</v>
      </c>
      <c r="AE147" s="10" t="s">
        <v>322</v>
      </c>
      <c r="AF147" s="10" t="s">
        <v>323</v>
      </c>
      <c r="AG147" s="10" t="s">
        <v>1742</v>
      </c>
      <c r="AH147" s="10" t="s">
        <v>60</v>
      </c>
      <c r="AI147" s="10" t="s">
        <v>61</v>
      </c>
      <c r="AJ147" s="10" t="s">
        <v>1663</v>
      </c>
      <c r="AK147" s="10" t="s">
        <v>1743</v>
      </c>
      <c r="AL147" s="10" t="s">
        <v>64</v>
      </c>
      <c r="AM147" s="10" t="s">
        <v>1744</v>
      </c>
      <c r="AN147" s="10" t="s">
        <v>50</v>
      </c>
      <c r="AO147" s="11" t="s">
        <v>50</v>
      </c>
      <c r="AP147" s="10" t="s">
        <v>50</v>
      </c>
      <c r="AQ147" s="10" t="s">
        <v>50</v>
      </c>
      <c r="AR147" s="10" t="s">
        <v>50</v>
      </c>
      <c r="AS147" s="10" t="s">
        <v>50</v>
      </c>
      <c r="AT147" s="10" t="s">
        <v>50</v>
      </c>
      <c r="AU147" s="10" t="s">
        <v>50</v>
      </c>
      <c r="AV147" s="11"/>
      <c r="AW147" s="10" t="s">
        <v>66</v>
      </c>
      <c r="AX147" s="10"/>
      <c r="AY147" s="10" t="s">
        <v>66</v>
      </c>
    </row>
    <row r="148" ht="22.5" hidden="1" customHeight="1">
      <c r="A148" s="9" t="s">
        <v>1745</v>
      </c>
      <c r="B148" s="10" t="s">
        <v>1746</v>
      </c>
      <c r="C148" s="10" t="s">
        <v>43</v>
      </c>
      <c r="D148" s="10" t="s">
        <v>125</v>
      </c>
      <c r="E148" s="10" t="s">
        <v>45</v>
      </c>
      <c r="F148" s="11">
        <v>1.0</v>
      </c>
      <c r="G148" s="11">
        <v>79.2</v>
      </c>
      <c r="H148" s="11"/>
      <c r="I148" s="11">
        <v>-15.05</v>
      </c>
      <c r="J148" s="11">
        <v>-19.95</v>
      </c>
      <c r="K148" s="11"/>
      <c r="L148" s="11">
        <v>44.2</v>
      </c>
      <c r="M148" s="10" t="s">
        <v>46</v>
      </c>
      <c r="N148" s="10" t="s">
        <v>50</v>
      </c>
      <c r="O148" s="10" t="s">
        <v>586</v>
      </c>
      <c r="P148" s="10" t="s">
        <v>1467</v>
      </c>
      <c r="Q148" s="10" t="s">
        <v>1468</v>
      </c>
      <c r="R148" s="10" t="s">
        <v>50</v>
      </c>
      <c r="S148" s="11">
        <v>79.2</v>
      </c>
      <c r="T148" s="11">
        <v>9.89</v>
      </c>
      <c r="U148" s="11" t="s">
        <v>51</v>
      </c>
      <c r="V148" s="10" t="s">
        <v>52</v>
      </c>
      <c r="W148" s="10" t="s">
        <v>1747</v>
      </c>
      <c r="X148" s="10" t="s">
        <v>1748</v>
      </c>
      <c r="Y148" s="10" t="s">
        <v>1749</v>
      </c>
      <c r="Z148" s="10" t="s">
        <v>50</v>
      </c>
      <c r="AA148" s="10" t="s">
        <v>50</v>
      </c>
      <c r="AB148" s="10" t="s">
        <v>1747</v>
      </c>
      <c r="AC148" s="10" t="s">
        <v>1750</v>
      </c>
      <c r="AD148" s="10" t="s">
        <v>1751</v>
      </c>
      <c r="AE148" s="10" t="s">
        <v>1752</v>
      </c>
      <c r="AF148" s="10" t="s">
        <v>284</v>
      </c>
      <c r="AG148" s="10" t="s">
        <v>1753</v>
      </c>
      <c r="AH148" s="10" t="s">
        <v>60</v>
      </c>
      <c r="AI148" s="10" t="s">
        <v>61</v>
      </c>
      <c r="AJ148" s="10" t="s">
        <v>847</v>
      </c>
      <c r="AK148" s="10" t="s">
        <v>1754</v>
      </c>
      <c r="AL148" s="10" t="s">
        <v>64</v>
      </c>
      <c r="AM148" s="10" t="s">
        <v>1755</v>
      </c>
      <c r="AN148" s="10" t="s">
        <v>50</v>
      </c>
      <c r="AO148" s="11" t="s">
        <v>50</v>
      </c>
      <c r="AP148" s="10" t="s">
        <v>50</v>
      </c>
      <c r="AQ148" s="10" t="s">
        <v>50</v>
      </c>
      <c r="AR148" s="10" t="s">
        <v>50</v>
      </c>
      <c r="AS148" s="10" t="s">
        <v>50</v>
      </c>
      <c r="AT148" s="10" t="s">
        <v>50</v>
      </c>
      <c r="AU148" s="10" t="s">
        <v>50</v>
      </c>
      <c r="AV148" s="11"/>
      <c r="AW148" s="10" t="s">
        <v>66</v>
      </c>
      <c r="AX148" s="10"/>
      <c r="AY148" s="10" t="s">
        <v>66</v>
      </c>
    </row>
    <row r="149" ht="22.5" hidden="1" customHeight="1">
      <c r="A149" s="9" t="s">
        <v>1756</v>
      </c>
      <c r="B149" s="10" t="s">
        <v>1757</v>
      </c>
      <c r="C149" s="10" t="s">
        <v>43</v>
      </c>
      <c r="D149" s="10" t="s">
        <v>191</v>
      </c>
      <c r="E149" s="10" t="s">
        <v>66</v>
      </c>
      <c r="F149" s="11">
        <v>1.0</v>
      </c>
      <c r="G149" s="11">
        <v>80.0</v>
      </c>
      <c r="H149" s="11"/>
      <c r="I149" s="11">
        <v>-13.6</v>
      </c>
      <c r="J149" s="11">
        <v>-19.95</v>
      </c>
      <c r="K149" s="11"/>
      <c r="L149" s="11">
        <v>50.45</v>
      </c>
      <c r="M149" s="10" t="s">
        <v>46</v>
      </c>
      <c r="N149" s="10" t="s">
        <v>45</v>
      </c>
      <c r="O149" s="10" t="s">
        <v>143</v>
      </c>
      <c r="P149" s="10" t="s">
        <v>144</v>
      </c>
      <c r="Q149" s="10" t="s">
        <v>145</v>
      </c>
      <c r="R149" s="10" t="s">
        <v>74</v>
      </c>
      <c r="S149" s="11">
        <v>80.0</v>
      </c>
      <c r="T149" s="11">
        <v>33.38</v>
      </c>
      <c r="U149" s="11" t="s">
        <v>51</v>
      </c>
      <c r="V149" s="10" t="s">
        <v>52</v>
      </c>
      <c r="W149" s="10" t="s">
        <v>1758</v>
      </c>
      <c r="X149" s="10" t="s">
        <v>1759</v>
      </c>
      <c r="Y149" s="10" t="s">
        <v>1760</v>
      </c>
      <c r="Z149" s="10" t="s">
        <v>50</v>
      </c>
      <c r="AA149" s="10" t="s">
        <v>50</v>
      </c>
      <c r="AB149" s="10" t="s">
        <v>1758</v>
      </c>
      <c r="AC149" s="10" t="s">
        <v>1761</v>
      </c>
      <c r="AD149" s="10" t="s">
        <v>1762</v>
      </c>
      <c r="AE149" s="10" t="s">
        <v>1763</v>
      </c>
      <c r="AF149" s="10" t="s">
        <v>323</v>
      </c>
      <c r="AG149" s="10" t="s">
        <v>1764</v>
      </c>
      <c r="AH149" s="10" t="s">
        <v>60</v>
      </c>
      <c r="AI149" s="10" t="s">
        <v>61</v>
      </c>
      <c r="AJ149" s="10" t="s">
        <v>1406</v>
      </c>
      <c r="AK149" s="10" t="s">
        <v>1765</v>
      </c>
      <c r="AL149" s="10" t="s">
        <v>64</v>
      </c>
      <c r="AM149" s="10" t="s">
        <v>1766</v>
      </c>
      <c r="AN149" s="10" t="s">
        <v>50</v>
      </c>
      <c r="AO149" s="11" t="s">
        <v>50</v>
      </c>
      <c r="AP149" s="10" t="s">
        <v>50</v>
      </c>
      <c r="AQ149" s="10" t="s">
        <v>50</v>
      </c>
      <c r="AR149" s="10" t="s">
        <v>50</v>
      </c>
      <c r="AS149" s="10" t="s">
        <v>50</v>
      </c>
      <c r="AT149" s="10" t="s">
        <v>50</v>
      </c>
      <c r="AU149" s="10" t="s">
        <v>50</v>
      </c>
      <c r="AV149" s="11"/>
      <c r="AW149" s="10" t="s">
        <v>66</v>
      </c>
      <c r="AX149" s="10"/>
      <c r="AY149" s="10" t="s">
        <v>66</v>
      </c>
    </row>
    <row r="150" ht="22.5" hidden="1" customHeight="1">
      <c r="A150" s="9" t="s">
        <v>1767</v>
      </c>
      <c r="B150" s="10" t="s">
        <v>1768</v>
      </c>
      <c r="C150" s="10" t="s">
        <v>43</v>
      </c>
      <c r="D150" s="10" t="s">
        <v>734</v>
      </c>
      <c r="E150" s="10" t="s">
        <v>66</v>
      </c>
      <c r="F150" s="11">
        <v>1.0</v>
      </c>
      <c r="G150" s="11">
        <v>120.0</v>
      </c>
      <c r="H150" s="11"/>
      <c r="I150" s="11">
        <v>-20.4</v>
      </c>
      <c r="J150" s="11">
        <v>-19.95</v>
      </c>
      <c r="K150" s="11"/>
      <c r="L150" s="11">
        <v>86.85</v>
      </c>
      <c r="M150" s="10" t="s">
        <v>46</v>
      </c>
      <c r="N150" s="10" t="s">
        <v>45</v>
      </c>
      <c r="O150" s="10" t="s">
        <v>85</v>
      </c>
      <c r="P150" s="10" t="s">
        <v>86</v>
      </c>
      <c r="Q150" s="10" t="s">
        <v>87</v>
      </c>
      <c r="R150" s="10" t="s">
        <v>74</v>
      </c>
      <c r="S150" s="11">
        <v>120.0</v>
      </c>
      <c r="T150" s="11">
        <v>65.78</v>
      </c>
      <c r="U150" s="11" t="s">
        <v>51</v>
      </c>
      <c r="V150" s="10" t="s">
        <v>52</v>
      </c>
      <c r="W150" s="10" t="s">
        <v>1769</v>
      </c>
      <c r="X150" s="10" t="s">
        <v>1770</v>
      </c>
      <c r="Y150" s="10" t="s">
        <v>1771</v>
      </c>
      <c r="Z150" s="10" t="s">
        <v>50</v>
      </c>
      <c r="AA150" s="10" t="s">
        <v>50</v>
      </c>
      <c r="AB150" s="10" t="s">
        <v>1769</v>
      </c>
      <c r="AC150" s="10" t="s">
        <v>1772</v>
      </c>
      <c r="AD150" s="10" t="s">
        <v>1773</v>
      </c>
      <c r="AE150" s="10" t="s">
        <v>1774</v>
      </c>
      <c r="AF150" s="10" t="s">
        <v>775</v>
      </c>
      <c r="AG150" s="10" t="s">
        <v>1775</v>
      </c>
      <c r="AH150" s="10" t="s">
        <v>60</v>
      </c>
      <c r="AI150" s="10" t="s">
        <v>61</v>
      </c>
      <c r="AJ150" s="10" t="s">
        <v>1462</v>
      </c>
      <c r="AK150" s="10" t="s">
        <v>1776</v>
      </c>
      <c r="AL150" s="10" t="s">
        <v>64</v>
      </c>
      <c r="AM150" s="10" t="s">
        <v>1777</v>
      </c>
      <c r="AN150" s="10" t="s">
        <v>50</v>
      </c>
      <c r="AO150" s="11" t="s">
        <v>50</v>
      </c>
      <c r="AP150" s="10" t="s">
        <v>50</v>
      </c>
      <c r="AQ150" s="10" t="s">
        <v>50</v>
      </c>
      <c r="AR150" s="10" t="s">
        <v>50</v>
      </c>
      <c r="AS150" s="10" t="s">
        <v>50</v>
      </c>
      <c r="AT150" s="10" t="s">
        <v>50</v>
      </c>
      <c r="AU150" s="10" t="s">
        <v>50</v>
      </c>
      <c r="AV150" s="11"/>
      <c r="AW150" s="10" t="s">
        <v>66</v>
      </c>
      <c r="AX150" s="10"/>
      <c r="AY150" s="10" t="s">
        <v>66</v>
      </c>
    </row>
    <row r="151" ht="22.5" hidden="1" customHeight="1">
      <c r="A151" s="9" t="s">
        <v>1778</v>
      </c>
      <c r="B151" s="10" t="s">
        <v>1779</v>
      </c>
      <c r="C151" s="10" t="s">
        <v>43</v>
      </c>
      <c r="D151" s="10" t="s">
        <v>688</v>
      </c>
      <c r="E151" s="10" t="s">
        <v>66</v>
      </c>
      <c r="F151" s="11">
        <v>1.0</v>
      </c>
      <c r="G151" s="11">
        <v>120.0</v>
      </c>
      <c r="H151" s="11"/>
      <c r="I151" s="11">
        <v>-20.4</v>
      </c>
      <c r="J151" s="11">
        <v>-19.95</v>
      </c>
      <c r="K151" s="11"/>
      <c r="L151" s="11">
        <v>86.85</v>
      </c>
      <c r="M151" s="10" t="s">
        <v>46</v>
      </c>
      <c r="N151" s="10" t="s">
        <v>50</v>
      </c>
      <c r="O151" s="10" t="s">
        <v>85</v>
      </c>
      <c r="P151" s="10" t="s">
        <v>86</v>
      </c>
      <c r="Q151" s="10" t="s">
        <v>87</v>
      </c>
      <c r="R151" s="10" t="s">
        <v>74</v>
      </c>
      <c r="S151" s="11">
        <v>120.0</v>
      </c>
      <c r="T151" s="11">
        <v>65.78</v>
      </c>
      <c r="U151" s="11" t="s">
        <v>51</v>
      </c>
      <c r="V151" s="10" t="s">
        <v>52</v>
      </c>
      <c r="W151" s="10" t="s">
        <v>1780</v>
      </c>
      <c r="X151" s="10" t="s">
        <v>1781</v>
      </c>
      <c r="Y151" s="10" t="s">
        <v>1782</v>
      </c>
      <c r="Z151" s="10" t="s">
        <v>50</v>
      </c>
      <c r="AA151" s="10" t="s">
        <v>50</v>
      </c>
      <c r="AB151" s="10" t="s">
        <v>1780</v>
      </c>
      <c r="AC151" s="10" t="s">
        <v>1783</v>
      </c>
      <c r="AD151" s="10" t="s">
        <v>1784</v>
      </c>
      <c r="AE151" s="10" t="s">
        <v>1089</v>
      </c>
      <c r="AF151" s="10" t="s">
        <v>284</v>
      </c>
      <c r="AG151" s="10" t="s">
        <v>1785</v>
      </c>
      <c r="AH151" s="10" t="s">
        <v>60</v>
      </c>
      <c r="AI151" s="10" t="s">
        <v>61</v>
      </c>
      <c r="AJ151" s="10" t="s">
        <v>847</v>
      </c>
      <c r="AK151" s="10" t="s">
        <v>1786</v>
      </c>
      <c r="AL151" s="10" t="s">
        <v>64</v>
      </c>
      <c r="AM151" s="10" t="s">
        <v>1787</v>
      </c>
      <c r="AN151" s="10" t="s">
        <v>50</v>
      </c>
      <c r="AO151" s="11" t="s">
        <v>50</v>
      </c>
      <c r="AP151" s="10" t="s">
        <v>50</v>
      </c>
      <c r="AQ151" s="10" t="s">
        <v>50</v>
      </c>
      <c r="AR151" s="10" t="s">
        <v>50</v>
      </c>
      <c r="AS151" s="10" t="s">
        <v>50</v>
      </c>
      <c r="AT151" s="10" t="s">
        <v>50</v>
      </c>
      <c r="AU151" s="10" t="s">
        <v>50</v>
      </c>
      <c r="AV151" s="11"/>
      <c r="AW151" s="10" t="s">
        <v>66</v>
      </c>
      <c r="AX151" s="10"/>
      <c r="AY151" s="10" t="s">
        <v>66</v>
      </c>
    </row>
    <row r="152" ht="22.5" hidden="1" customHeight="1">
      <c r="A152" s="9" t="s">
        <v>1788</v>
      </c>
      <c r="B152" s="10" t="s">
        <v>1789</v>
      </c>
      <c r="C152" s="10" t="s">
        <v>43</v>
      </c>
      <c r="D152" s="10" t="s">
        <v>1398</v>
      </c>
      <c r="E152" s="10" t="s">
        <v>45</v>
      </c>
      <c r="F152" s="11">
        <v>3.0</v>
      </c>
      <c r="G152" s="11">
        <v>131.1</v>
      </c>
      <c r="H152" s="11"/>
      <c r="I152" s="11">
        <v>-40.29</v>
      </c>
      <c r="J152" s="11"/>
      <c r="K152" s="11"/>
      <c r="L152" s="11">
        <v>98.67</v>
      </c>
      <c r="M152" s="10" t="s">
        <v>46</v>
      </c>
      <c r="N152" s="10" t="s">
        <v>45</v>
      </c>
      <c r="O152" s="10" t="s">
        <v>176</v>
      </c>
      <c r="P152" s="10" t="s">
        <v>177</v>
      </c>
      <c r="Q152" s="10" t="s">
        <v>178</v>
      </c>
      <c r="R152" s="10" t="s">
        <v>74</v>
      </c>
      <c r="S152" s="11">
        <v>43.7</v>
      </c>
      <c r="T152" s="11">
        <f>3*22.58</f>
        <v>67.74</v>
      </c>
      <c r="U152" s="11" t="s">
        <v>51</v>
      </c>
      <c r="V152" s="10" t="s">
        <v>52</v>
      </c>
      <c r="W152" s="10" t="s">
        <v>1790</v>
      </c>
      <c r="X152" s="10" t="s">
        <v>1791</v>
      </c>
      <c r="Y152" s="10" t="s">
        <v>1792</v>
      </c>
      <c r="Z152" s="10" t="s">
        <v>50</v>
      </c>
      <c r="AA152" s="10" t="s">
        <v>50</v>
      </c>
      <c r="AB152" s="10" t="s">
        <v>1790</v>
      </c>
      <c r="AC152" s="10" t="s">
        <v>1793</v>
      </c>
      <c r="AD152" s="10" t="s">
        <v>1794</v>
      </c>
      <c r="AE152" s="10" t="s">
        <v>58</v>
      </c>
      <c r="AF152" s="10" t="s">
        <v>58</v>
      </c>
      <c r="AG152" s="10" t="s">
        <v>1795</v>
      </c>
      <c r="AH152" s="10" t="s">
        <v>60</v>
      </c>
      <c r="AI152" s="10" t="s">
        <v>61</v>
      </c>
      <c r="AJ152" s="10" t="s">
        <v>1619</v>
      </c>
      <c r="AK152" s="10" t="s">
        <v>1796</v>
      </c>
      <c r="AL152" s="10" t="s">
        <v>64</v>
      </c>
      <c r="AM152" s="10" t="s">
        <v>1797</v>
      </c>
      <c r="AN152" s="10" t="s">
        <v>50</v>
      </c>
      <c r="AO152" s="11" t="s">
        <v>50</v>
      </c>
      <c r="AP152" s="10" t="s">
        <v>50</v>
      </c>
      <c r="AQ152" s="10" t="s">
        <v>50</v>
      </c>
      <c r="AR152" s="10" t="s">
        <v>50</v>
      </c>
      <c r="AS152" s="10" t="s">
        <v>50</v>
      </c>
      <c r="AT152" s="10" t="s">
        <v>50</v>
      </c>
      <c r="AU152" s="10" t="s">
        <v>50</v>
      </c>
      <c r="AV152" s="11"/>
      <c r="AW152" s="10" t="s">
        <v>66</v>
      </c>
      <c r="AX152" s="10"/>
      <c r="AY152" s="10" t="s">
        <v>66</v>
      </c>
    </row>
    <row r="153" ht="22.5" hidden="1" customHeight="1">
      <c r="A153" s="9" t="s">
        <v>1798</v>
      </c>
      <c r="B153" s="10" t="s">
        <v>1799</v>
      </c>
      <c r="C153" s="10" t="s">
        <v>43</v>
      </c>
      <c r="D153" s="10" t="s">
        <v>1398</v>
      </c>
      <c r="E153" s="10" t="s">
        <v>45</v>
      </c>
      <c r="F153" s="11">
        <v>1.0</v>
      </c>
      <c r="G153" s="11">
        <v>43.7</v>
      </c>
      <c r="H153" s="11">
        <v>14.63</v>
      </c>
      <c r="I153" s="11">
        <v>-13.43</v>
      </c>
      <c r="J153" s="11">
        <v>-14.63</v>
      </c>
      <c r="K153" s="11"/>
      <c r="L153" s="11">
        <v>32.89</v>
      </c>
      <c r="M153" s="10" t="s">
        <v>46</v>
      </c>
      <c r="N153" s="10" t="s">
        <v>50</v>
      </c>
      <c r="O153" s="10" t="s">
        <v>176</v>
      </c>
      <c r="P153" s="10" t="s">
        <v>177</v>
      </c>
      <c r="Q153" s="10" t="s">
        <v>178</v>
      </c>
      <c r="R153" s="10" t="s">
        <v>74</v>
      </c>
      <c r="S153" s="11">
        <v>43.7</v>
      </c>
      <c r="T153" s="11">
        <v>22.58</v>
      </c>
      <c r="U153" s="11" t="s">
        <v>51</v>
      </c>
      <c r="V153" s="10" t="s">
        <v>52</v>
      </c>
      <c r="W153" s="10" t="s">
        <v>1800</v>
      </c>
      <c r="X153" s="10" t="s">
        <v>1801</v>
      </c>
      <c r="Y153" s="10" t="s">
        <v>1802</v>
      </c>
      <c r="Z153" s="10" t="s">
        <v>50</v>
      </c>
      <c r="AA153" s="10" t="s">
        <v>50</v>
      </c>
      <c r="AB153" s="10" t="s">
        <v>1800</v>
      </c>
      <c r="AC153" s="10" t="s">
        <v>1803</v>
      </c>
      <c r="AD153" s="10" t="s">
        <v>1804</v>
      </c>
      <c r="AE153" s="10" t="s">
        <v>373</v>
      </c>
      <c r="AF153" s="10" t="s">
        <v>58</v>
      </c>
      <c r="AG153" s="10" t="s">
        <v>1805</v>
      </c>
      <c r="AH153" s="10" t="s">
        <v>60</v>
      </c>
      <c r="AI153" s="10" t="s">
        <v>61</v>
      </c>
      <c r="AJ153" s="10" t="s">
        <v>1619</v>
      </c>
      <c r="AK153" s="10" t="s">
        <v>1806</v>
      </c>
      <c r="AL153" s="10" t="s">
        <v>64</v>
      </c>
      <c r="AM153" s="10" t="s">
        <v>1807</v>
      </c>
      <c r="AN153" s="10" t="s">
        <v>50</v>
      </c>
      <c r="AO153" s="11" t="s">
        <v>50</v>
      </c>
      <c r="AP153" s="10" t="s">
        <v>50</v>
      </c>
      <c r="AQ153" s="10" t="s">
        <v>50</v>
      </c>
      <c r="AR153" s="10" t="s">
        <v>50</v>
      </c>
      <c r="AS153" s="10" t="s">
        <v>50</v>
      </c>
      <c r="AT153" s="10" t="s">
        <v>50</v>
      </c>
      <c r="AU153" s="10" t="s">
        <v>50</v>
      </c>
      <c r="AV153" s="11"/>
      <c r="AW153" s="10" t="s">
        <v>66</v>
      </c>
      <c r="AX153" s="10"/>
      <c r="AY153" s="10" t="s">
        <v>66</v>
      </c>
    </row>
    <row r="154" ht="22.5" hidden="1" customHeight="1">
      <c r="A154" s="12" t="s">
        <v>1808</v>
      </c>
      <c r="B154" s="13" t="s">
        <v>1809</v>
      </c>
      <c r="C154" s="13" t="s">
        <v>747</v>
      </c>
      <c r="D154" s="13" t="s">
        <v>50</v>
      </c>
      <c r="E154" s="13" t="s">
        <v>50</v>
      </c>
      <c r="F154" s="14"/>
      <c r="G154" s="14">
        <v>127.0</v>
      </c>
      <c r="H154" s="14"/>
      <c r="I154" s="14">
        <v>-27.59</v>
      </c>
      <c r="J154" s="14">
        <v>-20.45</v>
      </c>
      <c r="K154" s="14"/>
      <c r="L154" s="14">
        <v>81.36</v>
      </c>
      <c r="M154" s="13" t="s">
        <v>46</v>
      </c>
      <c r="N154" s="13" t="s">
        <v>50</v>
      </c>
      <c r="O154" s="13" t="s">
        <v>50</v>
      </c>
      <c r="P154" s="13" t="s">
        <v>50</v>
      </c>
      <c r="Q154" s="13" t="s">
        <v>50</v>
      </c>
      <c r="R154" s="13" t="s">
        <v>50</v>
      </c>
      <c r="S154" s="14"/>
      <c r="T154" s="14"/>
      <c r="U154" s="14" t="s">
        <v>50</v>
      </c>
      <c r="V154" s="13" t="s">
        <v>52</v>
      </c>
      <c r="W154" s="13" t="s">
        <v>1810</v>
      </c>
      <c r="X154" s="13" t="s">
        <v>1811</v>
      </c>
      <c r="Y154" s="13" t="s">
        <v>1812</v>
      </c>
      <c r="Z154" s="13" t="s">
        <v>50</v>
      </c>
      <c r="AA154" s="13" t="s">
        <v>50</v>
      </c>
      <c r="AB154" s="13" t="s">
        <v>1810</v>
      </c>
      <c r="AC154" s="13" t="s">
        <v>1813</v>
      </c>
      <c r="AD154" s="13" t="s">
        <v>1814</v>
      </c>
      <c r="AE154" s="13" t="s">
        <v>1815</v>
      </c>
      <c r="AF154" s="13" t="s">
        <v>185</v>
      </c>
      <c r="AG154" s="13" t="s">
        <v>1816</v>
      </c>
      <c r="AH154" s="13" t="s">
        <v>60</v>
      </c>
      <c r="AI154" s="13" t="s">
        <v>61</v>
      </c>
      <c r="AJ154" s="13" t="s">
        <v>1462</v>
      </c>
      <c r="AK154" s="13" t="s">
        <v>1817</v>
      </c>
      <c r="AL154" s="13" t="s">
        <v>64</v>
      </c>
      <c r="AM154" s="13" t="s">
        <v>1818</v>
      </c>
      <c r="AN154" s="13" t="s">
        <v>50</v>
      </c>
      <c r="AO154" s="15" t="s">
        <v>50</v>
      </c>
      <c r="AP154" s="13" t="s">
        <v>50</v>
      </c>
      <c r="AQ154" s="13" t="s">
        <v>50</v>
      </c>
      <c r="AR154" s="13" t="s">
        <v>50</v>
      </c>
      <c r="AS154" s="13" t="s">
        <v>50</v>
      </c>
      <c r="AT154" s="13" t="s">
        <v>50</v>
      </c>
      <c r="AU154" s="13" t="s">
        <v>50</v>
      </c>
      <c r="AV154" s="15"/>
      <c r="AW154" s="13" t="s">
        <v>50</v>
      </c>
      <c r="AX154" s="13"/>
      <c r="AY154" s="13" t="s">
        <v>50</v>
      </c>
    </row>
    <row r="155" ht="22.5" hidden="1" customHeight="1">
      <c r="A155" s="16" t="s">
        <v>1819</v>
      </c>
      <c r="B155" s="17" t="s">
        <v>1809</v>
      </c>
      <c r="C155" s="17" t="s">
        <v>43</v>
      </c>
      <c r="D155" s="17" t="s">
        <v>688</v>
      </c>
      <c r="E155" s="17" t="s">
        <v>45</v>
      </c>
      <c r="F155" s="18">
        <v>1.0</v>
      </c>
      <c r="G155" s="18"/>
      <c r="H155" s="18"/>
      <c r="I155" s="18"/>
      <c r="J155" s="18"/>
      <c r="K155" s="18"/>
      <c r="L155" s="18"/>
      <c r="M155" s="17" t="s">
        <v>50</v>
      </c>
      <c r="N155" s="17" t="s">
        <v>45</v>
      </c>
      <c r="O155" s="17" t="s">
        <v>160</v>
      </c>
      <c r="P155" s="17" t="s">
        <v>161</v>
      </c>
      <c r="Q155" s="17" t="s">
        <v>162</v>
      </c>
      <c r="R155" s="17" t="s">
        <v>74</v>
      </c>
      <c r="S155" s="18">
        <v>79.0</v>
      </c>
      <c r="T155" s="18">
        <v>2.49</v>
      </c>
      <c r="U155" s="18" t="s">
        <v>51</v>
      </c>
      <c r="V155" s="17" t="s">
        <v>50</v>
      </c>
      <c r="W155" s="17" t="s">
        <v>50</v>
      </c>
      <c r="X155" s="17" t="s">
        <v>50</v>
      </c>
      <c r="Y155" s="17" t="s">
        <v>50</v>
      </c>
      <c r="Z155" s="17" t="s">
        <v>50</v>
      </c>
      <c r="AA155" s="17" t="s">
        <v>50</v>
      </c>
      <c r="AB155" s="17" t="s">
        <v>50</v>
      </c>
      <c r="AC155" s="17" t="s">
        <v>50</v>
      </c>
      <c r="AD155" s="17" t="s">
        <v>50</v>
      </c>
      <c r="AE155" s="17" t="s">
        <v>50</v>
      </c>
      <c r="AF155" s="17" t="s">
        <v>50</v>
      </c>
      <c r="AG155" s="17" t="s">
        <v>50</v>
      </c>
      <c r="AH155" s="17" t="s">
        <v>50</v>
      </c>
      <c r="AI155" s="17" t="s">
        <v>50</v>
      </c>
      <c r="AJ155" s="17" t="s">
        <v>50</v>
      </c>
      <c r="AK155" s="17" t="s">
        <v>50</v>
      </c>
      <c r="AL155" s="17" t="s">
        <v>50</v>
      </c>
      <c r="AM155" s="17" t="s">
        <v>50</v>
      </c>
      <c r="AN155" s="17" t="s">
        <v>50</v>
      </c>
      <c r="AO155" s="18" t="s">
        <v>50</v>
      </c>
      <c r="AP155" s="17" t="s">
        <v>50</v>
      </c>
      <c r="AQ155" s="17" t="s">
        <v>50</v>
      </c>
      <c r="AR155" s="17" t="s">
        <v>50</v>
      </c>
      <c r="AS155" s="17" t="s">
        <v>50</v>
      </c>
      <c r="AT155" s="17" t="s">
        <v>50</v>
      </c>
      <c r="AU155" s="17" t="s">
        <v>50</v>
      </c>
      <c r="AV155" s="18"/>
      <c r="AW155" s="17" t="s">
        <v>66</v>
      </c>
      <c r="AX155" s="17"/>
      <c r="AY155" s="17" t="s">
        <v>66</v>
      </c>
    </row>
    <row r="156" ht="22.5" hidden="1" customHeight="1">
      <c r="A156" s="16" t="s">
        <v>1820</v>
      </c>
      <c r="B156" s="17" t="s">
        <v>1809</v>
      </c>
      <c r="C156" s="17" t="s">
        <v>43</v>
      </c>
      <c r="D156" s="17" t="s">
        <v>688</v>
      </c>
      <c r="E156" s="17" t="s">
        <v>45</v>
      </c>
      <c r="F156" s="18">
        <v>1.0</v>
      </c>
      <c r="G156" s="18"/>
      <c r="H156" s="18"/>
      <c r="I156" s="18"/>
      <c r="J156" s="18"/>
      <c r="K156" s="18"/>
      <c r="L156" s="18"/>
      <c r="M156" s="17" t="s">
        <v>50</v>
      </c>
      <c r="N156" s="17" t="s">
        <v>45</v>
      </c>
      <c r="O156" s="17" t="s">
        <v>1821</v>
      </c>
      <c r="P156" s="17" t="s">
        <v>1822</v>
      </c>
      <c r="Q156" s="17" t="s">
        <v>1823</v>
      </c>
      <c r="R156" s="17" t="s">
        <v>74</v>
      </c>
      <c r="S156" s="18">
        <v>48.0</v>
      </c>
      <c r="T156" s="18">
        <v>6.28</v>
      </c>
      <c r="U156" s="18" t="s">
        <v>51</v>
      </c>
      <c r="V156" s="17" t="s">
        <v>50</v>
      </c>
      <c r="W156" s="17" t="s">
        <v>50</v>
      </c>
      <c r="X156" s="17" t="s">
        <v>50</v>
      </c>
      <c r="Y156" s="17" t="s">
        <v>50</v>
      </c>
      <c r="Z156" s="17" t="s">
        <v>50</v>
      </c>
      <c r="AA156" s="17" t="s">
        <v>50</v>
      </c>
      <c r="AB156" s="17" t="s">
        <v>50</v>
      </c>
      <c r="AC156" s="17" t="s">
        <v>50</v>
      </c>
      <c r="AD156" s="17" t="s">
        <v>50</v>
      </c>
      <c r="AE156" s="17" t="s">
        <v>50</v>
      </c>
      <c r="AF156" s="17" t="s">
        <v>50</v>
      </c>
      <c r="AG156" s="17" t="s">
        <v>50</v>
      </c>
      <c r="AH156" s="17" t="s">
        <v>50</v>
      </c>
      <c r="AI156" s="17" t="s">
        <v>50</v>
      </c>
      <c r="AJ156" s="17" t="s">
        <v>50</v>
      </c>
      <c r="AK156" s="17" t="s">
        <v>50</v>
      </c>
      <c r="AL156" s="17" t="s">
        <v>50</v>
      </c>
      <c r="AM156" s="17" t="s">
        <v>50</v>
      </c>
      <c r="AN156" s="17" t="s">
        <v>50</v>
      </c>
      <c r="AO156" s="18" t="s">
        <v>50</v>
      </c>
      <c r="AP156" s="17" t="s">
        <v>50</v>
      </c>
      <c r="AQ156" s="17" t="s">
        <v>50</v>
      </c>
      <c r="AR156" s="17" t="s">
        <v>50</v>
      </c>
      <c r="AS156" s="17" t="s">
        <v>50</v>
      </c>
      <c r="AT156" s="17" t="s">
        <v>50</v>
      </c>
      <c r="AU156" s="17" t="s">
        <v>50</v>
      </c>
      <c r="AV156" s="18"/>
      <c r="AW156" s="17" t="s">
        <v>66</v>
      </c>
      <c r="AX156" s="17"/>
      <c r="AY156" s="17" t="s">
        <v>66</v>
      </c>
    </row>
    <row r="157" ht="22.5" hidden="1" customHeight="1">
      <c r="A157" s="9" t="s">
        <v>1824</v>
      </c>
      <c r="B157" s="10" t="s">
        <v>1825</v>
      </c>
      <c r="C157" s="10" t="s">
        <v>43</v>
      </c>
      <c r="D157" s="10" t="s">
        <v>1398</v>
      </c>
      <c r="E157" s="10" t="s">
        <v>45</v>
      </c>
      <c r="F157" s="11">
        <v>3.0</v>
      </c>
      <c r="G157" s="11">
        <v>131.1</v>
      </c>
      <c r="H157" s="11"/>
      <c r="I157" s="11">
        <v>-40.29</v>
      </c>
      <c r="J157" s="11"/>
      <c r="K157" s="11"/>
      <c r="L157" s="11">
        <v>98.67</v>
      </c>
      <c r="M157" s="10" t="s">
        <v>46</v>
      </c>
      <c r="N157" s="10" t="s">
        <v>50</v>
      </c>
      <c r="O157" s="10" t="s">
        <v>176</v>
      </c>
      <c r="P157" s="10" t="s">
        <v>177</v>
      </c>
      <c r="Q157" s="10" t="s">
        <v>178</v>
      </c>
      <c r="R157" s="10" t="s">
        <v>74</v>
      </c>
      <c r="S157" s="11">
        <v>43.7</v>
      </c>
      <c r="T157" s="11">
        <f>3*22.58</f>
        <v>67.74</v>
      </c>
      <c r="U157" s="11" t="s">
        <v>51</v>
      </c>
      <c r="V157" s="10" t="s">
        <v>52</v>
      </c>
      <c r="W157" s="10" t="s">
        <v>1826</v>
      </c>
      <c r="X157" s="10" t="s">
        <v>1827</v>
      </c>
      <c r="Y157" s="10" t="s">
        <v>1828</v>
      </c>
      <c r="Z157" s="10" t="s">
        <v>50</v>
      </c>
      <c r="AA157" s="10" t="s">
        <v>50</v>
      </c>
      <c r="AB157" s="10" t="s">
        <v>1826</v>
      </c>
      <c r="AC157" s="10" t="s">
        <v>1829</v>
      </c>
      <c r="AD157" s="10" t="s">
        <v>1830</v>
      </c>
      <c r="AE157" s="10" t="s">
        <v>1831</v>
      </c>
      <c r="AF157" s="10" t="s">
        <v>58</v>
      </c>
      <c r="AG157" s="10" t="s">
        <v>1832</v>
      </c>
      <c r="AH157" s="10" t="s">
        <v>60</v>
      </c>
      <c r="AI157" s="10" t="s">
        <v>61</v>
      </c>
      <c r="AJ157" s="10" t="s">
        <v>1607</v>
      </c>
      <c r="AK157" s="10" t="s">
        <v>1833</v>
      </c>
      <c r="AL157" s="10" t="s">
        <v>64</v>
      </c>
      <c r="AM157" s="10" t="s">
        <v>1834</v>
      </c>
      <c r="AN157" s="10" t="s">
        <v>50</v>
      </c>
      <c r="AO157" s="11" t="s">
        <v>50</v>
      </c>
      <c r="AP157" s="10" t="s">
        <v>50</v>
      </c>
      <c r="AQ157" s="10" t="s">
        <v>50</v>
      </c>
      <c r="AR157" s="10" t="s">
        <v>50</v>
      </c>
      <c r="AS157" s="10" t="s">
        <v>50</v>
      </c>
      <c r="AT157" s="10" t="s">
        <v>50</v>
      </c>
      <c r="AU157" s="10" t="s">
        <v>50</v>
      </c>
      <c r="AV157" s="11"/>
      <c r="AW157" s="10" t="s">
        <v>66</v>
      </c>
      <c r="AX157" s="10"/>
      <c r="AY157" s="10" t="s">
        <v>66</v>
      </c>
    </row>
    <row r="158" ht="22.5" hidden="1" customHeight="1">
      <c r="A158" s="9" t="s">
        <v>1835</v>
      </c>
      <c r="B158" s="10" t="s">
        <v>1836</v>
      </c>
      <c r="C158" s="10" t="s">
        <v>43</v>
      </c>
      <c r="D158" s="10" t="s">
        <v>734</v>
      </c>
      <c r="E158" s="10" t="s">
        <v>66</v>
      </c>
      <c r="F158" s="11">
        <v>1.0</v>
      </c>
      <c r="G158" s="11">
        <v>79.2</v>
      </c>
      <c r="H158" s="11"/>
      <c r="I158" s="11">
        <v>-13.46</v>
      </c>
      <c r="J158" s="11">
        <v>-20.45</v>
      </c>
      <c r="K158" s="11"/>
      <c r="L158" s="11">
        <v>45.29</v>
      </c>
      <c r="M158" s="10" t="s">
        <v>46</v>
      </c>
      <c r="N158" s="10" t="s">
        <v>50</v>
      </c>
      <c r="O158" s="10" t="s">
        <v>127</v>
      </c>
      <c r="P158" s="10" t="s">
        <v>128</v>
      </c>
      <c r="Q158" s="10" t="s">
        <v>129</v>
      </c>
      <c r="R158" s="10" t="s">
        <v>74</v>
      </c>
      <c r="S158" s="11">
        <v>79.2</v>
      </c>
      <c r="T158" s="11">
        <v>17.68</v>
      </c>
      <c r="U158" s="11" t="s">
        <v>51</v>
      </c>
      <c r="V158" s="10" t="s">
        <v>52</v>
      </c>
      <c r="W158" s="10" t="s">
        <v>1837</v>
      </c>
      <c r="X158" s="10" t="s">
        <v>1838</v>
      </c>
      <c r="Y158" s="10" t="s">
        <v>1839</v>
      </c>
      <c r="Z158" s="10" t="s">
        <v>50</v>
      </c>
      <c r="AA158" s="10" t="s">
        <v>50</v>
      </c>
      <c r="AB158" s="10" t="s">
        <v>1837</v>
      </c>
      <c r="AC158" s="10" t="s">
        <v>1840</v>
      </c>
      <c r="AD158" s="10" t="s">
        <v>1841</v>
      </c>
      <c r="AE158" s="10" t="s">
        <v>1842</v>
      </c>
      <c r="AF158" s="10" t="s">
        <v>284</v>
      </c>
      <c r="AG158" s="10" t="s">
        <v>1843</v>
      </c>
      <c r="AH158" s="10" t="s">
        <v>60</v>
      </c>
      <c r="AI158" s="10" t="s">
        <v>61</v>
      </c>
      <c r="AJ158" s="10" t="s">
        <v>847</v>
      </c>
      <c r="AK158" s="10" t="s">
        <v>1844</v>
      </c>
      <c r="AL158" s="10" t="s">
        <v>64</v>
      </c>
      <c r="AM158" s="10" t="s">
        <v>1845</v>
      </c>
      <c r="AN158" s="10" t="s">
        <v>50</v>
      </c>
      <c r="AO158" s="11" t="s">
        <v>50</v>
      </c>
      <c r="AP158" s="10" t="s">
        <v>50</v>
      </c>
      <c r="AQ158" s="10" t="s">
        <v>50</v>
      </c>
      <c r="AR158" s="10" t="s">
        <v>50</v>
      </c>
      <c r="AS158" s="10" t="s">
        <v>50</v>
      </c>
      <c r="AT158" s="10" t="s">
        <v>50</v>
      </c>
      <c r="AU158" s="10" t="s">
        <v>50</v>
      </c>
      <c r="AV158" s="11"/>
      <c r="AW158" s="10" t="s">
        <v>66</v>
      </c>
      <c r="AX158" s="10"/>
      <c r="AY158" s="10" t="s">
        <v>66</v>
      </c>
    </row>
    <row r="159" ht="22.5" hidden="1" customHeight="1">
      <c r="A159" s="9" t="s">
        <v>1846</v>
      </c>
      <c r="B159" s="10" t="s">
        <v>1847</v>
      </c>
      <c r="C159" s="10" t="s">
        <v>69</v>
      </c>
      <c r="D159" s="10" t="s">
        <v>402</v>
      </c>
      <c r="E159" s="10" t="s">
        <v>45</v>
      </c>
      <c r="F159" s="11">
        <v>1.0</v>
      </c>
      <c r="G159" s="11">
        <v>84.0</v>
      </c>
      <c r="H159" s="11"/>
      <c r="I159" s="11">
        <v>-14.28</v>
      </c>
      <c r="J159" s="11">
        <v>-20.45</v>
      </c>
      <c r="K159" s="11">
        <v>-49.27</v>
      </c>
      <c r="L159" s="11">
        <v>0.0</v>
      </c>
      <c r="M159" s="10" t="s">
        <v>46</v>
      </c>
      <c r="N159" s="10" t="s">
        <v>45</v>
      </c>
      <c r="O159" s="10" t="s">
        <v>265</v>
      </c>
      <c r="P159" s="10" t="s">
        <v>266</v>
      </c>
      <c r="Q159" s="10" t="s">
        <v>267</v>
      </c>
      <c r="R159" s="10" t="s">
        <v>74</v>
      </c>
      <c r="S159" s="11">
        <v>84.0</v>
      </c>
      <c r="T159" s="11"/>
      <c r="U159" s="11" t="s">
        <v>51</v>
      </c>
      <c r="V159" s="10" t="s">
        <v>52</v>
      </c>
      <c r="W159" s="10" t="s">
        <v>1848</v>
      </c>
      <c r="X159" s="10" t="s">
        <v>1849</v>
      </c>
      <c r="Y159" s="10" t="s">
        <v>1850</v>
      </c>
      <c r="Z159" s="10" t="s">
        <v>50</v>
      </c>
      <c r="AA159" s="10" t="s">
        <v>50</v>
      </c>
      <c r="AB159" s="10" t="s">
        <v>1848</v>
      </c>
      <c r="AC159" s="10" t="s">
        <v>1851</v>
      </c>
      <c r="AD159" s="10" t="s">
        <v>50</v>
      </c>
      <c r="AE159" s="10" t="s">
        <v>740</v>
      </c>
      <c r="AF159" s="10" t="s">
        <v>119</v>
      </c>
      <c r="AG159" s="10" t="s">
        <v>1852</v>
      </c>
      <c r="AH159" s="10" t="s">
        <v>60</v>
      </c>
      <c r="AI159" s="10" t="s">
        <v>61</v>
      </c>
      <c r="AJ159" s="10" t="s">
        <v>50</v>
      </c>
      <c r="AK159" s="10" t="s">
        <v>50</v>
      </c>
      <c r="AL159" s="10" t="s">
        <v>64</v>
      </c>
      <c r="AM159" s="10" t="s">
        <v>1853</v>
      </c>
      <c r="AN159" s="10" t="s">
        <v>50</v>
      </c>
      <c r="AO159" s="11" t="s">
        <v>50</v>
      </c>
      <c r="AP159" s="10" t="s">
        <v>50</v>
      </c>
      <c r="AQ159" s="10" t="s">
        <v>50</v>
      </c>
      <c r="AR159" s="10" t="s">
        <v>50</v>
      </c>
      <c r="AS159" s="10" t="s">
        <v>50</v>
      </c>
      <c r="AT159" s="10" t="s">
        <v>50</v>
      </c>
      <c r="AU159" s="10" t="s">
        <v>50</v>
      </c>
      <c r="AV159" s="11"/>
      <c r="AW159" s="10" t="s">
        <v>66</v>
      </c>
      <c r="AX159" s="10"/>
      <c r="AY159" s="10" t="s">
        <v>66</v>
      </c>
    </row>
    <row r="160" ht="22.5" hidden="1" customHeight="1">
      <c r="A160" s="9" t="s">
        <v>1854</v>
      </c>
      <c r="B160" s="10" t="s">
        <v>1855</v>
      </c>
      <c r="C160" s="10" t="s">
        <v>43</v>
      </c>
      <c r="D160" s="10" t="s">
        <v>1398</v>
      </c>
      <c r="E160" s="10" t="s">
        <v>66</v>
      </c>
      <c r="F160" s="11">
        <v>1.0</v>
      </c>
      <c r="G160" s="11">
        <v>80.0</v>
      </c>
      <c r="H160" s="11"/>
      <c r="I160" s="11">
        <v>-13.6</v>
      </c>
      <c r="J160" s="11">
        <v>-19.95</v>
      </c>
      <c r="K160" s="11"/>
      <c r="L160" s="11">
        <v>50.45</v>
      </c>
      <c r="M160" s="10" t="s">
        <v>46</v>
      </c>
      <c r="N160" s="10" t="s">
        <v>45</v>
      </c>
      <c r="O160" s="10" t="s">
        <v>143</v>
      </c>
      <c r="P160" s="10" t="s">
        <v>144</v>
      </c>
      <c r="Q160" s="10" t="s">
        <v>145</v>
      </c>
      <c r="R160" s="10" t="s">
        <v>74</v>
      </c>
      <c r="S160" s="11">
        <v>80.0</v>
      </c>
      <c r="T160" s="11">
        <v>33.38</v>
      </c>
      <c r="U160" s="11" t="s">
        <v>51</v>
      </c>
      <c r="V160" s="10" t="s">
        <v>52</v>
      </c>
      <c r="W160" s="10" t="s">
        <v>1856</v>
      </c>
      <c r="X160" s="10" t="s">
        <v>1857</v>
      </c>
      <c r="Y160" s="10" t="s">
        <v>1858</v>
      </c>
      <c r="Z160" s="10" t="s">
        <v>50</v>
      </c>
      <c r="AA160" s="10" t="s">
        <v>50</v>
      </c>
      <c r="AB160" s="10" t="s">
        <v>1856</v>
      </c>
      <c r="AC160" s="10" t="s">
        <v>1859</v>
      </c>
      <c r="AD160" s="10" t="s">
        <v>1860</v>
      </c>
      <c r="AE160" s="10" t="s">
        <v>1861</v>
      </c>
      <c r="AF160" s="10" t="s">
        <v>58</v>
      </c>
      <c r="AG160" s="10" t="s">
        <v>1862</v>
      </c>
      <c r="AH160" s="10" t="s">
        <v>60</v>
      </c>
      <c r="AI160" s="10" t="s">
        <v>61</v>
      </c>
      <c r="AJ160" s="10" t="s">
        <v>1619</v>
      </c>
      <c r="AK160" s="10" t="s">
        <v>1863</v>
      </c>
      <c r="AL160" s="10" t="s">
        <v>64</v>
      </c>
      <c r="AM160" s="10" t="s">
        <v>1864</v>
      </c>
      <c r="AN160" s="10" t="s">
        <v>50</v>
      </c>
      <c r="AO160" s="11" t="s">
        <v>50</v>
      </c>
      <c r="AP160" s="10" t="s">
        <v>50</v>
      </c>
      <c r="AQ160" s="10" t="s">
        <v>50</v>
      </c>
      <c r="AR160" s="10" t="s">
        <v>50</v>
      </c>
      <c r="AS160" s="10" t="s">
        <v>50</v>
      </c>
      <c r="AT160" s="10" t="s">
        <v>50</v>
      </c>
      <c r="AU160" s="10" t="s">
        <v>50</v>
      </c>
      <c r="AV160" s="11"/>
      <c r="AW160" s="10" t="s">
        <v>66</v>
      </c>
      <c r="AX160" s="10"/>
      <c r="AY160" s="10" t="s">
        <v>66</v>
      </c>
    </row>
    <row r="161" ht="22.5" hidden="1" customHeight="1">
      <c r="A161" s="9" t="s">
        <v>1865</v>
      </c>
      <c r="B161" s="10" t="s">
        <v>1866</v>
      </c>
      <c r="C161" s="10" t="s">
        <v>43</v>
      </c>
      <c r="D161" s="10" t="s">
        <v>759</v>
      </c>
      <c r="E161" s="10" t="s">
        <v>45</v>
      </c>
      <c r="F161" s="11">
        <v>1.0</v>
      </c>
      <c r="G161" s="11">
        <v>79.0</v>
      </c>
      <c r="H161" s="11"/>
      <c r="I161" s="11">
        <v>-13.43</v>
      </c>
      <c r="J161" s="11">
        <v>-20.45</v>
      </c>
      <c r="K161" s="11"/>
      <c r="L161" s="11">
        <v>45.12</v>
      </c>
      <c r="M161" s="10" t="s">
        <v>46</v>
      </c>
      <c r="N161" s="10" t="s">
        <v>45</v>
      </c>
      <c r="O161" s="10" t="s">
        <v>160</v>
      </c>
      <c r="P161" s="10" t="s">
        <v>161</v>
      </c>
      <c r="Q161" s="10" t="s">
        <v>162</v>
      </c>
      <c r="R161" s="10" t="s">
        <v>74</v>
      </c>
      <c r="S161" s="11">
        <v>79.0</v>
      </c>
      <c r="T161" s="18">
        <v>2.49</v>
      </c>
      <c r="U161" s="11" t="s">
        <v>51</v>
      </c>
      <c r="V161" s="10" t="s">
        <v>52</v>
      </c>
      <c r="W161" s="10" t="s">
        <v>1867</v>
      </c>
      <c r="X161" s="10" t="s">
        <v>1868</v>
      </c>
      <c r="Y161" s="10" t="s">
        <v>1869</v>
      </c>
      <c r="Z161" s="10" t="s">
        <v>50</v>
      </c>
      <c r="AA161" s="10" t="s">
        <v>50</v>
      </c>
      <c r="AB161" s="10" t="s">
        <v>1867</v>
      </c>
      <c r="AC161" s="10" t="s">
        <v>1870</v>
      </c>
      <c r="AD161" s="10" t="s">
        <v>1871</v>
      </c>
      <c r="AE161" s="10" t="s">
        <v>373</v>
      </c>
      <c r="AF161" s="10" t="s">
        <v>58</v>
      </c>
      <c r="AG161" s="10" t="s">
        <v>1872</v>
      </c>
      <c r="AH161" s="10" t="s">
        <v>60</v>
      </c>
      <c r="AI161" s="10" t="s">
        <v>61</v>
      </c>
      <c r="AJ161" s="10" t="s">
        <v>755</v>
      </c>
      <c r="AK161" s="10" t="s">
        <v>1873</v>
      </c>
      <c r="AL161" s="10" t="s">
        <v>64</v>
      </c>
      <c r="AM161" s="10" t="s">
        <v>1874</v>
      </c>
      <c r="AN161" s="10" t="s">
        <v>50</v>
      </c>
      <c r="AO161" s="11" t="s">
        <v>50</v>
      </c>
      <c r="AP161" s="10" t="s">
        <v>50</v>
      </c>
      <c r="AQ161" s="10" t="s">
        <v>50</v>
      </c>
      <c r="AR161" s="10" t="s">
        <v>50</v>
      </c>
      <c r="AS161" s="10" t="s">
        <v>50</v>
      </c>
      <c r="AT161" s="10" t="s">
        <v>50</v>
      </c>
      <c r="AU161" s="10" t="s">
        <v>50</v>
      </c>
      <c r="AV161" s="11"/>
      <c r="AW161" s="10" t="s">
        <v>66</v>
      </c>
      <c r="AX161" s="10"/>
      <c r="AY161" s="10" t="s">
        <v>66</v>
      </c>
    </row>
    <row r="162" ht="22.5" hidden="1" customHeight="1">
      <c r="A162" s="9" t="s">
        <v>1875</v>
      </c>
      <c r="B162" s="10" t="s">
        <v>1876</v>
      </c>
      <c r="C162" s="10" t="s">
        <v>43</v>
      </c>
      <c r="D162" s="10" t="s">
        <v>191</v>
      </c>
      <c r="E162" s="10" t="s">
        <v>66</v>
      </c>
      <c r="F162" s="11">
        <v>1.0</v>
      </c>
      <c r="G162" s="11">
        <v>80.0</v>
      </c>
      <c r="H162" s="11"/>
      <c r="I162" s="11">
        <v>-13.6</v>
      </c>
      <c r="J162" s="11">
        <v>-19.95</v>
      </c>
      <c r="K162" s="11"/>
      <c r="L162" s="11">
        <v>50.45</v>
      </c>
      <c r="M162" s="10" t="s">
        <v>46</v>
      </c>
      <c r="N162" s="10" t="s">
        <v>45</v>
      </c>
      <c r="O162" s="10" t="s">
        <v>143</v>
      </c>
      <c r="P162" s="10" t="s">
        <v>144</v>
      </c>
      <c r="Q162" s="10" t="s">
        <v>145</v>
      </c>
      <c r="R162" s="10" t="s">
        <v>74</v>
      </c>
      <c r="S162" s="11">
        <v>80.0</v>
      </c>
      <c r="T162" s="11">
        <v>33.38</v>
      </c>
      <c r="U162" s="11" t="s">
        <v>51</v>
      </c>
      <c r="V162" s="10" t="s">
        <v>52</v>
      </c>
      <c r="W162" s="10" t="s">
        <v>1877</v>
      </c>
      <c r="X162" s="10" t="s">
        <v>1878</v>
      </c>
      <c r="Y162" s="10" t="s">
        <v>1879</v>
      </c>
      <c r="Z162" s="10" t="s">
        <v>50</v>
      </c>
      <c r="AA162" s="10" t="s">
        <v>50</v>
      </c>
      <c r="AB162" s="10" t="s">
        <v>1877</v>
      </c>
      <c r="AC162" s="10" t="s">
        <v>1880</v>
      </c>
      <c r="AD162" s="10" t="s">
        <v>1881</v>
      </c>
      <c r="AE162" s="10" t="s">
        <v>1882</v>
      </c>
      <c r="AF162" s="10" t="s">
        <v>284</v>
      </c>
      <c r="AG162" s="10" t="s">
        <v>1883</v>
      </c>
      <c r="AH162" s="10" t="s">
        <v>60</v>
      </c>
      <c r="AI162" s="10" t="s">
        <v>61</v>
      </c>
      <c r="AJ162" s="10" t="s">
        <v>1359</v>
      </c>
      <c r="AK162" s="10" t="s">
        <v>1765</v>
      </c>
      <c r="AL162" s="10" t="s">
        <v>64</v>
      </c>
      <c r="AM162" s="10" t="s">
        <v>1884</v>
      </c>
      <c r="AN162" s="10" t="s">
        <v>50</v>
      </c>
      <c r="AO162" s="11" t="s">
        <v>50</v>
      </c>
      <c r="AP162" s="10" t="s">
        <v>50</v>
      </c>
      <c r="AQ162" s="10" t="s">
        <v>50</v>
      </c>
      <c r="AR162" s="10" t="s">
        <v>50</v>
      </c>
      <c r="AS162" s="10" t="s">
        <v>50</v>
      </c>
      <c r="AT162" s="10" t="s">
        <v>50</v>
      </c>
      <c r="AU162" s="10" t="s">
        <v>50</v>
      </c>
      <c r="AV162" s="11"/>
      <c r="AW162" s="10" t="s">
        <v>66</v>
      </c>
      <c r="AX162" s="10"/>
      <c r="AY162" s="10" t="s">
        <v>66</v>
      </c>
    </row>
    <row r="163" ht="22.5" hidden="1" customHeight="1">
      <c r="A163" s="9" t="s">
        <v>1885</v>
      </c>
      <c r="B163" s="10" t="s">
        <v>1886</v>
      </c>
      <c r="C163" s="10" t="s">
        <v>43</v>
      </c>
      <c r="D163" s="10" t="s">
        <v>125</v>
      </c>
      <c r="E163" s="10" t="s">
        <v>45</v>
      </c>
      <c r="F163" s="11">
        <v>2.0</v>
      </c>
      <c r="G163" s="11">
        <v>158.0</v>
      </c>
      <c r="H163" s="11"/>
      <c r="I163" s="11">
        <v>-26.86</v>
      </c>
      <c r="J163" s="11">
        <v>-40.9</v>
      </c>
      <c r="K163" s="11"/>
      <c r="L163" s="11">
        <v>90.24</v>
      </c>
      <c r="M163" s="10" t="s">
        <v>46</v>
      </c>
      <c r="N163" s="10" t="s">
        <v>45</v>
      </c>
      <c r="O163" s="10" t="s">
        <v>160</v>
      </c>
      <c r="P163" s="10" t="s">
        <v>161</v>
      </c>
      <c r="Q163" s="10" t="s">
        <v>162</v>
      </c>
      <c r="R163" s="10" t="s">
        <v>74</v>
      </c>
      <c r="S163" s="11">
        <v>79.0</v>
      </c>
      <c r="T163" s="18">
        <f>2*2.49</f>
        <v>4.98</v>
      </c>
      <c r="U163" s="11" t="s">
        <v>51</v>
      </c>
      <c r="V163" s="10" t="s">
        <v>52</v>
      </c>
      <c r="W163" s="10" t="s">
        <v>1887</v>
      </c>
      <c r="X163" s="10" t="s">
        <v>1888</v>
      </c>
      <c r="Y163" s="10" t="s">
        <v>1889</v>
      </c>
      <c r="Z163" s="10" t="s">
        <v>50</v>
      </c>
      <c r="AA163" s="10" t="s">
        <v>50</v>
      </c>
      <c r="AB163" s="10" t="s">
        <v>1887</v>
      </c>
      <c r="AC163" s="10" t="s">
        <v>1890</v>
      </c>
      <c r="AD163" s="10" t="s">
        <v>1891</v>
      </c>
      <c r="AE163" s="10" t="s">
        <v>1416</v>
      </c>
      <c r="AF163" s="10" t="s">
        <v>1417</v>
      </c>
      <c r="AG163" s="10" t="s">
        <v>1892</v>
      </c>
      <c r="AH163" s="10" t="s">
        <v>60</v>
      </c>
      <c r="AI163" s="10" t="s">
        <v>61</v>
      </c>
      <c r="AJ163" s="10" t="s">
        <v>755</v>
      </c>
      <c r="AK163" s="10" t="s">
        <v>1893</v>
      </c>
      <c r="AL163" s="10" t="s">
        <v>64</v>
      </c>
      <c r="AM163" s="10" t="s">
        <v>1894</v>
      </c>
      <c r="AN163" s="10" t="s">
        <v>50</v>
      </c>
      <c r="AO163" s="11" t="s">
        <v>50</v>
      </c>
      <c r="AP163" s="10" t="s">
        <v>50</v>
      </c>
      <c r="AQ163" s="10" t="s">
        <v>50</v>
      </c>
      <c r="AR163" s="10" t="s">
        <v>50</v>
      </c>
      <c r="AS163" s="10" t="s">
        <v>50</v>
      </c>
      <c r="AT163" s="10" t="s">
        <v>50</v>
      </c>
      <c r="AU163" s="10" t="s">
        <v>50</v>
      </c>
      <c r="AV163" s="11"/>
      <c r="AW163" s="10" t="s">
        <v>66</v>
      </c>
      <c r="AX163" s="10"/>
      <c r="AY163" s="10" t="s">
        <v>66</v>
      </c>
    </row>
    <row r="164" ht="22.5" hidden="1" customHeight="1">
      <c r="A164" s="9" t="s">
        <v>1895</v>
      </c>
      <c r="B164" s="10" t="s">
        <v>1896</v>
      </c>
      <c r="C164" s="10" t="s">
        <v>43</v>
      </c>
      <c r="D164" s="10" t="s">
        <v>734</v>
      </c>
      <c r="E164" s="10" t="s">
        <v>66</v>
      </c>
      <c r="F164" s="11">
        <v>1.0</v>
      </c>
      <c r="G164" s="11">
        <v>43.7</v>
      </c>
      <c r="H164" s="11">
        <v>17.86</v>
      </c>
      <c r="I164" s="11">
        <v>-13.43</v>
      </c>
      <c r="J164" s="11">
        <v>-17.86</v>
      </c>
      <c r="K164" s="11"/>
      <c r="L164" s="11">
        <v>32.89</v>
      </c>
      <c r="M164" s="10" t="s">
        <v>46</v>
      </c>
      <c r="N164" s="10" t="s">
        <v>50</v>
      </c>
      <c r="O164" s="10" t="s">
        <v>176</v>
      </c>
      <c r="P164" s="10" t="s">
        <v>177</v>
      </c>
      <c r="Q164" s="10" t="s">
        <v>178</v>
      </c>
      <c r="R164" s="10" t="s">
        <v>74</v>
      </c>
      <c r="S164" s="11">
        <v>43.7</v>
      </c>
      <c r="T164" s="11">
        <v>22.58</v>
      </c>
      <c r="U164" s="11" t="s">
        <v>51</v>
      </c>
      <c r="V164" s="10" t="s">
        <v>52</v>
      </c>
      <c r="W164" s="10" t="s">
        <v>1897</v>
      </c>
      <c r="X164" s="10" t="s">
        <v>1898</v>
      </c>
      <c r="Y164" s="10" t="s">
        <v>1899</v>
      </c>
      <c r="Z164" s="10" t="s">
        <v>50</v>
      </c>
      <c r="AA164" s="10" t="s">
        <v>50</v>
      </c>
      <c r="AB164" s="10" t="s">
        <v>1897</v>
      </c>
      <c r="AC164" s="10" t="s">
        <v>1900</v>
      </c>
      <c r="AD164" s="10" t="s">
        <v>1901</v>
      </c>
      <c r="AE164" s="10" t="s">
        <v>1902</v>
      </c>
      <c r="AF164" s="10" t="s">
        <v>284</v>
      </c>
      <c r="AG164" s="10" t="s">
        <v>1903</v>
      </c>
      <c r="AH164" s="10" t="s">
        <v>60</v>
      </c>
      <c r="AI164" s="10" t="s">
        <v>61</v>
      </c>
      <c r="AJ164" s="10" t="s">
        <v>1359</v>
      </c>
      <c r="AK164" s="10" t="s">
        <v>1904</v>
      </c>
      <c r="AL164" s="10" t="s">
        <v>64</v>
      </c>
      <c r="AM164" s="10" t="s">
        <v>1905</v>
      </c>
      <c r="AN164" s="10" t="s">
        <v>50</v>
      </c>
      <c r="AO164" s="11" t="s">
        <v>50</v>
      </c>
      <c r="AP164" s="10" t="s">
        <v>50</v>
      </c>
      <c r="AQ164" s="10" t="s">
        <v>50</v>
      </c>
      <c r="AR164" s="10" t="s">
        <v>50</v>
      </c>
      <c r="AS164" s="10" t="s">
        <v>50</v>
      </c>
      <c r="AT164" s="10" t="s">
        <v>50</v>
      </c>
      <c r="AU164" s="10" t="s">
        <v>50</v>
      </c>
      <c r="AV164" s="11"/>
      <c r="AW164" s="10" t="s">
        <v>66</v>
      </c>
      <c r="AX164" s="10"/>
      <c r="AY164" s="10" t="s">
        <v>66</v>
      </c>
    </row>
    <row r="165" ht="22.5" hidden="1" customHeight="1">
      <c r="A165" s="9" t="s">
        <v>1906</v>
      </c>
      <c r="B165" s="10" t="s">
        <v>1907</v>
      </c>
      <c r="C165" s="10" t="s">
        <v>43</v>
      </c>
      <c r="D165" s="10" t="s">
        <v>759</v>
      </c>
      <c r="E165" s="10" t="s">
        <v>66</v>
      </c>
      <c r="F165" s="11">
        <v>1.0</v>
      </c>
      <c r="G165" s="11">
        <v>80.5</v>
      </c>
      <c r="H165" s="11"/>
      <c r="I165" s="11">
        <v>-15.3</v>
      </c>
      <c r="J165" s="11">
        <v>-19.95</v>
      </c>
      <c r="K165" s="11"/>
      <c r="L165" s="11">
        <v>45.25</v>
      </c>
      <c r="M165" s="10" t="s">
        <v>46</v>
      </c>
      <c r="N165" s="10" t="s">
        <v>45</v>
      </c>
      <c r="O165" s="10" t="s">
        <v>47</v>
      </c>
      <c r="P165" s="10" t="s">
        <v>48</v>
      </c>
      <c r="Q165" s="10" t="s">
        <v>49</v>
      </c>
      <c r="R165" s="10" t="s">
        <v>50</v>
      </c>
      <c r="S165" s="11">
        <v>80.5</v>
      </c>
      <c r="T165" s="11">
        <v>12.45</v>
      </c>
      <c r="U165" s="11" t="s">
        <v>51</v>
      </c>
      <c r="V165" s="10" t="s">
        <v>52</v>
      </c>
      <c r="W165" s="10" t="s">
        <v>1908</v>
      </c>
      <c r="X165" s="10" t="s">
        <v>1909</v>
      </c>
      <c r="Y165" s="10" t="s">
        <v>1910</v>
      </c>
      <c r="Z165" s="10" t="s">
        <v>50</v>
      </c>
      <c r="AA165" s="10" t="s">
        <v>50</v>
      </c>
      <c r="AB165" s="10" t="s">
        <v>1908</v>
      </c>
      <c r="AC165" s="10" t="s">
        <v>1911</v>
      </c>
      <c r="AD165" s="10" t="s">
        <v>1912</v>
      </c>
      <c r="AE165" s="10" t="s">
        <v>296</v>
      </c>
      <c r="AF165" s="10" t="s">
        <v>58</v>
      </c>
      <c r="AG165" s="10" t="s">
        <v>1913</v>
      </c>
      <c r="AH165" s="10" t="s">
        <v>60</v>
      </c>
      <c r="AI165" s="10" t="s">
        <v>61</v>
      </c>
      <c r="AJ165" s="10" t="s">
        <v>788</v>
      </c>
      <c r="AK165" s="10" t="s">
        <v>1914</v>
      </c>
      <c r="AL165" s="10" t="s">
        <v>64</v>
      </c>
      <c r="AM165" s="10" t="s">
        <v>1915</v>
      </c>
      <c r="AN165" s="10" t="s">
        <v>50</v>
      </c>
      <c r="AO165" s="11" t="s">
        <v>50</v>
      </c>
      <c r="AP165" s="10" t="s">
        <v>50</v>
      </c>
      <c r="AQ165" s="10" t="s">
        <v>50</v>
      </c>
      <c r="AR165" s="10" t="s">
        <v>50</v>
      </c>
      <c r="AS165" s="10" t="s">
        <v>50</v>
      </c>
      <c r="AT165" s="10" t="s">
        <v>50</v>
      </c>
      <c r="AU165" s="10" t="s">
        <v>50</v>
      </c>
      <c r="AV165" s="11"/>
      <c r="AW165" s="10" t="s">
        <v>66</v>
      </c>
      <c r="AX165" s="10"/>
      <c r="AY165" s="10" t="s">
        <v>66</v>
      </c>
    </row>
    <row r="166" ht="22.5" hidden="1" customHeight="1">
      <c r="A166" s="9" t="s">
        <v>1916</v>
      </c>
      <c r="B166" s="10" t="s">
        <v>1917</v>
      </c>
      <c r="C166" s="10" t="s">
        <v>43</v>
      </c>
      <c r="D166" s="10" t="s">
        <v>1398</v>
      </c>
      <c r="E166" s="10" t="s">
        <v>45</v>
      </c>
      <c r="F166" s="11">
        <v>1.0</v>
      </c>
      <c r="G166" s="11">
        <v>80.0</v>
      </c>
      <c r="H166" s="11"/>
      <c r="I166" s="11">
        <v>-13.6</v>
      </c>
      <c r="J166" s="11">
        <v>-19.95</v>
      </c>
      <c r="K166" s="11"/>
      <c r="L166" s="11">
        <v>50.45</v>
      </c>
      <c r="M166" s="10" t="s">
        <v>46</v>
      </c>
      <c r="N166" s="10" t="s">
        <v>50</v>
      </c>
      <c r="O166" s="10" t="s">
        <v>143</v>
      </c>
      <c r="P166" s="10" t="s">
        <v>144</v>
      </c>
      <c r="Q166" s="10" t="s">
        <v>145</v>
      </c>
      <c r="R166" s="10" t="s">
        <v>74</v>
      </c>
      <c r="S166" s="11">
        <v>80.0</v>
      </c>
      <c r="T166" s="11">
        <v>33.38</v>
      </c>
      <c r="U166" s="11" t="s">
        <v>51</v>
      </c>
      <c r="V166" s="10" t="s">
        <v>52</v>
      </c>
      <c r="W166" s="10" t="s">
        <v>1918</v>
      </c>
      <c r="X166" s="10" t="s">
        <v>1919</v>
      </c>
      <c r="Y166" s="10" t="s">
        <v>1920</v>
      </c>
      <c r="Z166" s="10" t="s">
        <v>50</v>
      </c>
      <c r="AA166" s="10" t="s">
        <v>50</v>
      </c>
      <c r="AB166" s="10" t="s">
        <v>1918</v>
      </c>
      <c r="AC166" s="10" t="s">
        <v>1921</v>
      </c>
      <c r="AD166" s="10" t="s">
        <v>1922</v>
      </c>
      <c r="AE166" s="10" t="s">
        <v>1923</v>
      </c>
      <c r="AF166" s="10" t="s">
        <v>323</v>
      </c>
      <c r="AG166" s="10" t="s">
        <v>1924</v>
      </c>
      <c r="AH166" s="10" t="s">
        <v>60</v>
      </c>
      <c r="AI166" s="10" t="s">
        <v>61</v>
      </c>
      <c r="AJ166" s="10" t="s">
        <v>1925</v>
      </c>
      <c r="AK166" s="10" t="s">
        <v>1926</v>
      </c>
      <c r="AL166" s="10" t="s">
        <v>64</v>
      </c>
      <c r="AM166" s="10" t="s">
        <v>1927</v>
      </c>
      <c r="AN166" s="10" t="s">
        <v>50</v>
      </c>
      <c r="AO166" s="11" t="s">
        <v>50</v>
      </c>
      <c r="AP166" s="10" t="s">
        <v>50</v>
      </c>
      <c r="AQ166" s="10" t="s">
        <v>50</v>
      </c>
      <c r="AR166" s="10" t="s">
        <v>50</v>
      </c>
      <c r="AS166" s="10" t="s">
        <v>50</v>
      </c>
      <c r="AT166" s="10" t="s">
        <v>50</v>
      </c>
      <c r="AU166" s="10" t="s">
        <v>50</v>
      </c>
      <c r="AV166" s="11"/>
      <c r="AW166" s="10" t="s">
        <v>66</v>
      </c>
      <c r="AX166" s="10"/>
      <c r="AY166" s="10" t="s">
        <v>66</v>
      </c>
    </row>
    <row r="167" ht="22.5" hidden="1" customHeight="1">
      <c r="A167" s="9" t="s">
        <v>1928</v>
      </c>
      <c r="B167" s="10" t="s">
        <v>1929</v>
      </c>
      <c r="C167" s="10" t="s">
        <v>354</v>
      </c>
      <c r="D167" s="10" t="s">
        <v>1930</v>
      </c>
      <c r="E167" s="10" t="s">
        <v>66</v>
      </c>
      <c r="F167" s="11">
        <v>1.0</v>
      </c>
      <c r="G167" s="11">
        <v>92.15</v>
      </c>
      <c r="H167" s="11"/>
      <c r="I167" s="11">
        <v>-17.51</v>
      </c>
      <c r="J167" s="11">
        <v>-20.45</v>
      </c>
      <c r="K167" s="11"/>
      <c r="L167" s="11">
        <v>59.72</v>
      </c>
      <c r="M167" s="10" t="s">
        <v>46</v>
      </c>
      <c r="N167" s="10" t="s">
        <v>50</v>
      </c>
      <c r="O167" s="10" t="s">
        <v>586</v>
      </c>
      <c r="P167" s="10" t="s">
        <v>587</v>
      </c>
      <c r="Q167" s="10" t="s">
        <v>588</v>
      </c>
      <c r="R167" s="10" t="s">
        <v>50</v>
      </c>
      <c r="S167" s="11">
        <v>92.15</v>
      </c>
      <c r="T167" s="11">
        <v>20.76</v>
      </c>
      <c r="U167" s="11" t="s">
        <v>51</v>
      </c>
      <c r="V167" s="10" t="s">
        <v>52</v>
      </c>
      <c r="W167" s="10" t="s">
        <v>1931</v>
      </c>
      <c r="X167" s="10" t="s">
        <v>1932</v>
      </c>
      <c r="Y167" s="10" t="s">
        <v>1933</v>
      </c>
      <c r="Z167" s="10" t="s">
        <v>50</v>
      </c>
      <c r="AA167" s="10" t="s">
        <v>50</v>
      </c>
      <c r="AB167" s="10" t="s">
        <v>1931</v>
      </c>
      <c r="AC167" s="10" t="s">
        <v>1934</v>
      </c>
      <c r="AD167" s="10" t="s">
        <v>1935</v>
      </c>
      <c r="AE167" s="10" t="s">
        <v>1936</v>
      </c>
      <c r="AF167" s="10" t="s">
        <v>58</v>
      </c>
      <c r="AG167" s="10" t="s">
        <v>1937</v>
      </c>
      <c r="AH167" s="10" t="s">
        <v>60</v>
      </c>
      <c r="AI167" s="10" t="s">
        <v>61</v>
      </c>
      <c r="AJ167" s="10" t="s">
        <v>718</v>
      </c>
      <c r="AK167" s="10" t="s">
        <v>50</v>
      </c>
      <c r="AL167" s="10" t="s">
        <v>64</v>
      </c>
      <c r="AM167" s="10" t="s">
        <v>1938</v>
      </c>
      <c r="AN167" s="10" t="s">
        <v>1939</v>
      </c>
      <c r="AO167" s="11" t="s">
        <v>50</v>
      </c>
      <c r="AP167" s="10" t="s">
        <v>50</v>
      </c>
      <c r="AQ167" s="10" t="s">
        <v>50</v>
      </c>
      <c r="AR167" s="10" t="s">
        <v>50</v>
      </c>
      <c r="AS167" s="10" t="s">
        <v>50</v>
      </c>
      <c r="AT167" s="10" t="s">
        <v>50</v>
      </c>
      <c r="AU167" s="10" t="s">
        <v>50</v>
      </c>
      <c r="AV167" s="11"/>
      <c r="AW167" s="10" t="s">
        <v>66</v>
      </c>
      <c r="AX167" s="10"/>
      <c r="AY167" s="10" t="s">
        <v>66</v>
      </c>
    </row>
    <row r="168" ht="22.5" hidden="1" customHeight="1">
      <c r="A168" s="9" t="s">
        <v>1940</v>
      </c>
      <c r="B168" s="10" t="s">
        <v>1941</v>
      </c>
      <c r="C168" s="10" t="s">
        <v>43</v>
      </c>
      <c r="D168" s="10" t="s">
        <v>1398</v>
      </c>
      <c r="E168" s="10" t="s">
        <v>66</v>
      </c>
      <c r="F168" s="11">
        <v>1.0</v>
      </c>
      <c r="G168" s="11">
        <v>43.7</v>
      </c>
      <c r="H168" s="11">
        <v>14.63</v>
      </c>
      <c r="I168" s="11">
        <v>-13.43</v>
      </c>
      <c r="J168" s="11">
        <v>-14.63</v>
      </c>
      <c r="K168" s="11"/>
      <c r="L168" s="11">
        <v>32.89</v>
      </c>
      <c r="M168" s="10" t="s">
        <v>46</v>
      </c>
      <c r="N168" s="10" t="s">
        <v>50</v>
      </c>
      <c r="O168" s="10" t="s">
        <v>176</v>
      </c>
      <c r="P168" s="10" t="s">
        <v>177</v>
      </c>
      <c r="Q168" s="10" t="s">
        <v>178</v>
      </c>
      <c r="R168" s="10" t="s">
        <v>74</v>
      </c>
      <c r="S168" s="11">
        <v>43.7</v>
      </c>
      <c r="T168" s="11">
        <v>22.58</v>
      </c>
      <c r="U168" s="11" t="s">
        <v>51</v>
      </c>
      <c r="V168" s="10" t="s">
        <v>52</v>
      </c>
      <c r="W168" s="10" t="s">
        <v>1942</v>
      </c>
      <c r="X168" s="10" t="s">
        <v>1943</v>
      </c>
      <c r="Y168" s="10" t="s">
        <v>1944</v>
      </c>
      <c r="Z168" s="10" t="s">
        <v>50</v>
      </c>
      <c r="AA168" s="10" t="s">
        <v>50</v>
      </c>
      <c r="AB168" s="10" t="s">
        <v>1942</v>
      </c>
      <c r="AC168" s="10" t="s">
        <v>1945</v>
      </c>
      <c r="AD168" s="10" t="s">
        <v>1946</v>
      </c>
      <c r="AE168" s="10" t="s">
        <v>58</v>
      </c>
      <c r="AF168" s="10" t="s">
        <v>58</v>
      </c>
      <c r="AG168" s="10" t="s">
        <v>1947</v>
      </c>
      <c r="AH168" s="10" t="s">
        <v>60</v>
      </c>
      <c r="AI168" s="10" t="s">
        <v>61</v>
      </c>
      <c r="AJ168" s="10" t="s">
        <v>1406</v>
      </c>
      <c r="AK168" s="10" t="s">
        <v>1948</v>
      </c>
      <c r="AL168" s="10" t="s">
        <v>64</v>
      </c>
      <c r="AM168" s="10" t="s">
        <v>1949</v>
      </c>
      <c r="AN168" s="10" t="s">
        <v>50</v>
      </c>
      <c r="AO168" s="11" t="s">
        <v>50</v>
      </c>
      <c r="AP168" s="10" t="s">
        <v>50</v>
      </c>
      <c r="AQ168" s="10" t="s">
        <v>50</v>
      </c>
      <c r="AR168" s="10" t="s">
        <v>50</v>
      </c>
      <c r="AS168" s="10" t="s">
        <v>50</v>
      </c>
      <c r="AT168" s="10" t="s">
        <v>50</v>
      </c>
      <c r="AU168" s="10" t="s">
        <v>50</v>
      </c>
      <c r="AV168" s="11"/>
      <c r="AW168" s="10" t="s">
        <v>66</v>
      </c>
      <c r="AX168" s="10"/>
      <c r="AY168" s="10" t="s">
        <v>66</v>
      </c>
    </row>
    <row r="169" ht="22.5" hidden="1" customHeight="1">
      <c r="A169" s="9" t="s">
        <v>1950</v>
      </c>
      <c r="B169" s="10" t="s">
        <v>1951</v>
      </c>
      <c r="C169" s="10" t="s">
        <v>43</v>
      </c>
      <c r="D169" s="10" t="s">
        <v>688</v>
      </c>
      <c r="E169" s="10" t="s">
        <v>66</v>
      </c>
      <c r="F169" s="11">
        <v>1.0</v>
      </c>
      <c r="G169" s="11">
        <v>120.0</v>
      </c>
      <c r="H169" s="11"/>
      <c r="I169" s="11">
        <v>-20.4</v>
      </c>
      <c r="J169" s="11">
        <v>-19.95</v>
      </c>
      <c r="K169" s="11"/>
      <c r="L169" s="11">
        <v>86.85</v>
      </c>
      <c r="M169" s="10" t="s">
        <v>46</v>
      </c>
      <c r="N169" s="10" t="s">
        <v>50</v>
      </c>
      <c r="O169" s="10" t="s">
        <v>85</v>
      </c>
      <c r="P169" s="10" t="s">
        <v>86</v>
      </c>
      <c r="Q169" s="10" t="s">
        <v>87</v>
      </c>
      <c r="R169" s="10" t="s">
        <v>74</v>
      </c>
      <c r="S169" s="11">
        <v>120.0</v>
      </c>
      <c r="T169" s="11">
        <v>65.78</v>
      </c>
      <c r="U169" s="11" t="s">
        <v>51</v>
      </c>
      <c r="V169" s="10" t="s">
        <v>52</v>
      </c>
      <c r="W169" s="10" t="s">
        <v>1952</v>
      </c>
      <c r="X169" s="10" t="s">
        <v>1953</v>
      </c>
      <c r="Y169" s="10" t="s">
        <v>1954</v>
      </c>
      <c r="Z169" s="10" t="s">
        <v>50</v>
      </c>
      <c r="AA169" s="10" t="s">
        <v>50</v>
      </c>
      <c r="AB169" s="10" t="s">
        <v>1952</v>
      </c>
      <c r="AC169" s="10" t="s">
        <v>1955</v>
      </c>
      <c r="AD169" s="10" t="s">
        <v>1956</v>
      </c>
      <c r="AE169" s="10" t="s">
        <v>1957</v>
      </c>
      <c r="AF169" s="10" t="s">
        <v>323</v>
      </c>
      <c r="AG169" s="10" t="s">
        <v>1958</v>
      </c>
      <c r="AH169" s="10" t="s">
        <v>60</v>
      </c>
      <c r="AI169" s="10" t="s">
        <v>61</v>
      </c>
      <c r="AJ169" s="10" t="s">
        <v>1959</v>
      </c>
      <c r="AK169" s="10" t="s">
        <v>1960</v>
      </c>
      <c r="AL169" s="10" t="s">
        <v>64</v>
      </c>
      <c r="AM169" s="10" t="s">
        <v>1961</v>
      </c>
      <c r="AN169" s="10" t="s">
        <v>50</v>
      </c>
      <c r="AO169" s="11" t="s">
        <v>50</v>
      </c>
      <c r="AP169" s="10" t="s">
        <v>50</v>
      </c>
      <c r="AQ169" s="10" t="s">
        <v>50</v>
      </c>
      <c r="AR169" s="10" t="s">
        <v>50</v>
      </c>
      <c r="AS169" s="10" t="s">
        <v>50</v>
      </c>
      <c r="AT169" s="10" t="s">
        <v>50</v>
      </c>
      <c r="AU169" s="10" t="s">
        <v>50</v>
      </c>
      <c r="AV169" s="11"/>
      <c r="AW169" s="10" t="s">
        <v>66</v>
      </c>
      <c r="AX169" s="10"/>
      <c r="AY169" s="10" t="s">
        <v>66</v>
      </c>
    </row>
    <row r="170" ht="22.5" hidden="1" customHeight="1">
      <c r="A170" s="9" t="s">
        <v>1962</v>
      </c>
      <c r="B170" s="10" t="s">
        <v>1963</v>
      </c>
      <c r="C170" s="10" t="s">
        <v>43</v>
      </c>
      <c r="D170" s="10" t="s">
        <v>1398</v>
      </c>
      <c r="E170" s="10" t="s">
        <v>66</v>
      </c>
      <c r="F170" s="11">
        <v>1.0</v>
      </c>
      <c r="G170" s="11">
        <v>92.15</v>
      </c>
      <c r="H170" s="11"/>
      <c r="I170" s="11">
        <v>-17.51</v>
      </c>
      <c r="J170" s="11">
        <v>-20.45</v>
      </c>
      <c r="K170" s="11"/>
      <c r="L170" s="11">
        <v>59.72</v>
      </c>
      <c r="M170" s="10" t="s">
        <v>46</v>
      </c>
      <c r="N170" s="10" t="s">
        <v>50</v>
      </c>
      <c r="O170" s="10" t="s">
        <v>586</v>
      </c>
      <c r="P170" s="10" t="s">
        <v>587</v>
      </c>
      <c r="Q170" s="10" t="s">
        <v>588</v>
      </c>
      <c r="R170" s="10" t="s">
        <v>50</v>
      </c>
      <c r="S170" s="11">
        <v>92.15</v>
      </c>
      <c r="T170" s="11">
        <v>20.76</v>
      </c>
      <c r="U170" s="11" t="s">
        <v>51</v>
      </c>
      <c r="V170" s="10" t="s">
        <v>52</v>
      </c>
      <c r="W170" s="10" t="s">
        <v>1964</v>
      </c>
      <c r="X170" s="10" t="s">
        <v>1965</v>
      </c>
      <c r="Y170" s="10" t="s">
        <v>1966</v>
      </c>
      <c r="Z170" s="10" t="s">
        <v>50</v>
      </c>
      <c r="AA170" s="10" t="s">
        <v>50</v>
      </c>
      <c r="AB170" s="10" t="s">
        <v>1964</v>
      </c>
      <c r="AC170" s="10" t="s">
        <v>1967</v>
      </c>
      <c r="AD170" s="10" t="s">
        <v>1968</v>
      </c>
      <c r="AE170" s="10" t="s">
        <v>1969</v>
      </c>
      <c r="AF170" s="10" t="s">
        <v>323</v>
      </c>
      <c r="AG170" s="10" t="s">
        <v>1970</v>
      </c>
      <c r="AH170" s="10" t="s">
        <v>60</v>
      </c>
      <c r="AI170" s="10" t="s">
        <v>61</v>
      </c>
      <c r="AJ170" s="10" t="s">
        <v>1971</v>
      </c>
      <c r="AK170" s="10" t="s">
        <v>1972</v>
      </c>
      <c r="AL170" s="10" t="s">
        <v>64</v>
      </c>
      <c r="AM170" s="10" t="s">
        <v>1973</v>
      </c>
      <c r="AN170" s="10" t="s">
        <v>50</v>
      </c>
      <c r="AO170" s="11" t="s">
        <v>50</v>
      </c>
      <c r="AP170" s="10" t="s">
        <v>50</v>
      </c>
      <c r="AQ170" s="10" t="s">
        <v>50</v>
      </c>
      <c r="AR170" s="10" t="s">
        <v>50</v>
      </c>
      <c r="AS170" s="10" t="s">
        <v>50</v>
      </c>
      <c r="AT170" s="10" t="s">
        <v>50</v>
      </c>
      <c r="AU170" s="10" t="s">
        <v>50</v>
      </c>
      <c r="AV170" s="11"/>
      <c r="AW170" s="10" t="s">
        <v>66</v>
      </c>
      <c r="AX170" s="10"/>
      <c r="AY170" s="10" t="s">
        <v>66</v>
      </c>
    </row>
    <row r="171" ht="22.5" hidden="1" customHeight="1">
      <c r="A171" s="12" t="s">
        <v>1974</v>
      </c>
      <c r="B171" s="13" t="s">
        <v>1975</v>
      </c>
      <c r="C171" s="13" t="s">
        <v>1976</v>
      </c>
      <c r="D171" s="13" t="s">
        <v>50</v>
      </c>
      <c r="E171" s="13" t="s">
        <v>50</v>
      </c>
      <c r="F171" s="14"/>
      <c r="G171" s="14">
        <v>207.2</v>
      </c>
      <c r="H171" s="14"/>
      <c r="I171" s="14">
        <v>-41.22</v>
      </c>
      <c r="J171" s="14">
        <v>-40.4</v>
      </c>
      <c r="K171" s="14"/>
      <c r="L171" s="14">
        <v>136.73</v>
      </c>
      <c r="M171" s="13" t="s">
        <v>46</v>
      </c>
      <c r="N171" s="13" t="s">
        <v>50</v>
      </c>
      <c r="O171" s="13" t="s">
        <v>50</v>
      </c>
      <c r="P171" s="13" t="s">
        <v>50</v>
      </c>
      <c r="Q171" s="13" t="s">
        <v>50</v>
      </c>
      <c r="R171" s="13" t="s">
        <v>50</v>
      </c>
      <c r="S171" s="14"/>
      <c r="T171" s="18"/>
      <c r="U171" s="14" t="s">
        <v>50</v>
      </c>
      <c r="V171" s="13" t="s">
        <v>52</v>
      </c>
      <c r="W171" s="13" t="s">
        <v>1977</v>
      </c>
      <c r="X171" s="13" t="s">
        <v>1978</v>
      </c>
      <c r="Y171" s="13" t="s">
        <v>1979</v>
      </c>
      <c r="Z171" s="13" t="s">
        <v>50</v>
      </c>
      <c r="AA171" s="13" t="s">
        <v>50</v>
      </c>
      <c r="AB171" s="13" t="s">
        <v>1977</v>
      </c>
      <c r="AC171" s="13" t="s">
        <v>1980</v>
      </c>
      <c r="AD171" s="13" t="s">
        <v>1981</v>
      </c>
      <c r="AE171" s="13" t="s">
        <v>1982</v>
      </c>
      <c r="AF171" s="13" t="s">
        <v>151</v>
      </c>
      <c r="AG171" s="13" t="s">
        <v>1983</v>
      </c>
      <c r="AH171" s="13" t="s">
        <v>60</v>
      </c>
      <c r="AI171" s="13" t="s">
        <v>61</v>
      </c>
      <c r="AJ171" s="13" t="s">
        <v>1984</v>
      </c>
      <c r="AK171" s="13" t="s">
        <v>1985</v>
      </c>
      <c r="AL171" s="13" t="s">
        <v>64</v>
      </c>
      <c r="AM171" s="13" t="s">
        <v>1986</v>
      </c>
      <c r="AN171" s="13" t="s">
        <v>50</v>
      </c>
      <c r="AO171" s="15" t="s">
        <v>50</v>
      </c>
      <c r="AP171" s="13" t="s">
        <v>50</v>
      </c>
      <c r="AQ171" s="13" t="s">
        <v>50</v>
      </c>
      <c r="AR171" s="13" t="s">
        <v>50</v>
      </c>
      <c r="AS171" s="13" t="s">
        <v>50</v>
      </c>
      <c r="AT171" s="13" t="s">
        <v>50</v>
      </c>
      <c r="AU171" s="13" t="s">
        <v>50</v>
      </c>
      <c r="AV171" s="15"/>
      <c r="AW171" s="13" t="s">
        <v>50</v>
      </c>
      <c r="AX171" s="13"/>
      <c r="AY171" s="13" t="s">
        <v>50</v>
      </c>
    </row>
    <row r="172" ht="22.5" hidden="1" customHeight="1">
      <c r="A172" s="16" t="s">
        <v>1987</v>
      </c>
      <c r="B172" s="17" t="s">
        <v>1975</v>
      </c>
      <c r="C172" s="17" t="s">
        <v>43</v>
      </c>
      <c r="D172" s="17" t="s">
        <v>1398</v>
      </c>
      <c r="E172" s="17" t="s">
        <v>45</v>
      </c>
      <c r="F172" s="18">
        <v>1.0</v>
      </c>
      <c r="G172" s="18"/>
      <c r="H172" s="18"/>
      <c r="I172" s="18"/>
      <c r="J172" s="18"/>
      <c r="K172" s="18"/>
      <c r="L172" s="18"/>
      <c r="M172" s="17" t="s">
        <v>50</v>
      </c>
      <c r="N172" s="17" t="s">
        <v>45</v>
      </c>
      <c r="O172" s="17" t="s">
        <v>892</v>
      </c>
      <c r="P172" s="17" t="s">
        <v>893</v>
      </c>
      <c r="Q172" s="17" t="s">
        <v>894</v>
      </c>
      <c r="R172" s="17" t="s">
        <v>74</v>
      </c>
      <c r="S172" s="18">
        <v>79.2</v>
      </c>
      <c r="T172" s="18">
        <v>2.97</v>
      </c>
      <c r="U172" s="18" t="s">
        <v>51</v>
      </c>
      <c r="V172" s="17" t="s">
        <v>50</v>
      </c>
      <c r="W172" s="17" t="s">
        <v>50</v>
      </c>
      <c r="X172" s="17" t="s">
        <v>50</v>
      </c>
      <c r="Y172" s="17" t="s">
        <v>50</v>
      </c>
      <c r="Z172" s="17" t="s">
        <v>50</v>
      </c>
      <c r="AA172" s="17" t="s">
        <v>50</v>
      </c>
      <c r="AB172" s="17" t="s">
        <v>50</v>
      </c>
      <c r="AC172" s="17" t="s">
        <v>50</v>
      </c>
      <c r="AD172" s="17" t="s">
        <v>50</v>
      </c>
      <c r="AE172" s="17" t="s">
        <v>50</v>
      </c>
      <c r="AF172" s="17" t="s">
        <v>50</v>
      </c>
      <c r="AG172" s="17" t="s">
        <v>50</v>
      </c>
      <c r="AH172" s="17" t="s">
        <v>50</v>
      </c>
      <c r="AI172" s="17" t="s">
        <v>50</v>
      </c>
      <c r="AJ172" s="17" t="s">
        <v>50</v>
      </c>
      <c r="AK172" s="17" t="s">
        <v>50</v>
      </c>
      <c r="AL172" s="17" t="s">
        <v>50</v>
      </c>
      <c r="AM172" s="17" t="s">
        <v>50</v>
      </c>
      <c r="AN172" s="17" t="s">
        <v>50</v>
      </c>
      <c r="AO172" s="18" t="s">
        <v>50</v>
      </c>
      <c r="AP172" s="17" t="s">
        <v>50</v>
      </c>
      <c r="AQ172" s="17" t="s">
        <v>50</v>
      </c>
      <c r="AR172" s="17" t="s">
        <v>50</v>
      </c>
      <c r="AS172" s="17" t="s">
        <v>50</v>
      </c>
      <c r="AT172" s="17" t="s">
        <v>50</v>
      </c>
      <c r="AU172" s="17" t="s">
        <v>50</v>
      </c>
      <c r="AV172" s="18"/>
      <c r="AW172" s="17" t="s">
        <v>66</v>
      </c>
      <c r="AX172" s="17"/>
      <c r="AY172" s="17" t="s">
        <v>66</v>
      </c>
    </row>
    <row r="173" ht="22.5" hidden="1" customHeight="1">
      <c r="A173" s="16" t="s">
        <v>1988</v>
      </c>
      <c r="B173" s="17" t="s">
        <v>1975</v>
      </c>
      <c r="C173" s="17" t="s">
        <v>43</v>
      </c>
      <c r="D173" s="17" t="s">
        <v>1398</v>
      </c>
      <c r="E173" s="17" t="s">
        <v>45</v>
      </c>
      <c r="F173" s="18">
        <v>1.0</v>
      </c>
      <c r="G173" s="18"/>
      <c r="H173" s="18"/>
      <c r="I173" s="18"/>
      <c r="J173" s="18"/>
      <c r="K173" s="18"/>
      <c r="L173" s="18"/>
      <c r="M173" s="17" t="s">
        <v>50</v>
      </c>
      <c r="N173" s="17" t="s">
        <v>45</v>
      </c>
      <c r="O173" s="17" t="s">
        <v>1821</v>
      </c>
      <c r="P173" s="17" t="s">
        <v>1822</v>
      </c>
      <c r="Q173" s="17" t="s">
        <v>1823</v>
      </c>
      <c r="R173" s="17" t="s">
        <v>74</v>
      </c>
      <c r="S173" s="18">
        <v>48.0</v>
      </c>
      <c r="T173" s="18">
        <v>6.28</v>
      </c>
      <c r="U173" s="18" t="s">
        <v>51</v>
      </c>
      <c r="V173" s="17" t="s">
        <v>50</v>
      </c>
      <c r="W173" s="17" t="s">
        <v>50</v>
      </c>
      <c r="X173" s="17" t="s">
        <v>50</v>
      </c>
      <c r="Y173" s="17" t="s">
        <v>50</v>
      </c>
      <c r="Z173" s="17" t="s">
        <v>50</v>
      </c>
      <c r="AA173" s="17" t="s">
        <v>50</v>
      </c>
      <c r="AB173" s="17" t="s">
        <v>50</v>
      </c>
      <c r="AC173" s="17" t="s">
        <v>50</v>
      </c>
      <c r="AD173" s="17" t="s">
        <v>50</v>
      </c>
      <c r="AE173" s="17" t="s">
        <v>50</v>
      </c>
      <c r="AF173" s="17" t="s">
        <v>50</v>
      </c>
      <c r="AG173" s="17" t="s">
        <v>50</v>
      </c>
      <c r="AH173" s="17" t="s">
        <v>50</v>
      </c>
      <c r="AI173" s="17" t="s">
        <v>50</v>
      </c>
      <c r="AJ173" s="17" t="s">
        <v>50</v>
      </c>
      <c r="AK173" s="17" t="s">
        <v>50</v>
      </c>
      <c r="AL173" s="17" t="s">
        <v>50</v>
      </c>
      <c r="AM173" s="17" t="s">
        <v>50</v>
      </c>
      <c r="AN173" s="17" t="s">
        <v>50</v>
      </c>
      <c r="AO173" s="18" t="s">
        <v>50</v>
      </c>
      <c r="AP173" s="17" t="s">
        <v>50</v>
      </c>
      <c r="AQ173" s="17" t="s">
        <v>50</v>
      </c>
      <c r="AR173" s="17" t="s">
        <v>50</v>
      </c>
      <c r="AS173" s="17" t="s">
        <v>50</v>
      </c>
      <c r="AT173" s="17" t="s">
        <v>50</v>
      </c>
      <c r="AU173" s="17" t="s">
        <v>50</v>
      </c>
      <c r="AV173" s="18"/>
      <c r="AW173" s="17" t="s">
        <v>66</v>
      </c>
      <c r="AX173" s="17"/>
      <c r="AY173" s="17" t="s">
        <v>66</v>
      </c>
    </row>
    <row r="174" ht="22.5" hidden="1" customHeight="1">
      <c r="A174" s="16" t="s">
        <v>1989</v>
      </c>
      <c r="B174" s="17" t="s">
        <v>1975</v>
      </c>
      <c r="C174" s="17" t="s">
        <v>43</v>
      </c>
      <c r="D174" s="17" t="s">
        <v>1398</v>
      </c>
      <c r="E174" s="17" t="s">
        <v>45</v>
      </c>
      <c r="F174" s="18">
        <v>1.0</v>
      </c>
      <c r="G174" s="18"/>
      <c r="H174" s="18"/>
      <c r="I174" s="18"/>
      <c r="J174" s="18"/>
      <c r="K174" s="18"/>
      <c r="L174" s="18"/>
      <c r="M174" s="17" t="s">
        <v>50</v>
      </c>
      <c r="N174" s="17" t="s">
        <v>45</v>
      </c>
      <c r="O174" s="17" t="s">
        <v>1990</v>
      </c>
      <c r="P174" s="17" t="s">
        <v>1991</v>
      </c>
      <c r="Q174" s="17" t="s">
        <v>1992</v>
      </c>
      <c r="R174" s="17" t="s">
        <v>74</v>
      </c>
      <c r="S174" s="18">
        <v>80.0</v>
      </c>
      <c r="T174" s="18">
        <v>7.11</v>
      </c>
      <c r="U174" s="18" t="s">
        <v>51</v>
      </c>
      <c r="V174" s="17" t="s">
        <v>50</v>
      </c>
      <c r="W174" s="17" t="s">
        <v>50</v>
      </c>
      <c r="X174" s="17" t="s">
        <v>50</v>
      </c>
      <c r="Y174" s="17" t="s">
        <v>50</v>
      </c>
      <c r="Z174" s="17" t="s">
        <v>50</v>
      </c>
      <c r="AA174" s="17" t="s">
        <v>50</v>
      </c>
      <c r="AB174" s="17" t="s">
        <v>50</v>
      </c>
      <c r="AC174" s="17" t="s">
        <v>50</v>
      </c>
      <c r="AD174" s="17" t="s">
        <v>50</v>
      </c>
      <c r="AE174" s="17" t="s">
        <v>50</v>
      </c>
      <c r="AF174" s="17" t="s">
        <v>50</v>
      </c>
      <c r="AG174" s="17" t="s">
        <v>50</v>
      </c>
      <c r="AH174" s="17" t="s">
        <v>50</v>
      </c>
      <c r="AI174" s="17" t="s">
        <v>50</v>
      </c>
      <c r="AJ174" s="17" t="s">
        <v>50</v>
      </c>
      <c r="AK174" s="17" t="s">
        <v>50</v>
      </c>
      <c r="AL174" s="17" t="s">
        <v>50</v>
      </c>
      <c r="AM174" s="17" t="s">
        <v>50</v>
      </c>
      <c r="AN174" s="17" t="s">
        <v>50</v>
      </c>
      <c r="AO174" s="18" t="s">
        <v>50</v>
      </c>
      <c r="AP174" s="17" t="s">
        <v>50</v>
      </c>
      <c r="AQ174" s="17" t="s">
        <v>50</v>
      </c>
      <c r="AR174" s="17" t="s">
        <v>50</v>
      </c>
      <c r="AS174" s="17" t="s">
        <v>50</v>
      </c>
      <c r="AT174" s="17" t="s">
        <v>50</v>
      </c>
      <c r="AU174" s="17" t="s">
        <v>50</v>
      </c>
      <c r="AV174" s="18"/>
      <c r="AW174" s="17" t="s">
        <v>66</v>
      </c>
      <c r="AX174" s="17"/>
      <c r="AY174" s="17" t="s">
        <v>66</v>
      </c>
    </row>
    <row r="175" ht="22.5" hidden="1" customHeight="1">
      <c r="A175" s="9" t="s">
        <v>1993</v>
      </c>
      <c r="B175" s="10" t="s">
        <v>1994</v>
      </c>
      <c r="C175" s="10" t="s">
        <v>43</v>
      </c>
      <c r="D175" s="10" t="s">
        <v>734</v>
      </c>
      <c r="E175" s="10" t="s">
        <v>66</v>
      </c>
      <c r="F175" s="11">
        <v>1.0</v>
      </c>
      <c r="G175" s="11">
        <v>120.0</v>
      </c>
      <c r="H175" s="11"/>
      <c r="I175" s="11">
        <v>-20.4</v>
      </c>
      <c r="J175" s="11">
        <v>-19.95</v>
      </c>
      <c r="K175" s="11"/>
      <c r="L175" s="11">
        <v>86.85</v>
      </c>
      <c r="M175" s="10" t="s">
        <v>46</v>
      </c>
      <c r="N175" s="10" t="s">
        <v>50</v>
      </c>
      <c r="O175" s="10" t="s">
        <v>85</v>
      </c>
      <c r="P175" s="10" t="s">
        <v>86</v>
      </c>
      <c r="Q175" s="10" t="s">
        <v>87</v>
      </c>
      <c r="R175" s="10" t="s">
        <v>74</v>
      </c>
      <c r="S175" s="11">
        <v>120.0</v>
      </c>
      <c r="T175" s="11">
        <v>65.78</v>
      </c>
      <c r="U175" s="11" t="s">
        <v>51</v>
      </c>
      <c r="V175" s="10" t="s">
        <v>52</v>
      </c>
      <c r="W175" s="10" t="s">
        <v>1995</v>
      </c>
      <c r="X175" s="10" t="s">
        <v>1996</v>
      </c>
      <c r="Y175" s="10" t="s">
        <v>1997</v>
      </c>
      <c r="Z175" s="10" t="s">
        <v>50</v>
      </c>
      <c r="AA175" s="10" t="s">
        <v>50</v>
      </c>
      <c r="AB175" s="10" t="s">
        <v>1995</v>
      </c>
      <c r="AC175" s="10" t="s">
        <v>1998</v>
      </c>
      <c r="AD175" s="10" t="s">
        <v>1999</v>
      </c>
      <c r="AE175" s="10" t="s">
        <v>2000</v>
      </c>
      <c r="AF175" s="10" t="s">
        <v>561</v>
      </c>
      <c r="AG175" s="10" t="s">
        <v>2001</v>
      </c>
      <c r="AH175" s="10" t="s">
        <v>60</v>
      </c>
      <c r="AI175" s="10" t="s">
        <v>61</v>
      </c>
      <c r="AJ175" s="10" t="s">
        <v>1406</v>
      </c>
      <c r="AK175" s="10" t="s">
        <v>2002</v>
      </c>
      <c r="AL175" s="10" t="s">
        <v>64</v>
      </c>
      <c r="AM175" s="10" t="s">
        <v>2003</v>
      </c>
      <c r="AN175" s="10" t="s">
        <v>50</v>
      </c>
      <c r="AO175" s="11" t="s">
        <v>50</v>
      </c>
      <c r="AP175" s="10" t="s">
        <v>50</v>
      </c>
      <c r="AQ175" s="10" t="s">
        <v>50</v>
      </c>
      <c r="AR175" s="10" t="s">
        <v>50</v>
      </c>
      <c r="AS175" s="10" t="s">
        <v>50</v>
      </c>
      <c r="AT175" s="10" t="s">
        <v>50</v>
      </c>
      <c r="AU175" s="10" t="s">
        <v>50</v>
      </c>
      <c r="AV175" s="11"/>
      <c r="AW175" s="10" t="s">
        <v>66</v>
      </c>
      <c r="AX175" s="10"/>
      <c r="AY175" s="10" t="s">
        <v>66</v>
      </c>
    </row>
    <row r="176" ht="22.5" hidden="1" customHeight="1">
      <c r="A176" s="9" t="s">
        <v>2004</v>
      </c>
      <c r="B176" s="10" t="s">
        <v>2005</v>
      </c>
      <c r="C176" s="10" t="s">
        <v>43</v>
      </c>
      <c r="D176" s="10" t="s">
        <v>1398</v>
      </c>
      <c r="E176" s="10" t="s">
        <v>66</v>
      </c>
      <c r="F176" s="11">
        <v>1.0</v>
      </c>
      <c r="G176" s="11">
        <v>43.7</v>
      </c>
      <c r="H176" s="11">
        <v>17.0</v>
      </c>
      <c r="I176" s="11">
        <v>-13.43</v>
      </c>
      <c r="J176" s="11">
        <v>-17.0</v>
      </c>
      <c r="K176" s="11"/>
      <c r="L176" s="11">
        <v>32.89</v>
      </c>
      <c r="M176" s="10" t="s">
        <v>46</v>
      </c>
      <c r="N176" s="10" t="s">
        <v>45</v>
      </c>
      <c r="O176" s="10" t="s">
        <v>176</v>
      </c>
      <c r="P176" s="10" t="s">
        <v>177</v>
      </c>
      <c r="Q176" s="10" t="s">
        <v>178</v>
      </c>
      <c r="R176" s="10" t="s">
        <v>74</v>
      </c>
      <c r="S176" s="11">
        <v>43.7</v>
      </c>
      <c r="T176" s="11">
        <v>22.58</v>
      </c>
      <c r="U176" s="11" t="s">
        <v>51</v>
      </c>
      <c r="V176" s="10" t="s">
        <v>52</v>
      </c>
      <c r="W176" s="10" t="s">
        <v>2006</v>
      </c>
      <c r="X176" s="10" t="s">
        <v>2007</v>
      </c>
      <c r="Y176" s="10" t="s">
        <v>2008</v>
      </c>
      <c r="Z176" s="10" t="s">
        <v>50</v>
      </c>
      <c r="AA176" s="10" t="s">
        <v>50</v>
      </c>
      <c r="AB176" s="10" t="s">
        <v>2006</v>
      </c>
      <c r="AC176" s="10" t="s">
        <v>2009</v>
      </c>
      <c r="AD176" s="10" t="s">
        <v>2010</v>
      </c>
      <c r="AE176" s="10" t="s">
        <v>2011</v>
      </c>
      <c r="AF176" s="10" t="s">
        <v>323</v>
      </c>
      <c r="AG176" s="10" t="s">
        <v>2012</v>
      </c>
      <c r="AH176" s="10" t="s">
        <v>60</v>
      </c>
      <c r="AI176" s="10" t="s">
        <v>61</v>
      </c>
      <c r="AJ176" s="10" t="s">
        <v>1925</v>
      </c>
      <c r="AK176" s="10" t="s">
        <v>2013</v>
      </c>
      <c r="AL176" s="10" t="s">
        <v>64</v>
      </c>
      <c r="AM176" s="10" t="s">
        <v>2014</v>
      </c>
      <c r="AN176" s="10" t="s">
        <v>50</v>
      </c>
      <c r="AO176" s="11" t="s">
        <v>50</v>
      </c>
      <c r="AP176" s="10" t="s">
        <v>50</v>
      </c>
      <c r="AQ176" s="10" t="s">
        <v>50</v>
      </c>
      <c r="AR176" s="10" t="s">
        <v>50</v>
      </c>
      <c r="AS176" s="10" t="s">
        <v>50</v>
      </c>
      <c r="AT176" s="10" t="s">
        <v>50</v>
      </c>
      <c r="AU176" s="10" t="s">
        <v>50</v>
      </c>
      <c r="AV176" s="11"/>
      <c r="AW176" s="10" t="s">
        <v>66</v>
      </c>
      <c r="AX176" s="10"/>
      <c r="AY176" s="10" t="s">
        <v>66</v>
      </c>
    </row>
    <row r="177" ht="22.5" hidden="1" customHeight="1">
      <c r="A177" s="9" t="s">
        <v>2015</v>
      </c>
      <c r="B177" s="10" t="s">
        <v>2016</v>
      </c>
      <c r="C177" s="10" t="s">
        <v>43</v>
      </c>
      <c r="D177" s="10" t="s">
        <v>191</v>
      </c>
      <c r="E177" s="10" t="s">
        <v>66</v>
      </c>
      <c r="F177" s="11">
        <v>1.0</v>
      </c>
      <c r="G177" s="11">
        <v>79.2</v>
      </c>
      <c r="H177" s="11"/>
      <c r="I177" s="11">
        <v>-13.46</v>
      </c>
      <c r="J177" s="11">
        <v>-20.45</v>
      </c>
      <c r="K177" s="11"/>
      <c r="L177" s="11">
        <v>45.29</v>
      </c>
      <c r="M177" s="10" t="s">
        <v>46</v>
      </c>
      <c r="N177" s="10" t="s">
        <v>45</v>
      </c>
      <c r="O177" s="10" t="s">
        <v>127</v>
      </c>
      <c r="P177" s="10" t="s">
        <v>128</v>
      </c>
      <c r="Q177" s="10" t="s">
        <v>129</v>
      </c>
      <c r="R177" s="10" t="s">
        <v>74</v>
      </c>
      <c r="S177" s="11">
        <v>79.2</v>
      </c>
      <c r="T177" s="11">
        <v>17.68</v>
      </c>
      <c r="U177" s="11" t="s">
        <v>51</v>
      </c>
      <c r="V177" s="10" t="s">
        <v>52</v>
      </c>
      <c r="W177" s="10" t="s">
        <v>2017</v>
      </c>
      <c r="X177" s="10" t="s">
        <v>2018</v>
      </c>
      <c r="Y177" s="10" t="s">
        <v>2019</v>
      </c>
      <c r="Z177" s="10" t="s">
        <v>50</v>
      </c>
      <c r="AA177" s="10" t="s">
        <v>50</v>
      </c>
      <c r="AB177" s="10" t="s">
        <v>2017</v>
      </c>
      <c r="AC177" s="10" t="s">
        <v>2020</v>
      </c>
      <c r="AD177" s="10" t="s">
        <v>2021</v>
      </c>
      <c r="AE177" s="10" t="s">
        <v>1346</v>
      </c>
      <c r="AF177" s="10" t="s">
        <v>1347</v>
      </c>
      <c r="AG177" s="10" t="s">
        <v>2022</v>
      </c>
      <c r="AH177" s="10" t="s">
        <v>60</v>
      </c>
      <c r="AI177" s="10" t="s">
        <v>61</v>
      </c>
      <c r="AJ177" s="10" t="s">
        <v>1641</v>
      </c>
      <c r="AK177" s="10" t="s">
        <v>2023</v>
      </c>
      <c r="AL177" s="10" t="s">
        <v>64</v>
      </c>
      <c r="AM177" s="10" t="s">
        <v>2024</v>
      </c>
      <c r="AN177" s="10" t="s">
        <v>50</v>
      </c>
      <c r="AO177" s="11" t="s">
        <v>50</v>
      </c>
      <c r="AP177" s="10" t="s">
        <v>50</v>
      </c>
      <c r="AQ177" s="10" t="s">
        <v>50</v>
      </c>
      <c r="AR177" s="10" t="s">
        <v>50</v>
      </c>
      <c r="AS177" s="10" t="s">
        <v>50</v>
      </c>
      <c r="AT177" s="10" t="s">
        <v>50</v>
      </c>
      <c r="AU177" s="10" t="s">
        <v>50</v>
      </c>
      <c r="AV177" s="11"/>
      <c r="AW177" s="10" t="s">
        <v>66</v>
      </c>
      <c r="AX177" s="10"/>
      <c r="AY177" s="10" t="s">
        <v>66</v>
      </c>
    </row>
    <row r="178" ht="22.5" hidden="1" customHeight="1">
      <c r="A178" s="9" t="s">
        <v>2025</v>
      </c>
      <c r="B178" s="10" t="s">
        <v>2026</v>
      </c>
      <c r="C178" s="10" t="s">
        <v>43</v>
      </c>
      <c r="D178" s="10" t="s">
        <v>1398</v>
      </c>
      <c r="E178" s="10" t="s">
        <v>66</v>
      </c>
      <c r="F178" s="11">
        <v>1.0</v>
      </c>
      <c r="G178" s="11">
        <v>43.7</v>
      </c>
      <c r="H178" s="11">
        <v>14.15</v>
      </c>
      <c r="I178" s="11">
        <v>-13.43</v>
      </c>
      <c r="J178" s="11">
        <v>-14.15</v>
      </c>
      <c r="K178" s="11"/>
      <c r="L178" s="11">
        <v>32.89</v>
      </c>
      <c r="M178" s="10" t="s">
        <v>46</v>
      </c>
      <c r="N178" s="10" t="s">
        <v>50</v>
      </c>
      <c r="O178" s="10" t="s">
        <v>176</v>
      </c>
      <c r="P178" s="10" t="s">
        <v>177</v>
      </c>
      <c r="Q178" s="10" t="s">
        <v>178</v>
      </c>
      <c r="R178" s="10" t="s">
        <v>74</v>
      </c>
      <c r="S178" s="11">
        <v>43.7</v>
      </c>
      <c r="T178" s="11">
        <v>22.58</v>
      </c>
      <c r="U178" s="11" t="s">
        <v>51</v>
      </c>
      <c r="V178" s="10" t="s">
        <v>52</v>
      </c>
      <c r="W178" s="10" t="s">
        <v>2027</v>
      </c>
      <c r="X178" s="10" t="s">
        <v>2028</v>
      </c>
      <c r="Y178" s="10" t="s">
        <v>2029</v>
      </c>
      <c r="Z178" s="10" t="s">
        <v>50</v>
      </c>
      <c r="AA178" s="10" t="s">
        <v>50</v>
      </c>
      <c r="AB178" s="10" t="s">
        <v>2027</v>
      </c>
      <c r="AC178" s="10" t="s">
        <v>2030</v>
      </c>
      <c r="AD178" s="10" t="s">
        <v>2031</v>
      </c>
      <c r="AE178" s="10" t="s">
        <v>2032</v>
      </c>
      <c r="AF178" s="10" t="s">
        <v>58</v>
      </c>
      <c r="AG178" s="10" t="s">
        <v>2033</v>
      </c>
      <c r="AH178" s="10" t="s">
        <v>60</v>
      </c>
      <c r="AI178" s="10" t="s">
        <v>61</v>
      </c>
      <c r="AJ178" s="10" t="s">
        <v>1439</v>
      </c>
      <c r="AK178" s="10" t="s">
        <v>1863</v>
      </c>
      <c r="AL178" s="10" t="s">
        <v>64</v>
      </c>
      <c r="AM178" s="10" t="s">
        <v>2034</v>
      </c>
      <c r="AN178" s="10" t="s">
        <v>50</v>
      </c>
      <c r="AO178" s="11" t="s">
        <v>50</v>
      </c>
      <c r="AP178" s="10" t="s">
        <v>50</v>
      </c>
      <c r="AQ178" s="10" t="s">
        <v>50</v>
      </c>
      <c r="AR178" s="10" t="s">
        <v>50</v>
      </c>
      <c r="AS178" s="10" t="s">
        <v>50</v>
      </c>
      <c r="AT178" s="10" t="s">
        <v>50</v>
      </c>
      <c r="AU178" s="10" t="s">
        <v>50</v>
      </c>
      <c r="AV178" s="11"/>
      <c r="AW178" s="10" t="s">
        <v>66</v>
      </c>
      <c r="AX178" s="10"/>
      <c r="AY178" s="10" t="s">
        <v>66</v>
      </c>
    </row>
    <row r="179" ht="22.5" hidden="1" customHeight="1">
      <c r="A179" s="9" t="s">
        <v>2035</v>
      </c>
      <c r="B179" s="10" t="s">
        <v>2036</v>
      </c>
      <c r="C179" s="10" t="s">
        <v>43</v>
      </c>
      <c r="D179" s="10" t="s">
        <v>1398</v>
      </c>
      <c r="E179" s="10" t="s">
        <v>45</v>
      </c>
      <c r="F179" s="11">
        <v>2.0</v>
      </c>
      <c r="G179" s="11">
        <v>87.4</v>
      </c>
      <c r="H179" s="11">
        <v>5.21</v>
      </c>
      <c r="I179" s="11">
        <v>-26.86</v>
      </c>
      <c r="J179" s="11">
        <v>-5.21</v>
      </c>
      <c r="K179" s="11"/>
      <c r="L179" s="11">
        <v>65.78</v>
      </c>
      <c r="M179" s="10" t="s">
        <v>46</v>
      </c>
      <c r="N179" s="10" t="s">
        <v>50</v>
      </c>
      <c r="O179" s="10" t="s">
        <v>176</v>
      </c>
      <c r="P179" s="10" t="s">
        <v>177</v>
      </c>
      <c r="Q179" s="10" t="s">
        <v>178</v>
      </c>
      <c r="R179" s="10" t="s">
        <v>74</v>
      </c>
      <c r="S179" s="11">
        <v>43.7</v>
      </c>
      <c r="T179" s="11">
        <f>2*22.58</f>
        <v>45.16</v>
      </c>
      <c r="U179" s="11" t="s">
        <v>51</v>
      </c>
      <c r="V179" s="10" t="s">
        <v>52</v>
      </c>
      <c r="W179" s="10" t="s">
        <v>2037</v>
      </c>
      <c r="X179" s="10" t="s">
        <v>2038</v>
      </c>
      <c r="Y179" s="10" t="s">
        <v>2039</v>
      </c>
      <c r="Z179" s="10" t="s">
        <v>50</v>
      </c>
      <c r="AA179" s="10" t="s">
        <v>50</v>
      </c>
      <c r="AB179" s="10" t="s">
        <v>2037</v>
      </c>
      <c r="AC179" s="10" t="s">
        <v>2040</v>
      </c>
      <c r="AD179" s="10" t="s">
        <v>2041</v>
      </c>
      <c r="AE179" s="10" t="s">
        <v>2042</v>
      </c>
      <c r="AF179" s="10" t="s">
        <v>58</v>
      </c>
      <c r="AG179" s="10" t="s">
        <v>2043</v>
      </c>
      <c r="AH179" s="10" t="s">
        <v>60</v>
      </c>
      <c r="AI179" s="10" t="s">
        <v>61</v>
      </c>
      <c r="AJ179" s="10" t="s">
        <v>1607</v>
      </c>
      <c r="AK179" s="10" t="s">
        <v>2044</v>
      </c>
      <c r="AL179" s="10" t="s">
        <v>64</v>
      </c>
      <c r="AM179" s="10" t="s">
        <v>2045</v>
      </c>
      <c r="AN179" s="10" t="s">
        <v>50</v>
      </c>
      <c r="AO179" s="11" t="s">
        <v>50</v>
      </c>
      <c r="AP179" s="10" t="s">
        <v>50</v>
      </c>
      <c r="AQ179" s="10" t="s">
        <v>50</v>
      </c>
      <c r="AR179" s="10" t="s">
        <v>50</v>
      </c>
      <c r="AS179" s="10" t="s">
        <v>50</v>
      </c>
      <c r="AT179" s="10" t="s">
        <v>50</v>
      </c>
      <c r="AU179" s="10" t="s">
        <v>50</v>
      </c>
      <c r="AV179" s="11"/>
      <c r="AW179" s="10" t="s">
        <v>66</v>
      </c>
      <c r="AX179" s="10"/>
      <c r="AY179" s="10" t="s">
        <v>66</v>
      </c>
    </row>
    <row r="180" ht="22.5" hidden="1" customHeight="1">
      <c r="A180" s="9" t="s">
        <v>2046</v>
      </c>
      <c r="B180" s="10" t="s">
        <v>2047</v>
      </c>
      <c r="C180" s="10" t="s">
        <v>43</v>
      </c>
      <c r="D180" s="10" t="s">
        <v>191</v>
      </c>
      <c r="E180" s="10" t="s">
        <v>66</v>
      </c>
      <c r="F180" s="11">
        <v>1.0</v>
      </c>
      <c r="G180" s="11">
        <v>36.8</v>
      </c>
      <c r="H180" s="11">
        <v>12.66</v>
      </c>
      <c r="I180" s="11">
        <v>-12.26</v>
      </c>
      <c r="J180" s="11">
        <v>-12.66</v>
      </c>
      <c r="K180" s="11"/>
      <c r="L180" s="11">
        <v>26.38</v>
      </c>
      <c r="M180" s="10" t="s">
        <v>46</v>
      </c>
      <c r="N180" s="10" t="s">
        <v>45</v>
      </c>
      <c r="O180" s="10" t="s">
        <v>71</v>
      </c>
      <c r="P180" s="10" t="s">
        <v>72</v>
      </c>
      <c r="Q180" s="10" t="s">
        <v>73</v>
      </c>
      <c r="R180" s="10" t="s">
        <v>74</v>
      </c>
      <c r="S180" s="11">
        <v>36.8</v>
      </c>
      <c r="T180" s="11">
        <v>4.58</v>
      </c>
      <c r="U180" s="11" t="s">
        <v>51</v>
      </c>
      <c r="V180" s="10" t="s">
        <v>52</v>
      </c>
      <c r="W180" s="10" t="s">
        <v>2048</v>
      </c>
      <c r="X180" s="10" t="s">
        <v>2049</v>
      </c>
      <c r="Y180" s="10" t="s">
        <v>2050</v>
      </c>
      <c r="Z180" s="10" t="s">
        <v>50</v>
      </c>
      <c r="AA180" s="10" t="s">
        <v>50</v>
      </c>
      <c r="AB180" s="10" t="s">
        <v>2048</v>
      </c>
      <c r="AC180" s="10" t="s">
        <v>2051</v>
      </c>
      <c r="AD180" s="10" t="s">
        <v>2052</v>
      </c>
      <c r="AE180" s="10" t="s">
        <v>108</v>
      </c>
      <c r="AF180" s="10" t="s">
        <v>58</v>
      </c>
      <c r="AG180" s="10" t="s">
        <v>2053</v>
      </c>
      <c r="AH180" s="10" t="s">
        <v>60</v>
      </c>
      <c r="AI180" s="10" t="s">
        <v>61</v>
      </c>
      <c r="AJ180" s="10" t="s">
        <v>2054</v>
      </c>
      <c r="AK180" s="10" t="s">
        <v>2055</v>
      </c>
      <c r="AL180" s="10" t="s">
        <v>64</v>
      </c>
      <c r="AM180" s="10" t="s">
        <v>2056</v>
      </c>
      <c r="AN180" s="10" t="s">
        <v>50</v>
      </c>
      <c r="AO180" s="11" t="s">
        <v>50</v>
      </c>
      <c r="AP180" s="10" t="s">
        <v>50</v>
      </c>
      <c r="AQ180" s="10" t="s">
        <v>50</v>
      </c>
      <c r="AR180" s="10" t="s">
        <v>50</v>
      </c>
      <c r="AS180" s="10" t="s">
        <v>50</v>
      </c>
      <c r="AT180" s="10" t="s">
        <v>50</v>
      </c>
      <c r="AU180" s="10" t="s">
        <v>50</v>
      </c>
      <c r="AV180" s="11"/>
      <c r="AW180" s="10" t="s">
        <v>66</v>
      </c>
      <c r="AX180" s="10"/>
      <c r="AY180" s="10" t="s">
        <v>66</v>
      </c>
    </row>
    <row r="181" ht="22.5" hidden="1" customHeight="1">
      <c r="A181" s="9" t="s">
        <v>2057</v>
      </c>
      <c r="B181" s="10" t="s">
        <v>2058</v>
      </c>
      <c r="C181" s="10" t="s">
        <v>43</v>
      </c>
      <c r="D181" s="10" t="s">
        <v>1398</v>
      </c>
      <c r="E181" s="10" t="s">
        <v>66</v>
      </c>
      <c r="F181" s="11">
        <v>1.0</v>
      </c>
      <c r="G181" s="11">
        <v>80.0</v>
      </c>
      <c r="H181" s="11"/>
      <c r="I181" s="11">
        <v>-13.6</v>
      </c>
      <c r="J181" s="11">
        <v>-19.95</v>
      </c>
      <c r="K181" s="11"/>
      <c r="L181" s="11">
        <v>50.45</v>
      </c>
      <c r="M181" s="10" t="s">
        <v>46</v>
      </c>
      <c r="N181" s="10" t="s">
        <v>50</v>
      </c>
      <c r="O181" s="10" t="s">
        <v>143</v>
      </c>
      <c r="P181" s="10" t="s">
        <v>144</v>
      </c>
      <c r="Q181" s="10" t="s">
        <v>145</v>
      </c>
      <c r="R181" s="10" t="s">
        <v>74</v>
      </c>
      <c r="S181" s="11">
        <v>80.0</v>
      </c>
      <c r="T181" s="11">
        <v>33.38</v>
      </c>
      <c r="U181" s="11" t="s">
        <v>51</v>
      </c>
      <c r="V181" s="10" t="s">
        <v>52</v>
      </c>
      <c r="W181" s="10" t="s">
        <v>2059</v>
      </c>
      <c r="X181" s="10" t="s">
        <v>2060</v>
      </c>
      <c r="Y181" s="10" t="s">
        <v>2061</v>
      </c>
      <c r="Z181" s="10" t="s">
        <v>50</v>
      </c>
      <c r="AA181" s="10" t="s">
        <v>50</v>
      </c>
      <c r="AB181" s="10" t="s">
        <v>2059</v>
      </c>
      <c r="AC181" s="10" t="s">
        <v>2062</v>
      </c>
      <c r="AD181" s="10" t="s">
        <v>2063</v>
      </c>
      <c r="AE181" s="10" t="s">
        <v>2064</v>
      </c>
      <c r="AF181" s="10" t="s">
        <v>119</v>
      </c>
      <c r="AG181" s="10" t="s">
        <v>2065</v>
      </c>
      <c r="AH181" s="10" t="s">
        <v>60</v>
      </c>
      <c r="AI181" s="10" t="s">
        <v>61</v>
      </c>
      <c r="AJ181" s="10" t="s">
        <v>2066</v>
      </c>
      <c r="AK181" s="10" t="s">
        <v>2067</v>
      </c>
      <c r="AL181" s="10" t="s">
        <v>64</v>
      </c>
      <c r="AM181" s="10" t="s">
        <v>2068</v>
      </c>
      <c r="AN181" s="10" t="s">
        <v>50</v>
      </c>
      <c r="AO181" s="11" t="s">
        <v>50</v>
      </c>
      <c r="AP181" s="10" t="s">
        <v>50</v>
      </c>
      <c r="AQ181" s="10" t="s">
        <v>50</v>
      </c>
      <c r="AR181" s="10" t="s">
        <v>50</v>
      </c>
      <c r="AS181" s="10" t="s">
        <v>50</v>
      </c>
      <c r="AT181" s="10" t="s">
        <v>50</v>
      </c>
      <c r="AU181" s="10" t="s">
        <v>50</v>
      </c>
      <c r="AV181" s="11"/>
      <c r="AW181" s="10" t="s">
        <v>66</v>
      </c>
      <c r="AX181" s="10"/>
      <c r="AY181" s="10" t="s">
        <v>66</v>
      </c>
    </row>
    <row r="182" ht="22.5" hidden="1" customHeight="1">
      <c r="A182" s="9" t="s">
        <v>2069</v>
      </c>
      <c r="B182" s="10" t="s">
        <v>2070</v>
      </c>
      <c r="C182" s="10" t="s">
        <v>43</v>
      </c>
      <c r="D182" s="10" t="s">
        <v>1262</v>
      </c>
      <c r="E182" s="10" t="s">
        <v>66</v>
      </c>
      <c r="F182" s="11">
        <v>1.0</v>
      </c>
      <c r="G182" s="11">
        <v>80.5</v>
      </c>
      <c r="H182" s="11"/>
      <c r="I182" s="11">
        <v>-15.3</v>
      </c>
      <c r="J182" s="11">
        <v>-19.95</v>
      </c>
      <c r="K182" s="11"/>
      <c r="L182" s="11">
        <v>45.25</v>
      </c>
      <c r="M182" s="10" t="s">
        <v>46</v>
      </c>
      <c r="N182" s="10" t="s">
        <v>45</v>
      </c>
      <c r="O182" s="10" t="s">
        <v>47</v>
      </c>
      <c r="P182" s="10" t="s">
        <v>48</v>
      </c>
      <c r="Q182" s="10" t="s">
        <v>49</v>
      </c>
      <c r="R182" s="10" t="s">
        <v>50</v>
      </c>
      <c r="S182" s="11">
        <v>80.5</v>
      </c>
      <c r="T182" s="11">
        <v>12.45</v>
      </c>
      <c r="U182" s="11" t="s">
        <v>51</v>
      </c>
      <c r="V182" s="10" t="s">
        <v>52</v>
      </c>
      <c r="W182" s="10" t="s">
        <v>2071</v>
      </c>
      <c r="X182" s="10" t="s">
        <v>2072</v>
      </c>
      <c r="Y182" s="10" t="s">
        <v>2073</v>
      </c>
      <c r="Z182" s="10" t="s">
        <v>50</v>
      </c>
      <c r="AA182" s="10" t="s">
        <v>50</v>
      </c>
      <c r="AB182" s="10" t="s">
        <v>2071</v>
      </c>
      <c r="AC182" s="10" t="s">
        <v>2074</v>
      </c>
      <c r="AD182" s="10" t="s">
        <v>2075</v>
      </c>
      <c r="AE182" s="10" t="s">
        <v>2076</v>
      </c>
      <c r="AF182" s="10" t="s">
        <v>151</v>
      </c>
      <c r="AG182" s="10" t="s">
        <v>2077</v>
      </c>
      <c r="AH182" s="10" t="s">
        <v>60</v>
      </c>
      <c r="AI182" s="10" t="s">
        <v>61</v>
      </c>
      <c r="AJ182" s="10" t="s">
        <v>2078</v>
      </c>
      <c r="AK182" s="10" t="s">
        <v>2079</v>
      </c>
      <c r="AL182" s="10" t="s">
        <v>64</v>
      </c>
      <c r="AM182" s="10" t="s">
        <v>2080</v>
      </c>
      <c r="AN182" s="10" t="s">
        <v>50</v>
      </c>
      <c r="AO182" s="11" t="s">
        <v>50</v>
      </c>
      <c r="AP182" s="10" t="s">
        <v>50</v>
      </c>
      <c r="AQ182" s="10" t="s">
        <v>50</v>
      </c>
      <c r="AR182" s="10" t="s">
        <v>50</v>
      </c>
      <c r="AS182" s="10" t="s">
        <v>50</v>
      </c>
      <c r="AT182" s="10" t="s">
        <v>50</v>
      </c>
      <c r="AU182" s="10" t="s">
        <v>50</v>
      </c>
      <c r="AV182" s="11"/>
      <c r="AW182" s="10" t="s">
        <v>66</v>
      </c>
      <c r="AX182" s="10"/>
      <c r="AY182" s="10" t="s">
        <v>66</v>
      </c>
    </row>
    <row r="183" ht="22.5" hidden="1" customHeight="1">
      <c r="A183" s="9" t="s">
        <v>2081</v>
      </c>
      <c r="B183" s="10" t="s">
        <v>2082</v>
      </c>
      <c r="C183" s="10" t="s">
        <v>43</v>
      </c>
      <c r="D183" s="10" t="s">
        <v>1398</v>
      </c>
      <c r="E183" s="10" t="s">
        <v>45</v>
      </c>
      <c r="F183" s="11">
        <v>1.0</v>
      </c>
      <c r="G183" s="11">
        <v>120.0</v>
      </c>
      <c r="H183" s="11"/>
      <c r="I183" s="11">
        <v>-20.4</v>
      </c>
      <c r="J183" s="11">
        <v>-19.95</v>
      </c>
      <c r="K183" s="11"/>
      <c r="L183" s="11">
        <v>86.85</v>
      </c>
      <c r="M183" s="10" t="s">
        <v>46</v>
      </c>
      <c r="N183" s="10" t="s">
        <v>50</v>
      </c>
      <c r="O183" s="10" t="s">
        <v>85</v>
      </c>
      <c r="P183" s="10" t="s">
        <v>86</v>
      </c>
      <c r="Q183" s="10" t="s">
        <v>87</v>
      </c>
      <c r="R183" s="10" t="s">
        <v>74</v>
      </c>
      <c r="S183" s="11">
        <v>120.0</v>
      </c>
      <c r="T183" s="11">
        <v>65.78</v>
      </c>
      <c r="U183" s="11" t="s">
        <v>51</v>
      </c>
      <c r="V183" s="10" t="s">
        <v>52</v>
      </c>
      <c r="W183" s="10" t="s">
        <v>2083</v>
      </c>
      <c r="X183" s="10" t="s">
        <v>2084</v>
      </c>
      <c r="Y183" s="10" t="s">
        <v>2085</v>
      </c>
      <c r="Z183" s="10" t="s">
        <v>50</v>
      </c>
      <c r="AA183" s="10" t="s">
        <v>50</v>
      </c>
      <c r="AB183" s="10" t="s">
        <v>2083</v>
      </c>
      <c r="AC183" s="10" t="s">
        <v>2086</v>
      </c>
      <c r="AD183" s="10" t="s">
        <v>2087</v>
      </c>
      <c r="AE183" s="10" t="s">
        <v>1346</v>
      </c>
      <c r="AF183" s="10" t="s">
        <v>1347</v>
      </c>
      <c r="AG183" s="10" t="s">
        <v>2088</v>
      </c>
      <c r="AH183" s="10" t="s">
        <v>60</v>
      </c>
      <c r="AI183" s="10" t="s">
        <v>61</v>
      </c>
      <c r="AJ183" s="10" t="s">
        <v>1641</v>
      </c>
      <c r="AK183" s="10" t="s">
        <v>2089</v>
      </c>
      <c r="AL183" s="10" t="s">
        <v>64</v>
      </c>
      <c r="AM183" s="10" t="s">
        <v>2090</v>
      </c>
      <c r="AN183" s="10" t="s">
        <v>50</v>
      </c>
      <c r="AO183" s="11" t="s">
        <v>50</v>
      </c>
      <c r="AP183" s="10" t="s">
        <v>50</v>
      </c>
      <c r="AQ183" s="10" t="s">
        <v>50</v>
      </c>
      <c r="AR183" s="10" t="s">
        <v>50</v>
      </c>
      <c r="AS183" s="10" t="s">
        <v>50</v>
      </c>
      <c r="AT183" s="10" t="s">
        <v>50</v>
      </c>
      <c r="AU183" s="10" t="s">
        <v>50</v>
      </c>
      <c r="AV183" s="11"/>
      <c r="AW183" s="10" t="s">
        <v>66</v>
      </c>
      <c r="AX183" s="10"/>
      <c r="AY183" s="10" t="s">
        <v>66</v>
      </c>
    </row>
    <row r="184" ht="22.5" hidden="1" customHeight="1">
      <c r="A184" s="9" t="s">
        <v>2091</v>
      </c>
      <c r="B184" s="10" t="s">
        <v>2092</v>
      </c>
      <c r="C184" s="10" t="s">
        <v>43</v>
      </c>
      <c r="D184" s="10" t="s">
        <v>1398</v>
      </c>
      <c r="E184" s="10" t="s">
        <v>45</v>
      </c>
      <c r="F184" s="11">
        <v>1.0</v>
      </c>
      <c r="G184" s="11">
        <v>79.0</v>
      </c>
      <c r="H184" s="11"/>
      <c r="I184" s="11">
        <v>-13.43</v>
      </c>
      <c r="J184" s="11">
        <v>-20.45</v>
      </c>
      <c r="K184" s="11"/>
      <c r="L184" s="11">
        <v>45.12</v>
      </c>
      <c r="M184" s="10" t="s">
        <v>46</v>
      </c>
      <c r="N184" s="10" t="s">
        <v>45</v>
      </c>
      <c r="O184" s="10" t="s">
        <v>160</v>
      </c>
      <c r="P184" s="10" t="s">
        <v>161</v>
      </c>
      <c r="Q184" s="10" t="s">
        <v>162</v>
      </c>
      <c r="R184" s="10" t="s">
        <v>74</v>
      </c>
      <c r="S184" s="11">
        <v>79.0</v>
      </c>
      <c r="T184" s="18">
        <v>2.49</v>
      </c>
      <c r="U184" s="11" t="s">
        <v>51</v>
      </c>
      <c r="V184" s="10" t="s">
        <v>52</v>
      </c>
      <c r="W184" s="10" t="s">
        <v>2093</v>
      </c>
      <c r="X184" s="10" t="s">
        <v>2094</v>
      </c>
      <c r="Y184" s="10" t="s">
        <v>2095</v>
      </c>
      <c r="Z184" s="10" t="s">
        <v>50</v>
      </c>
      <c r="AA184" s="10" t="s">
        <v>50</v>
      </c>
      <c r="AB184" s="10" t="s">
        <v>2093</v>
      </c>
      <c r="AC184" s="10" t="s">
        <v>2096</v>
      </c>
      <c r="AD184" s="10" t="s">
        <v>2097</v>
      </c>
      <c r="AE184" s="10" t="s">
        <v>2098</v>
      </c>
      <c r="AF184" s="10" t="s">
        <v>58</v>
      </c>
      <c r="AG184" s="10" t="s">
        <v>2099</v>
      </c>
      <c r="AH184" s="10" t="s">
        <v>60</v>
      </c>
      <c r="AI184" s="10" t="s">
        <v>61</v>
      </c>
      <c r="AJ184" s="10" t="s">
        <v>2100</v>
      </c>
      <c r="AK184" s="10" t="s">
        <v>2101</v>
      </c>
      <c r="AL184" s="10" t="s">
        <v>64</v>
      </c>
      <c r="AM184" s="10" t="s">
        <v>2102</v>
      </c>
      <c r="AN184" s="10" t="s">
        <v>50</v>
      </c>
      <c r="AO184" s="11" t="s">
        <v>50</v>
      </c>
      <c r="AP184" s="10" t="s">
        <v>50</v>
      </c>
      <c r="AQ184" s="10" t="s">
        <v>50</v>
      </c>
      <c r="AR184" s="10" t="s">
        <v>50</v>
      </c>
      <c r="AS184" s="10" t="s">
        <v>50</v>
      </c>
      <c r="AT184" s="10" t="s">
        <v>50</v>
      </c>
      <c r="AU184" s="10" t="s">
        <v>50</v>
      </c>
      <c r="AV184" s="11"/>
      <c r="AW184" s="10" t="s">
        <v>66</v>
      </c>
      <c r="AX184" s="10"/>
      <c r="AY184" s="10" t="s">
        <v>66</v>
      </c>
    </row>
    <row r="185" ht="22.5" hidden="1" customHeight="1">
      <c r="A185" s="9" t="s">
        <v>2103</v>
      </c>
      <c r="B185" s="10" t="s">
        <v>2104</v>
      </c>
      <c r="C185" s="10" t="s">
        <v>43</v>
      </c>
      <c r="D185" s="10" t="s">
        <v>125</v>
      </c>
      <c r="E185" s="10" t="s">
        <v>45</v>
      </c>
      <c r="F185" s="11">
        <v>1.0</v>
      </c>
      <c r="G185" s="11">
        <v>80.5</v>
      </c>
      <c r="H185" s="11">
        <v>30.01</v>
      </c>
      <c r="I185" s="11">
        <v>-15.3</v>
      </c>
      <c r="J185" s="11">
        <v>-49.96</v>
      </c>
      <c r="K185" s="11"/>
      <c r="L185" s="11">
        <v>45.25</v>
      </c>
      <c r="M185" s="10" t="s">
        <v>46</v>
      </c>
      <c r="N185" s="10" t="s">
        <v>50</v>
      </c>
      <c r="O185" s="10" t="s">
        <v>47</v>
      </c>
      <c r="P185" s="10" t="s">
        <v>48</v>
      </c>
      <c r="Q185" s="10" t="s">
        <v>49</v>
      </c>
      <c r="R185" s="10" t="s">
        <v>50</v>
      </c>
      <c r="S185" s="11">
        <v>80.5</v>
      </c>
      <c r="T185" s="11">
        <v>12.45</v>
      </c>
      <c r="U185" s="11" t="s">
        <v>51</v>
      </c>
      <c r="V185" s="10" t="s">
        <v>52</v>
      </c>
      <c r="W185" s="10" t="s">
        <v>2105</v>
      </c>
      <c r="X185" s="10" t="s">
        <v>2106</v>
      </c>
      <c r="Y185" s="10" t="s">
        <v>2107</v>
      </c>
      <c r="Z185" s="10" t="s">
        <v>50</v>
      </c>
      <c r="AA185" s="10" t="s">
        <v>50</v>
      </c>
      <c r="AB185" s="10" t="s">
        <v>2105</v>
      </c>
      <c r="AC185" s="10" t="s">
        <v>2108</v>
      </c>
      <c r="AD185" s="10" t="s">
        <v>2109</v>
      </c>
      <c r="AE185" s="10" t="s">
        <v>2110</v>
      </c>
      <c r="AF185" s="10" t="s">
        <v>561</v>
      </c>
      <c r="AG185" s="10" t="s">
        <v>2111</v>
      </c>
      <c r="AH185" s="10" t="s">
        <v>60</v>
      </c>
      <c r="AI185" s="10" t="s">
        <v>61</v>
      </c>
      <c r="AJ185" s="10" t="s">
        <v>1439</v>
      </c>
      <c r="AK185" s="10" t="s">
        <v>2112</v>
      </c>
      <c r="AL185" s="10" t="s">
        <v>2113</v>
      </c>
      <c r="AM185" s="10" t="s">
        <v>2114</v>
      </c>
      <c r="AN185" s="10" t="s">
        <v>2115</v>
      </c>
      <c r="AO185" s="11" t="s">
        <v>50</v>
      </c>
      <c r="AP185" s="10" t="s">
        <v>50</v>
      </c>
      <c r="AQ185" s="10" t="s">
        <v>50</v>
      </c>
      <c r="AR185" s="10" t="s">
        <v>50</v>
      </c>
      <c r="AS185" s="10" t="s">
        <v>50</v>
      </c>
      <c r="AT185" s="10" t="s">
        <v>50</v>
      </c>
      <c r="AU185" s="10" t="s">
        <v>50</v>
      </c>
      <c r="AV185" s="11"/>
      <c r="AW185" s="10" t="s">
        <v>66</v>
      </c>
      <c r="AX185" s="10"/>
      <c r="AY185" s="10" t="s">
        <v>66</v>
      </c>
    </row>
    <row r="186" ht="22.5" hidden="1" customHeight="1">
      <c r="A186" s="9" t="s">
        <v>2116</v>
      </c>
      <c r="B186" s="10" t="s">
        <v>2117</v>
      </c>
      <c r="C186" s="10" t="s">
        <v>43</v>
      </c>
      <c r="D186" s="10" t="s">
        <v>1398</v>
      </c>
      <c r="E186" s="10" t="s">
        <v>66</v>
      </c>
      <c r="F186" s="11">
        <v>1.0</v>
      </c>
      <c r="G186" s="11">
        <v>43.7</v>
      </c>
      <c r="H186" s="11">
        <v>18.9</v>
      </c>
      <c r="I186" s="11">
        <v>-13.43</v>
      </c>
      <c r="J186" s="11">
        <v>-18.9</v>
      </c>
      <c r="K186" s="11"/>
      <c r="L186" s="11">
        <v>32.89</v>
      </c>
      <c r="M186" s="10" t="s">
        <v>46</v>
      </c>
      <c r="N186" s="10" t="s">
        <v>50</v>
      </c>
      <c r="O186" s="10" t="s">
        <v>176</v>
      </c>
      <c r="P186" s="10" t="s">
        <v>177</v>
      </c>
      <c r="Q186" s="10" t="s">
        <v>178</v>
      </c>
      <c r="R186" s="10" t="s">
        <v>74</v>
      </c>
      <c r="S186" s="11">
        <v>43.7</v>
      </c>
      <c r="T186" s="11">
        <v>22.58</v>
      </c>
      <c r="U186" s="11" t="s">
        <v>51</v>
      </c>
      <c r="V186" s="10" t="s">
        <v>52</v>
      </c>
      <c r="W186" s="10" t="s">
        <v>2118</v>
      </c>
      <c r="X186" s="10" t="s">
        <v>2119</v>
      </c>
      <c r="Y186" s="10" t="s">
        <v>2120</v>
      </c>
      <c r="Z186" s="10" t="s">
        <v>50</v>
      </c>
      <c r="AA186" s="10" t="s">
        <v>50</v>
      </c>
      <c r="AB186" s="10" t="s">
        <v>2118</v>
      </c>
      <c r="AC186" s="10" t="s">
        <v>2121</v>
      </c>
      <c r="AD186" s="10" t="s">
        <v>2122</v>
      </c>
      <c r="AE186" s="10" t="s">
        <v>2123</v>
      </c>
      <c r="AF186" s="10" t="s">
        <v>151</v>
      </c>
      <c r="AG186" s="10" t="s">
        <v>2124</v>
      </c>
      <c r="AH186" s="10" t="s">
        <v>60</v>
      </c>
      <c r="AI186" s="10" t="s">
        <v>61</v>
      </c>
      <c r="AJ186" s="10" t="s">
        <v>2125</v>
      </c>
      <c r="AK186" s="10" t="s">
        <v>2126</v>
      </c>
      <c r="AL186" s="10" t="s">
        <v>64</v>
      </c>
      <c r="AM186" s="10" t="s">
        <v>2127</v>
      </c>
      <c r="AN186" s="10" t="s">
        <v>50</v>
      </c>
      <c r="AO186" s="11" t="s">
        <v>50</v>
      </c>
      <c r="AP186" s="10" t="s">
        <v>50</v>
      </c>
      <c r="AQ186" s="10" t="s">
        <v>50</v>
      </c>
      <c r="AR186" s="10" t="s">
        <v>50</v>
      </c>
      <c r="AS186" s="10" t="s">
        <v>50</v>
      </c>
      <c r="AT186" s="10" t="s">
        <v>50</v>
      </c>
      <c r="AU186" s="10" t="s">
        <v>50</v>
      </c>
      <c r="AV186" s="11"/>
      <c r="AW186" s="10" t="s">
        <v>66</v>
      </c>
      <c r="AX186" s="10"/>
      <c r="AY186" s="10" t="s">
        <v>66</v>
      </c>
    </row>
    <row r="187" ht="22.5" hidden="1" customHeight="1">
      <c r="A187" s="9" t="s">
        <v>2128</v>
      </c>
      <c r="B187" s="10" t="s">
        <v>2129</v>
      </c>
      <c r="C187" s="10" t="s">
        <v>158</v>
      </c>
      <c r="D187" s="10" t="s">
        <v>2130</v>
      </c>
      <c r="E187" s="10" t="s">
        <v>45</v>
      </c>
      <c r="F187" s="11">
        <v>1.0</v>
      </c>
      <c r="G187" s="11">
        <v>120.0</v>
      </c>
      <c r="H187" s="11">
        <v>16.95</v>
      </c>
      <c r="I187" s="11">
        <v>-20.4</v>
      </c>
      <c r="J187" s="11">
        <v>-36.9</v>
      </c>
      <c r="K187" s="11"/>
      <c r="L187" s="11">
        <v>86.85</v>
      </c>
      <c r="M187" s="10" t="s">
        <v>46</v>
      </c>
      <c r="N187" s="10" t="s">
        <v>50</v>
      </c>
      <c r="O187" s="10" t="s">
        <v>85</v>
      </c>
      <c r="P187" s="10" t="s">
        <v>86</v>
      </c>
      <c r="Q187" s="10" t="s">
        <v>87</v>
      </c>
      <c r="R187" s="10" t="s">
        <v>74</v>
      </c>
      <c r="S187" s="11">
        <v>120.0</v>
      </c>
      <c r="T187" s="11">
        <v>65.78</v>
      </c>
      <c r="U187" s="11" t="s">
        <v>51</v>
      </c>
      <c r="V187" s="10" t="s">
        <v>52</v>
      </c>
      <c r="W187" s="10" t="s">
        <v>2131</v>
      </c>
      <c r="X187" s="10" t="s">
        <v>2132</v>
      </c>
      <c r="Y187" s="10" t="s">
        <v>2133</v>
      </c>
      <c r="Z187" s="10" t="s">
        <v>50</v>
      </c>
      <c r="AA187" s="10" t="s">
        <v>50</v>
      </c>
      <c r="AB187" s="10" t="s">
        <v>2131</v>
      </c>
      <c r="AC187" s="10" t="s">
        <v>2134</v>
      </c>
      <c r="AD187" s="10" t="s">
        <v>2135</v>
      </c>
      <c r="AE187" s="10" t="s">
        <v>2136</v>
      </c>
      <c r="AF187" s="10" t="s">
        <v>775</v>
      </c>
      <c r="AG187" s="10" t="s">
        <v>2137</v>
      </c>
      <c r="AH187" s="10" t="s">
        <v>60</v>
      </c>
      <c r="AI187" s="10" t="s">
        <v>61</v>
      </c>
      <c r="AJ187" s="10" t="s">
        <v>1406</v>
      </c>
      <c r="AK187" s="10" t="s">
        <v>50</v>
      </c>
      <c r="AL187" s="10" t="s">
        <v>2138</v>
      </c>
      <c r="AM187" s="10" t="s">
        <v>2139</v>
      </c>
      <c r="AN187" s="10" t="s">
        <v>50</v>
      </c>
      <c r="AO187" s="11" t="s">
        <v>50</v>
      </c>
      <c r="AP187" s="10" t="s">
        <v>50</v>
      </c>
      <c r="AQ187" s="10" t="s">
        <v>50</v>
      </c>
      <c r="AR187" s="10" t="s">
        <v>50</v>
      </c>
      <c r="AS187" s="10" t="s">
        <v>50</v>
      </c>
      <c r="AT187" s="10" t="s">
        <v>50</v>
      </c>
      <c r="AU187" s="10" t="s">
        <v>50</v>
      </c>
      <c r="AV187" s="11"/>
      <c r="AW187" s="10" t="s">
        <v>66</v>
      </c>
      <c r="AX187" s="10"/>
      <c r="AY187" s="10" t="s">
        <v>66</v>
      </c>
    </row>
    <row r="188" ht="22.5" hidden="1" customHeight="1">
      <c r="A188" s="9" t="s">
        <v>2140</v>
      </c>
      <c r="B188" s="10" t="s">
        <v>2141</v>
      </c>
      <c r="C188" s="10" t="s">
        <v>43</v>
      </c>
      <c r="D188" s="10" t="s">
        <v>1398</v>
      </c>
      <c r="E188" s="10" t="s">
        <v>66</v>
      </c>
      <c r="F188" s="11">
        <v>1.0</v>
      </c>
      <c r="G188" s="11">
        <v>43.7</v>
      </c>
      <c r="H188" s="11">
        <v>14.63</v>
      </c>
      <c r="I188" s="11">
        <v>-13.43</v>
      </c>
      <c r="J188" s="11">
        <v>-14.63</v>
      </c>
      <c r="K188" s="11"/>
      <c r="L188" s="11">
        <v>32.89</v>
      </c>
      <c r="M188" s="10" t="s">
        <v>46</v>
      </c>
      <c r="N188" s="10" t="s">
        <v>50</v>
      </c>
      <c r="O188" s="10" t="s">
        <v>176</v>
      </c>
      <c r="P188" s="10" t="s">
        <v>177</v>
      </c>
      <c r="Q188" s="10" t="s">
        <v>178</v>
      </c>
      <c r="R188" s="10" t="s">
        <v>74</v>
      </c>
      <c r="S188" s="11">
        <v>43.7</v>
      </c>
      <c r="T188" s="11">
        <v>22.58</v>
      </c>
      <c r="U188" s="11" t="s">
        <v>51</v>
      </c>
      <c r="V188" s="10" t="s">
        <v>52</v>
      </c>
      <c r="W188" s="10" t="s">
        <v>2142</v>
      </c>
      <c r="X188" s="10" t="s">
        <v>2143</v>
      </c>
      <c r="Y188" s="10" t="s">
        <v>2144</v>
      </c>
      <c r="Z188" s="10" t="s">
        <v>50</v>
      </c>
      <c r="AA188" s="10" t="s">
        <v>50</v>
      </c>
      <c r="AB188" s="10" t="s">
        <v>2142</v>
      </c>
      <c r="AC188" s="10" t="s">
        <v>2145</v>
      </c>
      <c r="AD188" s="10" t="s">
        <v>2146</v>
      </c>
      <c r="AE188" s="10" t="s">
        <v>373</v>
      </c>
      <c r="AF188" s="10" t="s">
        <v>58</v>
      </c>
      <c r="AG188" s="10" t="s">
        <v>2147</v>
      </c>
      <c r="AH188" s="10" t="s">
        <v>60</v>
      </c>
      <c r="AI188" s="10" t="s">
        <v>61</v>
      </c>
      <c r="AJ188" s="10" t="s">
        <v>1619</v>
      </c>
      <c r="AK188" s="10" t="s">
        <v>2148</v>
      </c>
      <c r="AL188" s="10" t="s">
        <v>64</v>
      </c>
      <c r="AM188" s="10" t="s">
        <v>2149</v>
      </c>
      <c r="AN188" s="10" t="s">
        <v>50</v>
      </c>
      <c r="AO188" s="11" t="s">
        <v>50</v>
      </c>
      <c r="AP188" s="10" t="s">
        <v>50</v>
      </c>
      <c r="AQ188" s="10" t="s">
        <v>50</v>
      </c>
      <c r="AR188" s="10" t="s">
        <v>50</v>
      </c>
      <c r="AS188" s="10" t="s">
        <v>50</v>
      </c>
      <c r="AT188" s="10" t="s">
        <v>50</v>
      </c>
      <c r="AU188" s="10" t="s">
        <v>50</v>
      </c>
      <c r="AV188" s="11"/>
      <c r="AW188" s="10" t="s">
        <v>66</v>
      </c>
      <c r="AX188" s="10"/>
      <c r="AY188" s="10" t="s">
        <v>66</v>
      </c>
    </row>
    <row r="189" ht="22.5" hidden="1" customHeight="1">
      <c r="A189" s="9" t="s">
        <v>2150</v>
      </c>
      <c r="B189" s="10" t="s">
        <v>2151</v>
      </c>
      <c r="C189" s="10" t="s">
        <v>43</v>
      </c>
      <c r="D189" s="10" t="s">
        <v>688</v>
      </c>
      <c r="E189" s="10" t="s">
        <v>45</v>
      </c>
      <c r="F189" s="11">
        <v>1.0</v>
      </c>
      <c r="G189" s="11">
        <v>120.0</v>
      </c>
      <c r="H189" s="11"/>
      <c r="I189" s="11">
        <v>-20.4</v>
      </c>
      <c r="J189" s="11">
        <v>-19.95</v>
      </c>
      <c r="K189" s="11"/>
      <c r="L189" s="11">
        <v>86.85</v>
      </c>
      <c r="M189" s="10" t="s">
        <v>46</v>
      </c>
      <c r="N189" s="10" t="s">
        <v>45</v>
      </c>
      <c r="O189" s="10" t="s">
        <v>85</v>
      </c>
      <c r="P189" s="10" t="s">
        <v>86</v>
      </c>
      <c r="Q189" s="10" t="s">
        <v>87</v>
      </c>
      <c r="R189" s="10" t="s">
        <v>74</v>
      </c>
      <c r="S189" s="11">
        <v>120.0</v>
      </c>
      <c r="T189" s="11">
        <v>65.78</v>
      </c>
      <c r="U189" s="11" t="s">
        <v>51</v>
      </c>
      <c r="V189" s="10" t="s">
        <v>52</v>
      </c>
      <c r="W189" s="10" t="s">
        <v>2152</v>
      </c>
      <c r="X189" s="10" t="s">
        <v>2153</v>
      </c>
      <c r="Y189" s="10" t="s">
        <v>2154</v>
      </c>
      <c r="Z189" s="10" t="s">
        <v>50</v>
      </c>
      <c r="AA189" s="10" t="s">
        <v>50</v>
      </c>
      <c r="AB189" s="10" t="s">
        <v>2152</v>
      </c>
      <c r="AC189" s="10" t="s">
        <v>2155</v>
      </c>
      <c r="AD189" s="10" t="s">
        <v>2156</v>
      </c>
      <c r="AE189" s="10" t="s">
        <v>2157</v>
      </c>
      <c r="AF189" s="10" t="s">
        <v>2158</v>
      </c>
      <c r="AG189" s="10" t="s">
        <v>2159</v>
      </c>
      <c r="AH189" s="10" t="s">
        <v>60</v>
      </c>
      <c r="AI189" s="10" t="s">
        <v>61</v>
      </c>
      <c r="AJ189" s="10" t="s">
        <v>1652</v>
      </c>
      <c r="AK189" s="10" t="s">
        <v>2160</v>
      </c>
      <c r="AL189" s="10" t="s">
        <v>64</v>
      </c>
      <c r="AM189" s="10" t="s">
        <v>2161</v>
      </c>
      <c r="AN189" s="10" t="s">
        <v>50</v>
      </c>
      <c r="AO189" s="11" t="s">
        <v>50</v>
      </c>
      <c r="AP189" s="10" t="s">
        <v>50</v>
      </c>
      <c r="AQ189" s="10" t="s">
        <v>50</v>
      </c>
      <c r="AR189" s="10" t="s">
        <v>50</v>
      </c>
      <c r="AS189" s="10" t="s">
        <v>50</v>
      </c>
      <c r="AT189" s="10" t="s">
        <v>50</v>
      </c>
      <c r="AU189" s="10" t="s">
        <v>50</v>
      </c>
      <c r="AV189" s="11"/>
      <c r="AW189" s="10" t="s">
        <v>66</v>
      </c>
      <c r="AX189" s="10"/>
      <c r="AY189" s="10" t="s">
        <v>66</v>
      </c>
    </row>
    <row r="190" ht="22.5" hidden="1" customHeight="1">
      <c r="A190" s="9" t="s">
        <v>2162</v>
      </c>
      <c r="B190" s="10" t="s">
        <v>2163</v>
      </c>
      <c r="C190" s="10" t="s">
        <v>43</v>
      </c>
      <c r="D190" s="10" t="s">
        <v>734</v>
      </c>
      <c r="E190" s="10" t="s">
        <v>66</v>
      </c>
      <c r="F190" s="11">
        <v>1.0</v>
      </c>
      <c r="G190" s="11">
        <v>82.5</v>
      </c>
      <c r="H190" s="11"/>
      <c r="I190" s="11">
        <v>-14.02</v>
      </c>
      <c r="J190" s="11">
        <v>-20.45</v>
      </c>
      <c r="K190" s="11"/>
      <c r="L190" s="11">
        <v>48.03</v>
      </c>
      <c r="M190" s="10" t="s">
        <v>46</v>
      </c>
      <c r="N190" s="10" t="s">
        <v>45</v>
      </c>
      <c r="O190" s="10" t="s">
        <v>412</v>
      </c>
      <c r="P190" s="10" t="s">
        <v>413</v>
      </c>
      <c r="Q190" s="10" t="s">
        <v>414</v>
      </c>
      <c r="R190" s="10" t="s">
        <v>415</v>
      </c>
      <c r="S190" s="11">
        <v>82.5</v>
      </c>
      <c r="T190" s="11">
        <v>10.05</v>
      </c>
      <c r="U190" s="11" t="s">
        <v>51</v>
      </c>
      <c r="V190" s="10" t="s">
        <v>52</v>
      </c>
      <c r="W190" s="10" t="s">
        <v>2164</v>
      </c>
      <c r="X190" s="10" t="s">
        <v>2165</v>
      </c>
      <c r="Y190" s="10" t="s">
        <v>2166</v>
      </c>
      <c r="Z190" s="10" t="s">
        <v>50</v>
      </c>
      <c r="AA190" s="10" t="s">
        <v>50</v>
      </c>
      <c r="AB190" s="10" t="s">
        <v>2164</v>
      </c>
      <c r="AC190" s="10" t="s">
        <v>2167</v>
      </c>
      <c r="AD190" s="10" t="s">
        <v>2168</v>
      </c>
      <c r="AE190" s="10" t="s">
        <v>2169</v>
      </c>
      <c r="AF190" s="10" t="s">
        <v>185</v>
      </c>
      <c r="AG190" s="10" t="s">
        <v>2170</v>
      </c>
      <c r="AH190" s="10" t="s">
        <v>60</v>
      </c>
      <c r="AI190" s="10" t="s">
        <v>61</v>
      </c>
      <c r="AJ190" s="10" t="s">
        <v>1607</v>
      </c>
      <c r="AK190" s="10" t="s">
        <v>2171</v>
      </c>
      <c r="AL190" s="10" t="s">
        <v>64</v>
      </c>
      <c r="AM190" s="10" t="s">
        <v>2172</v>
      </c>
      <c r="AN190" s="10" t="s">
        <v>50</v>
      </c>
      <c r="AO190" s="11" t="s">
        <v>50</v>
      </c>
      <c r="AP190" s="10" t="s">
        <v>50</v>
      </c>
      <c r="AQ190" s="10" t="s">
        <v>50</v>
      </c>
      <c r="AR190" s="10" t="s">
        <v>50</v>
      </c>
      <c r="AS190" s="10" t="s">
        <v>50</v>
      </c>
      <c r="AT190" s="10" t="s">
        <v>50</v>
      </c>
      <c r="AU190" s="10" t="s">
        <v>50</v>
      </c>
      <c r="AV190" s="11"/>
      <c r="AW190" s="10" t="s">
        <v>66</v>
      </c>
      <c r="AX190" s="10"/>
      <c r="AY190" s="10" t="s">
        <v>66</v>
      </c>
    </row>
    <row r="191" ht="22.5" hidden="1" customHeight="1">
      <c r="A191" s="12" t="s">
        <v>2173</v>
      </c>
      <c r="B191" s="13" t="s">
        <v>2174</v>
      </c>
      <c r="C191" s="13" t="s">
        <v>747</v>
      </c>
      <c r="D191" s="13" t="s">
        <v>50</v>
      </c>
      <c r="E191" s="13" t="s">
        <v>50</v>
      </c>
      <c r="F191" s="14"/>
      <c r="G191" s="14">
        <v>168.3</v>
      </c>
      <c r="H191" s="14"/>
      <c r="I191" s="14">
        <v>-28.61</v>
      </c>
      <c r="J191" s="14">
        <v>-40.9</v>
      </c>
      <c r="K191" s="14"/>
      <c r="L191" s="14">
        <v>104.15</v>
      </c>
      <c r="M191" s="13" t="s">
        <v>46</v>
      </c>
      <c r="N191" s="13" t="s">
        <v>50</v>
      </c>
      <c r="O191" s="13" t="s">
        <v>50</v>
      </c>
      <c r="P191" s="13" t="s">
        <v>50</v>
      </c>
      <c r="Q191" s="13" t="s">
        <v>50</v>
      </c>
      <c r="R191" s="13" t="s">
        <v>50</v>
      </c>
      <c r="S191" s="14"/>
      <c r="T191" s="18"/>
      <c r="U191" s="14" t="s">
        <v>50</v>
      </c>
      <c r="V191" s="13" t="s">
        <v>52</v>
      </c>
      <c r="W191" s="13" t="s">
        <v>2175</v>
      </c>
      <c r="X191" s="13" t="s">
        <v>2176</v>
      </c>
      <c r="Y191" s="13" t="s">
        <v>2177</v>
      </c>
      <c r="Z191" s="13" t="s">
        <v>50</v>
      </c>
      <c r="AA191" s="13" t="s">
        <v>50</v>
      </c>
      <c r="AB191" s="13" t="s">
        <v>2175</v>
      </c>
      <c r="AC191" s="13" t="s">
        <v>2178</v>
      </c>
      <c r="AD191" s="13" t="s">
        <v>2179</v>
      </c>
      <c r="AE191" s="13" t="s">
        <v>2180</v>
      </c>
      <c r="AF191" s="13" t="s">
        <v>58</v>
      </c>
      <c r="AG191" s="13" t="s">
        <v>2181</v>
      </c>
      <c r="AH191" s="13" t="s">
        <v>60</v>
      </c>
      <c r="AI191" s="13" t="s">
        <v>61</v>
      </c>
      <c r="AJ191" s="13" t="s">
        <v>1607</v>
      </c>
      <c r="AK191" s="13" t="s">
        <v>2182</v>
      </c>
      <c r="AL191" s="13" t="s">
        <v>64</v>
      </c>
      <c r="AM191" s="13" t="s">
        <v>2183</v>
      </c>
      <c r="AN191" s="13" t="s">
        <v>50</v>
      </c>
      <c r="AO191" s="15" t="s">
        <v>50</v>
      </c>
      <c r="AP191" s="13" t="s">
        <v>50</v>
      </c>
      <c r="AQ191" s="13" t="s">
        <v>50</v>
      </c>
      <c r="AR191" s="13" t="s">
        <v>50</v>
      </c>
      <c r="AS191" s="13" t="s">
        <v>50</v>
      </c>
      <c r="AT191" s="13" t="s">
        <v>50</v>
      </c>
      <c r="AU191" s="13" t="s">
        <v>50</v>
      </c>
      <c r="AV191" s="15"/>
      <c r="AW191" s="13" t="s">
        <v>50</v>
      </c>
      <c r="AX191" s="13"/>
      <c r="AY191" s="13" t="s">
        <v>50</v>
      </c>
    </row>
    <row r="192" ht="22.5" hidden="1" customHeight="1">
      <c r="A192" s="16" t="s">
        <v>2184</v>
      </c>
      <c r="B192" s="17" t="s">
        <v>2174</v>
      </c>
      <c r="C192" s="17" t="s">
        <v>43</v>
      </c>
      <c r="D192" s="17" t="s">
        <v>1398</v>
      </c>
      <c r="E192" s="17" t="s">
        <v>45</v>
      </c>
      <c r="F192" s="18">
        <v>1.0</v>
      </c>
      <c r="G192" s="18"/>
      <c r="H192" s="18"/>
      <c r="I192" s="18"/>
      <c r="J192" s="18"/>
      <c r="K192" s="18"/>
      <c r="L192" s="18"/>
      <c r="M192" s="17" t="s">
        <v>50</v>
      </c>
      <c r="N192" s="17" t="s">
        <v>45</v>
      </c>
      <c r="O192" s="17" t="s">
        <v>2185</v>
      </c>
      <c r="P192" s="17" t="s">
        <v>2186</v>
      </c>
      <c r="Q192" s="17" t="s">
        <v>2187</v>
      </c>
      <c r="R192" s="17" t="s">
        <v>74</v>
      </c>
      <c r="S192" s="18">
        <v>89.3</v>
      </c>
      <c r="T192" s="18">
        <v>28.26</v>
      </c>
      <c r="U192" s="18" t="s">
        <v>51</v>
      </c>
      <c r="V192" s="17" t="s">
        <v>50</v>
      </c>
      <c r="W192" s="17" t="s">
        <v>50</v>
      </c>
      <c r="X192" s="17" t="s">
        <v>50</v>
      </c>
      <c r="Y192" s="17" t="s">
        <v>50</v>
      </c>
      <c r="Z192" s="17" t="s">
        <v>50</v>
      </c>
      <c r="AA192" s="17" t="s">
        <v>50</v>
      </c>
      <c r="AB192" s="17" t="s">
        <v>50</v>
      </c>
      <c r="AC192" s="17" t="s">
        <v>50</v>
      </c>
      <c r="AD192" s="17" t="s">
        <v>50</v>
      </c>
      <c r="AE192" s="17" t="s">
        <v>50</v>
      </c>
      <c r="AF192" s="17" t="s">
        <v>50</v>
      </c>
      <c r="AG192" s="17" t="s">
        <v>50</v>
      </c>
      <c r="AH192" s="17" t="s">
        <v>50</v>
      </c>
      <c r="AI192" s="17" t="s">
        <v>50</v>
      </c>
      <c r="AJ192" s="17" t="s">
        <v>50</v>
      </c>
      <c r="AK192" s="17" t="s">
        <v>50</v>
      </c>
      <c r="AL192" s="17" t="s">
        <v>50</v>
      </c>
      <c r="AM192" s="17" t="s">
        <v>50</v>
      </c>
      <c r="AN192" s="17" t="s">
        <v>50</v>
      </c>
      <c r="AO192" s="18" t="s">
        <v>50</v>
      </c>
      <c r="AP192" s="17" t="s">
        <v>50</v>
      </c>
      <c r="AQ192" s="17" t="s">
        <v>50</v>
      </c>
      <c r="AR192" s="17" t="s">
        <v>50</v>
      </c>
      <c r="AS192" s="17" t="s">
        <v>50</v>
      </c>
      <c r="AT192" s="17" t="s">
        <v>50</v>
      </c>
      <c r="AU192" s="17" t="s">
        <v>50</v>
      </c>
      <c r="AV192" s="18"/>
      <c r="AW192" s="17" t="s">
        <v>66</v>
      </c>
      <c r="AX192" s="17"/>
      <c r="AY192" s="17" t="s">
        <v>66</v>
      </c>
    </row>
    <row r="193" ht="22.5" hidden="1" customHeight="1">
      <c r="A193" s="16" t="s">
        <v>2188</v>
      </c>
      <c r="B193" s="17" t="s">
        <v>2174</v>
      </c>
      <c r="C193" s="17" t="s">
        <v>43</v>
      </c>
      <c r="D193" s="17" t="s">
        <v>1398</v>
      </c>
      <c r="E193" s="17" t="s">
        <v>45</v>
      </c>
      <c r="F193" s="18">
        <v>1.0</v>
      </c>
      <c r="G193" s="18"/>
      <c r="H193" s="18"/>
      <c r="I193" s="18"/>
      <c r="J193" s="18"/>
      <c r="K193" s="18"/>
      <c r="L193" s="18"/>
      <c r="M193" s="17" t="s">
        <v>50</v>
      </c>
      <c r="N193" s="17" t="s">
        <v>45</v>
      </c>
      <c r="O193" s="17" t="s">
        <v>160</v>
      </c>
      <c r="P193" s="17" t="s">
        <v>161</v>
      </c>
      <c r="Q193" s="17" t="s">
        <v>162</v>
      </c>
      <c r="R193" s="17" t="s">
        <v>74</v>
      </c>
      <c r="S193" s="18">
        <v>79.0</v>
      </c>
      <c r="T193" s="18">
        <v>2.49</v>
      </c>
      <c r="U193" s="18" t="s">
        <v>51</v>
      </c>
      <c r="V193" s="17" t="s">
        <v>50</v>
      </c>
      <c r="W193" s="17" t="s">
        <v>50</v>
      </c>
      <c r="X193" s="17" t="s">
        <v>50</v>
      </c>
      <c r="Y193" s="17" t="s">
        <v>50</v>
      </c>
      <c r="Z193" s="17" t="s">
        <v>50</v>
      </c>
      <c r="AA193" s="17" t="s">
        <v>50</v>
      </c>
      <c r="AB193" s="17" t="s">
        <v>50</v>
      </c>
      <c r="AC193" s="17" t="s">
        <v>50</v>
      </c>
      <c r="AD193" s="17" t="s">
        <v>50</v>
      </c>
      <c r="AE193" s="17" t="s">
        <v>50</v>
      </c>
      <c r="AF193" s="17" t="s">
        <v>50</v>
      </c>
      <c r="AG193" s="17" t="s">
        <v>50</v>
      </c>
      <c r="AH193" s="17" t="s">
        <v>50</v>
      </c>
      <c r="AI193" s="17" t="s">
        <v>50</v>
      </c>
      <c r="AJ193" s="17" t="s">
        <v>50</v>
      </c>
      <c r="AK193" s="17" t="s">
        <v>50</v>
      </c>
      <c r="AL193" s="17" t="s">
        <v>50</v>
      </c>
      <c r="AM193" s="17" t="s">
        <v>50</v>
      </c>
      <c r="AN193" s="17" t="s">
        <v>50</v>
      </c>
      <c r="AO193" s="18" t="s">
        <v>50</v>
      </c>
      <c r="AP193" s="17" t="s">
        <v>50</v>
      </c>
      <c r="AQ193" s="17" t="s">
        <v>50</v>
      </c>
      <c r="AR193" s="17" t="s">
        <v>50</v>
      </c>
      <c r="AS193" s="17" t="s">
        <v>50</v>
      </c>
      <c r="AT193" s="17" t="s">
        <v>50</v>
      </c>
      <c r="AU193" s="17" t="s">
        <v>50</v>
      </c>
      <c r="AV193" s="18"/>
      <c r="AW193" s="17" t="s">
        <v>66</v>
      </c>
      <c r="AX193" s="17"/>
      <c r="AY193" s="17" t="s">
        <v>66</v>
      </c>
    </row>
    <row r="194" ht="22.5" hidden="1" customHeight="1">
      <c r="A194" s="9" t="s">
        <v>2189</v>
      </c>
      <c r="B194" s="10" t="s">
        <v>2190</v>
      </c>
      <c r="C194" s="10" t="s">
        <v>43</v>
      </c>
      <c r="D194" s="10" t="s">
        <v>1398</v>
      </c>
      <c r="E194" s="10" t="s">
        <v>66</v>
      </c>
      <c r="F194" s="11">
        <v>1.0</v>
      </c>
      <c r="G194" s="11">
        <v>79.0</v>
      </c>
      <c r="H194" s="11"/>
      <c r="I194" s="11">
        <v>-13.43</v>
      </c>
      <c r="J194" s="11">
        <v>-20.45</v>
      </c>
      <c r="K194" s="11"/>
      <c r="L194" s="11">
        <v>45.12</v>
      </c>
      <c r="M194" s="10" t="s">
        <v>46</v>
      </c>
      <c r="N194" s="10" t="s">
        <v>45</v>
      </c>
      <c r="O194" s="10" t="s">
        <v>160</v>
      </c>
      <c r="P194" s="10" t="s">
        <v>161</v>
      </c>
      <c r="Q194" s="10" t="s">
        <v>162</v>
      </c>
      <c r="R194" s="10" t="s">
        <v>74</v>
      </c>
      <c r="S194" s="11">
        <v>79.0</v>
      </c>
      <c r="T194" s="18">
        <v>2.49</v>
      </c>
      <c r="U194" s="11" t="s">
        <v>51</v>
      </c>
      <c r="V194" s="10" t="s">
        <v>52</v>
      </c>
      <c r="W194" s="10" t="s">
        <v>2191</v>
      </c>
      <c r="X194" s="10" t="s">
        <v>2192</v>
      </c>
      <c r="Y194" s="10" t="s">
        <v>2193</v>
      </c>
      <c r="Z194" s="10" t="s">
        <v>50</v>
      </c>
      <c r="AA194" s="10" t="s">
        <v>50</v>
      </c>
      <c r="AB194" s="10" t="s">
        <v>2191</v>
      </c>
      <c r="AC194" s="10" t="s">
        <v>2194</v>
      </c>
      <c r="AD194" s="10" t="s">
        <v>2195</v>
      </c>
      <c r="AE194" s="10" t="s">
        <v>58</v>
      </c>
      <c r="AF194" s="10" t="s">
        <v>58</v>
      </c>
      <c r="AG194" s="10" t="s">
        <v>2196</v>
      </c>
      <c r="AH194" s="10" t="s">
        <v>60</v>
      </c>
      <c r="AI194" s="10" t="s">
        <v>61</v>
      </c>
      <c r="AJ194" s="10" t="s">
        <v>1439</v>
      </c>
      <c r="AK194" s="10" t="s">
        <v>2197</v>
      </c>
      <c r="AL194" s="10" t="s">
        <v>64</v>
      </c>
      <c r="AM194" s="10" t="s">
        <v>2198</v>
      </c>
      <c r="AN194" s="10" t="s">
        <v>50</v>
      </c>
      <c r="AO194" s="11" t="s">
        <v>50</v>
      </c>
      <c r="AP194" s="10" t="s">
        <v>50</v>
      </c>
      <c r="AQ194" s="10" t="s">
        <v>50</v>
      </c>
      <c r="AR194" s="10" t="s">
        <v>50</v>
      </c>
      <c r="AS194" s="10" t="s">
        <v>50</v>
      </c>
      <c r="AT194" s="10" t="s">
        <v>50</v>
      </c>
      <c r="AU194" s="10" t="s">
        <v>50</v>
      </c>
      <c r="AV194" s="11"/>
      <c r="AW194" s="10" t="s">
        <v>66</v>
      </c>
      <c r="AX194" s="10"/>
      <c r="AY194" s="10" t="s">
        <v>66</v>
      </c>
    </row>
    <row r="195" ht="22.5" hidden="1" customHeight="1">
      <c r="A195" s="9" t="s">
        <v>2199</v>
      </c>
      <c r="B195" s="10" t="s">
        <v>2200</v>
      </c>
      <c r="C195" s="10" t="s">
        <v>43</v>
      </c>
      <c r="D195" s="10" t="s">
        <v>1398</v>
      </c>
      <c r="E195" s="10" t="s">
        <v>66</v>
      </c>
      <c r="F195" s="11">
        <v>1.0</v>
      </c>
      <c r="G195" s="11">
        <v>79.0</v>
      </c>
      <c r="H195" s="11"/>
      <c r="I195" s="11">
        <v>-13.43</v>
      </c>
      <c r="J195" s="11">
        <v>-20.45</v>
      </c>
      <c r="K195" s="11"/>
      <c r="L195" s="11">
        <v>45.12</v>
      </c>
      <c r="M195" s="10" t="s">
        <v>46</v>
      </c>
      <c r="N195" s="10" t="s">
        <v>45</v>
      </c>
      <c r="O195" s="10" t="s">
        <v>160</v>
      </c>
      <c r="P195" s="10" t="s">
        <v>161</v>
      </c>
      <c r="Q195" s="10" t="s">
        <v>162</v>
      </c>
      <c r="R195" s="10" t="s">
        <v>74</v>
      </c>
      <c r="S195" s="11">
        <v>79.0</v>
      </c>
      <c r="T195" s="18">
        <v>2.49</v>
      </c>
      <c r="U195" s="11" t="s">
        <v>51</v>
      </c>
      <c r="V195" s="10" t="s">
        <v>52</v>
      </c>
      <c r="W195" s="10" t="s">
        <v>2191</v>
      </c>
      <c r="X195" s="10" t="s">
        <v>2192</v>
      </c>
      <c r="Y195" s="10" t="s">
        <v>2193</v>
      </c>
      <c r="Z195" s="10" t="s">
        <v>50</v>
      </c>
      <c r="AA195" s="10" t="s">
        <v>50</v>
      </c>
      <c r="AB195" s="10" t="s">
        <v>2191</v>
      </c>
      <c r="AC195" s="10" t="s">
        <v>2194</v>
      </c>
      <c r="AD195" s="10" t="s">
        <v>2195</v>
      </c>
      <c r="AE195" s="10" t="s">
        <v>58</v>
      </c>
      <c r="AF195" s="10" t="s">
        <v>58</v>
      </c>
      <c r="AG195" s="10" t="s">
        <v>2196</v>
      </c>
      <c r="AH195" s="10" t="s">
        <v>60</v>
      </c>
      <c r="AI195" s="10" t="s">
        <v>61</v>
      </c>
      <c r="AJ195" s="10" t="s">
        <v>1439</v>
      </c>
      <c r="AK195" s="10" t="s">
        <v>2197</v>
      </c>
      <c r="AL195" s="10" t="s">
        <v>64</v>
      </c>
      <c r="AM195" s="10" t="s">
        <v>2201</v>
      </c>
      <c r="AN195" s="10" t="s">
        <v>50</v>
      </c>
      <c r="AO195" s="11" t="s">
        <v>50</v>
      </c>
      <c r="AP195" s="10" t="s">
        <v>50</v>
      </c>
      <c r="AQ195" s="10" t="s">
        <v>50</v>
      </c>
      <c r="AR195" s="10" t="s">
        <v>50</v>
      </c>
      <c r="AS195" s="10" t="s">
        <v>50</v>
      </c>
      <c r="AT195" s="10" t="s">
        <v>50</v>
      </c>
      <c r="AU195" s="10" t="s">
        <v>50</v>
      </c>
      <c r="AV195" s="11"/>
      <c r="AW195" s="10" t="s">
        <v>66</v>
      </c>
      <c r="AX195" s="10"/>
      <c r="AY195" s="10" t="s">
        <v>66</v>
      </c>
    </row>
    <row r="196" ht="22.5" hidden="1" customHeight="1">
      <c r="A196" s="9" t="s">
        <v>2202</v>
      </c>
      <c r="B196" s="10" t="s">
        <v>2203</v>
      </c>
      <c r="C196" s="10" t="s">
        <v>43</v>
      </c>
      <c r="D196" s="10" t="s">
        <v>191</v>
      </c>
      <c r="E196" s="10" t="s">
        <v>66</v>
      </c>
      <c r="F196" s="11">
        <v>1.0</v>
      </c>
      <c r="G196" s="11">
        <v>92.15</v>
      </c>
      <c r="H196" s="11">
        <v>8.08</v>
      </c>
      <c r="I196" s="11">
        <v>-17.51</v>
      </c>
      <c r="J196" s="11">
        <v>-28.53</v>
      </c>
      <c r="K196" s="11"/>
      <c r="L196" s="11">
        <v>59.72</v>
      </c>
      <c r="M196" s="10" t="s">
        <v>46</v>
      </c>
      <c r="N196" s="10" t="s">
        <v>45</v>
      </c>
      <c r="O196" s="10" t="s">
        <v>586</v>
      </c>
      <c r="P196" s="10" t="s">
        <v>587</v>
      </c>
      <c r="Q196" s="10" t="s">
        <v>588</v>
      </c>
      <c r="R196" s="10" t="s">
        <v>50</v>
      </c>
      <c r="S196" s="11">
        <v>92.15</v>
      </c>
      <c r="T196" s="11">
        <v>20.76</v>
      </c>
      <c r="U196" s="11" t="s">
        <v>51</v>
      </c>
      <c r="V196" s="10" t="s">
        <v>52</v>
      </c>
      <c r="W196" s="10" t="s">
        <v>2204</v>
      </c>
      <c r="X196" s="10" t="s">
        <v>2205</v>
      </c>
      <c r="Y196" s="10" t="s">
        <v>2206</v>
      </c>
      <c r="Z196" s="10" t="s">
        <v>50</v>
      </c>
      <c r="AA196" s="10" t="s">
        <v>50</v>
      </c>
      <c r="AB196" s="10" t="s">
        <v>2204</v>
      </c>
      <c r="AC196" s="10" t="s">
        <v>2207</v>
      </c>
      <c r="AD196" s="10" t="s">
        <v>2208</v>
      </c>
      <c r="AE196" s="10" t="s">
        <v>2209</v>
      </c>
      <c r="AF196" s="10" t="s">
        <v>201</v>
      </c>
      <c r="AG196" s="10" t="s">
        <v>2210</v>
      </c>
      <c r="AH196" s="10" t="s">
        <v>60</v>
      </c>
      <c r="AI196" s="10" t="s">
        <v>61</v>
      </c>
      <c r="AJ196" s="10" t="s">
        <v>1497</v>
      </c>
      <c r="AK196" s="10" t="s">
        <v>2211</v>
      </c>
      <c r="AL196" s="10" t="s">
        <v>64</v>
      </c>
      <c r="AM196" s="10" t="s">
        <v>2212</v>
      </c>
      <c r="AN196" s="10" t="s">
        <v>50</v>
      </c>
      <c r="AO196" s="11" t="s">
        <v>50</v>
      </c>
      <c r="AP196" s="10" t="s">
        <v>50</v>
      </c>
      <c r="AQ196" s="10" t="s">
        <v>50</v>
      </c>
      <c r="AR196" s="10" t="s">
        <v>50</v>
      </c>
      <c r="AS196" s="10" t="s">
        <v>50</v>
      </c>
      <c r="AT196" s="10" t="s">
        <v>50</v>
      </c>
      <c r="AU196" s="10" t="s">
        <v>50</v>
      </c>
      <c r="AV196" s="11"/>
      <c r="AW196" s="10" t="s">
        <v>66</v>
      </c>
      <c r="AX196" s="10"/>
      <c r="AY196" s="10" t="s">
        <v>66</v>
      </c>
    </row>
    <row r="197" ht="22.5" hidden="1" customHeight="1">
      <c r="A197" s="9" t="s">
        <v>2213</v>
      </c>
      <c r="B197" s="10" t="s">
        <v>2214</v>
      </c>
      <c r="C197" s="10" t="s">
        <v>43</v>
      </c>
      <c r="D197" s="10" t="s">
        <v>191</v>
      </c>
      <c r="E197" s="10" t="s">
        <v>66</v>
      </c>
      <c r="F197" s="11">
        <v>1.0</v>
      </c>
      <c r="G197" s="11">
        <v>80.0</v>
      </c>
      <c r="H197" s="11"/>
      <c r="I197" s="11">
        <v>-13.6</v>
      </c>
      <c r="J197" s="11">
        <v>-19.95</v>
      </c>
      <c r="K197" s="11"/>
      <c r="L197" s="11">
        <v>50.45</v>
      </c>
      <c r="M197" s="10" t="s">
        <v>46</v>
      </c>
      <c r="N197" s="10" t="s">
        <v>50</v>
      </c>
      <c r="O197" s="10" t="s">
        <v>143</v>
      </c>
      <c r="P197" s="10" t="s">
        <v>144</v>
      </c>
      <c r="Q197" s="10" t="s">
        <v>145</v>
      </c>
      <c r="R197" s="10" t="s">
        <v>74</v>
      </c>
      <c r="S197" s="11">
        <v>80.0</v>
      </c>
      <c r="T197" s="11">
        <v>33.38</v>
      </c>
      <c r="U197" s="11" t="s">
        <v>51</v>
      </c>
      <c r="V197" s="10" t="s">
        <v>52</v>
      </c>
      <c r="W197" s="10" t="s">
        <v>1769</v>
      </c>
      <c r="X197" s="10" t="s">
        <v>1770</v>
      </c>
      <c r="Y197" s="10" t="s">
        <v>1771</v>
      </c>
      <c r="Z197" s="10" t="s">
        <v>50</v>
      </c>
      <c r="AA197" s="10" t="s">
        <v>50</v>
      </c>
      <c r="AB197" s="10" t="s">
        <v>1769</v>
      </c>
      <c r="AC197" s="10" t="s">
        <v>1772</v>
      </c>
      <c r="AD197" s="10" t="s">
        <v>1773</v>
      </c>
      <c r="AE197" s="10" t="s">
        <v>1774</v>
      </c>
      <c r="AF197" s="10" t="s">
        <v>775</v>
      </c>
      <c r="AG197" s="10" t="s">
        <v>1775</v>
      </c>
      <c r="AH197" s="10" t="s">
        <v>60</v>
      </c>
      <c r="AI197" s="10" t="s">
        <v>61</v>
      </c>
      <c r="AJ197" s="10" t="s">
        <v>1652</v>
      </c>
      <c r="AK197" s="10" t="s">
        <v>2215</v>
      </c>
      <c r="AL197" s="10" t="s">
        <v>64</v>
      </c>
      <c r="AM197" s="10" t="s">
        <v>2216</v>
      </c>
      <c r="AN197" s="10" t="s">
        <v>50</v>
      </c>
      <c r="AO197" s="11" t="s">
        <v>50</v>
      </c>
      <c r="AP197" s="10" t="s">
        <v>50</v>
      </c>
      <c r="AQ197" s="10" t="s">
        <v>50</v>
      </c>
      <c r="AR197" s="10" t="s">
        <v>50</v>
      </c>
      <c r="AS197" s="10" t="s">
        <v>50</v>
      </c>
      <c r="AT197" s="10" t="s">
        <v>50</v>
      </c>
      <c r="AU197" s="10" t="s">
        <v>50</v>
      </c>
      <c r="AV197" s="11"/>
      <c r="AW197" s="10" t="s">
        <v>66</v>
      </c>
      <c r="AX197" s="10"/>
      <c r="AY197" s="10" t="s">
        <v>66</v>
      </c>
    </row>
    <row r="198" ht="22.5" hidden="1" customHeight="1">
      <c r="A198" s="9" t="s">
        <v>2217</v>
      </c>
      <c r="B198" s="10" t="s">
        <v>2218</v>
      </c>
      <c r="C198" s="10" t="s">
        <v>43</v>
      </c>
      <c r="D198" s="10" t="s">
        <v>1398</v>
      </c>
      <c r="E198" s="10" t="s">
        <v>66</v>
      </c>
      <c r="F198" s="11">
        <v>1.0</v>
      </c>
      <c r="G198" s="11">
        <v>92.15</v>
      </c>
      <c r="H198" s="11"/>
      <c r="I198" s="11">
        <v>-17.51</v>
      </c>
      <c r="J198" s="11">
        <v>-20.45</v>
      </c>
      <c r="K198" s="11"/>
      <c r="L198" s="11">
        <v>59.72</v>
      </c>
      <c r="M198" s="10" t="s">
        <v>46</v>
      </c>
      <c r="N198" s="10" t="s">
        <v>50</v>
      </c>
      <c r="O198" s="10" t="s">
        <v>586</v>
      </c>
      <c r="P198" s="10" t="s">
        <v>587</v>
      </c>
      <c r="Q198" s="10" t="s">
        <v>588</v>
      </c>
      <c r="R198" s="10" t="s">
        <v>50</v>
      </c>
      <c r="S198" s="11">
        <v>92.15</v>
      </c>
      <c r="T198" s="11">
        <v>20.76</v>
      </c>
      <c r="U198" s="11" t="s">
        <v>51</v>
      </c>
      <c r="V198" s="10" t="s">
        <v>52</v>
      </c>
      <c r="W198" s="10" t="s">
        <v>2219</v>
      </c>
      <c r="X198" s="10" t="s">
        <v>2220</v>
      </c>
      <c r="Y198" s="10" t="s">
        <v>2221</v>
      </c>
      <c r="Z198" s="10" t="s">
        <v>50</v>
      </c>
      <c r="AA198" s="10" t="s">
        <v>50</v>
      </c>
      <c r="AB198" s="10" t="s">
        <v>2219</v>
      </c>
      <c r="AC198" s="10" t="s">
        <v>2222</v>
      </c>
      <c r="AD198" s="10" t="s">
        <v>2223</v>
      </c>
      <c r="AE198" s="10" t="s">
        <v>2224</v>
      </c>
      <c r="AF198" s="10" t="s">
        <v>58</v>
      </c>
      <c r="AG198" s="10" t="s">
        <v>2225</v>
      </c>
      <c r="AH198" s="10" t="s">
        <v>60</v>
      </c>
      <c r="AI198" s="10" t="s">
        <v>61</v>
      </c>
      <c r="AJ198" s="10" t="s">
        <v>1497</v>
      </c>
      <c r="AK198" s="10" t="s">
        <v>2226</v>
      </c>
      <c r="AL198" s="10" t="s">
        <v>64</v>
      </c>
      <c r="AM198" s="10" t="s">
        <v>2227</v>
      </c>
      <c r="AN198" s="10" t="s">
        <v>50</v>
      </c>
      <c r="AO198" s="11" t="s">
        <v>50</v>
      </c>
      <c r="AP198" s="10" t="s">
        <v>50</v>
      </c>
      <c r="AQ198" s="10" t="s">
        <v>50</v>
      </c>
      <c r="AR198" s="10" t="s">
        <v>50</v>
      </c>
      <c r="AS198" s="10" t="s">
        <v>50</v>
      </c>
      <c r="AT198" s="10" t="s">
        <v>50</v>
      </c>
      <c r="AU198" s="10" t="s">
        <v>50</v>
      </c>
      <c r="AV198" s="11"/>
      <c r="AW198" s="10" t="s">
        <v>66</v>
      </c>
      <c r="AX198" s="10"/>
      <c r="AY198" s="10" t="s">
        <v>66</v>
      </c>
    </row>
    <row r="199" ht="22.5" hidden="1" customHeight="1">
      <c r="A199" s="9" t="s">
        <v>2228</v>
      </c>
      <c r="B199" s="10" t="s">
        <v>2229</v>
      </c>
      <c r="C199" s="10" t="s">
        <v>43</v>
      </c>
      <c r="D199" s="10" t="s">
        <v>688</v>
      </c>
      <c r="E199" s="10" t="s">
        <v>45</v>
      </c>
      <c r="F199" s="11">
        <v>1.0</v>
      </c>
      <c r="G199" s="11">
        <v>79.0</v>
      </c>
      <c r="H199" s="11"/>
      <c r="I199" s="11">
        <v>-13.43</v>
      </c>
      <c r="J199" s="11">
        <v>-19.95</v>
      </c>
      <c r="K199" s="11"/>
      <c r="L199" s="11">
        <v>45.62</v>
      </c>
      <c r="M199" s="10" t="s">
        <v>46</v>
      </c>
      <c r="N199" s="10" t="s">
        <v>45</v>
      </c>
      <c r="O199" s="10" t="s">
        <v>766</v>
      </c>
      <c r="P199" s="10" t="s">
        <v>767</v>
      </c>
      <c r="Q199" s="10" t="s">
        <v>768</v>
      </c>
      <c r="R199" s="10" t="s">
        <v>74</v>
      </c>
      <c r="S199" s="11">
        <v>79.0</v>
      </c>
      <c r="T199" s="18">
        <v>2.49</v>
      </c>
      <c r="U199" s="11" t="s">
        <v>51</v>
      </c>
      <c r="V199" s="10" t="s">
        <v>52</v>
      </c>
      <c r="W199" s="10" t="s">
        <v>2230</v>
      </c>
      <c r="X199" s="10" t="s">
        <v>2231</v>
      </c>
      <c r="Y199" s="10" t="s">
        <v>2232</v>
      </c>
      <c r="Z199" s="10" t="s">
        <v>50</v>
      </c>
      <c r="AA199" s="10" t="s">
        <v>50</v>
      </c>
      <c r="AB199" s="10" t="s">
        <v>2230</v>
      </c>
      <c r="AC199" s="10" t="s">
        <v>2233</v>
      </c>
      <c r="AD199" s="10" t="s">
        <v>2234</v>
      </c>
      <c r="AE199" s="10" t="s">
        <v>2235</v>
      </c>
      <c r="AF199" s="10" t="s">
        <v>775</v>
      </c>
      <c r="AG199" s="10" t="s">
        <v>2236</v>
      </c>
      <c r="AH199" s="10" t="s">
        <v>60</v>
      </c>
      <c r="AI199" s="10" t="s">
        <v>61</v>
      </c>
      <c r="AJ199" s="10" t="s">
        <v>1595</v>
      </c>
      <c r="AK199" s="10" t="s">
        <v>2237</v>
      </c>
      <c r="AL199" s="10" t="s">
        <v>64</v>
      </c>
      <c r="AM199" s="10" t="s">
        <v>2238</v>
      </c>
      <c r="AN199" s="10" t="s">
        <v>50</v>
      </c>
      <c r="AO199" s="11" t="s">
        <v>50</v>
      </c>
      <c r="AP199" s="10" t="s">
        <v>50</v>
      </c>
      <c r="AQ199" s="10" t="s">
        <v>50</v>
      </c>
      <c r="AR199" s="10" t="s">
        <v>50</v>
      </c>
      <c r="AS199" s="10" t="s">
        <v>50</v>
      </c>
      <c r="AT199" s="10" t="s">
        <v>50</v>
      </c>
      <c r="AU199" s="10" t="s">
        <v>50</v>
      </c>
      <c r="AV199" s="11"/>
      <c r="AW199" s="10" t="s">
        <v>66</v>
      </c>
      <c r="AX199" s="10"/>
      <c r="AY199" s="10" t="s">
        <v>66</v>
      </c>
    </row>
    <row r="200" ht="22.5" hidden="1" customHeight="1">
      <c r="A200" s="9" t="s">
        <v>2239</v>
      </c>
      <c r="B200" s="10" t="s">
        <v>2240</v>
      </c>
      <c r="C200" s="10" t="s">
        <v>43</v>
      </c>
      <c r="D200" s="10" t="s">
        <v>191</v>
      </c>
      <c r="E200" s="10" t="s">
        <v>66</v>
      </c>
      <c r="F200" s="11">
        <v>1.0</v>
      </c>
      <c r="G200" s="11">
        <v>79.0</v>
      </c>
      <c r="H200" s="11"/>
      <c r="I200" s="11">
        <v>-13.43</v>
      </c>
      <c r="J200" s="11">
        <v>-20.45</v>
      </c>
      <c r="K200" s="11"/>
      <c r="L200" s="11">
        <v>45.12</v>
      </c>
      <c r="M200" s="10" t="s">
        <v>46</v>
      </c>
      <c r="N200" s="10" t="s">
        <v>50</v>
      </c>
      <c r="O200" s="10" t="s">
        <v>160</v>
      </c>
      <c r="P200" s="10" t="s">
        <v>161</v>
      </c>
      <c r="Q200" s="10" t="s">
        <v>162</v>
      </c>
      <c r="R200" s="10" t="s">
        <v>74</v>
      </c>
      <c r="S200" s="11">
        <v>79.0</v>
      </c>
      <c r="T200" s="18">
        <v>2.49</v>
      </c>
      <c r="U200" s="11" t="s">
        <v>51</v>
      </c>
      <c r="V200" s="10" t="s">
        <v>52</v>
      </c>
      <c r="W200" s="10" t="s">
        <v>2241</v>
      </c>
      <c r="X200" s="10" t="s">
        <v>2242</v>
      </c>
      <c r="Y200" s="10" t="s">
        <v>2243</v>
      </c>
      <c r="Z200" s="10" t="s">
        <v>50</v>
      </c>
      <c r="AA200" s="10" t="s">
        <v>50</v>
      </c>
      <c r="AB200" s="10" t="s">
        <v>2241</v>
      </c>
      <c r="AC200" s="10" t="s">
        <v>2244</v>
      </c>
      <c r="AD200" s="10" t="s">
        <v>2245</v>
      </c>
      <c r="AE200" s="10" t="s">
        <v>774</v>
      </c>
      <c r="AF200" s="10" t="s">
        <v>775</v>
      </c>
      <c r="AG200" s="10" t="s">
        <v>2246</v>
      </c>
      <c r="AH200" s="10" t="s">
        <v>60</v>
      </c>
      <c r="AI200" s="10" t="s">
        <v>61</v>
      </c>
      <c r="AJ200" s="10" t="s">
        <v>1652</v>
      </c>
      <c r="AK200" s="10" t="s">
        <v>2247</v>
      </c>
      <c r="AL200" s="10" t="s">
        <v>64</v>
      </c>
      <c r="AM200" s="10" t="s">
        <v>2248</v>
      </c>
      <c r="AN200" s="10" t="s">
        <v>50</v>
      </c>
      <c r="AO200" s="11" t="s">
        <v>50</v>
      </c>
      <c r="AP200" s="10" t="s">
        <v>50</v>
      </c>
      <c r="AQ200" s="10" t="s">
        <v>50</v>
      </c>
      <c r="AR200" s="10" t="s">
        <v>50</v>
      </c>
      <c r="AS200" s="10" t="s">
        <v>50</v>
      </c>
      <c r="AT200" s="10" t="s">
        <v>50</v>
      </c>
      <c r="AU200" s="10" t="s">
        <v>50</v>
      </c>
      <c r="AV200" s="11"/>
      <c r="AW200" s="10" t="s">
        <v>66</v>
      </c>
      <c r="AX200" s="10"/>
      <c r="AY200" s="10" t="s">
        <v>66</v>
      </c>
    </row>
    <row r="201" ht="22.5" hidden="1" customHeight="1">
      <c r="A201" s="9" t="s">
        <v>2249</v>
      </c>
      <c r="B201" s="10" t="s">
        <v>2250</v>
      </c>
      <c r="C201" s="10" t="s">
        <v>43</v>
      </c>
      <c r="D201" s="10" t="s">
        <v>1398</v>
      </c>
      <c r="E201" s="10" t="s">
        <v>66</v>
      </c>
      <c r="F201" s="11">
        <v>1.0</v>
      </c>
      <c r="G201" s="11">
        <v>101.5</v>
      </c>
      <c r="H201" s="11"/>
      <c r="I201" s="11">
        <v>-19.28</v>
      </c>
      <c r="J201" s="11">
        <v>-19.95</v>
      </c>
      <c r="K201" s="11"/>
      <c r="L201" s="11">
        <v>62.27</v>
      </c>
      <c r="M201" s="10" t="s">
        <v>46</v>
      </c>
      <c r="N201" s="10" t="s">
        <v>45</v>
      </c>
      <c r="O201" s="10" t="s">
        <v>100</v>
      </c>
      <c r="P201" s="10" t="s">
        <v>101</v>
      </c>
      <c r="Q201" s="10" t="s">
        <v>102</v>
      </c>
      <c r="R201" s="10" t="s">
        <v>50</v>
      </c>
      <c r="S201" s="11">
        <v>101.5</v>
      </c>
      <c r="T201" s="11">
        <v>38.61</v>
      </c>
      <c r="U201" s="11" t="s">
        <v>51</v>
      </c>
      <c r="V201" s="10" t="s">
        <v>52</v>
      </c>
      <c r="W201" s="10" t="s">
        <v>2251</v>
      </c>
      <c r="X201" s="10" t="s">
        <v>2252</v>
      </c>
      <c r="Y201" s="10" t="s">
        <v>2253</v>
      </c>
      <c r="Z201" s="10" t="s">
        <v>50</v>
      </c>
      <c r="AA201" s="10" t="s">
        <v>50</v>
      </c>
      <c r="AB201" s="10" t="s">
        <v>2251</v>
      </c>
      <c r="AC201" s="10" t="s">
        <v>2254</v>
      </c>
      <c r="AD201" s="10" t="s">
        <v>2255</v>
      </c>
      <c r="AE201" s="10" t="s">
        <v>857</v>
      </c>
      <c r="AF201" s="10" t="s">
        <v>58</v>
      </c>
      <c r="AG201" s="10" t="s">
        <v>2256</v>
      </c>
      <c r="AH201" s="10" t="s">
        <v>60</v>
      </c>
      <c r="AI201" s="10" t="s">
        <v>61</v>
      </c>
      <c r="AJ201" s="10" t="s">
        <v>1406</v>
      </c>
      <c r="AK201" s="10" t="s">
        <v>2257</v>
      </c>
      <c r="AL201" s="10" t="s">
        <v>64</v>
      </c>
      <c r="AM201" s="10" t="s">
        <v>2258</v>
      </c>
      <c r="AN201" s="10" t="s">
        <v>50</v>
      </c>
      <c r="AO201" s="11" t="s">
        <v>50</v>
      </c>
      <c r="AP201" s="10" t="s">
        <v>50</v>
      </c>
      <c r="AQ201" s="10" t="s">
        <v>50</v>
      </c>
      <c r="AR201" s="10" t="s">
        <v>50</v>
      </c>
      <c r="AS201" s="10" t="s">
        <v>50</v>
      </c>
      <c r="AT201" s="10" t="s">
        <v>50</v>
      </c>
      <c r="AU201" s="10" t="s">
        <v>50</v>
      </c>
      <c r="AV201" s="11"/>
      <c r="AW201" s="10" t="s">
        <v>66</v>
      </c>
      <c r="AX201" s="10"/>
      <c r="AY201" s="10" t="s">
        <v>66</v>
      </c>
    </row>
    <row r="202" ht="22.5" hidden="1" customHeight="1">
      <c r="A202" s="9" t="s">
        <v>2259</v>
      </c>
      <c r="B202" s="10" t="s">
        <v>2260</v>
      </c>
      <c r="C202" s="10" t="s">
        <v>43</v>
      </c>
      <c r="D202" s="10" t="s">
        <v>191</v>
      </c>
      <c r="E202" s="10" t="s">
        <v>66</v>
      </c>
      <c r="F202" s="11">
        <v>1.0</v>
      </c>
      <c r="G202" s="11">
        <v>120.0</v>
      </c>
      <c r="H202" s="11"/>
      <c r="I202" s="11">
        <v>-20.4</v>
      </c>
      <c r="J202" s="11">
        <v>-19.95</v>
      </c>
      <c r="K202" s="11"/>
      <c r="L202" s="11">
        <v>86.85</v>
      </c>
      <c r="M202" s="10" t="s">
        <v>46</v>
      </c>
      <c r="N202" s="10" t="s">
        <v>45</v>
      </c>
      <c r="O202" s="10" t="s">
        <v>85</v>
      </c>
      <c r="P202" s="10" t="s">
        <v>86</v>
      </c>
      <c r="Q202" s="10" t="s">
        <v>87</v>
      </c>
      <c r="R202" s="10" t="s">
        <v>74</v>
      </c>
      <c r="S202" s="11">
        <v>120.0</v>
      </c>
      <c r="T202" s="11">
        <v>65.78</v>
      </c>
      <c r="U202" s="11" t="s">
        <v>51</v>
      </c>
      <c r="V202" s="10" t="s">
        <v>52</v>
      </c>
      <c r="W202" s="10" t="s">
        <v>2261</v>
      </c>
      <c r="X202" s="10" t="s">
        <v>2262</v>
      </c>
      <c r="Y202" s="10" t="s">
        <v>2263</v>
      </c>
      <c r="Z202" s="10" t="s">
        <v>50</v>
      </c>
      <c r="AA202" s="10" t="s">
        <v>50</v>
      </c>
      <c r="AB202" s="10" t="s">
        <v>2261</v>
      </c>
      <c r="AC202" s="10" t="s">
        <v>2264</v>
      </c>
      <c r="AD202" s="10" t="s">
        <v>2265</v>
      </c>
      <c r="AE202" s="10" t="s">
        <v>2266</v>
      </c>
      <c r="AF202" s="10" t="s">
        <v>214</v>
      </c>
      <c r="AG202" s="10" t="s">
        <v>2267</v>
      </c>
      <c r="AH202" s="10" t="s">
        <v>60</v>
      </c>
      <c r="AI202" s="10" t="s">
        <v>61</v>
      </c>
      <c r="AJ202" s="10" t="s">
        <v>1359</v>
      </c>
      <c r="AK202" s="10" t="s">
        <v>2268</v>
      </c>
      <c r="AL202" s="10" t="s">
        <v>64</v>
      </c>
      <c r="AM202" s="10" t="s">
        <v>2269</v>
      </c>
      <c r="AN202" s="10" t="s">
        <v>50</v>
      </c>
      <c r="AO202" s="11" t="s">
        <v>50</v>
      </c>
      <c r="AP202" s="10" t="s">
        <v>50</v>
      </c>
      <c r="AQ202" s="10" t="s">
        <v>50</v>
      </c>
      <c r="AR202" s="10" t="s">
        <v>50</v>
      </c>
      <c r="AS202" s="10" t="s">
        <v>50</v>
      </c>
      <c r="AT202" s="10" t="s">
        <v>50</v>
      </c>
      <c r="AU202" s="10" t="s">
        <v>50</v>
      </c>
      <c r="AV202" s="11"/>
      <c r="AW202" s="10" t="s">
        <v>66</v>
      </c>
      <c r="AX202" s="10"/>
      <c r="AY202" s="10" t="s">
        <v>66</v>
      </c>
    </row>
    <row r="203" ht="22.5" hidden="1" customHeight="1">
      <c r="A203" s="9" t="s">
        <v>2270</v>
      </c>
      <c r="B203" s="10" t="s">
        <v>2271</v>
      </c>
      <c r="C203" s="10" t="s">
        <v>43</v>
      </c>
      <c r="D203" s="10" t="s">
        <v>191</v>
      </c>
      <c r="E203" s="10" t="s">
        <v>45</v>
      </c>
      <c r="F203" s="11">
        <v>2.0</v>
      </c>
      <c r="G203" s="11">
        <v>158.4</v>
      </c>
      <c r="H203" s="11"/>
      <c r="I203" s="11">
        <v>-26.92</v>
      </c>
      <c r="J203" s="11">
        <v>-40.9</v>
      </c>
      <c r="K203" s="11"/>
      <c r="L203" s="11">
        <v>90.58</v>
      </c>
      <c r="M203" s="10" t="s">
        <v>46</v>
      </c>
      <c r="N203" s="10" t="s">
        <v>45</v>
      </c>
      <c r="O203" s="10" t="s">
        <v>127</v>
      </c>
      <c r="P203" s="10" t="s">
        <v>128</v>
      </c>
      <c r="Q203" s="10" t="s">
        <v>129</v>
      </c>
      <c r="R203" s="10" t="s">
        <v>74</v>
      </c>
      <c r="S203" s="11">
        <v>79.2</v>
      </c>
      <c r="T203" s="11">
        <v>17.68</v>
      </c>
      <c r="U203" s="11" t="s">
        <v>51</v>
      </c>
      <c r="V203" s="10" t="s">
        <v>52</v>
      </c>
      <c r="W203" s="10" t="s">
        <v>2272</v>
      </c>
      <c r="X203" s="10" t="s">
        <v>2273</v>
      </c>
      <c r="Y203" s="10" t="s">
        <v>2274</v>
      </c>
      <c r="Z203" s="10" t="s">
        <v>50</v>
      </c>
      <c r="AA203" s="10" t="s">
        <v>50</v>
      </c>
      <c r="AB203" s="10" t="s">
        <v>2272</v>
      </c>
      <c r="AC203" s="10" t="s">
        <v>2275</v>
      </c>
      <c r="AD203" s="10" t="s">
        <v>2276</v>
      </c>
      <c r="AE203" s="10" t="s">
        <v>2277</v>
      </c>
      <c r="AF203" s="10" t="s">
        <v>775</v>
      </c>
      <c r="AG203" s="10" t="s">
        <v>2278</v>
      </c>
      <c r="AH203" s="10" t="s">
        <v>60</v>
      </c>
      <c r="AI203" s="10" t="s">
        <v>61</v>
      </c>
      <c r="AJ203" s="10" t="s">
        <v>1652</v>
      </c>
      <c r="AK203" s="10" t="s">
        <v>2279</v>
      </c>
      <c r="AL203" s="10" t="s">
        <v>64</v>
      </c>
      <c r="AM203" s="10" t="s">
        <v>2280</v>
      </c>
      <c r="AN203" s="10" t="s">
        <v>50</v>
      </c>
      <c r="AO203" s="11" t="s">
        <v>50</v>
      </c>
      <c r="AP203" s="10" t="s">
        <v>50</v>
      </c>
      <c r="AQ203" s="10" t="s">
        <v>50</v>
      </c>
      <c r="AR203" s="10" t="s">
        <v>50</v>
      </c>
      <c r="AS203" s="10" t="s">
        <v>50</v>
      </c>
      <c r="AT203" s="10" t="s">
        <v>50</v>
      </c>
      <c r="AU203" s="10" t="s">
        <v>50</v>
      </c>
      <c r="AV203" s="11"/>
      <c r="AW203" s="10" t="s">
        <v>66</v>
      </c>
      <c r="AX203" s="10"/>
      <c r="AY203" s="10" t="s">
        <v>66</v>
      </c>
    </row>
    <row r="204" ht="22.5" hidden="1" customHeight="1">
      <c r="A204" s="9" t="s">
        <v>2281</v>
      </c>
      <c r="B204" s="10" t="s">
        <v>2282</v>
      </c>
      <c r="C204" s="10" t="s">
        <v>69</v>
      </c>
      <c r="D204" s="10" t="s">
        <v>2283</v>
      </c>
      <c r="E204" s="10" t="s">
        <v>66</v>
      </c>
      <c r="F204" s="11">
        <v>1.0</v>
      </c>
      <c r="G204" s="11">
        <v>80.0</v>
      </c>
      <c r="H204" s="11"/>
      <c r="I204" s="11">
        <v>-13.6</v>
      </c>
      <c r="J204" s="11">
        <v>-19.95</v>
      </c>
      <c r="K204" s="11">
        <v>-50.45</v>
      </c>
      <c r="L204" s="11">
        <v>0.0</v>
      </c>
      <c r="M204" s="10" t="s">
        <v>46</v>
      </c>
      <c r="N204" s="10" t="s">
        <v>45</v>
      </c>
      <c r="O204" s="10" t="s">
        <v>143</v>
      </c>
      <c r="P204" s="10" t="s">
        <v>144</v>
      </c>
      <c r="Q204" s="10" t="s">
        <v>145</v>
      </c>
      <c r="R204" s="10" t="s">
        <v>74</v>
      </c>
      <c r="S204" s="11">
        <v>80.0</v>
      </c>
      <c r="T204" s="11"/>
      <c r="U204" s="11" t="s">
        <v>51</v>
      </c>
      <c r="V204" s="10" t="s">
        <v>2284</v>
      </c>
      <c r="W204" s="10" t="s">
        <v>2285</v>
      </c>
      <c r="X204" s="10" t="s">
        <v>2286</v>
      </c>
      <c r="Y204" s="10" t="s">
        <v>2287</v>
      </c>
      <c r="Z204" s="10" t="s">
        <v>50</v>
      </c>
      <c r="AA204" s="10" t="s">
        <v>50</v>
      </c>
      <c r="AB204" s="10" t="s">
        <v>2285</v>
      </c>
      <c r="AC204" s="10" t="s">
        <v>2288</v>
      </c>
      <c r="AD204" s="10" t="s">
        <v>50</v>
      </c>
      <c r="AE204" s="10" t="s">
        <v>151</v>
      </c>
      <c r="AF204" s="10" t="s">
        <v>151</v>
      </c>
      <c r="AG204" s="10" t="s">
        <v>2289</v>
      </c>
      <c r="AH204" s="10" t="s">
        <v>60</v>
      </c>
      <c r="AI204" s="10" t="s">
        <v>61</v>
      </c>
      <c r="AJ204" s="10" t="s">
        <v>50</v>
      </c>
      <c r="AK204" s="10" t="s">
        <v>50</v>
      </c>
      <c r="AL204" s="10" t="s">
        <v>64</v>
      </c>
      <c r="AM204" s="10" t="s">
        <v>2290</v>
      </c>
      <c r="AN204" s="10" t="s">
        <v>50</v>
      </c>
      <c r="AO204" s="11" t="s">
        <v>50</v>
      </c>
      <c r="AP204" s="10" t="s">
        <v>50</v>
      </c>
      <c r="AQ204" s="10" t="s">
        <v>50</v>
      </c>
      <c r="AR204" s="10" t="s">
        <v>50</v>
      </c>
      <c r="AS204" s="10" t="s">
        <v>50</v>
      </c>
      <c r="AT204" s="10" t="s">
        <v>50</v>
      </c>
      <c r="AU204" s="10" t="s">
        <v>50</v>
      </c>
      <c r="AV204" s="11"/>
      <c r="AW204" s="10" t="s">
        <v>66</v>
      </c>
      <c r="AX204" s="10"/>
      <c r="AY204" s="10" t="s">
        <v>66</v>
      </c>
    </row>
    <row r="205" ht="22.5" hidden="1" customHeight="1">
      <c r="A205" s="9" t="s">
        <v>2291</v>
      </c>
      <c r="B205" s="10" t="s">
        <v>2292</v>
      </c>
      <c r="C205" s="10" t="s">
        <v>43</v>
      </c>
      <c r="D205" s="10" t="s">
        <v>734</v>
      </c>
      <c r="E205" s="10" t="s">
        <v>45</v>
      </c>
      <c r="F205" s="11">
        <v>1.0</v>
      </c>
      <c r="G205" s="11">
        <v>79.0</v>
      </c>
      <c r="H205" s="11"/>
      <c r="I205" s="11">
        <v>-13.43</v>
      </c>
      <c r="J205" s="11">
        <v>-20.45</v>
      </c>
      <c r="K205" s="11"/>
      <c r="L205" s="11">
        <v>45.12</v>
      </c>
      <c r="M205" s="10" t="s">
        <v>46</v>
      </c>
      <c r="N205" s="10" t="s">
        <v>50</v>
      </c>
      <c r="O205" s="10" t="s">
        <v>461</v>
      </c>
      <c r="P205" s="10" t="s">
        <v>462</v>
      </c>
      <c r="Q205" s="10" t="s">
        <v>463</v>
      </c>
      <c r="R205" s="10" t="s">
        <v>74</v>
      </c>
      <c r="S205" s="11">
        <v>79.0</v>
      </c>
      <c r="T205" s="11">
        <v>10.09</v>
      </c>
      <c r="U205" s="11" t="s">
        <v>51</v>
      </c>
      <c r="V205" s="10" t="s">
        <v>52</v>
      </c>
      <c r="W205" s="10" t="s">
        <v>2293</v>
      </c>
      <c r="X205" s="10" t="s">
        <v>2294</v>
      </c>
      <c r="Y205" s="10" t="s">
        <v>2295</v>
      </c>
      <c r="Z205" s="10" t="s">
        <v>50</v>
      </c>
      <c r="AA205" s="10" t="s">
        <v>50</v>
      </c>
      <c r="AB205" s="10" t="s">
        <v>2293</v>
      </c>
      <c r="AC205" s="10" t="s">
        <v>2296</v>
      </c>
      <c r="AD205" s="10" t="s">
        <v>2297</v>
      </c>
      <c r="AE205" s="10" t="s">
        <v>2298</v>
      </c>
      <c r="AF205" s="10" t="s">
        <v>185</v>
      </c>
      <c r="AG205" s="10" t="s">
        <v>2299</v>
      </c>
      <c r="AH205" s="10" t="s">
        <v>60</v>
      </c>
      <c r="AI205" s="10" t="s">
        <v>61</v>
      </c>
      <c r="AJ205" s="10" t="s">
        <v>2300</v>
      </c>
      <c r="AK205" s="10" t="s">
        <v>2301</v>
      </c>
      <c r="AL205" s="10" t="s">
        <v>64</v>
      </c>
      <c r="AM205" s="10" t="s">
        <v>2302</v>
      </c>
      <c r="AN205" s="10" t="s">
        <v>50</v>
      </c>
      <c r="AO205" s="11" t="s">
        <v>50</v>
      </c>
      <c r="AP205" s="10" t="s">
        <v>50</v>
      </c>
      <c r="AQ205" s="10" t="s">
        <v>50</v>
      </c>
      <c r="AR205" s="10" t="s">
        <v>50</v>
      </c>
      <c r="AS205" s="10" t="s">
        <v>50</v>
      </c>
      <c r="AT205" s="10" t="s">
        <v>50</v>
      </c>
      <c r="AU205" s="10" t="s">
        <v>50</v>
      </c>
      <c r="AV205" s="11"/>
      <c r="AW205" s="10" t="s">
        <v>66</v>
      </c>
      <c r="AX205" s="10"/>
      <c r="AY205" s="10" t="s">
        <v>66</v>
      </c>
    </row>
    <row r="206" ht="22.5" hidden="1" customHeight="1">
      <c r="A206" s="9" t="s">
        <v>2303</v>
      </c>
      <c r="B206" s="10" t="s">
        <v>2304</v>
      </c>
      <c r="C206" s="10" t="s">
        <v>43</v>
      </c>
      <c r="D206" s="10" t="s">
        <v>1398</v>
      </c>
      <c r="E206" s="10" t="s">
        <v>66</v>
      </c>
      <c r="F206" s="11">
        <v>1.0</v>
      </c>
      <c r="G206" s="11">
        <v>120.0</v>
      </c>
      <c r="H206" s="11"/>
      <c r="I206" s="11">
        <v>-20.4</v>
      </c>
      <c r="J206" s="11">
        <v>-19.95</v>
      </c>
      <c r="K206" s="11"/>
      <c r="L206" s="11">
        <v>86.85</v>
      </c>
      <c r="M206" s="10" t="s">
        <v>46</v>
      </c>
      <c r="N206" s="10" t="s">
        <v>45</v>
      </c>
      <c r="O206" s="10" t="s">
        <v>85</v>
      </c>
      <c r="P206" s="10" t="s">
        <v>86</v>
      </c>
      <c r="Q206" s="10" t="s">
        <v>87</v>
      </c>
      <c r="R206" s="10" t="s">
        <v>74</v>
      </c>
      <c r="S206" s="11">
        <v>120.0</v>
      </c>
      <c r="T206" s="11">
        <v>65.78</v>
      </c>
      <c r="U206" s="11" t="s">
        <v>51</v>
      </c>
      <c r="V206" s="10" t="s">
        <v>52</v>
      </c>
      <c r="W206" s="10" t="s">
        <v>2305</v>
      </c>
      <c r="X206" s="10" t="s">
        <v>2306</v>
      </c>
      <c r="Y206" s="10" t="s">
        <v>2307</v>
      </c>
      <c r="Z206" s="10" t="s">
        <v>50</v>
      </c>
      <c r="AA206" s="10" t="s">
        <v>50</v>
      </c>
      <c r="AB206" s="10" t="s">
        <v>2305</v>
      </c>
      <c r="AC206" s="10" t="s">
        <v>2308</v>
      </c>
      <c r="AD206" s="10" t="s">
        <v>2309</v>
      </c>
      <c r="AE206" s="10" t="s">
        <v>235</v>
      </c>
      <c r="AF206" s="10" t="s">
        <v>58</v>
      </c>
      <c r="AG206" s="10" t="s">
        <v>2310</v>
      </c>
      <c r="AH206" s="10" t="s">
        <v>60</v>
      </c>
      <c r="AI206" s="10" t="s">
        <v>61</v>
      </c>
      <c r="AJ206" s="10" t="s">
        <v>1406</v>
      </c>
      <c r="AK206" s="10" t="s">
        <v>2311</v>
      </c>
      <c r="AL206" s="10" t="s">
        <v>64</v>
      </c>
      <c r="AM206" s="10" t="s">
        <v>2312</v>
      </c>
      <c r="AN206" s="10" t="s">
        <v>50</v>
      </c>
      <c r="AO206" s="11" t="s">
        <v>50</v>
      </c>
      <c r="AP206" s="10" t="s">
        <v>50</v>
      </c>
      <c r="AQ206" s="10" t="s">
        <v>50</v>
      </c>
      <c r="AR206" s="10" t="s">
        <v>50</v>
      </c>
      <c r="AS206" s="10" t="s">
        <v>50</v>
      </c>
      <c r="AT206" s="10" t="s">
        <v>50</v>
      </c>
      <c r="AU206" s="10" t="s">
        <v>50</v>
      </c>
      <c r="AV206" s="11"/>
      <c r="AW206" s="10" t="s">
        <v>66</v>
      </c>
      <c r="AX206" s="10"/>
      <c r="AY206" s="10" t="s">
        <v>66</v>
      </c>
    </row>
    <row r="207" ht="22.5" hidden="1" customHeight="1">
      <c r="A207" s="9" t="s">
        <v>2313</v>
      </c>
      <c r="B207" s="10" t="s">
        <v>2314</v>
      </c>
      <c r="C207" s="10" t="s">
        <v>43</v>
      </c>
      <c r="D207" s="10" t="s">
        <v>759</v>
      </c>
      <c r="E207" s="10" t="s">
        <v>66</v>
      </c>
      <c r="F207" s="11">
        <v>1.0</v>
      </c>
      <c r="G207" s="11">
        <v>80.0</v>
      </c>
      <c r="H207" s="11"/>
      <c r="I207" s="11">
        <v>-13.6</v>
      </c>
      <c r="J207" s="11">
        <v>-19.95</v>
      </c>
      <c r="K207" s="11"/>
      <c r="L207" s="11">
        <v>50.45</v>
      </c>
      <c r="M207" s="10" t="s">
        <v>46</v>
      </c>
      <c r="N207" s="10" t="s">
        <v>45</v>
      </c>
      <c r="O207" s="10" t="s">
        <v>143</v>
      </c>
      <c r="P207" s="10" t="s">
        <v>144</v>
      </c>
      <c r="Q207" s="10" t="s">
        <v>145</v>
      </c>
      <c r="R207" s="10" t="s">
        <v>74</v>
      </c>
      <c r="S207" s="11">
        <v>80.0</v>
      </c>
      <c r="T207" s="11">
        <v>33.38</v>
      </c>
      <c r="U207" s="11" t="s">
        <v>51</v>
      </c>
      <c r="V207" s="10" t="s">
        <v>52</v>
      </c>
      <c r="W207" s="10" t="s">
        <v>2315</v>
      </c>
      <c r="X207" s="10" t="s">
        <v>2316</v>
      </c>
      <c r="Y207" s="10" t="s">
        <v>2317</v>
      </c>
      <c r="Z207" s="10" t="s">
        <v>50</v>
      </c>
      <c r="AA207" s="10" t="s">
        <v>50</v>
      </c>
      <c r="AB207" s="10" t="s">
        <v>2315</v>
      </c>
      <c r="AC207" s="10" t="s">
        <v>2318</v>
      </c>
      <c r="AD207" s="10" t="s">
        <v>2319</v>
      </c>
      <c r="AE207" s="10" t="s">
        <v>2320</v>
      </c>
      <c r="AF207" s="10" t="s">
        <v>185</v>
      </c>
      <c r="AG207" s="10" t="s">
        <v>2321</v>
      </c>
      <c r="AH207" s="10" t="s">
        <v>60</v>
      </c>
      <c r="AI207" s="10" t="s">
        <v>61</v>
      </c>
      <c r="AJ207" s="10" t="s">
        <v>1641</v>
      </c>
      <c r="AK207" s="10" t="s">
        <v>2322</v>
      </c>
      <c r="AL207" s="10" t="s">
        <v>64</v>
      </c>
      <c r="AM207" s="10" t="s">
        <v>2323</v>
      </c>
      <c r="AN207" s="10" t="s">
        <v>50</v>
      </c>
      <c r="AO207" s="11" t="s">
        <v>50</v>
      </c>
      <c r="AP207" s="10" t="s">
        <v>50</v>
      </c>
      <c r="AQ207" s="10" t="s">
        <v>50</v>
      </c>
      <c r="AR207" s="10" t="s">
        <v>50</v>
      </c>
      <c r="AS207" s="10" t="s">
        <v>50</v>
      </c>
      <c r="AT207" s="10" t="s">
        <v>50</v>
      </c>
      <c r="AU207" s="10" t="s">
        <v>50</v>
      </c>
      <c r="AV207" s="11"/>
      <c r="AW207" s="10" t="s">
        <v>66</v>
      </c>
      <c r="AX207" s="10"/>
      <c r="AY207" s="10" t="s">
        <v>66</v>
      </c>
    </row>
    <row r="208" ht="22.5" hidden="1" customHeight="1">
      <c r="A208" s="9" t="s">
        <v>2324</v>
      </c>
      <c r="B208" s="10" t="s">
        <v>2325</v>
      </c>
      <c r="C208" s="10" t="s">
        <v>43</v>
      </c>
      <c r="D208" s="10" t="s">
        <v>2326</v>
      </c>
      <c r="E208" s="10" t="s">
        <v>66</v>
      </c>
      <c r="F208" s="11">
        <v>1.0</v>
      </c>
      <c r="G208" s="11">
        <v>79.0</v>
      </c>
      <c r="H208" s="11"/>
      <c r="I208" s="11">
        <v>-13.43</v>
      </c>
      <c r="J208" s="11">
        <v>-20.45</v>
      </c>
      <c r="K208" s="11"/>
      <c r="L208" s="11">
        <v>45.12</v>
      </c>
      <c r="M208" s="10" t="s">
        <v>46</v>
      </c>
      <c r="N208" s="10" t="s">
        <v>50</v>
      </c>
      <c r="O208" s="10" t="s">
        <v>160</v>
      </c>
      <c r="P208" s="10" t="s">
        <v>161</v>
      </c>
      <c r="Q208" s="10" t="s">
        <v>162</v>
      </c>
      <c r="R208" s="10" t="s">
        <v>74</v>
      </c>
      <c r="S208" s="11">
        <v>79.0</v>
      </c>
      <c r="T208" s="18">
        <v>2.49</v>
      </c>
      <c r="U208" s="11" t="s">
        <v>51</v>
      </c>
      <c r="V208" s="10" t="s">
        <v>52</v>
      </c>
      <c r="W208" s="10" t="s">
        <v>2327</v>
      </c>
      <c r="X208" s="10" t="s">
        <v>2328</v>
      </c>
      <c r="Y208" s="10" t="s">
        <v>2329</v>
      </c>
      <c r="Z208" s="10" t="s">
        <v>50</v>
      </c>
      <c r="AA208" s="10" t="s">
        <v>50</v>
      </c>
      <c r="AB208" s="10" t="s">
        <v>2327</v>
      </c>
      <c r="AC208" s="10" t="s">
        <v>2330</v>
      </c>
      <c r="AD208" s="10" t="s">
        <v>2331</v>
      </c>
      <c r="AE208" s="10" t="s">
        <v>2332</v>
      </c>
      <c r="AF208" s="10" t="s">
        <v>185</v>
      </c>
      <c r="AG208" s="10" t="s">
        <v>2333</v>
      </c>
      <c r="AH208" s="10" t="s">
        <v>60</v>
      </c>
      <c r="AI208" s="10" t="s">
        <v>61</v>
      </c>
      <c r="AJ208" s="10" t="s">
        <v>2334</v>
      </c>
      <c r="AK208" s="10" t="s">
        <v>2335</v>
      </c>
      <c r="AL208" s="10" t="s">
        <v>64</v>
      </c>
      <c r="AM208" s="10" t="s">
        <v>2336</v>
      </c>
      <c r="AN208" s="10" t="s">
        <v>50</v>
      </c>
      <c r="AO208" s="11" t="s">
        <v>50</v>
      </c>
      <c r="AP208" s="10" t="s">
        <v>50</v>
      </c>
      <c r="AQ208" s="10" t="s">
        <v>50</v>
      </c>
      <c r="AR208" s="10" t="s">
        <v>50</v>
      </c>
      <c r="AS208" s="10" t="s">
        <v>50</v>
      </c>
      <c r="AT208" s="10" t="s">
        <v>50</v>
      </c>
      <c r="AU208" s="10" t="s">
        <v>50</v>
      </c>
      <c r="AV208" s="11"/>
      <c r="AW208" s="10" t="s">
        <v>66</v>
      </c>
      <c r="AX208" s="10"/>
      <c r="AY208" s="10" t="s">
        <v>66</v>
      </c>
    </row>
    <row r="209" ht="22.5" hidden="1" customHeight="1">
      <c r="A209" s="9" t="s">
        <v>2337</v>
      </c>
      <c r="B209" s="10" t="s">
        <v>2338</v>
      </c>
      <c r="C209" s="10" t="s">
        <v>43</v>
      </c>
      <c r="D209" s="10" t="s">
        <v>1262</v>
      </c>
      <c r="E209" s="10" t="s">
        <v>45</v>
      </c>
      <c r="F209" s="11">
        <v>2.0</v>
      </c>
      <c r="G209" s="11">
        <v>240.0</v>
      </c>
      <c r="H209" s="11"/>
      <c r="I209" s="11">
        <v>-40.8</v>
      </c>
      <c r="J209" s="11">
        <v>-39.9</v>
      </c>
      <c r="K209" s="11"/>
      <c r="L209" s="11">
        <v>173.7</v>
      </c>
      <c r="M209" s="10" t="s">
        <v>46</v>
      </c>
      <c r="N209" s="10" t="s">
        <v>45</v>
      </c>
      <c r="O209" s="10" t="s">
        <v>85</v>
      </c>
      <c r="P209" s="10" t="s">
        <v>86</v>
      </c>
      <c r="Q209" s="10" t="s">
        <v>87</v>
      </c>
      <c r="R209" s="10" t="s">
        <v>74</v>
      </c>
      <c r="S209" s="11">
        <v>120.0</v>
      </c>
      <c r="T209" s="11">
        <f>2*65.78</f>
        <v>131.56</v>
      </c>
      <c r="U209" s="11" t="s">
        <v>51</v>
      </c>
      <c r="V209" s="10" t="s">
        <v>52</v>
      </c>
      <c r="W209" s="10" t="s">
        <v>2339</v>
      </c>
      <c r="X209" s="10" t="s">
        <v>2340</v>
      </c>
      <c r="Y209" s="10" t="s">
        <v>2341</v>
      </c>
      <c r="Z209" s="10" t="s">
        <v>50</v>
      </c>
      <c r="AA209" s="10" t="s">
        <v>50</v>
      </c>
      <c r="AB209" s="10" t="s">
        <v>2339</v>
      </c>
      <c r="AC209" s="10" t="s">
        <v>2342</v>
      </c>
      <c r="AD209" s="10" t="s">
        <v>2343</v>
      </c>
      <c r="AE209" s="10" t="s">
        <v>1323</v>
      </c>
      <c r="AF209" s="10" t="s">
        <v>151</v>
      </c>
      <c r="AG209" s="10" t="s">
        <v>2344</v>
      </c>
      <c r="AH209" s="10" t="s">
        <v>60</v>
      </c>
      <c r="AI209" s="10" t="s">
        <v>61</v>
      </c>
      <c r="AJ209" s="10" t="s">
        <v>2125</v>
      </c>
      <c r="AK209" s="10" t="s">
        <v>2345</v>
      </c>
      <c r="AL209" s="10" t="s">
        <v>64</v>
      </c>
      <c r="AM209" s="10" t="s">
        <v>2346</v>
      </c>
      <c r="AN209" s="10" t="s">
        <v>50</v>
      </c>
      <c r="AO209" s="11" t="s">
        <v>50</v>
      </c>
      <c r="AP209" s="10" t="s">
        <v>50</v>
      </c>
      <c r="AQ209" s="10" t="s">
        <v>50</v>
      </c>
      <c r="AR209" s="10" t="s">
        <v>50</v>
      </c>
      <c r="AS209" s="10" t="s">
        <v>50</v>
      </c>
      <c r="AT209" s="10" t="s">
        <v>50</v>
      </c>
      <c r="AU209" s="10" t="s">
        <v>50</v>
      </c>
      <c r="AV209" s="11"/>
      <c r="AW209" s="10" t="s">
        <v>66</v>
      </c>
      <c r="AX209" s="10"/>
      <c r="AY209" s="10" t="s">
        <v>66</v>
      </c>
    </row>
    <row r="210" ht="22.5" hidden="1" customHeight="1">
      <c r="A210" s="9" t="s">
        <v>2347</v>
      </c>
      <c r="B210" s="10" t="s">
        <v>2348</v>
      </c>
      <c r="C210" s="10" t="s">
        <v>43</v>
      </c>
      <c r="D210" s="10" t="s">
        <v>44</v>
      </c>
      <c r="E210" s="10" t="s">
        <v>66</v>
      </c>
      <c r="F210" s="11">
        <v>1.0</v>
      </c>
      <c r="G210" s="11">
        <v>79.2</v>
      </c>
      <c r="H210" s="11">
        <v>17.41</v>
      </c>
      <c r="I210" s="11">
        <v>-13.46</v>
      </c>
      <c r="J210" s="11">
        <v>-37.86</v>
      </c>
      <c r="K210" s="11"/>
      <c r="L210" s="11">
        <v>50.04</v>
      </c>
      <c r="M210" s="10" t="s">
        <v>46</v>
      </c>
      <c r="N210" s="10" t="s">
        <v>50</v>
      </c>
      <c r="O210" s="10" t="s">
        <v>892</v>
      </c>
      <c r="P210" s="10" t="s">
        <v>893</v>
      </c>
      <c r="Q210" s="10" t="s">
        <v>894</v>
      </c>
      <c r="R210" s="10" t="s">
        <v>74</v>
      </c>
      <c r="S210" s="11">
        <v>79.2</v>
      </c>
      <c r="T210" s="11">
        <v>2.97</v>
      </c>
      <c r="U210" s="11" t="s">
        <v>51</v>
      </c>
      <c r="V210" s="10" t="s">
        <v>52</v>
      </c>
      <c r="W210" s="10" t="s">
        <v>2349</v>
      </c>
      <c r="X210" s="10" t="s">
        <v>2350</v>
      </c>
      <c r="Y210" s="10" t="s">
        <v>2351</v>
      </c>
      <c r="Z210" s="10" t="s">
        <v>50</v>
      </c>
      <c r="AA210" s="10" t="s">
        <v>50</v>
      </c>
      <c r="AB210" s="10" t="s">
        <v>2349</v>
      </c>
      <c r="AC210" s="10" t="s">
        <v>2352</v>
      </c>
      <c r="AD210" s="10" t="s">
        <v>2353</v>
      </c>
      <c r="AE210" s="10" t="s">
        <v>2354</v>
      </c>
      <c r="AF210" s="10" t="s">
        <v>561</v>
      </c>
      <c r="AG210" s="10" t="s">
        <v>2355</v>
      </c>
      <c r="AH210" s="10" t="s">
        <v>60</v>
      </c>
      <c r="AI210" s="10" t="s">
        <v>61</v>
      </c>
      <c r="AJ210" s="10" t="s">
        <v>1607</v>
      </c>
      <c r="AK210" s="10" t="s">
        <v>2356</v>
      </c>
      <c r="AL210" s="10" t="s">
        <v>64</v>
      </c>
      <c r="AM210" s="10" t="s">
        <v>2357</v>
      </c>
      <c r="AN210" s="10" t="s">
        <v>2358</v>
      </c>
      <c r="AO210" s="11" t="s">
        <v>50</v>
      </c>
      <c r="AP210" s="10" t="s">
        <v>50</v>
      </c>
      <c r="AQ210" s="10" t="s">
        <v>50</v>
      </c>
      <c r="AR210" s="10" t="s">
        <v>50</v>
      </c>
      <c r="AS210" s="10" t="s">
        <v>50</v>
      </c>
      <c r="AT210" s="10" t="s">
        <v>50</v>
      </c>
      <c r="AU210" s="10" t="s">
        <v>50</v>
      </c>
      <c r="AV210" s="11"/>
      <c r="AW210" s="10" t="s">
        <v>66</v>
      </c>
      <c r="AX210" s="10"/>
      <c r="AY210" s="10" t="s">
        <v>66</v>
      </c>
    </row>
    <row r="211" ht="22.5" hidden="1" customHeight="1">
      <c r="A211" s="9" t="s">
        <v>2359</v>
      </c>
      <c r="B211" s="10" t="s">
        <v>2360</v>
      </c>
      <c r="C211" s="10" t="s">
        <v>43</v>
      </c>
      <c r="D211" s="10" t="s">
        <v>734</v>
      </c>
      <c r="E211" s="10" t="s">
        <v>66</v>
      </c>
      <c r="F211" s="11">
        <v>1.0</v>
      </c>
      <c r="G211" s="11">
        <v>79.0</v>
      </c>
      <c r="H211" s="11">
        <v>9.13</v>
      </c>
      <c r="I211" s="11">
        <v>-13.43</v>
      </c>
      <c r="J211" s="11">
        <v>-29.58</v>
      </c>
      <c r="K211" s="11"/>
      <c r="L211" s="11">
        <v>45.12</v>
      </c>
      <c r="M211" s="10" t="s">
        <v>46</v>
      </c>
      <c r="N211" s="10" t="s">
        <v>50</v>
      </c>
      <c r="O211" s="10" t="s">
        <v>160</v>
      </c>
      <c r="P211" s="10" t="s">
        <v>161</v>
      </c>
      <c r="Q211" s="10" t="s">
        <v>162</v>
      </c>
      <c r="R211" s="10" t="s">
        <v>74</v>
      </c>
      <c r="S211" s="11">
        <v>79.0</v>
      </c>
      <c r="T211" s="18">
        <v>2.49</v>
      </c>
      <c r="U211" s="11" t="s">
        <v>51</v>
      </c>
      <c r="V211" s="10" t="s">
        <v>52</v>
      </c>
      <c r="W211" s="10" t="s">
        <v>2361</v>
      </c>
      <c r="X211" s="10" t="s">
        <v>2362</v>
      </c>
      <c r="Y211" s="10" t="s">
        <v>2363</v>
      </c>
      <c r="Z211" s="10" t="s">
        <v>50</v>
      </c>
      <c r="AA211" s="10" t="s">
        <v>50</v>
      </c>
      <c r="AB211" s="10" t="s">
        <v>2361</v>
      </c>
      <c r="AC211" s="10" t="s">
        <v>2364</v>
      </c>
      <c r="AD211" s="10" t="s">
        <v>2365</v>
      </c>
      <c r="AE211" s="10" t="s">
        <v>2366</v>
      </c>
      <c r="AF211" s="10" t="s">
        <v>201</v>
      </c>
      <c r="AG211" s="10" t="s">
        <v>2367</v>
      </c>
      <c r="AH211" s="10" t="s">
        <v>60</v>
      </c>
      <c r="AI211" s="10" t="s">
        <v>61</v>
      </c>
      <c r="AJ211" s="10" t="s">
        <v>1439</v>
      </c>
      <c r="AK211" s="10" t="s">
        <v>2368</v>
      </c>
      <c r="AL211" s="10" t="s">
        <v>64</v>
      </c>
      <c r="AM211" s="10" t="s">
        <v>2369</v>
      </c>
      <c r="AN211" s="10" t="s">
        <v>50</v>
      </c>
      <c r="AO211" s="11" t="s">
        <v>50</v>
      </c>
      <c r="AP211" s="10" t="s">
        <v>50</v>
      </c>
      <c r="AQ211" s="10" t="s">
        <v>50</v>
      </c>
      <c r="AR211" s="10" t="s">
        <v>50</v>
      </c>
      <c r="AS211" s="10" t="s">
        <v>50</v>
      </c>
      <c r="AT211" s="10" t="s">
        <v>50</v>
      </c>
      <c r="AU211" s="10" t="s">
        <v>50</v>
      </c>
      <c r="AV211" s="11"/>
      <c r="AW211" s="10" t="s">
        <v>66</v>
      </c>
      <c r="AX211" s="10"/>
      <c r="AY211" s="10" t="s">
        <v>66</v>
      </c>
    </row>
    <row r="212" ht="22.5" hidden="1" customHeight="1">
      <c r="A212" s="9" t="s">
        <v>2370</v>
      </c>
      <c r="B212" s="10" t="s">
        <v>2371</v>
      </c>
      <c r="C212" s="10" t="s">
        <v>43</v>
      </c>
      <c r="D212" s="10" t="s">
        <v>1398</v>
      </c>
      <c r="E212" s="10" t="s">
        <v>66</v>
      </c>
      <c r="F212" s="11">
        <v>1.0</v>
      </c>
      <c r="G212" s="11">
        <v>80.5</v>
      </c>
      <c r="H212" s="11"/>
      <c r="I212" s="11">
        <v>-15.3</v>
      </c>
      <c r="J212" s="11">
        <v>-19.95</v>
      </c>
      <c r="K212" s="11"/>
      <c r="L212" s="11">
        <v>45.25</v>
      </c>
      <c r="M212" s="10" t="s">
        <v>46</v>
      </c>
      <c r="N212" s="10" t="s">
        <v>50</v>
      </c>
      <c r="O212" s="10" t="s">
        <v>47</v>
      </c>
      <c r="P212" s="10" t="s">
        <v>48</v>
      </c>
      <c r="Q212" s="10" t="s">
        <v>49</v>
      </c>
      <c r="R212" s="10" t="s">
        <v>50</v>
      </c>
      <c r="S212" s="11">
        <v>80.5</v>
      </c>
      <c r="T212" s="11">
        <v>12.45</v>
      </c>
      <c r="U212" s="11" t="s">
        <v>51</v>
      </c>
      <c r="V212" s="10" t="s">
        <v>52</v>
      </c>
      <c r="W212" s="10" t="s">
        <v>2372</v>
      </c>
      <c r="X212" s="10" t="s">
        <v>2373</v>
      </c>
      <c r="Y212" s="10" t="s">
        <v>2374</v>
      </c>
      <c r="Z212" s="10" t="s">
        <v>50</v>
      </c>
      <c r="AA212" s="10" t="s">
        <v>50</v>
      </c>
      <c r="AB212" s="10" t="s">
        <v>2372</v>
      </c>
      <c r="AC212" s="10" t="s">
        <v>2375</v>
      </c>
      <c r="AD212" s="10" t="s">
        <v>2376</v>
      </c>
      <c r="AE212" s="10" t="s">
        <v>213</v>
      </c>
      <c r="AF212" s="10" t="s">
        <v>214</v>
      </c>
      <c r="AG212" s="10" t="s">
        <v>2377</v>
      </c>
      <c r="AH212" s="10" t="s">
        <v>60</v>
      </c>
      <c r="AI212" s="10" t="s">
        <v>61</v>
      </c>
      <c r="AJ212" s="10" t="s">
        <v>1359</v>
      </c>
      <c r="AK212" s="10" t="s">
        <v>2378</v>
      </c>
      <c r="AL212" s="10" t="s">
        <v>64</v>
      </c>
      <c r="AM212" s="10" t="s">
        <v>2379</v>
      </c>
      <c r="AN212" s="10" t="s">
        <v>50</v>
      </c>
      <c r="AO212" s="11" t="s">
        <v>50</v>
      </c>
      <c r="AP212" s="10" t="s">
        <v>50</v>
      </c>
      <c r="AQ212" s="10" t="s">
        <v>50</v>
      </c>
      <c r="AR212" s="10" t="s">
        <v>50</v>
      </c>
      <c r="AS212" s="10" t="s">
        <v>50</v>
      </c>
      <c r="AT212" s="10" t="s">
        <v>50</v>
      </c>
      <c r="AU212" s="10" t="s">
        <v>50</v>
      </c>
      <c r="AV212" s="11"/>
      <c r="AW212" s="10" t="s">
        <v>66</v>
      </c>
      <c r="AX212" s="10"/>
      <c r="AY212" s="10" t="s">
        <v>66</v>
      </c>
    </row>
    <row r="213" ht="22.5" hidden="1" customHeight="1">
      <c r="A213" s="9" t="s">
        <v>2380</v>
      </c>
      <c r="B213" s="10" t="s">
        <v>2381</v>
      </c>
      <c r="C213" s="10" t="s">
        <v>43</v>
      </c>
      <c r="D213" s="10" t="s">
        <v>191</v>
      </c>
      <c r="E213" s="10" t="s">
        <v>66</v>
      </c>
      <c r="F213" s="11">
        <v>1.0</v>
      </c>
      <c r="G213" s="11">
        <v>80.0</v>
      </c>
      <c r="H213" s="11"/>
      <c r="I213" s="11">
        <v>-13.6</v>
      </c>
      <c r="J213" s="11">
        <v>-19.95</v>
      </c>
      <c r="K213" s="11"/>
      <c r="L213" s="11">
        <v>50.45</v>
      </c>
      <c r="M213" s="10" t="s">
        <v>46</v>
      </c>
      <c r="N213" s="10" t="s">
        <v>50</v>
      </c>
      <c r="O213" s="10" t="s">
        <v>143</v>
      </c>
      <c r="P213" s="10" t="s">
        <v>144</v>
      </c>
      <c r="Q213" s="10" t="s">
        <v>145</v>
      </c>
      <c r="R213" s="10" t="s">
        <v>74</v>
      </c>
      <c r="S213" s="11">
        <v>80.0</v>
      </c>
      <c r="T213" s="11">
        <v>33.38</v>
      </c>
      <c r="U213" s="11" t="s">
        <v>51</v>
      </c>
      <c r="V213" s="10" t="s">
        <v>52</v>
      </c>
      <c r="W213" s="10" t="s">
        <v>2382</v>
      </c>
      <c r="X213" s="10" t="s">
        <v>2383</v>
      </c>
      <c r="Y213" s="10" t="s">
        <v>2384</v>
      </c>
      <c r="Z213" s="10" t="s">
        <v>50</v>
      </c>
      <c r="AA213" s="10" t="s">
        <v>50</v>
      </c>
      <c r="AB213" s="10" t="s">
        <v>2382</v>
      </c>
      <c r="AC213" s="10" t="s">
        <v>2385</v>
      </c>
      <c r="AD213" s="10" t="s">
        <v>2386</v>
      </c>
      <c r="AE213" s="10" t="s">
        <v>1089</v>
      </c>
      <c r="AF213" s="10" t="s">
        <v>284</v>
      </c>
      <c r="AG213" s="10" t="s">
        <v>2387</v>
      </c>
      <c r="AH213" s="10" t="s">
        <v>60</v>
      </c>
      <c r="AI213" s="10" t="s">
        <v>61</v>
      </c>
      <c r="AJ213" s="10" t="s">
        <v>1359</v>
      </c>
      <c r="AK213" s="10" t="s">
        <v>2388</v>
      </c>
      <c r="AL213" s="10" t="s">
        <v>64</v>
      </c>
      <c r="AM213" s="10" t="s">
        <v>2389</v>
      </c>
      <c r="AN213" s="10" t="s">
        <v>50</v>
      </c>
      <c r="AO213" s="11" t="s">
        <v>50</v>
      </c>
      <c r="AP213" s="10" t="s">
        <v>50</v>
      </c>
      <c r="AQ213" s="10" t="s">
        <v>50</v>
      </c>
      <c r="AR213" s="10" t="s">
        <v>50</v>
      </c>
      <c r="AS213" s="10" t="s">
        <v>50</v>
      </c>
      <c r="AT213" s="10" t="s">
        <v>50</v>
      </c>
      <c r="AU213" s="10" t="s">
        <v>50</v>
      </c>
      <c r="AV213" s="11"/>
      <c r="AW213" s="10" t="s">
        <v>66</v>
      </c>
      <c r="AX213" s="10"/>
      <c r="AY213" s="10" t="s">
        <v>66</v>
      </c>
    </row>
    <row r="214" ht="22.5" hidden="1" customHeight="1">
      <c r="A214" s="9" t="s">
        <v>2390</v>
      </c>
      <c r="B214" s="10" t="s">
        <v>2391</v>
      </c>
      <c r="C214" s="10" t="s">
        <v>43</v>
      </c>
      <c r="D214" s="10" t="s">
        <v>2326</v>
      </c>
      <c r="E214" s="10" t="s">
        <v>66</v>
      </c>
      <c r="F214" s="11">
        <v>1.0</v>
      </c>
      <c r="G214" s="11">
        <v>120.0</v>
      </c>
      <c r="H214" s="11"/>
      <c r="I214" s="11">
        <v>-20.4</v>
      </c>
      <c r="J214" s="11">
        <v>-19.95</v>
      </c>
      <c r="K214" s="11"/>
      <c r="L214" s="11">
        <v>86.85</v>
      </c>
      <c r="M214" s="10" t="s">
        <v>46</v>
      </c>
      <c r="N214" s="10" t="s">
        <v>45</v>
      </c>
      <c r="O214" s="10" t="s">
        <v>85</v>
      </c>
      <c r="P214" s="10" t="s">
        <v>86</v>
      </c>
      <c r="Q214" s="10" t="s">
        <v>87</v>
      </c>
      <c r="R214" s="10" t="s">
        <v>74</v>
      </c>
      <c r="S214" s="11">
        <v>120.0</v>
      </c>
      <c r="T214" s="11">
        <v>65.78</v>
      </c>
      <c r="U214" s="11" t="s">
        <v>51</v>
      </c>
      <c r="V214" s="10" t="s">
        <v>52</v>
      </c>
      <c r="W214" s="10" t="s">
        <v>2392</v>
      </c>
      <c r="X214" s="10" t="s">
        <v>2393</v>
      </c>
      <c r="Y214" s="10" t="s">
        <v>2394</v>
      </c>
      <c r="Z214" s="10" t="s">
        <v>50</v>
      </c>
      <c r="AA214" s="10" t="s">
        <v>50</v>
      </c>
      <c r="AB214" s="10" t="s">
        <v>2392</v>
      </c>
      <c r="AC214" s="10" t="s">
        <v>2395</v>
      </c>
      <c r="AD214" s="10" t="s">
        <v>2396</v>
      </c>
      <c r="AE214" s="10" t="s">
        <v>2366</v>
      </c>
      <c r="AF214" s="10" t="s">
        <v>201</v>
      </c>
      <c r="AG214" s="10" t="s">
        <v>2367</v>
      </c>
      <c r="AH214" s="10" t="s">
        <v>60</v>
      </c>
      <c r="AI214" s="10" t="s">
        <v>61</v>
      </c>
      <c r="AJ214" s="10" t="s">
        <v>2397</v>
      </c>
      <c r="AK214" s="10" t="s">
        <v>2398</v>
      </c>
      <c r="AL214" s="10" t="s">
        <v>64</v>
      </c>
      <c r="AM214" s="10" t="s">
        <v>2399</v>
      </c>
      <c r="AN214" s="10" t="s">
        <v>50</v>
      </c>
      <c r="AO214" s="11" t="s">
        <v>50</v>
      </c>
      <c r="AP214" s="10" t="s">
        <v>50</v>
      </c>
      <c r="AQ214" s="10" t="s">
        <v>50</v>
      </c>
      <c r="AR214" s="10" t="s">
        <v>50</v>
      </c>
      <c r="AS214" s="10" t="s">
        <v>50</v>
      </c>
      <c r="AT214" s="10" t="s">
        <v>50</v>
      </c>
      <c r="AU214" s="10" t="s">
        <v>50</v>
      </c>
      <c r="AV214" s="11"/>
      <c r="AW214" s="10" t="s">
        <v>66</v>
      </c>
      <c r="AX214" s="10"/>
      <c r="AY214" s="10" t="s">
        <v>66</v>
      </c>
    </row>
    <row r="215" ht="22.5" hidden="1" customHeight="1">
      <c r="A215" s="9" t="s">
        <v>2400</v>
      </c>
      <c r="B215" s="10" t="s">
        <v>2401</v>
      </c>
      <c r="C215" s="10" t="s">
        <v>43</v>
      </c>
      <c r="D215" s="10" t="s">
        <v>2402</v>
      </c>
      <c r="E215" s="10" t="s">
        <v>66</v>
      </c>
      <c r="F215" s="11">
        <v>1.0</v>
      </c>
      <c r="G215" s="11">
        <v>80.0</v>
      </c>
      <c r="H215" s="11"/>
      <c r="I215" s="11">
        <v>-13.6</v>
      </c>
      <c r="J215" s="11">
        <v>-19.95</v>
      </c>
      <c r="K215" s="11"/>
      <c r="L215" s="11">
        <v>50.45</v>
      </c>
      <c r="M215" s="10" t="s">
        <v>46</v>
      </c>
      <c r="N215" s="10" t="s">
        <v>45</v>
      </c>
      <c r="O215" s="10" t="s">
        <v>143</v>
      </c>
      <c r="P215" s="10" t="s">
        <v>144</v>
      </c>
      <c r="Q215" s="10" t="s">
        <v>145</v>
      </c>
      <c r="R215" s="10" t="s">
        <v>74</v>
      </c>
      <c r="S215" s="11">
        <v>80.0</v>
      </c>
      <c r="T215" s="11">
        <v>33.38</v>
      </c>
      <c r="U215" s="11" t="s">
        <v>51</v>
      </c>
      <c r="V215" s="10" t="s">
        <v>52</v>
      </c>
      <c r="W215" s="10" t="s">
        <v>2403</v>
      </c>
      <c r="X215" s="10" t="s">
        <v>2404</v>
      </c>
      <c r="Y215" s="10" t="s">
        <v>2405</v>
      </c>
      <c r="Z215" s="10" t="s">
        <v>50</v>
      </c>
      <c r="AA215" s="10" t="s">
        <v>50</v>
      </c>
      <c r="AB215" s="10" t="s">
        <v>2403</v>
      </c>
      <c r="AC215" s="10" t="s">
        <v>2406</v>
      </c>
      <c r="AD215" s="10" t="s">
        <v>2407</v>
      </c>
      <c r="AE215" s="10" t="s">
        <v>2408</v>
      </c>
      <c r="AF215" s="10" t="s">
        <v>58</v>
      </c>
      <c r="AG215" s="10" t="s">
        <v>2409</v>
      </c>
      <c r="AH215" s="10" t="s">
        <v>60</v>
      </c>
      <c r="AI215" s="10" t="s">
        <v>61</v>
      </c>
      <c r="AJ215" s="10" t="s">
        <v>2410</v>
      </c>
      <c r="AK215" s="10" t="s">
        <v>2411</v>
      </c>
      <c r="AL215" s="10" t="s">
        <v>64</v>
      </c>
      <c r="AM215" s="10" t="s">
        <v>2412</v>
      </c>
      <c r="AN215" s="10" t="s">
        <v>50</v>
      </c>
      <c r="AO215" s="11" t="s">
        <v>50</v>
      </c>
      <c r="AP215" s="10" t="s">
        <v>50</v>
      </c>
      <c r="AQ215" s="10" t="s">
        <v>50</v>
      </c>
      <c r="AR215" s="10" t="s">
        <v>50</v>
      </c>
      <c r="AS215" s="10" t="s">
        <v>50</v>
      </c>
      <c r="AT215" s="10" t="s">
        <v>50</v>
      </c>
      <c r="AU215" s="10" t="s">
        <v>50</v>
      </c>
      <c r="AV215" s="11"/>
      <c r="AW215" s="10" t="s">
        <v>66</v>
      </c>
      <c r="AX215" s="10"/>
      <c r="AY215" s="10" t="s">
        <v>66</v>
      </c>
    </row>
    <row r="216" ht="22.5" hidden="1" customHeight="1">
      <c r="A216" s="9" t="s">
        <v>2413</v>
      </c>
      <c r="B216" s="10" t="s">
        <v>2414</v>
      </c>
      <c r="C216" s="10" t="s">
        <v>43</v>
      </c>
      <c r="D216" s="10" t="s">
        <v>2402</v>
      </c>
      <c r="E216" s="10" t="s">
        <v>66</v>
      </c>
      <c r="F216" s="11">
        <v>1.0</v>
      </c>
      <c r="G216" s="11">
        <v>79.2</v>
      </c>
      <c r="H216" s="11"/>
      <c r="I216" s="11">
        <v>-13.46</v>
      </c>
      <c r="J216" s="11">
        <v>-20.45</v>
      </c>
      <c r="K216" s="11"/>
      <c r="L216" s="11">
        <v>50.04</v>
      </c>
      <c r="M216" s="10" t="s">
        <v>46</v>
      </c>
      <c r="N216" s="10" t="s">
        <v>50</v>
      </c>
      <c r="O216" s="10" t="s">
        <v>892</v>
      </c>
      <c r="P216" s="10" t="s">
        <v>893</v>
      </c>
      <c r="Q216" s="10" t="s">
        <v>894</v>
      </c>
      <c r="R216" s="10" t="s">
        <v>74</v>
      </c>
      <c r="S216" s="11">
        <v>79.2</v>
      </c>
      <c r="T216" s="11">
        <v>2.97</v>
      </c>
      <c r="U216" s="11" t="s">
        <v>51</v>
      </c>
      <c r="V216" s="10" t="s">
        <v>52</v>
      </c>
      <c r="W216" s="10" t="s">
        <v>2415</v>
      </c>
      <c r="X216" s="10" t="s">
        <v>2416</v>
      </c>
      <c r="Y216" s="10" t="s">
        <v>2417</v>
      </c>
      <c r="Z216" s="10" t="s">
        <v>50</v>
      </c>
      <c r="AA216" s="10" t="s">
        <v>50</v>
      </c>
      <c r="AB216" s="10" t="s">
        <v>2415</v>
      </c>
      <c r="AC216" s="10" t="s">
        <v>2418</v>
      </c>
      <c r="AD216" s="10" t="s">
        <v>2419</v>
      </c>
      <c r="AE216" s="10" t="s">
        <v>2420</v>
      </c>
      <c r="AF216" s="10" t="s">
        <v>323</v>
      </c>
      <c r="AG216" s="10" t="s">
        <v>2421</v>
      </c>
      <c r="AH216" s="10" t="s">
        <v>60</v>
      </c>
      <c r="AI216" s="10" t="s">
        <v>61</v>
      </c>
      <c r="AJ216" s="10" t="s">
        <v>2422</v>
      </c>
      <c r="AK216" s="10" t="s">
        <v>2423</v>
      </c>
      <c r="AL216" s="10" t="s">
        <v>64</v>
      </c>
      <c r="AM216" s="10" t="s">
        <v>2424</v>
      </c>
      <c r="AN216" s="10" t="s">
        <v>50</v>
      </c>
      <c r="AO216" s="11" t="s">
        <v>50</v>
      </c>
      <c r="AP216" s="10" t="s">
        <v>50</v>
      </c>
      <c r="AQ216" s="10" t="s">
        <v>50</v>
      </c>
      <c r="AR216" s="10" t="s">
        <v>50</v>
      </c>
      <c r="AS216" s="10" t="s">
        <v>50</v>
      </c>
      <c r="AT216" s="10" t="s">
        <v>50</v>
      </c>
      <c r="AU216" s="10" t="s">
        <v>50</v>
      </c>
      <c r="AV216" s="11"/>
      <c r="AW216" s="10" t="s">
        <v>66</v>
      </c>
      <c r="AX216" s="10"/>
      <c r="AY216" s="10" t="s">
        <v>66</v>
      </c>
    </row>
    <row r="217" ht="22.5" hidden="1" customHeight="1">
      <c r="A217" s="9" t="s">
        <v>2425</v>
      </c>
      <c r="B217" s="10" t="s">
        <v>2426</v>
      </c>
      <c r="C217" s="10" t="s">
        <v>43</v>
      </c>
      <c r="D217" s="10" t="s">
        <v>2402</v>
      </c>
      <c r="E217" s="10" t="s">
        <v>45</v>
      </c>
      <c r="F217" s="11">
        <v>1.0</v>
      </c>
      <c r="G217" s="11">
        <v>92.15</v>
      </c>
      <c r="H217" s="11"/>
      <c r="I217" s="11">
        <v>-17.51</v>
      </c>
      <c r="J217" s="11">
        <v>-20.45</v>
      </c>
      <c r="K217" s="11"/>
      <c r="L217" s="11">
        <v>59.72</v>
      </c>
      <c r="M217" s="10" t="s">
        <v>46</v>
      </c>
      <c r="N217" s="10" t="s">
        <v>45</v>
      </c>
      <c r="O217" s="10" t="s">
        <v>586</v>
      </c>
      <c r="P217" s="10" t="s">
        <v>587</v>
      </c>
      <c r="Q217" s="10" t="s">
        <v>588</v>
      </c>
      <c r="R217" s="10" t="s">
        <v>50</v>
      </c>
      <c r="S217" s="11">
        <v>92.15</v>
      </c>
      <c r="T217" s="11">
        <v>20.76</v>
      </c>
      <c r="U217" s="11" t="s">
        <v>51</v>
      </c>
      <c r="V217" s="10" t="s">
        <v>52</v>
      </c>
      <c r="W217" s="10" t="s">
        <v>2427</v>
      </c>
      <c r="X217" s="10" t="s">
        <v>2428</v>
      </c>
      <c r="Y217" s="10" t="s">
        <v>2429</v>
      </c>
      <c r="Z217" s="10" t="s">
        <v>50</v>
      </c>
      <c r="AA217" s="10" t="s">
        <v>50</v>
      </c>
      <c r="AB217" s="10" t="s">
        <v>2427</v>
      </c>
      <c r="AC217" s="10" t="s">
        <v>2430</v>
      </c>
      <c r="AD217" s="10" t="s">
        <v>2431</v>
      </c>
      <c r="AE217" s="10" t="s">
        <v>151</v>
      </c>
      <c r="AF217" s="10" t="s">
        <v>151</v>
      </c>
      <c r="AG217" s="10" t="s">
        <v>2432</v>
      </c>
      <c r="AH217" s="10" t="s">
        <v>60</v>
      </c>
      <c r="AI217" s="10" t="s">
        <v>61</v>
      </c>
      <c r="AJ217" s="10" t="s">
        <v>2433</v>
      </c>
      <c r="AK217" s="10" t="s">
        <v>2434</v>
      </c>
      <c r="AL217" s="10" t="s">
        <v>64</v>
      </c>
      <c r="AM217" s="10" t="s">
        <v>2435</v>
      </c>
      <c r="AN217" s="10" t="s">
        <v>50</v>
      </c>
      <c r="AO217" s="11" t="s">
        <v>50</v>
      </c>
      <c r="AP217" s="10" t="s">
        <v>50</v>
      </c>
      <c r="AQ217" s="10" t="s">
        <v>50</v>
      </c>
      <c r="AR217" s="10" t="s">
        <v>50</v>
      </c>
      <c r="AS217" s="10" t="s">
        <v>50</v>
      </c>
      <c r="AT217" s="10" t="s">
        <v>50</v>
      </c>
      <c r="AU217" s="10" t="s">
        <v>50</v>
      </c>
      <c r="AV217" s="11"/>
      <c r="AW217" s="10" t="s">
        <v>66</v>
      </c>
      <c r="AX217" s="10"/>
      <c r="AY217" s="10" t="s">
        <v>66</v>
      </c>
    </row>
    <row r="218" ht="22.5" hidden="1" customHeight="1">
      <c r="A218" s="9" t="s">
        <v>2436</v>
      </c>
      <c r="B218" s="10" t="s">
        <v>2437</v>
      </c>
      <c r="C218" s="10" t="s">
        <v>43</v>
      </c>
      <c r="D218" s="10" t="s">
        <v>2402</v>
      </c>
      <c r="E218" s="10" t="s">
        <v>45</v>
      </c>
      <c r="F218" s="11">
        <v>2.0</v>
      </c>
      <c r="G218" s="11">
        <v>87.4</v>
      </c>
      <c r="H218" s="11"/>
      <c r="I218" s="11">
        <v>-26.86</v>
      </c>
      <c r="J218" s="11"/>
      <c r="K218" s="11"/>
      <c r="L218" s="11">
        <v>65.78</v>
      </c>
      <c r="M218" s="10" t="s">
        <v>46</v>
      </c>
      <c r="N218" s="10" t="s">
        <v>50</v>
      </c>
      <c r="O218" s="10" t="s">
        <v>176</v>
      </c>
      <c r="P218" s="10" t="s">
        <v>177</v>
      </c>
      <c r="Q218" s="10" t="s">
        <v>178</v>
      </c>
      <c r="R218" s="10" t="s">
        <v>74</v>
      </c>
      <c r="S218" s="11">
        <v>43.7</v>
      </c>
      <c r="T218" s="11">
        <f>2*22.58</f>
        <v>45.16</v>
      </c>
      <c r="U218" s="11" t="s">
        <v>51</v>
      </c>
      <c r="V218" s="10" t="s">
        <v>52</v>
      </c>
      <c r="W218" s="10" t="s">
        <v>2438</v>
      </c>
      <c r="X218" s="10" t="s">
        <v>2439</v>
      </c>
      <c r="Y218" s="10" t="s">
        <v>2440</v>
      </c>
      <c r="Z218" s="10" t="s">
        <v>50</v>
      </c>
      <c r="AA218" s="10" t="s">
        <v>50</v>
      </c>
      <c r="AB218" s="10" t="s">
        <v>2438</v>
      </c>
      <c r="AC218" s="10" t="s">
        <v>2441</v>
      </c>
      <c r="AD218" s="10" t="s">
        <v>2442</v>
      </c>
      <c r="AE218" s="10" t="s">
        <v>2443</v>
      </c>
      <c r="AF218" s="10" t="s">
        <v>58</v>
      </c>
      <c r="AG218" s="10" t="s">
        <v>2444</v>
      </c>
      <c r="AH218" s="10" t="s">
        <v>60</v>
      </c>
      <c r="AI218" s="10" t="s">
        <v>61</v>
      </c>
      <c r="AJ218" s="10" t="s">
        <v>2410</v>
      </c>
      <c r="AK218" s="10" t="s">
        <v>2445</v>
      </c>
      <c r="AL218" s="10" t="s">
        <v>64</v>
      </c>
      <c r="AM218" s="10" t="s">
        <v>2446</v>
      </c>
      <c r="AN218" s="10" t="s">
        <v>50</v>
      </c>
      <c r="AO218" s="11" t="s">
        <v>50</v>
      </c>
      <c r="AP218" s="10" t="s">
        <v>50</v>
      </c>
      <c r="AQ218" s="10" t="s">
        <v>50</v>
      </c>
      <c r="AR218" s="10" t="s">
        <v>50</v>
      </c>
      <c r="AS218" s="10" t="s">
        <v>50</v>
      </c>
      <c r="AT218" s="10" t="s">
        <v>50</v>
      </c>
      <c r="AU218" s="10" t="s">
        <v>50</v>
      </c>
      <c r="AV218" s="11"/>
      <c r="AW218" s="10" t="s">
        <v>66</v>
      </c>
      <c r="AX218" s="10"/>
      <c r="AY218" s="10" t="s">
        <v>66</v>
      </c>
    </row>
    <row r="219" ht="22.5" hidden="1" customHeight="1">
      <c r="A219" s="9" t="s">
        <v>2447</v>
      </c>
      <c r="B219" s="10" t="s">
        <v>2448</v>
      </c>
      <c r="C219" s="10" t="s">
        <v>43</v>
      </c>
      <c r="D219" s="10" t="s">
        <v>290</v>
      </c>
      <c r="E219" s="10" t="s">
        <v>66</v>
      </c>
      <c r="F219" s="11">
        <v>1.0</v>
      </c>
      <c r="G219" s="11">
        <v>79.0</v>
      </c>
      <c r="H219" s="11"/>
      <c r="I219" s="11">
        <v>-13.43</v>
      </c>
      <c r="J219" s="11">
        <v>-19.95</v>
      </c>
      <c r="K219" s="11"/>
      <c r="L219" s="11">
        <v>45.62</v>
      </c>
      <c r="M219" s="10" t="s">
        <v>46</v>
      </c>
      <c r="N219" s="10" t="s">
        <v>50</v>
      </c>
      <c r="O219" s="10" t="s">
        <v>766</v>
      </c>
      <c r="P219" s="10" t="s">
        <v>767</v>
      </c>
      <c r="Q219" s="10" t="s">
        <v>768</v>
      </c>
      <c r="R219" s="10" t="s">
        <v>74</v>
      </c>
      <c r="S219" s="11">
        <v>79.0</v>
      </c>
      <c r="T219" s="11">
        <v>13.62</v>
      </c>
      <c r="U219" s="11" t="s">
        <v>51</v>
      </c>
      <c r="V219" s="10" t="s">
        <v>52</v>
      </c>
      <c r="W219" s="10" t="s">
        <v>2449</v>
      </c>
      <c r="X219" s="10" t="s">
        <v>2450</v>
      </c>
      <c r="Y219" s="10" t="s">
        <v>2451</v>
      </c>
      <c r="Z219" s="10" t="s">
        <v>50</v>
      </c>
      <c r="AA219" s="10" t="s">
        <v>50</v>
      </c>
      <c r="AB219" s="10" t="s">
        <v>2449</v>
      </c>
      <c r="AC219" s="10" t="s">
        <v>2452</v>
      </c>
      <c r="AD219" s="10" t="s">
        <v>2453</v>
      </c>
      <c r="AE219" s="10" t="s">
        <v>58</v>
      </c>
      <c r="AF219" s="10" t="s">
        <v>58</v>
      </c>
      <c r="AG219" s="10" t="s">
        <v>2454</v>
      </c>
      <c r="AH219" s="10" t="s">
        <v>60</v>
      </c>
      <c r="AI219" s="10" t="s">
        <v>61</v>
      </c>
      <c r="AJ219" s="10" t="s">
        <v>2455</v>
      </c>
      <c r="AK219" s="10" t="s">
        <v>2456</v>
      </c>
      <c r="AL219" s="10" t="s">
        <v>64</v>
      </c>
      <c r="AM219" s="10" t="s">
        <v>2457</v>
      </c>
      <c r="AN219" s="10" t="s">
        <v>50</v>
      </c>
      <c r="AO219" s="11" t="s">
        <v>50</v>
      </c>
      <c r="AP219" s="10" t="s">
        <v>50</v>
      </c>
      <c r="AQ219" s="10" t="s">
        <v>50</v>
      </c>
      <c r="AR219" s="10" t="s">
        <v>50</v>
      </c>
      <c r="AS219" s="10" t="s">
        <v>50</v>
      </c>
      <c r="AT219" s="10" t="s">
        <v>50</v>
      </c>
      <c r="AU219" s="10" t="s">
        <v>50</v>
      </c>
      <c r="AV219" s="11"/>
      <c r="AW219" s="10" t="s">
        <v>66</v>
      </c>
      <c r="AX219" s="10"/>
      <c r="AY219" s="10" t="s">
        <v>66</v>
      </c>
    </row>
    <row r="220" ht="22.5" hidden="1" customHeight="1">
      <c r="A220" s="9" t="s">
        <v>2458</v>
      </c>
      <c r="B220" s="10" t="s">
        <v>2459</v>
      </c>
      <c r="C220" s="10" t="s">
        <v>43</v>
      </c>
      <c r="D220" s="10" t="s">
        <v>2402</v>
      </c>
      <c r="E220" s="10" t="s">
        <v>66</v>
      </c>
      <c r="F220" s="11">
        <v>1.0</v>
      </c>
      <c r="G220" s="11">
        <v>120.0</v>
      </c>
      <c r="H220" s="11"/>
      <c r="I220" s="11">
        <v>-20.4</v>
      </c>
      <c r="J220" s="11">
        <v>-19.95</v>
      </c>
      <c r="K220" s="11"/>
      <c r="L220" s="11">
        <v>86.85</v>
      </c>
      <c r="M220" s="10" t="s">
        <v>46</v>
      </c>
      <c r="N220" s="10" t="s">
        <v>45</v>
      </c>
      <c r="O220" s="10" t="s">
        <v>85</v>
      </c>
      <c r="P220" s="10" t="s">
        <v>86</v>
      </c>
      <c r="Q220" s="10" t="s">
        <v>87</v>
      </c>
      <c r="R220" s="10" t="s">
        <v>74</v>
      </c>
      <c r="S220" s="11">
        <v>120.0</v>
      </c>
      <c r="T220" s="11">
        <v>65.78</v>
      </c>
      <c r="U220" s="11" t="s">
        <v>51</v>
      </c>
      <c r="V220" s="10" t="s">
        <v>52</v>
      </c>
      <c r="W220" s="10" t="s">
        <v>2460</v>
      </c>
      <c r="X220" s="10" t="s">
        <v>2461</v>
      </c>
      <c r="Y220" s="10" t="s">
        <v>2462</v>
      </c>
      <c r="Z220" s="10" t="s">
        <v>50</v>
      </c>
      <c r="AA220" s="10" t="s">
        <v>50</v>
      </c>
      <c r="AB220" s="10" t="s">
        <v>2460</v>
      </c>
      <c r="AC220" s="10" t="s">
        <v>2463</v>
      </c>
      <c r="AD220" s="10" t="s">
        <v>2464</v>
      </c>
      <c r="AE220" s="10" t="s">
        <v>2465</v>
      </c>
      <c r="AF220" s="10" t="s">
        <v>136</v>
      </c>
      <c r="AG220" s="10" t="s">
        <v>2466</v>
      </c>
      <c r="AH220" s="10" t="s">
        <v>60</v>
      </c>
      <c r="AI220" s="10" t="s">
        <v>61</v>
      </c>
      <c r="AJ220" s="10" t="s">
        <v>2467</v>
      </c>
      <c r="AK220" s="10" t="s">
        <v>2468</v>
      </c>
      <c r="AL220" s="10" t="s">
        <v>64</v>
      </c>
      <c r="AM220" s="10" t="s">
        <v>2469</v>
      </c>
      <c r="AN220" s="10" t="s">
        <v>50</v>
      </c>
      <c r="AO220" s="11" t="s">
        <v>50</v>
      </c>
      <c r="AP220" s="10" t="s">
        <v>50</v>
      </c>
      <c r="AQ220" s="10" t="s">
        <v>50</v>
      </c>
      <c r="AR220" s="10" t="s">
        <v>50</v>
      </c>
      <c r="AS220" s="10" t="s">
        <v>50</v>
      </c>
      <c r="AT220" s="10" t="s">
        <v>50</v>
      </c>
      <c r="AU220" s="10" t="s">
        <v>50</v>
      </c>
      <c r="AV220" s="11"/>
      <c r="AW220" s="10" t="s">
        <v>66</v>
      </c>
      <c r="AX220" s="10"/>
      <c r="AY220" s="10" t="s">
        <v>66</v>
      </c>
    </row>
    <row r="221" ht="22.5" hidden="1" customHeight="1">
      <c r="A221" s="12" t="s">
        <v>2470</v>
      </c>
      <c r="B221" s="13" t="s">
        <v>2471</v>
      </c>
      <c r="C221" s="13" t="s">
        <v>747</v>
      </c>
      <c r="D221" s="13" t="s">
        <v>50</v>
      </c>
      <c r="E221" s="13" t="s">
        <v>50</v>
      </c>
      <c r="F221" s="14"/>
      <c r="G221" s="14">
        <v>92.15</v>
      </c>
      <c r="H221" s="14"/>
      <c r="I221" s="14">
        <v>-28.64</v>
      </c>
      <c r="J221" s="14"/>
      <c r="K221" s="14"/>
      <c r="L221" s="14">
        <v>69.04</v>
      </c>
      <c r="M221" s="13" t="s">
        <v>46</v>
      </c>
      <c r="N221" s="13" t="s">
        <v>50</v>
      </c>
      <c r="O221" s="13" t="s">
        <v>50</v>
      </c>
      <c r="P221" s="13" t="s">
        <v>50</v>
      </c>
      <c r="Q221" s="13" t="s">
        <v>50</v>
      </c>
      <c r="R221" s="13" t="s">
        <v>50</v>
      </c>
      <c r="S221" s="14"/>
      <c r="T221" s="14"/>
      <c r="U221" s="14" t="s">
        <v>50</v>
      </c>
      <c r="V221" s="13" t="s">
        <v>52</v>
      </c>
      <c r="W221" s="13" t="s">
        <v>2472</v>
      </c>
      <c r="X221" s="13" t="s">
        <v>2473</v>
      </c>
      <c r="Y221" s="13" t="s">
        <v>2474</v>
      </c>
      <c r="Z221" s="13" t="s">
        <v>50</v>
      </c>
      <c r="AA221" s="13" t="s">
        <v>50</v>
      </c>
      <c r="AB221" s="13" t="s">
        <v>2472</v>
      </c>
      <c r="AC221" s="13" t="s">
        <v>2475</v>
      </c>
      <c r="AD221" s="13" t="s">
        <v>2476</v>
      </c>
      <c r="AE221" s="13" t="s">
        <v>857</v>
      </c>
      <c r="AF221" s="13" t="s">
        <v>58</v>
      </c>
      <c r="AG221" s="13" t="s">
        <v>2477</v>
      </c>
      <c r="AH221" s="13" t="s">
        <v>60</v>
      </c>
      <c r="AI221" s="13" t="s">
        <v>61</v>
      </c>
      <c r="AJ221" s="13" t="s">
        <v>2455</v>
      </c>
      <c r="AK221" s="13" t="s">
        <v>2478</v>
      </c>
      <c r="AL221" s="13" t="s">
        <v>64</v>
      </c>
      <c r="AM221" s="13" t="s">
        <v>2479</v>
      </c>
      <c r="AN221" s="13" t="s">
        <v>50</v>
      </c>
      <c r="AO221" s="15" t="s">
        <v>50</v>
      </c>
      <c r="AP221" s="13" t="s">
        <v>50</v>
      </c>
      <c r="AQ221" s="13" t="s">
        <v>50</v>
      </c>
      <c r="AR221" s="13" t="s">
        <v>50</v>
      </c>
      <c r="AS221" s="13" t="s">
        <v>50</v>
      </c>
      <c r="AT221" s="13" t="s">
        <v>50</v>
      </c>
      <c r="AU221" s="13" t="s">
        <v>50</v>
      </c>
      <c r="AV221" s="15"/>
      <c r="AW221" s="13" t="s">
        <v>50</v>
      </c>
      <c r="AX221" s="13"/>
      <c r="AY221" s="13" t="s">
        <v>50</v>
      </c>
    </row>
    <row r="222" ht="22.5" hidden="1" customHeight="1">
      <c r="A222" s="16" t="s">
        <v>2480</v>
      </c>
      <c r="B222" s="17" t="s">
        <v>2471</v>
      </c>
      <c r="C222" s="17" t="s">
        <v>43</v>
      </c>
      <c r="D222" s="17" t="s">
        <v>2481</v>
      </c>
      <c r="E222" s="17" t="s">
        <v>45</v>
      </c>
      <c r="F222" s="18">
        <v>1.0</v>
      </c>
      <c r="G222" s="18"/>
      <c r="H222" s="18"/>
      <c r="I222" s="18"/>
      <c r="J222" s="18"/>
      <c r="K222" s="18"/>
      <c r="L222" s="18"/>
      <c r="M222" s="17" t="s">
        <v>50</v>
      </c>
      <c r="N222" s="17" t="s">
        <v>45</v>
      </c>
      <c r="O222" s="17" t="s">
        <v>2482</v>
      </c>
      <c r="P222" s="17" t="s">
        <v>2483</v>
      </c>
      <c r="Q222" s="17" t="s">
        <v>2484</v>
      </c>
      <c r="R222" s="17" t="s">
        <v>50</v>
      </c>
      <c r="S222" s="18">
        <v>48.45</v>
      </c>
      <c r="T222" s="18">
        <v>9.28</v>
      </c>
      <c r="U222" s="18" t="s">
        <v>51</v>
      </c>
      <c r="V222" s="17" t="s">
        <v>50</v>
      </c>
      <c r="W222" s="17" t="s">
        <v>50</v>
      </c>
      <c r="X222" s="17" t="s">
        <v>50</v>
      </c>
      <c r="Y222" s="17" t="s">
        <v>50</v>
      </c>
      <c r="Z222" s="17" t="s">
        <v>50</v>
      </c>
      <c r="AA222" s="17" t="s">
        <v>50</v>
      </c>
      <c r="AB222" s="17" t="s">
        <v>50</v>
      </c>
      <c r="AC222" s="17" t="s">
        <v>50</v>
      </c>
      <c r="AD222" s="17" t="s">
        <v>50</v>
      </c>
      <c r="AE222" s="17" t="s">
        <v>50</v>
      </c>
      <c r="AF222" s="17" t="s">
        <v>50</v>
      </c>
      <c r="AG222" s="17" t="s">
        <v>50</v>
      </c>
      <c r="AH222" s="17" t="s">
        <v>50</v>
      </c>
      <c r="AI222" s="17" t="s">
        <v>50</v>
      </c>
      <c r="AJ222" s="17" t="s">
        <v>50</v>
      </c>
      <c r="AK222" s="17" t="s">
        <v>50</v>
      </c>
      <c r="AL222" s="17" t="s">
        <v>50</v>
      </c>
      <c r="AM222" s="17" t="s">
        <v>50</v>
      </c>
      <c r="AN222" s="17" t="s">
        <v>50</v>
      </c>
      <c r="AO222" s="18" t="s">
        <v>50</v>
      </c>
      <c r="AP222" s="17" t="s">
        <v>50</v>
      </c>
      <c r="AQ222" s="17" t="s">
        <v>50</v>
      </c>
      <c r="AR222" s="17" t="s">
        <v>50</v>
      </c>
      <c r="AS222" s="17" t="s">
        <v>50</v>
      </c>
      <c r="AT222" s="17" t="s">
        <v>50</v>
      </c>
      <c r="AU222" s="17" t="s">
        <v>50</v>
      </c>
      <c r="AV222" s="18"/>
      <c r="AW222" s="17" t="s">
        <v>66</v>
      </c>
      <c r="AX222" s="17"/>
      <c r="AY222" s="17" t="s">
        <v>66</v>
      </c>
    </row>
    <row r="223" ht="22.5" hidden="1" customHeight="1">
      <c r="A223" s="16" t="s">
        <v>2485</v>
      </c>
      <c r="B223" s="17" t="s">
        <v>2471</v>
      </c>
      <c r="C223" s="17" t="s">
        <v>43</v>
      </c>
      <c r="D223" s="17" t="s">
        <v>2481</v>
      </c>
      <c r="E223" s="17" t="s">
        <v>45</v>
      </c>
      <c r="F223" s="18">
        <v>1.0</v>
      </c>
      <c r="G223" s="18"/>
      <c r="H223" s="18"/>
      <c r="I223" s="18"/>
      <c r="J223" s="18"/>
      <c r="K223" s="18"/>
      <c r="L223" s="18"/>
      <c r="M223" s="17" t="s">
        <v>50</v>
      </c>
      <c r="N223" s="17" t="s">
        <v>45</v>
      </c>
      <c r="O223" s="17" t="s">
        <v>176</v>
      </c>
      <c r="P223" s="17" t="s">
        <v>177</v>
      </c>
      <c r="Q223" s="17" t="s">
        <v>178</v>
      </c>
      <c r="R223" s="17" t="s">
        <v>74</v>
      </c>
      <c r="S223" s="18">
        <v>43.7</v>
      </c>
      <c r="T223" s="18">
        <v>22.58</v>
      </c>
      <c r="U223" s="18" t="s">
        <v>51</v>
      </c>
      <c r="V223" s="17" t="s">
        <v>50</v>
      </c>
      <c r="W223" s="17" t="s">
        <v>50</v>
      </c>
      <c r="X223" s="17" t="s">
        <v>50</v>
      </c>
      <c r="Y223" s="17" t="s">
        <v>50</v>
      </c>
      <c r="Z223" s="17" t="s">
        <v>50</v>
      </c>
      <c r="AA223" s="17" t="s">
        <v>50</v>
      </c>
      <c r="AB223" s="17" t="s">
        <v>50</v>
      </c>
      <c r="AC223" s="17" t="s">
        <v>50</v>
      </c>
      <c r="AD223" s="17" t="s">
        <v>50</v>
      </c>
      <c r="AE223" s="17" t="s">
        <v>50</v>
      </c>
      <c r="AF223" s="17" t="s">
        <v>50</v>
      </c>
      <c r="AG223" s="17" t="s">
        <v>50</v>
      </c>
      <c r="AH223" s="17" t="s">
        <v>50</v>
      </c>
      <c r="AI223" s="17" t="s">
        <v>50</v>
      </c>
      <c r="AJ223" s="17" t="s">
        <v>50</v>
      </c>
      <c r="AK223" s="17" t="s">
        <v>50</v>
      </c>
      <c r="AL223" s="17" t="s">
        <v>50</v>
      </c>
      <c r="AM223" s="17" t="s">
        <v>50</v>
      </c>
      <c r="AN223" s="17" t="s">
        <v>50</v>
      </c>
      <c r="AO223" s="18" t="s">
        <v>50</v>
      </c>
      <c r="AP223" s="17" t="s">
        <v>50</v>
      </c>
      <c r="AQ223" s="17" t="s">
        <v>50</v>
      </c>
      <c r="AR223" s="17" t="s">
        <v>50</v>
      </c>
      <c r="AS223" s="17" t="s">
        <v>50</v>
      </c>
      <c r="AT223" s="17" t="s">
        <v>50</v>
      </c>
      <c r="AU223" s="17" t="s">
        <v>50</v>
      </c>
      <c r="AV223" s="18"/>
      <c r="AW223" s="17" t="s">
        <v>66</v>
      </c>
      <c r="AX223" s="17"/>
      <c r="AY223" s="17" t="s">
        <v>66</v>
      </c>
    </row>
    <row r="224" ht="22.5" hidden="1" customHeight="1">
      <c r="A224" s="9" t="s">
        <v>2486</v>
      </c>
      <c r="B224" s="10" t="s">
        <v>2487</v>
      </c>
      <c r="C224" s="10" t="s">
        <v>43</v>
      </c>
      <c r="D224" s="10" t="s">
        <v>688</v>
      </c>
      <c r="E224" s="10" t="s">
        <v>66</v>
      </c>
      <c r="F224" s="11">
        <v>1.0</v>
      </c>
      <c r="G224" s="11">
        <v>120.0</v>
      </c>
      <c r="H224" s="11"/>
      <c r="I224" s="11">
        <v>-20.4</v>
      </c>
      <c r="J224" s="11">
        <v>-19.95</v>
      </c>
      <c r="K224" s="11"/>
      <c r="L224" s="11">
        <v>86.85</v>
      </c>
      <c r="M224" s="10" t="s">
        <v>46</v>
      </c>
      <c r="N224" s="10" t="s">
        <v>45</v>
      </c>
      <c r="O224" s="10" t="s">
        <v>85</v>
      </c>
      <c r="P224" s="10" t="s">
        <v>86</v>
      </c>
      <c r="Q224" s="10" t="s">
        <v>87</v>
      </c>
      <c r="R224" s="10" t="s">
        <v>74</v>
      </c>
      <c r="S224" s="11">
        <v>120.0</v>
      </c>
      <c r="T224" s="11">
        <v>65.78</v>
      </c>
      <c r="U224" s="11" t="s">
        <v>51</v>
      </c>
      <c r="V224" s="10" t="s">
        <v>52</v>
      </c>
      <c r="W224" s="10" t="s">
        <v>2488</v>
      </c>
      <c r="X224" s="10" t="s">
        <v>2489</v>
      </c>
      <c r="Y224" s="10" t="s">
        <v>2490</v>
      </c>
      <c r="Z224" s="10" t="s">
        <v>50</v>
      </c>
      <c r="AA224" s="10" t="s">
        <v>50</v>
      </c>
      <c r="AB224" s="10" t="s">
        <v>2488</v>
      </c>
      <c r="AC224" s="10" t="s">
        <v>2491</v>
      </c>
      <c r="AD224" s="10" t="s">
        <v>2492</v>
      </c>
      <c r="AE224" s="10" t="s">
        <v>2493</v>
      </c>
      <c r="AF224" s="10" t="s">
        <v>1593</v>
      </c>
      <c r="AG224" s="10" t="s">
        <v>2494</v>
      </c>
      <c r="AH224" s="10" t="s">
        <v>60</v>
      </c>
      <c r="AI224" s="10" t="s">
        <v>61</v>
      </c>
      <c r="AJ224" s="10" t="s">
        <v>1652</v>
      </c>
      <c r="AK224" s="10" t="s">
        <v>2495</v>
      </c>
      <c r="AL224" s="10" t="s">
        <v>64</v>
      </c>
      <c r="AM224" s="10" t="s">
        <v>2496</v>
      </c>
      <c r="AN224" s="10" t="s">
        <v>50</v>
      </c>
      <c r="AO224" s="11" t="s">
        <v>50</v>
      </c>
      <c r="AP224" s="10" t="s">
        <v>50</v>
      </c>
      <c r="AQ224" s="10" t="s">
        <v>50</v>
      </c>
      <c r="AR224" s="10" t="s">
        <v>50</v>
      </c>
      <c r="AS224" s="10" t="s">
        <v>50</v>
      </c>
      <c r="AT224" s="10" t="s">
        <v>50</v>
      </c>
      <c r="AU224" s="10" t="s">
        <v>50</v>
      </c>
      <c r="AV224" s="11"/>
      <c r="AW224" s="10" t="s">
        <v>66</v>
      </c>
      <c r="AX224" s="10"/>
      <c r="AY224" s="10" t="s">
        <v>66</v>
      </c>
    </row>
    <row r="225" ht="22.5" hidden="1" customHeight="1">
      <c r="A225" s="9" t="s">
        <v>2497</v>
      </c>
      <c r="B225" s="10" t="s">
        <v>2498</v>
      </c>
      <c r="C225" s="10" t="s">
        <v>43</v>
      </c>
      <c r="D225" s="10" t="s">
        <v>1398</v>
      </c>
      <c r="E225" s="10" t="s">
        <v>66</v>
      </c>
      <c r="F225" s="11">
        <v>1.0</v>
      </c>
      <c r="G225" s="11">
        <v>120.0</v>
      </c>
      <c r="H225" s="11"/>
      <c r="I225" s="11">
        <v>-20.4</v>
      </c>
      <c r="J225" s="11">
        <v>-19.95</v>
      </c>
      <c r="K225" s="11"/>
      <c r="L225" s="11">
        <v>86.85</v>
      </c>
      <c r="M225" s="10" t="s">
        <v>46</v>
      </c>
      <c r="N225" s="10" t="s">
        <v>45</v>
      </c>
      <c r="O225" s="10" t="s">
        <v>85</v>
      </c>
      <c r="P225" s="10" t="s">
        <v>86</v>
      </c>
      <c r="Q225" s="10" t="s">
        <v>87</v>
      </c>
      <c r="R225" s="10" t="s">
        <v>74</v>
      </c>
      <c r="S225" s="11">
        <v>120.0</v>
      </c>
      <c r="T225" s="11">
        <v>65.78</v>
      </c>
      <c r="U225" s="11" t="s">
        <v>51</v>
      </c>
      <c r="V225" s="10" t="s">
        <v>52</v>
      </c>
      <c r="W225" s="10" t="s">
        <v>2499</v>
      </c>
      <c r="X225" s="10" t="s">
        <v>2500</v>
      </c>
      <c r="Y225" s="10" t="s">
        <v>2501</v>
      </c>
      <c r="Z225" s="10" t="s">
        <v>50</v>
      </c>
      <c r="AA225" s="10" t="s">
        <v>50</v>
      </c>
      <c r="AB225" s="10" t="s">
        <v>2499</v>
      </c>
      <c r="AC225" s="10" t="s">
        <v>2502</v>
      </c>
      <c r="AD225" s="10" t="s">
        <v>2503</v>
      </c>
      <c r="AE225" s="10" t="s">
        <v>629</v>
      </c>
      <c r="AF225" s="10" t="s">
        <v>58</v>
      </c>
      <c r="AG225" s="10" t="s">
        <v>2504</v>
      </c>
      <c r="AH225" s="10" t="s">
        <v>60</v>
      </c>
      <c r="AI225" s="10" t="s">
        <v>61</v>
      </c>
      <c r="AJ225" s="10" t="s">
        <v>1732</v>
      </c>
      <c r="AK225" s="10" t="s">
        <v>2505</v>
      </c>
      <c r="AL225" s="10" t="s">
        <v>64</v>
      </c>
      <c r="AM225" s="10" t="s">
        <v>2506</v>
      </c>
      <c r="AN225" s="10" t="s">
        <v>50</v>
      </c>
      <c r="AO225" s="11" t="s">
        <v>50</v>
      </c>
      <c r="AP225" s="10" t="s">
        <v>50</v>
      </c>
      <c r="AQ225" s="10" t="s">
        <v>50</v>
      </c>
      <c r="AR225" s="10" t="s">
        <v>50</v>
      </c>
      <c r="AS225" s="10" t="s">
        <v>50</v>
      </c>
      <c r="AT225" s="10" t="s">
        <v>50</v>
      </c>
      <c r="AU225" s="10" t="s">
        <v>50</v>
      </c>
      <c r="AV225" s="11"/>
      <c r="AW225" s="10" t="s">
        <v>66</v>
      </c>
      <c r="AX225" s="10"/>
      <c r="AY225" s="10" t="s">
        <v>66</v>
      </c>
    </row>
    <row r="226" ht="22.5" hidden="1" customHeight="1">
      <c r="A226" s="9" t="s">
        <v>2507</v>
      </c>
      <c r="B226" s="10" t="s">
        <v>2508</v>
      </c>
      <c r="C226" s="10" t="s">
        <v>43</v>
      </c>
      <c r="D226" s="10" t="s">
        <v>191</v>
      </c>
      <c r="E226" s="10" t="s">
        <v>66</v>
      </c>
      <c r="F226" s="11">
        <v>1.0</v>
      </c>
      <c r="G226" s="11">
        <v>79.2</v>
      </c>
      <c r="H226" s="11"/>
      <c r="I226" s="11">
        <v>-13.46</v>
      </c>
      <c r="J226" s="11">
        <v>-20.45</v>
      </c>
      <c r="K226" s="11"/>
      <c r="L226" s="11">
        <v>50.04</v>
      </c>
      <c r="M226" s="10" t="s">
        <v>46</v>
      </c>
      <c r="N226" s="10" t="s">
        <v>45</v>
      </c>
      <c r="O226" s="10" t="s">
        <v>892</v>
      </c>
      <c r="P226" s="10" t="s">
        <v>893</v>
      </c>
      <c r="Q226" s="10" t="s">
        <v>894</v>
      </c>
      <c r="R226" s="10" t="s">
        <v>74</v>
      </c>
      <c r="S226" s="11">
        <v>79.2</v>
      </c>
      <c r="T226" s="11">
        <v>2.97</v>
      </c>
      <c r="U226" s="11" t="s">
        <v>51</v>
      </c>
      <c r="V226" s="10" t="s">
        <v>52</v>
      </c>
      <c r="W226" s="10" t="s">
        <v>2509</v>
      </c>
      <c r="X226" s="10" t="s">
        <v>2510</v>
      </c>
      <c r="Y226" s="10" t="s">
        <v>2511</v>
      </c>
      <c r="Z226" s="10" t="s">
        <v>50</v>
      </c>
      <c r="AA226" s="10" t="s">
        <v>50</v>
      </c>
      <c r="AB226" s="10" t="s">
        <v>2509</v>
      </c>
      <c r="AC226" s="10" t="s">
        <v>2512</v>
      </c>
      <c r="AD226" s="10" t="s">
        <v>2513</v>
      </c>
      <c r="AE226" s="10" t="s">
        <v>774</v>
      </c>
      <c r="AF226" s="10" t="s">
        <v>775</v>
      </c>
      <c r="AG226" s="10" t="s">
        <v>2514</v>
      </c>
      <c r="AH226" s="10" t="s">
        <v>60</v>
      </c>
      <c r="AI226" s="10" t="s">
        <v>61</v>
      </c>
      <c r="AJ226" s="10" t="s">
        <v>1652</v>
      </c>
      <c r="AK226" s="10" t="s">
        <v>2515</v>
      </c>
      <c r="AL226" s="10" t="s">
        <v>64</v>
      </c>
      <c r="AM226" s="10" t="s">
        <v>2516</v>
      </c>
      <c r="AN226" s="10" t="s">
        <v>50</v>
      </c>
      <c r="AO226" s="11" t="s">
        <v>50</v>
      </c>
      <c r="AP226" s="10" t="s">
        <v>50</v>
      </c>
      <c r="AQ226" s="10" t="s">
        <v>50</v>
      </c>
      <c r="AR226" s="10" t="s">
        <v>50</v>
      </c>
      <c r="AS226" s="10" t="s">
        <v>50</v>
      </c>
      <c r="AT226" s="10" t="s">
        <v>50</v>
      </c>
      <c r="AU226" s="10" t="s">
        <v>50</v>
      </c>
      <c r="AV226" s="11"/>
      <c r="AW226" s="10" t="s">
        <v>66</v>
      </c>
      <c r="AX226" s="10"/>
      <c r="AY226" s="10" t="s">
        <v>66</v>
      </c>
    </row>
    <row r="227" ht="22.5" hidden="1" customHeight="1">
      <c r="A227" s="9" t="s">
        <v>2517</v>
      </c>
      <c r="B227" s="10" t="s">
        <v>2518</v>
      </c>
      <c r="C227" s="10" t="s">
        <v>43</v>
      </c>
      <c r="D227" s="10" t="s">
        <v>1398</v>
      </c>
      <c r="E227" s="10" t="s">
        <v>45</v>
      </c>
      <c r="F227" s="11">
        <v>1.0</v>
      </c>
      <c r="G227" s="11">
        <v>79.2</v>
      </c>
      <c r="H227" s="11"/>
      <c r="I227" s="11">
        <v>-13.46</v>
      </c>
      <c r="J227" s="11">
        <v>-20.45</v>
      </c>
      <c r="K227" s="11"/>
      <c r="L227" s="11">
        <v>45.29</v>
      </c>
      <c r="M227" s="10" t="s">
        <v>46</v>
      </c>
      <c r="N227" s="10" t="s">
        <v>45</v>
      </c>
      <c r="O227" s="10" t="s">
        <v>127</v>
      </c>
      <c r="P227" s="10" t="s">
        <v>128</v>
      </c>
      <c r="Q227" s="10" t="s">
        <v>129</v>
      </c>
      <c r="R227" s="10" t="s">
        <v>74</v>
      </c>
      <c r="S227" s="11">
        <v>79.2</v>
      </c>
      <c r="T227" s="11">
        <v>17.68</v>
      </c>
      <c r="U227" s="11" t="s">
        <v>51</v>
      </c>
      <c r="V227" s="10" t="s">
        <v>52</v>
      </c>
      <c r="W227" s="10" t="s">
        <v>2519</v>
      </c>
      <c r="X227" s="10" t="s">
        <v>2520</v>
      </c>
      <c r="Y227" s="10" t="s">
        <v>2521</v>
      </c>
      <c r="Z227" s="10" t="s">
        <v>50</v>
      </c>
      <c r="AA227" s="10" t="s">
        <v>50</v>
      </c>
      <c r="AB227" s="10" t="s">
        <v>2519</v>
      </c>
      <c r="AC227" s="10" t="s">
        <v>2522</v>
      </c>
      <c r="AD227" s="10" t="s">
        <v>2523</v>
      </c>
      <c r="AE227" s="10" t="s">
        <v>2524</v>
      </c>
      <c r="AF227" s="10" t="s">
        <v>151</v>
      </c>
      <c r="AG227" s="10" t="s">
        <v>2525</v>
      </c>
      <c r="AH227" s="10" t="s">
        <v>60</v>
      </c>
      <c r="AI227" s="10" t="s">
        <v>61</v>
      </c>
      <c r="AJ227" s="10" t="s">
        <v>2526</v>
      </c>
      <c r="AK227" s="10" t="s">
        <v>2527</v>
      </c>
      <c r="AL227" s="10" t="s">
        <v>64</v>
      </c>
      <c r="AM227" s="10" t="s">
        <v>2528</v>
      </c>
      <c r="AN227" s="10" t="s">
        <v>50</v>
      </c>
      <c r="AO227" s="11" t="s">
        <v>50</v>
      </c>
      <c r="AP227" s="10" t="s">
        <v>50</v>
      </c>
      <c r="AQ227" s="10" t="s">
        <v>50</v>
      </c>
      <c r="AR227" s="10" t="s">
        <v>50</v>
      </c>
      <c r="AS227" s="10" t="s">
        <v>50</v>
      </c>
      <c r="AT227" s="10" t="s">
        <v>50</v>
      </c>
      <c r="AU227" s="10" t="s">
        <v>50</v>
      </c>
      <c r="AV227" s="11"/>
      <c r="AW227" s="10" t="s">
        <v>66</v>
      </c>
      <c r="AX227" s="10"/>
      <c r="AY227" s="10" t="s">
        <v>66</v>
      </c>
    </row>
    <row r="228" ht="22.5" hidden="1" customHeight="1">
      <c r="A228" s="9" t="s">
        <v>2529</v>
      </c>
      <c r="B228" s="10" t="s">
        <v>2530</v>
      </c>
      <c r="C228" s="10" t="s">
        <v>43</v>
      </c>
      <c r="D228" s="10" t="s">
        <v>1398</v>
      </c>
      <c r="E228" s="10" t="s">
        <v>66</v>
      </c>
      <c r="F228" s="11">
        <v>1.0</v>
      </c>
      <c r="G228" s="11">
        <v>43.7</v>
      </c>
      <c r="H228" s="11">
        <v>14.63</v>
      </c>
      <c r="I228" s="11">
        <v>-13.43</v>
      </c>
      <c r="J228" s="11">
        <v>-14.63</v>
      </c>
      <c r="K228" s="11"/>
      <c r="L228" s="11">
        <v>32.89</v>
      </c>
      <c r="M228" s="10" t="s">
        <v>46</v>
      </c>
      <c r="N228" s="10" t="s">
        <v>50</v>
      </c>
      <c r="O228" s="10" t="s">
        <v>176</v>
      </c>
      <c r="P228" s="10" t="s">
        <v>177</v>
      </c>
      <c r="Q228" s="10" t="s">
        <v>178</v>
      </c>
      <c r="R228" s="10" t="s">
        <v>74</v>
      </c>
      <c r="S228" s="11">
        <v>43.7</v>
      </c>
      <c r="T228" s="11">
        <v>22.58</v>
      </c>
      <c r="U228" s="11" t="s">
        <v>51</v>
      </c>
      <c r="V228" s="10" t="s">
        <v>52</v>
      </c>
      <c r="W228" s="10" t="s">
        <v>2531</v>
      </c>
      <c r="X228" s="10" t="s">
        <v>2532</v>
      </c>
      <c r="Y228" s="10" t="s">
        <v>2533</v>
      </c>
      <c r="Z228" s="10" t="s">
        <v>50</v>
      </c>
      <c r="AA228" s="10" t="s">
        <v>50</v>
      </c>
      <c r="AB228" s="10" t="s">
        <v>2531</v>
      </c>
      <c r="AC228" s="10" t="s">
        <v>2534</v>
      </c>
      <c r="AD228" s="10" t="s">
        <v>2535</v>
      </c>
      <c r="AE228" s="10" t="s">
        <v>58</v>
      </c>
      <c r="AF228" s="10" t="s">
        <v>58</v>
      </c>
      <c r="AG228" s="10" t="s">
        <v>2536</v>
      </c>
      <c r="AH228" s="10" t="s">
        <v>60</v>
      </c>
      <c r="AI228" s="10" t="s">
        <v>61</v>
      </c>
      <c r="AJ228" s="10" t="s">
        <v>1450</v>
      </c>
      <c r="AK228" s="10" t="s">
        <v>2537</v>
      </c>
      <c r="AL228" s="10" t="s">
        <v>64</v>
      </c>
      <c r="AM228" s="10" t="s">
        <v>2538</v>
      </c>
      <c r="AN228" s="10" t="s">
        <v>50</v>
      </c>
      <c r="AO228" s="11" t="s">
        <v>50</v>
      </c>
      <c r="AP228" s="10" t="s">
        <v>50</v>
      </c>
      <c r="AQ228" s="10" t="s">
        <v>50</v>
      </c>
      <c r="AR228" s="10" t="s">
        <v>50</v>
      </c>
      <c r="AS228" s="10" t="s">
        <v>50</v>
      </c>
      <c r="AT228" s="10" t="s">
        <v>50</v>
      </c>
      <c r="AU228" s="10" t="s">
        <v>50</v>
      </c>
      <c r="AV228" s="11"/>
      <c r="AW228" s="10" t="s">
        <v>66</v>
      </c>
      <c r="AX228" s="10"/>
      <c r="AY228" s="10" t="s">
        <v>66</v>
      </c>
    </row>
    <row r="229" ht="22.5" hidden="1" customHeight="1">
      <c r="A229" s="9" t="s">
        <v>2539</v>
      </c>
      <c r="B229" s="10" t="s">
        <v>2540</v>
      </c>
      <c r="C229" s="10" t="s">
        <v>43</v>
      </c>
      <c r="D229" s="10" t="s">
        <v>759</v>
      </c>
      <c r="E229" s="10" t="s">
        <v>45</v>
      </c>
      <c r="F229" s="11">
        <v>1.0</v>
      </c>
      <c r="G229" s="11">
        <v>120.0</v>
      </c>
      <c r="H229" s="11"/>
      <c r="I229" s="11">
        <v>-20.4</v>
      </c>
      <c r="J229" s="11">
        <v>-19.95</v>
      </c>
      <c r="K229" s="11"/>
      <c r="L229" s="11">
        <v>86.85</v>
      </c>
      <c r="M229" s="10" t="s">
        <v>46</v>
      </c>
      <c r="N229" s="10" t="s">
        <v>45</v>
      </c>
      <c r="O229" s="10" t="s">
        <v>85</v>
      </c>
      <c r="P229" s="10" t="s">
        <v>86</v>
      </c>
      <c r="Q229" s="10" t="s">
        <v>87</v>
      </c>
      <c r="R229" s="10" t="s">
        <v>74</v>
      </c>
      <c r="S229" s="11">
        <v>120.0</v>
      </c>
      <c r="T229" s="11">
        <v>65.78</v>
      </c>
      <c r="U229" s="11" t="s">
        <v>51</v>
      </c>
      <c r="V229" s="10" t="s">
        <v>52</v>
      </c>
      <c r="W229" s="10" t="s">
        <v>2541</v>
      </c>
      <c r="X229" s="10" t="s">
        <v>2542</v>
      </c>
      <c r="Y229" s="10" t="s">
        <v>2543</v>
      </c>
      <c r="Z229" s="10" t="s">
        <v>50</v>
      </c>
      <c r="AA229" s="10" t="s">
        <v>50</v>
      </c>
      <c r="AB229" s="10" t="s">
        <v>2541</v>
      </c>
      <c r="AC229" s="10" t="s">
        <v>2544</v>
      </c>
      <c r="AD229" s="10" t="s">
        <v>2545</v>
      </c>
      <c r="AE229" s="10" t="s">
        <v>1100</v>
      </c>
      <c r="AF229" s="10" t="s">
        <v>799</v>
      </c>
      <c r="AG229" s="10" t="s">
        <v>2546</v>
      </c>
      <c r="AH229" s="10" t="s">
        <v>60</v>
      </c>
      <c r="AI229" s="10" t="s">
        <v>61</v>
      </c>
      <c r="AJ229" s="10" t="s">
        <v>2547</v>
      </c>
      <c r="AK229" s="10" t="s">
        <v>2548</v>
      </c>
      <c r="AL229" s="10" t="s">
        <v>64</v>
      </c>
      <c r="AM229" s="10" t="s">
        <v>2549</v>
      </c>
      <c r="AN229" s="10" t="s">
        <v>50</v>
      </c>
      <c r="AO229" s="11" t="s">
        <v>50</v>
      </c>
      <c r="AP229" s="10" t="s">
        <v>50</v>
      </c>
      <c r="AQ229" s="10" t="s">
        <v>50</v>
      </c>
      <c r="AR229" s="10" t="s">
        <v>50</v>
      </c>
      <c r="AS229" s="10" t="s">
        <v>50</v>
      </c>
      <c r="AT229" s="10" t="s">
        <v>50</v>
      </c>
      <c r="AU229" s="10" t="s">
        <v>50</v>
      </c>
      <c r="AV229" s="11"/>
      <c r="AW229" s="10" t="s">
        <v>66</v>
      </c>
      <c r="AX229" s="10"/>
      <c r="AY229" s="10" t="s">
        <v>66</v>
      </c>
    </row>
    <row r="230" ht="22.5" hidden="1" customHeight="1">
      <c r="A230" s="9" t="s">
        <v>2550</v>
      </c>
      <c r="B230" s="10" t="s">
        <v>2551</v>
      </c>
      <c r="C230" s="10" t="s">
        <v>43</v>
      </c>
      <c r="D230" s="10" t="s">
        <v>1398</v>
      </c>
      <c r="E230" s="10" t="s">
        <v>45</v>
      </c>
      <c r="F230" s="11">
        <v>2.0</v>
      </c>
      <c r="G230" s="11">
        <v>158.4</v>
      </c>
      <c r="H230" s="11"/>
      <c r="I230" s="11">
        <v>-26.92</v>
      </c>
      <c r="J230" s="11">
        <v>-40.9</v>
      </c>
      <c r="K230" s="11"/>
      <c r="L230" s="11">
        <v>90.58</v>
      </c>
      <c r="M230" s="10" t="s">
        <v>46</v>
      </c>
      <c r="N230" s="10" t="s">
        <v>45</v>
      </c>
      <c r="O230" s="10" t="s">
        <v>127</v>
      </c>
      <c r="P230" s="10" t="s">
        <v>128</v>
      </c>
      <c r="Q230" s="10" t="s">
        <v>129</v>
      </c>
      <c r="R230" s="10" t="s">
        <v>74</v>
      </c>
      <c r="S230" s="11">
        <v>79.2</v>
      </c>
      <c r="T230" s="11">
        <v>17.68</v>
      </c>
      <c r="U230" s="11" t="s">
        <v>51</v>
      </c>
      <c r="V230" s="10" t="s">
        <v>52</v>
      </c>
      <c r="W230" s="10" t="s">
        <v>2552</v>
      </c>
      <c r="X230" s="10" t="s">
        <v>2553</v>
      </c>
      <c r="Y230" s="10" t="s">
        <v>2554</v>
      </c>
      <c r="Z230" s="10" t="s">
        <v>50</v>
      </c>
      <c r="AA230" s="10" t="s">
        <v>50</v>
      </c>
      <c r="AB230" s="10" t="s">
        <v>2552</v>
      </c>
      <c r="AC230" s="10" t="s">
        <v>2555</v>
      </c>
      <c r="AD230" s="10" t="s">
        <v>2556</v>
      </c>
      <c r="AE230" s="10" t="s">
        <v>2557</v>
      </c>
      <c r="AF230" s="10" t="s">
        <v>58</v>
      </c>
      <c r="AG230" s="10" t="s">
        <v>2558</v>
      </c>
      <c r="AH230" s="10" t="s">
        <v>60</v>
      </c>
      <c r="AI230" s="10" t="s">
        <v>61</v>
      </c>
      <c r="AJ230" s="10" t="s">
        <v>1439</v>
      </c>
      <c r="AK230" s="10" t="s">
        <v>2559</v>
      </c>
      <c r="AL230" s="10" t="s">
        <v>64</v>
      </c>
      <c r="AM230" s="10" t="s">
        <v>2560</v>
      </c>
      <c r="AN230" s="10" t="s">
        <v>50</v>
      </c>
      <c r="AO230" s="11" t="s">
        <v>50</v>
      </c>
      <c r="AP230" s="10" t="s">
        <v>50</v>
      </c>
      <c r="AQ230" s="10" t="s">
        <v>50</v>
      </c>
      <c r="AR230" s="10" t="s">
        <v>50</v>
      </c>
      <c r="AS230" s="10" t="s">
        <v>50</v>
      </c>
      <c r="AT230" s="10" t="s">
        <v>50</v>
      </c>
      <c r="AU230" s="10" t="s">
        <v>50</v>
      </c>
      <c r="AV230" s="11"/>
      <c r="AW230" s="10" t="s">
        <v>66</v>
      </c>
      <c r="AX230" s="10"/>
      <c r="AY230" s="10" t="s">
        <v>66</v>
      </c>
    </row>
    <row r="231" ht="22.5" hidden="1" customHeight="1">
      <c r="A231" s="9" t="s">
        <v>2561</v>
      </c>
      <c r="B231" s="10" t="s">
        <v>2562</v>
      </c>
      <c r="C231" s="10" t="s">
        <v>43</v>
      </c>
      <c r="D231" s="10" t="s">
        <v>191</v>
      </c>
      <c r="E231" s="10" t="s">
        <v>66</v>
      </c>
      <c r="F231" s="11">
        <v>1.0</v>
      </c>
      <c r="G231" s="11">
        <v>43.7</v>
      </c>
      <c r="H231" s="11"/>
      <c r="I231" s="11">
        <v>-13.43</v>
      </c>
      <c r="J231" s="11"/>
      <c r="K231" s="11"/>
      <c r="L231" s="11">
        <v>32.89</v>
      </c>
      <c r="M231" s="10" t="s">
        <v>46</v>
      </c>
      <c r="N231" s="10" t="s">
        <v>50</v>
      </c>
      <c r="O231" s="10" t="s">
        <v>176</v>
      </c>
      <c r="P231" s="10" t="s">
        <v>177</v>
      </c>
      <c r="Q231" s="10" t="s">
        <v>178</v>
      </c>
      <c r="R231" s="10" t="s">
        <v>74</v>
      </c>
      <c r="S231" s="11">
        <v>43.7</v>
      </c>
      <c r="T231" s="11">
        <v>22.58</v>
      </c>
      <c r="U231" s="11" t="s">
        <v>51</v>
      </c>
      <c r="V231" s="10" t="s">
        <v>52</v>
      </c>
      <c r="W231" s="10" t="s">
        <v>2563</v>
      </c>
      <c r="X231" s="10" t="s">
        <v>2564</v>
      </c>
      <c r="Y231" s="10" t="s">
        <v>2565</v>
      </c>
      <c r="Z231" s="10" t="s">
        <v>50</v>
      </c>
      <c r="AA231" s="10" t="s">
        <v>50</v>
      </c>
      <c r="AB231" s="10" t="s">
        <v>2563</v>
      </c>
      <c r="AC231" s="10" t="s">
        <v>2566</v>
      </c>
      <c r="AD231" s="10" t="s">
        <v>2567</v>
      </c>
      <c r="AE231" s="10" t="s">
        <v>2568</v>
      </c>
      <c r="AF231" s="10" t="s">
        <v>775</v>
      </c>
      <c r="AG231" s="10" t="s">
        <v>2569</v>
      </c>
      <c r="AH231" s="10" t="s">
        <v>60</v>
      </c>
      <c r="AI231" s="10" t="s">
        <v>61</v>
      </c>
      <c r="AJ231" s="10" t="s">
        <v>1641</v>
      </c>
      <c r="AK231" s="10" t="s">
        <v>2570</v>
      </c>
      <c r="AL231" s="10" t="s">
        <v>64</v>
      </c>
      <c r="AM231" s="10" t="s">
        <v>2571</v>
      </c>
      <c r="AN231" s="10" t="s">
        <v>50</v>
      </c>
      <c r="AO231" s="11" t="s">
        <v>50</v>
      </c>
      <c r="AP231" s="10" t="s">
        <v>50</v>
      </c>
      <c r="AQ231" s="10" t="s">
        <v>50</v>
      </c>
      <c r="AR231" s="10" t="s">
        <v>50</v>
      </c>
      <c r="AS231" s="10" t="s">
        <v>50</v>
      </c>
      <c r="AT231" s="10" t="s">
        <v>50</v>
      </c>
      <c r="AU231" s="10" t="s">
        <v>50</v>
      </c>
      <c r="AV231" s="11"/>
      <c r="AW231" s="10" t="s">
        <v>66</v>
      </c>
      <c r="AX231" s="10"/>
      <c r="AY231" s="10" t="s">
        <v>66</v>
      </c>
    </row>
    <row r="232" ht="22.5" hidden="1" customHeight="1">
      <c r="A232" s="9" t="s">
        <v>2572</v>
      </c>
      <c r="B232" s="10" t="s">
        <v>2573</v>
      </c>
      <c r="C232" s="10" t="s">
        <v>43</v>
      </c>
      <c r="D232" s="10" t="s">
        <v>1398</v>
      </c>
      <c r="E232" s="10" t="s">
        <v>66</v>
      </c>
      <c r="F232" s="11">
        <v>1.0</v>
      </c>
      <c r="G232" s="11">
        <v>80.5</v>
      </c>
      <c r="H232" s="11"/>
      <c r="I232" s="11">
        <v>-15.3</v>
      </c>
      <c r="J232" s="11">
        <v>-19.95</v>
      </c>
      <c r="K232" s="11"/>
      <c r="L232" s="11">
        <v>45.25</v>
      </c>
      <c r="M232" s="10" t="s">
        <v>46</v>
      </c>
      <c r="N232" s="10" t="s">
        <v>50</v>
      </c>
      <c r="O232" s="10" t="s">
        <v>47</v>
      </c>
      <c r="P232" s="10" t="s">
        <v>48</v>
      </c>
      <c r="Q232" s="10" t="s">
        <v>49</v>
      </c>
      <c r="R232" s="10" t="s">
        <v>50</v>
      </c>
      <c r="S232" s="11">
        <v>80.5</v>
      </c>
      <c r="T232" s="11">
        <v>12.45</v>
      </c>
      <c r="U232" s="11" t="s">
        <v>51</v>
      </c>
      <c r="V232" s="10" t="s">
        <v>52</v>
      </c>
      <c r="W232" s="10" t="s">
        <v>2574</v>
      </c>
      <c r="X232" s="10" t="s">
        <v>2575</v>
      </c>
      <c r="Y232" s="10" t="s">
        <v>2576</v>
      </c>
      <c r="Z232" s="10" t="s">
        <v>50</v>
      </c>
      <c r="AA232" s="10" t="s">
        <v>50</v>
      </c>
      <c r="AB232" s="10" t="s">
        <v>2574</v>
      </c>
      <c r="AC232" s="10" t="s">
        <v>2577</v>
      </c>
      <c r="AD232" s="10" t="s">
        <v>2578</v>
      </c>
      <c r="AE232" s="10" t="s">
        <v>2579</v>
      </c>
      <c r="AF232" s="10" t="s">
        <v>58</v>
      </c>
      <c r="AG232" s="10" t="s">
        <v>2580</v>
      </c>
      <c r="AH232" s="10" t="s">
        <v>60</v>
      </c>
      <c r="AI232" s="10" t="s">
        <v>61</v>
      </c>
      <c r="AJ232" s="10" t="s">
        <v>1406</v>
      </c>
      <c r="AK232" s="10" t="s">
        <v>2581</v>
      </c>
      <c r="AL232" s="10" t="s">
        <v>64</v>
      </c>
      <c r="AM232" s="10" t="s">
        <v>2582</v>
      </c>
      <c r="AN232" s="10" t="s">
        <v>50</v>
      </c>
      <c r="AO232" s="11" t="s">
        <v>50</v>
      </c>
      <c r="AP232" s="10" t="s">
        <v>50</v>
      </c>
      <c r="AQ232" s="10" t="s">
        <v>50</v>
      </c>
      <c r="AR232" s="10" t="s">
        <v>50</v>
      </c>
      <c r="AS232" s="10" t="s">
        <v>50</v>
      </c>
      <c r="AT232" s="10" t="s">
        <v>50</v>
      </c>
      <c r="AU232" s="10" t="s">
        <v>50</v>
      </c>
      <c r="AV232" s="11"/>
      <c r="AW232" s="10" t="s">
        <v>66</v>
      </c>
      <c r="AX232" s="10"/>
      <c r="AY232" s="10" t="s">
        <v>66</v>
      </c>
    </row>
    <row r="233" ht="22.5" hidden="1" customHeight="1">
      <c r="A233" s="9" t="s">
        <v>2583</v>
      </c>
      <c r="B233" s="10" t="s">
        <v>2584</v>
      </c>
      <c r="C233" s="10" t="s">
        <v>43</v>
      </c>
      <c r="D233" s="10" t="s">
        <v>759</v>
      </c>
      <c r="E233" s="10" t="s">
        <v>45</v>
      </c>
      <c r="F233" s="11">
        <v>1.0</v>
      </c>
      <c r="G233" s="11">
        <v>120.0</v>
      </c>
      <c r="H233" s="11"/>
      <c r="I233" s="11">
        <v>-20.4</v>
      </c>
      <c r="J233" s="11">
        <v>-19.95</v>
      </c>
      <c r="K233" s="11"/>
      <c r="L233" s="11">
        <v>86.85</v>
      </c>
      <c r="M233" s="10" t="s">
        <v>46</v>
      </c>
      <c r="N233" s="10" t="s">
        <v>50</v>
      </c>
      <c r="O233" s="10" t="s">
        <v>85</v>
      </c>
      <c r="P233" s="10" t="s">
        <v>86</v>
      </c>
      <c r="Q233" s="10" t="s">
        <v>87</v>
      </c>
      <c r="R233" s="10" t="s">
        <v>74</v>
      </c>
      <c r="S233" s="11">
        <v>120.0</v>
      </c>
      <c r="T233" s="11">
        <v>65.78</v>
      </c>
      <c r="U233" s="11" t="s">
        <v>51</v>
      </c>
      <c r="V233" s="10" t="s">
        <v>52</v>
      </c>
      <c r="W233" s="10" t="s">
        <v>2585</v>
      </c>
      <c r="X233" s="10" t="s">
        <v>2586</v>
      </c>
      <c r="Y233" s="10" t="s">
        <v>2587</v>
      </c>
      <c r="Z233" s="10" t="s">
        <v>50</v>
      </c>
      <c r="AA233" s="10" t="s">
        <v>50</v>
      </c>
      <c r="AB233" s="10" t="s">
        <v>2585</v>
      </c>
      <c r="AC233" s="10" t="s">
        <v>2588</v>
      </c>
      <c r="AD233" s="10" t="s">
        <v>2589</v>
      </c>
      <c r="AE233" s="10" t="s">
        <v>2590</v>
      </c>
      <c r="AF233" s="10" t="s">
        <v>185</v>
      </c>
      <c r="AG233" s="10" t="s">
        <v>2591</v>
      </c>
      <c r="AH233" s="10" t="s">
        <v>60</v>
      </c>
      <c r="AI233" s="10" t="s">
        <v>61</v>
      </c>
      <c r="AJ233" s="10" t="s">
        <v>2592</v>
      </c>
      <c r="AK233" s="10" t="s">
        <v>2593</v>
      </c>
      <c r="AL233" s="10" t="s">
        <v>64</v>
      </c>
      <c r="AM233" s="10" t="s">
        <v>2594</v>
      </c>
      <c r="AN233" s="10" t="s">
        <v>50</v>
      </c>
      <c r="AO233" s="11" t="s">
        <v>50</v>
      </c>
      <c r="AP233" s="10" t="s">
        <v>50</v>
      </c>
      <c r="AQ233" s="10" t="s">
        <v>50</v>
      </c>
      <c r="AR233" s="10" t="s">
        <v>50</v>
      </c>
      <c r="AS233" s="10" t="s">
        <v>50</v>
      </c>
      <c r="AT233" s="10" t="s">
        <v>50</v>
      </c>
      <c r="AU233" s="10" t="s">
        <v>50</v>
      </c>
      <c r="AV233" s="11"/>
      <c r="AW233" s="10" t="s">
        <v>66</v>
      </c>
      <c r="AX233" s="10"/>
      <c r="AY233" s="10" t="s">
        <v>66</v>
      </c>
    </row>
    <row r="234" ht="22.5" hidden="1" customHeight="1">
      <c r="A234" s="9" t="s">
        <v>2595</v>
      </c>
      <c r="B234" s="10" t="s">
        <v>2596</v>
      </c>
      <c r="C234" s="10" t="s">
        <v>43</v>
      </c>
      <c r="D234" s="10" t="s">
        <v>1398</v>
      </c>
      <c r="E234" s="10" t="s">
        <v>66</v>
      </c>
      <c r="F234" s="11">
        <v>1.0</v>
      </c>
      <c r="G234" s="11">
        <v>120.0</v>
      </c>
      <c r="H234" s="11"/>
      <c r="I234" s="11">
        <v>-20.4</v>
      </c>
      <c r="J234" s="11">
        <v>-19.95</v>
      </c>
      <c r="K234" s="11"/>
      <c r="L234" s="11">
        <v>86.85</v>
      </c>
      <c r="M234" s="10" t="s">
        <v>46</v>
      </c>
      <c r="N234" s="10" t="s">
        <v>50</v>
      </c>
      <c r="O234" s="10" t="s">
        <v>85</v>
      </c>
      <c r="P234" s="10" t="s">
        <v>86</v>
      </c>
      <c r="Q234" s="10" t="s">
        <v>87</v>
      </c>
      <c r="R234" s="10" t="s">
        <v>74</v>
      </c>
      <c r="S234" s="11">
        <v>120.0</v>
      </c>
      <c r="T234" s="11">
        <v>65.78</v>
      </c>
      <c r="U234" s="11" t="s">
        <v>51</v>
      </c>
      <c r="V234" s="10" t="s">
        <v>52</v>
      </c>
      <c r="W234" s="10" t="s">
        <v>2597</v>
      </c>
      <c r="X234" s="10" t="s">
        <v>2598</v>
      </c>
      <c r="Y234" s="10" t="s">
        <v>2599</v>
      </c>
      <c r="Z234" s="10" t="s">
        <v>50</v>
      </c>
      <c r="AA234" s="10" t="s">
        <v>50</v>
      </c>
      <c r="AB234" s="10" t="s">
        <v>2597</v>
      </c>
      <c r="AC234" s="10" t="s">
        <v>2600</v>
      </c>
      <c r="AD234" s="10" t="s">
        <v>2601</v>
      </c>
      <c r="AE234" s="10" t="s">
        <v>2602</v>
      </c>
      <c r="AF234" s="10" t="s">
        <v>58</v>
      </c>
      <c r="AG234" s="10" t="s">
        <v>2603</v>
      </c>
      <c r="AH234" s="10" t="s">
        <v>60</v>
      </c>
      <c r="AI234" s="10" t="s">
        <v>61</v>
      </c>
      <c r="AJ234" s="10" t="s">
        <v>1607</v>
      </c>
      <c r="AK234" s="10" t="s">
        <v>2604</v>
      </c>
      <c r="AL234" s="10" t="s">
        <v>64</v>
      </c>
      <c r="AM234" s="10" t="s">
        <v>2605</v>
      </c>
      <c r="AN234" s="10" t="s">
        <v>50</v>
      </c>
      <c r="AO234" s="11" t="s">
        <v>50</v>
      </c>
      <c r="AP234" s="10" t="s">
        <v>50</v>
      </c>
      <c r="AQ234" s="10" t="s">
        <v>50</v>
      </c>
      <c r="AR234" s="10" t="s">
        <v>50</v>
      </c>
      <c r="AS234" s="10" t="s">
        <v>50</v>
      </c>
      <c r="AT234" s="10" t="s">
        <v>50</v>
      </c>
      <c r="AU234" s="10" t="s">
        <v>50</v>
      </c>
      <c r="AV234" s="11"/>
      <c r="AW234" s="10" t="s">
        <v>66</v>
      </c>
      <c r="AX234" s="10"/>
      <c r="AY234" s="10" t="s">
        <v>66</v>
      </c>
    </row>
    <row r="235" ht="22.5" hidden="1" customHeight="1">
      <c r="A235" s="9" t="s">
        <v>2606</v>
      </c>
      <c r="B235" s="10" t="s">
        <v>2607</v>
      </c>
      <c r="C235" s="10" t="s">
        <v>69</v>
      </c>
      <c r="D235" s="10" t="s">
        <v>70</v>
      </c>
      <c r="E235" s="10" t="s">
        <v>66</v>
      </c>
      <c r="F235" s="11">
        <v>1.0</v>
      </c>
      <c r="G235" s="11">
        <v>80.0</v>
      </c>
      <c r="H235" s="11"/>
      <c r="I235" s="11">
        <v>-13.6</v>
      </c>
      <c r="J235" s="11">
        <v>-19.95</v>
      </c>
      <c r="K235" s="11">
        <v>-50.45</v>
      </c>
      <c r="L235" s="11">
        <v>0.0</v>
      </c>
      <c r="M235" s="10" t="s">
        <v>46</v>
      </c>
      <c r="N235" s="10" t="s">
        <v>50</v>
      </c>
      <c r="O235" s="10" t="s">
        <v>143</v>
      </c>
      <c r="P235" s="10" t="s">
        <v>144</v>
      </c>
      <c r="Q235" s="10" t="s">
        <v>145</v>
      </c>
      <c r="R235" s="10" t="s">
        <v>74</v>
      </c>
      <c r="S235" s="11">
        <v>80.0</v>
      </c>
      <c r="T235" s="11"/>
      <c r="U235" s="11" t="s">
        <v>51</v>
      </c>
      <c r="V235" s="10" t="s">
        <v>75</v>
      </c>
      <c r="W235" s="10" t="s">
        <v>2597</v>
      </c>
      <c r="X235" s="10" t="s">
        <v>2598</v>
      </c>
      <c r="Y235" s="10" t="s">
        <v>2599</v>
      </c>
      <c r="Z235" s="10" t="s">
        <v>50</v>
      </c>
      <c r="AA235" s="10" t="s">
        <v>50</v>
      </c>
      <c r="AB235" s="10" t="s">
        <v>2597</v>
      </c>
      <c r="AC235" s="10" t="s">
        <v>2600</v>
      </c>
      <c r="AD235" s="10" t="s">
        <v>50</v>
      </c>
      <c r="AE235" s="10" t="s">
        <v>2602</v>
      </c>
      <c r="AF235" s="10" t="s">
        <v>58</v>
      </c>
      <c r="AG235" s="10" t="s">
        <v>2603</v>
      </c>
      <c r="AH235" s="10" t="s">
        <v>60</v>
      </c>
      <c r="AI235" s="10" t="s">
        <v>61</v>
      </c>
      <c r="AJ235" s="10" t="s">
        <v>50</v>
      </c>
      <c r="AK235" s="10" t="s">
        <v>50</v>
      </c>
      <c r="AL235" s="10" t="s">
        <v>64</v>
      </c>
      <c r="AM235" s="10" t="s">
        <v>50</v>
      </c>
      <c r="AN235" s="10" t="s">
        <v>50</v>
      </c>
      <c r="AO235" s="11" t="s">
        <v>50</v>
      </c>
      <c r="AP235" s="10" t="s">
        <v>50</v>
      </c>
      <c r="AQ235" s="10" t="s">
        <v>50</v>
      </c>
      <c r="AR235" s="10" t="s">
        <v>50</v>
      </c>
      <c r="AS235" s="10" t="s">
        <v>50</v>
      </c>
      <c r="AT235" s="10" t="s">
        <v>50</v>
      </c>
      <c r="AU235" s="10" t="s">
        <v>50</v>
      </c>
      <c r="AV235" s="11"/>
      <c r="AW235" s="10" t="s">
        <v>66</v>
      </c>
      <c r="AX235" s="10"/>
      <c r="AY235" s="10" t="s">
        <v>66</v>
      </c>
    </row>
    <row r="236" ht="22.5" hidden="1" customHeight="1">
      <c r="A236" s="9" t="s">
        <v>2608</v>
      </c>
      <c r="B236" s="10" t="s">
        <v>2609</v>
      </c>
      <c r="C236" s="10" t="s">
        <v>43</v>
      </c>
      <c r="D236" s="10" t="s">
        <v>1398</v>
      </c>
      <c r="E236" s="10" t="s">
        <v>66</v>
      </c>
      <c r="F236" s="11">
        <v>1.0</v>
      </c>
      <c r="G236" s="11">
        <v>120.0</v>
      </c>
      <c r="H236" s="11"/>
      <c r="I236" s="11">
        <v>-20.4</v>
      </c>
      <c r="J236" s="11">
        <v>-19.95</v>
      </c>
      <c r="K236" s="11"/>
      <c r="L236" s="11">
        <v>86.85</v>
      </c>
      <c r="M236" s="10" t="s">
        <v>46</v>
      </c>
      <c r="N236" s="10" t="s">
        <v>50</v>
      </c>
      <c r="O236" s="10" t="s">
        <v>85</v>
      </c>
      <c r="P236" s="10" t="s">
        <v>86</v>
      </c>
      <c r="Q236" s="10" t="s">
        <v>87</v>
      </c>
      <c r="R236" s="10" t="s">
        <v>74</v>
      </c>
      <c r="S236" s="11">
        <v>120.0</v>
      </c>
      <c r="T236" s="11">
        <v>65.78</v>
      </c>
      <c r="U236" s="11" t="s">
        <v>51</v>
      </c>
      <c r="V236" s="10" t="s">
        <v>52</v>
      </c>
      <c r="W236" s="10" t="s">
        <v>2610</v>
      </c>
      <c r="X236" s="10" t="s">
        <v>2611</v>
      </c>
      <c r="Y236" s="10" t="s">
        <v>2612</v>
      </c>
      <c r="Z236" s="10" t="s">
        <v>50</v>
      </c>
      <c r="AA236" s="10" t="s">
        <v>50</v>
      </c>
      <c r="AB236" s="10" t="s">
        <v>2610</v>
      </c>
      <c r="AC236" s="10" t="s">
        <v>2613</v>
      </c>
      <c r="AD236" s="10" t="s">
        <v>2614</v>
      </c>
      <c r="AE236" s="10" t="s">
        <v>296</v>
      </c>
      <c r="AF236" s="10" t="s">
        <v>58</v>
      </c>
      <c r="AG236" s="10" t="s">
        <v>2615</v>
      </c>
      <c r="AH236" s="10" t="s">
        <v>60</v>
      </c>
      <c r="AI236" s="10" t="s">
        <v>61</v>
      </c>
      <c r="AJ236" s="10" t="s">
        <v>1439</v>
      </c>
      <c r="AK236" s="10" t="s">
        <v>2067</v>
      </c>
      <c r="AL236" s="10" t="s">
        <v>64</v>
      </c>
      <c r="AM236" s="10" t="s">
        <v>2616</v>
      </c>
      <c r="AN236" s="10" t="s">
        <v>50</v>
      </c>
      <c r="AO236" s="11" t="s">
        <v>50</v>
      </c>
      <c r="AP236" s="10" t="s">
        <v>50</v>
      </c>
      <c r="AQ236" s="10" t="s">
        <v>50</v>
      </c>
      <c r="AR236" s="10" t="s">
        <v>50</v>
      </c>
      <c r="AS236" s="10" t="s">
        <v>50</v>
      </c>
      <c r="AT236" s="10" t="s">
        <v>50</v>
      </c>
      <c r="AU236" s="10" t="s">
        <v>50</v>
      </c>
      <c r="AV236" s="11"/>
      <c r="AW236" s="10" t="s">
        <v>66</v>
      </c>
      <c r="AX236" s="10"/>
      <c r="AY236" s="10" t="s">
        <v>66</v>
      </c>
    </row>
    <row r="237" ht="22.5" hidden="1" customHeight="1">
      <c r="A237" s="9" t="s">
        <v>2617</v>
      </c>
      <c r="B237" s="10" t="s">
        <v>2618</v>
      </c>
      <c r="C237" s="10" t="s">
        <v>43</v>
      </c>
      <c r="D237" s="10" t="s">
        <v>191</v>
      </c>
      <c r="E237" s="10" t="s">
        <v>66</v>
      </c>
      <c r="F237" s="11">
        <v>1.0</v>
      </c>
      <c r="G237" s="11">
        <v>80.5</v>
      </c>
      <c r="H237" s="11"/>
      <c r="I237" s="11">
        <v>-15.3</v>
      </c>
      <c r="J237" s="11">
        <v>-19.95</v>
      </c>
      <c r="K237" s="11"/>
      <c r="L237" s="11">
        <v>45.25</v>
      </c>
      <c r="M237" s="10" t="s">
        <v>46</v>
      </c>
      <c r="N237" s="10" t="s">
        <v>45</v>
      </c>
      <c r="O237" s="10" t="s">
        <v>47</v>
      </c>
      <c r="P237" s="10" t="s">
        <v>48</v>
      </c>
      <c r="Q237" s="10" t="s">
        <v>49</v>
      </c>
      <c r="R237" s="10" t="s">
        <v>50</v>
      </c>
      <c r="S237" s="11">
        <v>80.5</v>
      </c>
      <c r="T237" s="11">
        <v>12.45</v>
      </c>
      <c r="U237" s="11" t="s">
        <v>51</v>
      </c>
      <c r="V237" s="10" t="s">
        <v>52</v>
      </c>
      <c r="W237" s="10" t="s">
        <v>2619</v>
      </c>
      <c r="X237" s="10" t="s">
        <v>2620</v>
      </c>
      <c r="Y237" s="10" t="s">
        <v>2621</v>
      </c>
      <c r="Z237" s="10" t="s">
        <v>50</v>
      </c>
      <c r="AA237" s="10" t="s">
        <v>50</v>
      </c>
      <c r="AB237" s="10" t="s">
        <v>2619</v>
      </c>
      <c r="AC237" s="10" t="s">
        <v>2622</v>
      </c>
      <c r="AD237" s="10" t="s">
        <v>2623</v>
      </c>
      <c r="AE237" s="10" t="s">
        <v>2624</v>
      </c>
      <c r="AF237" s="10" t="s">
        <v>284</v>
      </c>
      <c r="AG237" s="10" t="s">
        <v>2625</v>
      </c>
      <c r="AH237" s="10" t="s">
        <v>60</v>
      </c>
      <c r="AI237" s="10" t="s">
        <v>61</v>
      </c>
      <c r="AJ237" s="10" t="s">
        <v>1359</v>
      </c>
      <c r="AK237" s="10" t="s">
        <v>2626</v>
      </c>
      <c r="AL237" s="10" t="s">
        <v>64</v>
      </c>
      <c r="AM237" s="10" t="s">
        <v>2627</v>
      </c>
      <c r="AN237" s="10" t="s">
        <v>50</v>
      </c>
      <c r="AO237" s="11" t="s">
        <v>50</v>
      </c>
      <c r="AP237" s="10" t="s">
        <v>50</v>
      </c>
      <c r="AQ237" s="10" t="s">
        <v>50</v>
      </c>
      <c r="AR237" s="10" t="s">
        <v>50</v>
      </c>
      <c r="AS237" s="10" t="s">
        <v>50</v>
      </c>
      <c r="AT237" s="10" t="s">
        <v>50</v>
      </c>
      <c r="AU237" s="10" t="s">
        <v>50</v>
      </c>
      <c r="AV237" s="11"/>
      <c r="AW237" s="10" t="s">
        <v>66</v>
      </c>
      <c r="AX237" s="10"/>
      <c r="AY237" s="10" t="s">
        <v>66</v>
      </c>
    </row>
    <row r="238" ht="22.5" hidden="1" customHeight="1">
      <c r="A238" s="9" t="s">
        <v>2628</v>
      </c>
      <c r="B238" s="10" t="s">
        <v>2629</v>
      </c>
      <c r="C238" s="10" t="s">
        <v>43</v>
      </c>
      <c r="D238" s="10" t="s">
        <v>734</v>
      </c>
      <c r="E238" s="10" t="s">
        <v>66</v>
      </c>
      <c r="F238" s="11">
        <v>1.0</v>
      </c>
      <c r="G238" s="11">
        <v>120.0</v>
      </c>
      <c r="H238" s="11">
        <v>13.45</v>
      </c>
      <c r="I238" s="11">
        <v>-20.4</v>
      </c>
      <c r="J238" s="11">
        <v>-33.4</v>
      </c>
      <c r="K238" s="11"/>
      <c r="L238" s="11">
        <v>86.85</v>
      </c>
      <c r="M238" s="10" t="s">
        <v>46</v>
      </c>
      <c r="N238" s="10" t="s">
        <v>50</v>
      </c>
      <c r="O238" s="10" t="s">
        <v>85</v>
      </c>
      <c r="P238" s="10" t="s">
        <v>86</v>
      </c>
      <c r="Q238" s="10" t="s">
        <v>87</v>
      </c>
      <c r="R238" s="10" t="s">
        <v>74</v>
      </c>
      <c r="S238" s="11">
        <v>120.0</v>
      </c>
      <c r="T238" s="11">
        <v>65.78</v>
      </c>
      <c r="U238" s="11" t="s">
        <v>51</v>
      </c>
      <c r="V238" s="10" t="s">
        <v>52</v>
      </c>
      <c r="W238" s="10" t="s">
        <v>2630</v>
      </c>
      <c r="X238" s="10" t="s">
        <v>2631</v>
      </c>
      <c r="Y238" s="10" t="s">
        <v>2632</v>
      </c>
      <c r="Z238" s="10" t="s">
        <v>50</v>
      </c>
      <c r="AA238" s="10" t="s">
        <v>50</v>
      </c>
      <c r="AB238" s="10" t="s">
        <v>2630</v>
      </c>
      <c r="AC238" s="10" t="s">
        <v>2633</v>
      </c>
      <c r="AD238" s="10" t="s">
        <v>2634</v>
      </c>
      <c r="AE238" s="10" t="s">
        <v>2635</v>
      </c>
      <c r="AF238" s="10" t="s">
        <v>2636</v>
      </c>
      <c r="AG238" s="10" t="s">
        <v>2637</v>
      </c>
      <c r="AH238" s="10" t="s">
        <v>60</v>
      </c>
      <c r="AI238" s="10" t="s">
        <v>61</v>
      </c>
      <c r="AJ238" s="10" t="s">
        <v>1406</v>
      </c>
      <c r="AK238" s="10" t="s">
        <v>2638</v>
      </c>
      <c r="AL238" s="10" t="s">
        <v>64</v>
      </c>
      <c r="AM238" s="10" t="s">
        <v>2639</v>
      </c>
      <c r="AN238" s="10" t="s">
        <v>50</v>
      </c>
      <c r="AO238" s="11" t="s">
        <v>50</v>
      </c>
      <c r="AP238" s="10" t="s">
        <v>50</v>
      </c>
      <c r="AQ238" s="10" t="s">
        <v>50</v>
      </c>
      <c r="AR238" s="10" t="s">
        <v>50</v>
      </c>
      <c r="AS238" s="10" t="s">
        <v>50</v>
      </c>
      <c r="AT238" s="10" t="s">
        <v>50</v>
      </c>
      <c r="AU238" s="10" t="s">
        <v>50</v>
      </c>
      <c r="AV238" s="11"/>
      <c r="AW238" s="10" t="s">
        <v>66</v>
      </c>
      <c r="AX238" s="10"/>
      <c r="AY238" s="10" t="s">
        <v>66</v>
      </c>
    </row>
    <row r="239" ht="22.5" hidden="1" customHeight="1">
      <c r="A239" s="9" t="s">
        <v>2640</v>
      </c>
      <c r="B239" s="10" t="s">
        <v>2641</v>
      </c>
      <c r="C239" s="10" t="s">
        <v>43</v>
      </c>
      <c r="D239" s="10" t="s">
        <v>125</v>
      </c>
      <c r="E239" s="10" t="s">
        <v>66</v>
      </c>
      <c r="F239" s="11">
        <v>1.0</v>
      </c>
      <c r="G239" s="11">
        <v>79.2</v>
      </c>
      <c r="H239" s="11">
        <v>9.11</v>
      </c>
      <c r="I239" s="11">
        <v>-13.46</v>
      </c>
      <c r="J239" s="11">
        <v>-29.56</v>
      </c>
      <c r="K239" s="11"/>
      <c r="L239" s="11">
        <v>50.04</v>
      </c>
      <c r="M239" s="10" t="s">
        <v>46</v>
      </c>
      <c r="N239" s="10" t="s">
        <v>50</v>
      </c>
      <c r="O239" s="10" t="s">
        <v>892</v>
      </c>
      <c r="P239" s="10" t="s">
        <v>893</v>
      </c>
      <c r="Q239" s="10" t="s">
        <v>894</v>
      </c>
      <c r="R239" s="10" t="s">
        <v>74</v>
      </c>
      <c r="S239" s="11">
        <v>79.2</v>
      </c>
      <c r="T239" s="11">
        <v>2.97</v>
      </c>
      <c r="U239" s="11" t="s">
        <v>51</v>
      </c>
      <c r="V239" s="10" t="s">
        <v>52</v>
      </c>
      <c r="W239" s="10" t="s">
        <v>2642</v>
      </c>
      <c r="X239" s="10" t="s">
        <v>2643</v>
      </c>
      <c r="Y239" s="10" t="s">
        <v>2644</v>
      </c>
      <c r="Z239" s="10" t="s">
        <v>50</v>
      </c>
      <c r="AA239" s="10" t="s">
        <v>50</v>
      </c>
      <c r="AB239" s="10" t="s">
        <v>2642</v>
      </c>
      <c r="AC239" s="10" t="s">
        <v>2645</v>
      </c>
      <c r="AD239" s="10" t="s">
        <v>2646</v>
      </c>
      <c r="AE239" s="10" t="s">
        <v>2647</v>
      </c>
      <c r="AF239" s="10" t="s">
        <v>2648</v>
      </c>
      <c r="AG239" s="10" t="s">
        <v>2649</v>
      </c>
      <c r="AH239" s="10" t="s">
        <v>60</v>
      </c>
      <c r="AI239" s="10" t="s">
        <v>61</v>
      </c>
      <c r="AJ239" s="10" t="s">
        <v>1652</v>
      </c>
      <c r="AK239" s="10" t="s">
        <v>2650</v>
      </c>
      <c r="AL239" s="10" t="s">
        <v>64</v>
      </c>
      <c r="AM239" s="10" t="s">
        <v>2651</v>
      </c>
      <c r="AN239" s="10" t="s">
        <v>50</v>
      </c>
      <c r="AO239" s="11" t="s">
        <v>50</v>
      </c>
      <c r="AP239" s="10" t="s">
        <v>50</v>
      </c>
      <c r="AQ239" s="10" t="s">
        <v>50</v>
      </c>
      <c r="AR239" s="10" t="s">
        <v>50</v>
      </c>
      <c r="AS239" s="10" t="s">
        <v>50</v>
      </c>
      <c r="AT239" s="10" t="s">
        <v>50</v>
      </c>
      <c r="AU239" s="10" t="s">
        <v>50</v>
      </c>
      <c r="AV239" s="11"/>
      <c r="AW239" s="10" t="s">
        <v>66</v>
      </c>
      <c r="AX239" s="10"/>
      <c r="AY239" s="10" t="s">
        <v>66</v>
      </c>
    </row>
    <row r="240" ht="22.5" hidden="1" customHeight="1">
      <c r="A240" s="9" t="s">
        <v>2652</v>
      </c>
      <c r="B240" s="10" t="s">
        <v>2653</v>
      </c>
      <c r="C240" s="10" t="s">
        <v>43</v>
      </c>
      <c r="D240" s="10" t="s">
        <v>1398</v>
      </c>
      <c r="E240" s="10" t="s">
        <v>45</v>
      </c>
      <c r="F240" s="11">
        <v>2.0</v>
      </c>
      <c r="G240" s="11">
        <v>87.4</v>
      </c>
      <c r="H240" s="11"/>
      <c r="I240" s="11">
        <v>-26.86</v>
      </c>
      <c r="J240" s="11"/>
      <c r="K240" s="11"/>
      <c r="L240" s="11">
        <v>65.78</v>
      </c>
      <c r="M240" s="10" t="s">
        <v>46</v>
      </c>
      <c r="N240" s="10" t="s">
        <v>50</v>
      </c>
      <c r="O240" s="10" t="s">
        <v>176</v>
      </c>
      <c r="P240" s="10" t="s">
        <v>177</v>
      </c>
      <c r="Q240" s="10" t="s">
        <v>178</v>
      </c>
      <c r="R240" s="10" t="s">
        <v>74</v>
      </c>
      <c r="S240" s="11">
        <v>43.7</v>
      </c>
      <c r="T240" s="11">
        <f>2*22.58</f>
        <v>45.16</v>
      </c>
      <c r="U240" s="11" t="s">
        <v>51</v>
      </c>
      <c r="V240" s="10" t="s">
        <v>52</v>
      </c>
      <c r="W240" s="10" t="s">
        <v>2654</v>
      </c>
      <c r="X240" s="10" t="s">
        <v>2655</v>
      </c>
      <c r="Y240" s="10" t="s">
        <v>2656</v>
      </c>
      <c r="Z240" s="10" t="s">
        <v>50</v>
      </c>
      <c r="AA240" s="10" t="s">
        <v>50</v>
      </c>
      <c r="AB240" s="10" t="s">
        <v>2654</v>
      </c>
      <c r="AC240" s="10" t="s">
        <v>2657</v>
      </c>
      <c r="AD240" s="10" t="s">
        <v>2658</v>
      </c>
      <c r="AE240" s="10" t="s">
        <v>2659</v>
      </c>
      <c r="AF240" s="10" t="s">
        <v>58</v>
      </c>
      <c r="AG240" s="10" t="s">
        <v>2660</v>
      </c>
      <c r="AH240" s="10" t="s">
        <v>60</v>
      </c>
      <c r="AI240" s="10" t="s">
        <v>61</v>
      </c>
      <c r="AJ240" s="10" t="s">
        <v>1607</v>
      </c>
      <c r="AK240" s="10" t="s">
        <v>2661</v>
      </c>
      <c r="AL240" s="10" t="s">
        <v>64</v>
      </c>
      <c r="AM240" s="10" t="s">
        <v>2662</v>
      </c>
      <c r="AN240" s="10" t="s">
        <v>50</v>
      </c>
      <c r="AO240" s="11" t="s">
        <v>50</v>
      </c>
      <c r="AP240" s="10" t="s">
        <v>50</v>
      </c>
      <c r="AQ240" s="10" t="s">
        <v>50</v>
      </c>
      <c r="AR240" s="10" t="s">
        <v>50</v>
      </c>
      <c r="AS240" s="10" t="s">
        <v>50</v>
      </c>
      <c r="AT240" s="10" t="s">
        <v>50</v>
      </c>
      <c r="AU240" s="10" t="s">
        <v>50</v>
      </c>
      <c r="AV240" s="11"/>
      <c r="AW240" s="10" t="s">
        <v>66</v>
      </c>
      <c r="AX240" s="10"/>
      <c r="AY240" s="10" t="s">
        <v>66</v>
      </c>
    </row>
    <row r="241" ht="22.5" hidden="1" customHeight="1">
      <c r="A241" s="9" t="s">
        <v>2663</v>
      </c>
      <c r="B241" s="10" t="s">
        <v>2664</v>
      </c>
      <c r="C241" s="10" t="s">
        <v>43</v>
      </c>
      <c r="D241" s="10" t="s">
        <v>734</v>
      </c>
      <c r="E241" s="10" t="s">
        <v>45</v>
      </c>
      <c r="F241" s="11">
        <v>1.0</v>
      </c>
      <c r="G241" s="11">
        <v>79.2</v>
      </c>
      <c r="H241" s="11">
        <v>7.01</v>
      </c>
      <c r="I241" s="11">
        <v>-13.46</v>
      </c>
      <c r="J241" s="11">
        <v>-27.46</v>
      </c>
      <c r="K241" s="11"/>
      <c r="L241" s="11">
        <v>50.04</v>
      </c>
      <c r="M241" s="10" t="s">
        <v>46</v>
      </c>
      <c r="N241" s="10" t="s">
        <v>45</v>
      </c>
      <c r="O241" s="10" t="s">
        <v>892</v>
      </c>
      <c r="P241" s="10" t="s">
        <v>893</v>
      </c>
      <c r="Q241" s="10" t="s">
        <v>894</v>
      </c>
      <c r="R241" s="10" t="s">
        <v>74</v>
      </c>
      <c r="S241" s="11">
        <v>79.2</v>
      </c>
      <c r="T241" s="11">
        <v>2.97</v>
      </c>
      <c r="U241" s="11" t="s">
        <v>51</v>
      </c>
      <c r="V241" s="10" t="s">
        <v>52</v>
      </c>
      <c r="W241" s="10" t="s">
        <v>2665</v>
      </c>
      <c r="X241" s="10" t="s">
        <v>2666</v>
      </c>
      <c r="Y241" s="10" t="s">
        <v>2667</v>
      </c>
      <c r="Z241" s="10" t="s">
        <v>50</v>
      </c>
      <c r="AA241" s="10" t="s">
        <v>50</v>
      </c>
      <c r="AB241" s="10" t="s">
        <v>2665</v>
      </c>
      <c r="AC241" s="10" t="s">
        <v>2668</v>
      </c>
      <c r="AD241" s="10" t="s">
        <v>2669</v>
      </c>
      <c r="AE241" s="10" t="s">
        <v>2670</v>
      </c>
      <c r="AF241" s="10" t="s">
        <v>1593</v>
      </c>
      <c r="AG241" s="10" t="s">
        <v>2671</v>
      </c>
      <c r="AH241" s="10" t="s">
        <v>60</v>
      </c>
      <c r="AI241" s="10" t="s">
        <v>61</v>
      </c>
      <c r="AJ241" s="10" t="s">
        <v>1652</v>
      </c>
      <c r="AK241" s="10" t="s">
        <v>2672</v>
      </c>
      <c r="AL241" s="10" t="s">
        <v>64</v>
      </c>
      <c r="AM241" s="10" t="s">
        <v>2673</v>
      </c>
      <c r="AN241" s="10" t="s">
        <v>50</v>
      </c>
      <c r="AO241" s="11" t="s">
        <v>50</v>
      </c>
      <c r="AP241" s="10" t="s">
        <v>50</v>
      </c>
      <c r="AQ241" s="10" t="s">
        <v>50</v>
      </c>
      <c r="AR241" s="10" t="s">
        <v>50</v>
      </c>
      <c r="AS241" s="10" t="s">
        <v>50</v>
      </c>
      <c r="AT241" s="10" t="s">
        <v>50</v>
      </c>
      <c r="AU241" s="10" t="s">
        <v>50</v>
      </c>
      <c r="AV241" s="11"/>
      <c r="AW241" s="10" t="s">
        <v>66</v>
      </c>
      <c r="AX241" s="10"/>
      <c r="AY241" s="10" t="s">
        <v>66</v>
      </c>
    </row>
    <row r="242" ht="22.5" hidden="1" customHeight="1">
      <c r="A242" s="9" t="s">
        <v>2674</v>
      </c>
      <c r="B242" s="10" t="s">
        <v>2675</v>
      </c>
      <c r="C242" s="10" t="s">
        <v>43</v>
      </c>
      <c r="D242" s="10" t="s">
        <v>1262</v>
      </c>
      <c r="E242" s="10" t="s">
        <v>45</v>
      </c>
      <c r="F242" s="11">
        <v>2.0</v>
      </c>
      <c r="G242" s="11">
        <v>87.4</v>
      </c>
      <c r="H242" s="11"/>
      <c r="I242" s="11">
        <v>-26.86</v>
      </c>
      <c r="J242" s="11"/>
      <c r="K242" s="11"/>
      <c r="L242" s="11">
        <v>65.78</v>
      </c>
      <c r="M242" s="10" t="s">
        <v>46</v>
      </c>
      <c r="N242" s="10" t="s">
        <v>50</v>
      </c>
      <c r="O242" s="10" t="s">
        <v>176</v>
      </c>
      <c r="P242" s="10" t="s">
        <v>177</v>
      </c>
      <c r="Q242" s="10" t="s">
        <v>178</v>
      </c>
      <c r="R242" s="10" t="s">
        <v>74</v>
      </c>
      <c r="S242" s="11">
        <v>43.7</v>
      </c>
      <c r="T242" s="11">
        <f>2*22.58</f>
        <v>45.16</v>
      </c>
      <c r="U242" s="11" t="s">
        <v>51</v>
      </c>
      <c r="V242" s="10" t="s">
        <v>52</v>
      </c>
      <c r="W242" s="10" t="s">
        <v>2676</v>
      </c>
      <c r="X242" s="10" t="s">
        <v>2677</v>
      </c>
      <c r="Y242" s="10" t="s">
        <v>2678</v>
      </c>
      <c r="Z242" s="10" t="s">
        <v>50</v>
      </c>
      <c r="AA242" s="10" t="s">
        <v>50</v>
      </c>
      <c r="AB242" s="10" t="s">
        <v>2676</v>
      </c>
      <c r="AC242" s="10" t="s">
        <v>2679</v>
      </c>
      <c r="AD242" s="10" t="s">
        <v>2680</v>
      </c>
      <c r="AE242" s="10" t="s">
        <v>322</v>
      </c>
      <c r="AF242" s="10" t="s">
        <v>323</v>
      </c>
      <c r="AG242" s="10" t="s">
        <v>2681</v>
      </c>
      <c r="AH242" s="10" t="s">
        <v>60</v>
      </c>
      <c r="AI242" s="10" t="s">
        <v>61</v>
      </c>
      <c r="AJ242" s="10" t="s">
        <v>2682</v>
      </c>
      <c r="AK242" s="10" t="s">
        <v>2683</v>
      </c>
      <c r="AL242" s="10" t="s">
        <v>64</v>
      </c>
      <c r="AM242" s="10" t="s">
        <v>2684</v>
      </c>
      <c r="AN242" s="10" t="s">
        <v>50</v>
      </c>
      <c r="AO242" s="11" t="s">
        <v>50</v>
      </c>
      <c r="AP242" s="10" t="s">
        <v>50</v>
      </c>
      <c r="AQ242" s="10" t="s">
        <v>50</v>
      </c>
      <c r="AR242" s="10" t="s">
        <v>50</v>
      </c>
      <c r="AS242" s="10" t="s">
        <v>50</v>
      </c>
      <c r="AT242" s="10" t="s">
        <v>50</v>
      </c>
      <c r="AU242" s="10" t="s">
        <v>50</v>
      </c>
      <c r="AV242" s="11"/>
      <c r="AW242" s="10" t="s">
        <v>66</v>
      </c>
      <c r="AX242" s="10"/>
      <c r="AY242" s="10" t="s">
        <v>66</v>
      </c>
    </row>
    <row r="243" ht="22.5" hidden="1" customHeight="1">
      <c r="A243" s="9" t="s">
        <v>2685</v>
      </c>
      <c r="B243" s="10" t="s">
        <v>2686</v>
      </c>
      <c r="C243" s="10" t="s">
        <v>43</v>
      </c>
      <c r="D243" s="10" t="s">
        <v>734</v>
      </c>
      <c r="E243" s="10" t="s">
        <v>66</v>
      </c>
      <c r="F243" s="11">
        <v>1.0</v>
      </c>
      <c r="G243" s="11">
        <v>79.2</v>
      </c>
      <c r="H243" s="11">
        <v>9.11</v>
      </c>
      <c r="I243" s="11">
        <v>-13.46</v>
      </c>
      <c r="J243" s="11">
        <v>-29.56</v>
      </c>
      <c r="K243" s="11"/>
      <c r="L243" s="11">
        <v>50.04</v>
      </c>
      <c r="M243" s="10" t="s">
        <v>46</v>
      </c>
      <c r="N243" s="10" t="s">
        <v>50</v>
      </c>
      <c r="O243" s="10" t="s">
        <v>892</v>
      </c>
      <c r="P243" s="10" t="s">
        <v>893</v>
      </c>
      <c r="Q243" s="10" t="s">
        <v>894</v>
      </c>
      <c r="R243" s="10" t="s">
        <v>74</v>
      </c>
      <c r="S243" s="11">
        <v>79.2</v>
      </c>
      <c r="T243" s="11">
        <v>2.97</v>
      </c>
      <c r="U243" s="11" t="s">
        <v>51</v>
      </c>
      <c r="V243" s="10" t="s">
        <v>52</v>
      </c>
      <c r="W243" s="10" t="s">
        <v>2687</v>
      </c>
      <c r="X243" s="10" t="s">
        <v>2688</v>
      </c>
      <c r="Y243" s="10" t="s">
        <v>2689</v>
      </c>
      <c r="Z243" s="10" t="s">
        <v>50</v>
      </c>
      <c r="AA243" s="10" t="s">
        <v>50</v>
      </c>
      <c r="AB243" s="10" t="s">
        <v>2687</v>
      </c>
      <c r="AC243" s="10" t="s">
        <v>2690</v>
      </c>
      <c r="AD243" s="10" t="s">
        <v>2691</v>
      </c>
      <c r="AE243" s="10" t="s">
        <v>2000</v>
      </c>
      <c r="AF243" s="10" t="s">
        <v>561</v>
      </c>
      <c r="AG243" s="10" t="s">
        <v>2692</v>
      </c>
      <c r="AH243" s="10" t="s">
        <v>60</v>
      </c>
      <c r="AI243" s="10" t="s">
        <v>61</v>
      </c>
      <c r="AJ243" s="10" t="s">
        <v>1406</v>
      </c>
      <c r="AK243" s="10" t="s">
        <v>2693</v>
      </c>
      <c r="AL243" s="10" t="s">
        <v>64</v>
      </c>
      <c r="AM243" s="10" t="s">
        <v>2694</v>
      </c>
      <c r="AN243" s="10" t="s">
        <v>50</v>
      </c>
      <c r="AO243" s="11" t="s">
        <v>50</v>
      </c>
      <c r="AP243" s="10" t="s">
        <v>50</v>
      </c>
      <c r="AQ243" s="10" t="s">
        <v>50</v>
      </c>
      <c r="AR243" s="10" t="s">
        <v>50</v>
      </c>
      <c r="AS243" s="10" t="s">
        <v>50</v>
      </c>
      <c r="AT243" s="10" t="s">
        <v>50</v>
      </c>
      <c r="AU243" s="10" t="s">
        <v>50</v>
      </c>
      <c r="AV243" s="11"/>
      <c r="AW243" s="10" t="s">
        <v>66</v>
      </c>
      <c r="AX243" s="10"/>
      <c r="AY243" s="10" t="s">
        <v>66</v>
      </c>
    </row>
    <row r="244" ht="22.5" hidden="1" customHeight="1">
      <c r="A244" s="9" t="s">
        <v>2695</v>
      </c>
      <c r="B244" s="10" t="s">
        <v>2696</v>
      </c>
      <c r="C244" s="10" t="s">
        <v>43</v>
      </c>
      <c r="D244" s="10" t="s">
        <v>1398</v>
      </c>
      <c r="E244" s="10" t="s">
        <v>45</v>
      </c>
      <c r="F244" s="11">
        <v>2.0</v>
      </c>
      <c r="G244" s="11">
        <v>87.4</v>
      </c>
      <c r="H244" s="11"/>
      <c r="I244" s="11">
        <v>-26.86</v>
      </c>
      <c r="J244" s="11"/>
      <c r="K244" s="11"/>
      <c r="L244" s="11">
        <v>65.78</v>
      </c>
      <c r="M244" s="10" t="s">
        <v>46</v>
      </c>
      <c r="N244" s="10" t="s">
        <v>50</v>
      </c>
      <c r="O244" s="10" t="s">
        <v>176</v>
      </c>
      <c r="P244" s="10" t="s">
        <v>177</v>
      </c>
      <c r="Q244" s="10" t="s">
        <v>178</v>
      </c>
      <c r="R244" s="10" t="s">
        <v>74</v>
      </c>
      <c r="S244" s="11">
        <v>43.7</v>
      </c>
      <c r="T244" s="11">
        <f>2*22.58</f>
        <v>45.16</v>
      </c>
      <c r="U244" s="11" t="s">
        <v>51</v>
      </c>
      <c r="V244" s="10" t="s">
        <v>52</v>
      </c>
      <c r="W244" s="10" t="s">
        <v>1444</v>
      </c>
      <c r="X244" s="10" t="s">
        <v>1445</v>
      </c>
      <c r="Y244" s="10" t="s">
        <v>2697</v>
      </c>
      <c r="Z244" s="10" t="s">
        <v>50</v>
      </c>
      <c r="AA244" s="10" t="s">
        <v>50</v>
      </c>
      <c r="AB244" s="10" t="s">
        <v>1444</v>
      </c>
      <c r="AC244" s="10" t="s">
        <v>1447</v>
      </c>
      <c r="AD244" s="10" t="s">
        <v>2698</v>
      </c>
      <c r="AE244" s="10" t="s">
        <v>58</v>
      </c>
      <c r="AF244" s="10" t="s">
        <v>58</v>
      </c>
      <c r="AG244" s="10" t="s">
        <v>2699</v>
      </c>
      <c r="AH244" s="10" t="s">
        <v>60</v>
      </c>
      <c r="AI244" s="10" t="s">
        <v>61</v>
      </c>
      <c r="AJ244" s="10" t="s">
        <v>1450</v>
      </c>
      <c r="AK244" s="10" t="s">
        <v>2700</v>
      </c>
      <c r="AL244" s="10" t="s">
        <v>64</v>
      </c>
      <c r="AM244" s="10" t="s">
        <v>2701</v>
      </c>
      <c r="AN244" s="10" t="s">
        <v>50</v>
      </c>
      <c r="AO244" s="11" t="s">
        <v>50</v>
      </c>
      <c r="AP244" s="10" t="s">
        <v>50</v>
      </c>
      <c r="AQ244" s="10" t="s">
        <v>50</v>
      </c>
      <c r="AR244" s="10" t="s">
        <v>50</v>
      </c>
      <c r="AS244" s="10" t="s">
        <v>50</v>
      </c>
      <c r="AT244" s="10" t="s">
        <v>50</v>
      </c>
      <c r="AU244" s="10" t="s">
        <v>50</v>
      </c>
      <c r="AV244" s="11"/>
      <c r="AW244" s="10" t="s">
        <v>66</v>
      </c>
      <c r="AX244" s="10"/>
      <c r="AY244" s="10" t="s">
        <v>66</v>
      </c>
    </row>
    <row r="245" ht="22.5" hidden="1" customHeight="1">
      <c r="A245" s="9" t="s">
        <v>2702</v>
      </c>
      <c r="B245" s="10" t="s">
        <v>2703</v>
      </c>
      <c r="C245" s="10" t="s">
        <v>43</v>
      </c>
      <c r="D245" s="10" t="s">
        <v>1398</v>
      </c>
      <c r="E245" s="10" t="s">
        <v>45</v>
      </c>
      <c r="F245" s="11">
        <v>1.0</v>
      </c>
      <c r="G245" s="11">
        <v>80.5</v>
      </c>
      <c r="H245" s="11"/>
      <c r="I245" s="11">
        <v>-15.3</v>
      </c>
      <c r="J245" s="11">
        <v>-19.95</v>
      </c>
      <c r="K245" s="11"/>
      <c r="L245" s="11">
        <v>45.25</v>
      </c>
      <c r="M245" s="10" t="s">
        <v>46</v>
      </c>
      <c r="N245" s="10" t="s">
        <v>45</v>
      </c>
      <c r="O245" s="10" t="s">
        <v>47</v>
      </c>
      <c r="P245" s="10" t="s">
        <v>48</v>
      </c>
      <c r="Q245" s="10" t="s">
        <v>49</v>
      </c>
      <c r="R245" s="10" t="s">
        <v>50</v>
      </c>
      <c r="S245" s="11">
        <v>80.5</v>
      </c>
      <c r="T245" s="11">
        <v>12.45</v>
      </c>
      <c r="U245" s="11" t="s">
        <v>51</v>
      </c>
      <c r="V245" s="10" t="s">
        <v>52</v>
      </c>
      <c r="W245" s="10" t="s">
        <v>2704</v>
      </c>
      <c r="X245" s="10" t="s">
        <v>2705</v>
      </c>
      <c r="Y245" s="10" t="s">
        <v>2706</v>
      </c>
      <c r="Z245" s="10" t="s">
        <v>50</v>
      </c>
      <c r="AA245" s="10" t="s">
        <v>50</v>
      </c>
      <c r="AB245" s="10" t="s">
        <v>2704</v>
      </c>
      <c r="AC245" s="10" t="s">
        <v>2707</v>
      </c>
      <c r="AD245" s="10" t="s">
        <v>2708</v>
      </c>
      <c r="AE245" s="10" t="s">
        <v>2709</v>
      </c>
      <c r="AF245" s="10" t="s">
        <v>119</v>
      </c>
      <c r="AG245" s="10" t="s">
        <v>2710</v>
      </c>
      <c r="AH245" s="10" t="s">
        <v>60</v>
      </c>
      <c r="AI245" s="10" t="s">
        <v>61</v>
      </c>
      <c r="AJ245" s="10" t="s">
        <v>1359</v>
      </c>
      <c r="AK245" s="10" t="s">
        <v>2711</v>
      </c>
      <c r="AL245" s="10" t="s">
        <v>64</v>
      </c>
      <c r="AM245" s="10" t="s">
        <v>2712</v>
      </c>
      <c r="AN245" s="10" t="s">
        <v>2713</v>
      </c>
      <c r="AO245" s="11" t="s">
        <v>50</v>
      </c>
      <c r="AP245" s="10" t="s">
        <v>50</v>
      </c>
      <c r="AQ245" s="10" t="s">
        <v>50</v>
      </c>
      <c r="AR245" s="10" t="s">
        <v>50</v>
      </c>
      <c r="AS245" s="10" t="s">
        <v>50</v>
      </c>
      <c r="AT245" s="10" t="s">
        <v>50</v>
      </c>
      <c r="AU245" s="10" t="s">
        <v>50</v>
      </c>
      <c r="AV245" s="11"/>
      <c r="AW245" s="10" t="s">
        <v>66</v>
      </c>
      <c r="AX245" s="10"/>
      <c r="AY245" s="10" t="s">
        <v>66</v>
      </c>
    </row>
    <row r="246" ht="22.5" hidden="1" customHeight="1">
      <c r="A246" s="9" t="s">
        <v>2714</v>
      </c>
      <c r="B246" s="10" t="s">
        <v>2715</v>
      </c>
      <c r="C246" s="10" t="s">
        <v>43</v>
      </c>
      <c r="D246" s="10" t="s">
        <v>191</v>
      </c>
      <c r="E246" s="10" t="s">
        <v>45</v>
      </c>
      <c r="F246" s="11">
        <v>1.0</v>
      </c>
      <c r="G246" s="11">
        <v>79.0</v>
      </c>
      <c r="H246" s="11"/>
      <c r="I246" s="11">
        <v>-13.43</v>
      </c>
      <c r="J246" s="11">
        <v>-20.45</v>
      </c>
      <c r="K246" s="11"/>
      <c r="L246" s="11">
        <v>45.12</v>
      </c>
      <c r="M246" s="10" t="s">
        <v>46</v>
      </c>
      <c r="N246" s="10" t="s">
        <v>45</v>
      </c>
      <c r="O246" s="10" t="s">
        <v>160</v>
      </c>
      <c r="P246" s="10" t="s">
        <v>161</v>
      </c>
      <c r="Q246" s="10" t="s">
        <v>162</v>
      </c>
      <c r="R246" s="10" t="s">
        <v>74</v>
      </c>
      <c r="S246" s="11">
        <v>79.0</v>
      </c>
      <c r="T246" s="11">
        <v>2.49</v>
      </c>
      <c r="U246" s="11" t="s">
        <v>51</v>
      </c>
      <c r="V246" s="10" t="s">
        <v>52</v>
      </c>
      <c r="W246" s="10" t="s">
        <v>2716</v>
      </c>
      <c r="X246" s="10" t="s">
        <v>2717</v>
      </c>
      <c r="Y246" s="10" t="s">
        <v>2718</v>
      </c>
      <c r="Z246" s="10" t="s">
        <v>50</v>
      </c>
      <c r="AA246" s="10" t="s">
        <v>50</v>
      </c>
      <c r="AB246" s="10" t="s">
        <v>2716</v>
      </c>
      <c r="AC246" s="10" t="s">
        <v>2719</v>
      </c>
      <c r="AD246" s="10" t="s">
        <v>2720</v>
      </c>
      <c r="AE246" s="10" t="s">
        <v>2721</v>
      </c>
      <c r="AF246" s="10" t="s">
        <v>58</v>
      </c>
      <c r="AG246" s="10" t="s">
        <v>2722</v>
      </c>
      <c r="AH246" s="10" t="s">
        <v>60</v>
      </c>
      <c r="AI246" s="10" t="s">
        <v>61</v>
      </c>
      <c r="AJ246" s="10" t="s">
        <v>1732</v>
      </c>
      <c r="AK246" s="10" t="s">
        <v>2723</v>
      </c>
      <c r="AL246" s="10" t="s">
        <v>64</v>
      </c>
      <c r="AM246" s="10" t="s">
        <v>2724</v>
      </c>
      <c r="AN246" s="10" t="s">
        <v>50</v>
      </c>
      <c r="AO246" s="11" t="s">
        <v>50</v>
      </c>
      <c r="AP246" s="10" t="s">
        <v>50</v>
      </c>
      <c r="AQ246" s="10" t="s">
        <v>50</v>
      </c>
      <c r="AR246" s="10" t="s">
        <v>50</v>
      </c>
      <c r="AS246" s="10" t="s">
        <v>50</v>
      </c>
      <c r="AT246" s="10" t="s">
        <v>50</v>
      </c>
      <c r="AU246" s="10" t="s">
        <v>50</v>
      </c>
      <c r="AV246" s="11"/>
      <c r="AW246" s="10" t="s">
        <v>66</v>
      </c>
      <c r="AX246" s="10"/>
      <c r="AY246" s="10" t="s">
        <v>66</v>
      </c>
    </row>
    <row r="247" ht="22.5" hidden="1" customHeight="1">
      <c r="A247" s="9" t="s">
        <v>2725</v>
      </c>
      <c r="B247" s="10" t="s">
        <v>2726</v>
      </c>
      <c r="C247" s="10" t="s">
        <v>43</v>
      </c>
      <c r="D247" s="10" t="s">
        <v>734</v>
      </c>
      <c r="E247" s="10" t="s">
        <v>66</v>
      </c>
      <c r="F247" s="11">
        <v>1.0</v>
      </c>
      <c r="G247" s="11">
        <v>79.0</v>
      </c>
      <c r="H247" s="11"/>
      <c r="I247" s="11">
        <v>-13.43</v>
      </c>
      <c r="J247" s="11">
        <v>-20.45</v>
      </c>
      <c r="K247" s="11"/>
      <c r="L247" s="11">
        <v>45.12</v>
      </c>
      <c r="M247" s="10" t="s">
        <v>46</v>
      </c>
      <c r="N247" s="10" t="s">
        <v>45</v>
      </c>
      <c r="O247" s="10" t="s">
        <v>160</v>
      </c>
      <c r="P247" s="10" t="s">
        <v>161</v>
      </c>
      <c r="Q247" s="10" t="s">
        <v>162</v>
      </c>
      <c r="R247" s="10" t="s">
        <v>74</v>
      </c>
      <c r="S247" s="11">
        <v>79.0</v>
      </c>
      <c r="T247" s="11">
        <v>2.49</v>
      </c>
      <c r="U247" s="11" t="s">
        <v>51</v>
      </c>
      <c r="V247" s="10" t="s">
        <v>52</v>
      </c>
      <c r="W247" s="10" t="s">
        <v>2727</v>
      </c>
      <c r="X247" s="10" t="s">
        <v>2728</v>
      </c>
      <c r="Y247" s="10" t="s">
        <v>2729</v>
      </c>
      <c r="Z247" s="10" t="s">
        <v>50</v>
      </c>
      <c r="AA247" s="10" t="s">
        <v>50</v>
      </c>
      <c r="AB247" s="10" t="s">
        <v>2727</v>
      </c>
      <c r="AC247" s="10" t="s">
        <v>2730</v>
      </c>
      <c r="AD247" s="10" t="s">
        <v>2731</v>
      </c>
      <c r="AE247" s="10" t="s">
        <v>2732</v>
      </c>
      <c r="AF247" s="10" t="s">
        <v>185</v>
      </c>
      <c r="AG247" s="10" t="s">
        <v>2733</v>
      </c>
      <c r="AH247" s="10" t="s">
        <v>60</v>
      </c>
      <c r="AI247" s="10" t="s">
        <v>61</v>
      </c>
      <c r="AJ247" s="10" t="s">
        <v>1439</v>
      </c>
      <c r="AK247" s="10" t="s">
        <v>2734</v>
      </c>
      <c r="AL247" s="10" t="s">
        <v>64</v>
      </c>
      <c r="AM247" s="10" t="s">
        <v>2735</v>
      </c>
      <c r="AN247" s="10" t="s">
        <v>2736</v>
      </c>
      <c r="AO247" s="11" t="s">
        <v>50</v>
      </c>
      <c r="AP247" s="10" t="s">
        <v>50</v>
      </c>
      <c r="AQ247" s="10" t="s">
        <v>50</v>
      </c>
      <c r="AR247" s="10" t="s">
        <v>50</v>
      </c>
      <c r="AS247" s="10" t="s">
        <v>50</v>
      </c>
      <c r="AT247" s="10" t="s">
        <v>50</v>
      </c>
      <c r="AU247" s="10" t="s">
        <v>50</v>
      </c>
      <c r="AV247" s="11"/>
      <c r="AW247" s="10" t="s">
        <v>66</v>
      </c>
      <c r="AX247" s="10"/>
      <c r="AY247" s="10" t="s">
        <v>66</v>
      </c>
    </row>
    <row r="248" ht="22.5" hidden="1" customHeight="1">
      <c r="A248" s="9" t="s">
        <v>2737</v>
      </c>
      <c r="B248" s="10" t="s">
        <v>2738</v>
      </c>
      <c r="C248" s="10" t="s">
        <v>43</v>
      </c>
      <c r="D248" s="10" t="s">
        <v>1398</v>
      </c>
      <c r="E248" s="10" t="s">
        <v>45</v>
      </c>
      <c r="F248" s="11">
        <v>3.0</v>
      </c>
      <c r="G248" s="11">
        <v>131.1</v>
      </c>
      <c r="H248" s="11"/>
      <c r="I248" s="11">
        <v>-40.29</v>
      </c>
      <c r="J248" s="11"/>
      <c r="K248" s="11"/>
      <c r="L248" s="11">
        <v>98.67</v>
      </c>
      <c r="M248" s="10" t="s">
        <v>46</v>
      </c>
      <c r="N248" s="10" t="s">
        <v>50</v>
      </c>
      <c r="O248" s="10" t="s">
        <v>176</v>
      </c>
      <c r="P248" s="10" t="s">
        <v>177</v>
      </c>
      <c r="Q248" s="10" t="s">
        <v>178</v>
      </c>
      <c r="R248" s="10" t="s">
        <v>74</v>
      </c>
      <c r="S248" s="11">
        <v>43.7</v>
      </c>
      <c r="T248" s="11">
        <f t="shared" ref="T248:T249" si="2">3*22.58</f>
        <v>67.74</v>
      </c>
      <c r="U248" s="11" t="s">
        <v>51</v>
      </c>
      <c r="V248" s="10" t="s">
        <v>52</v>
      </c>
      <c r="W248" s="10" t="s">
        <v>2739</v>
      </c>
      <c r="X248" s="10" t="s">
        <v>2740</v>
      </c>
      <c r="Y248" s="10" t="s">
        <v>2741</v>
      </c>
      <c r="Z248" s="10" t="s">
        <v>50</v>
      </c>
      <c r="AA248" s="10" t="s">
        <v>50</v>
      </c>
      <c r="AB248" s="10" t="s">
        <v>2739</v>
      </c>
      <c r="AC248" s="10" t="s">
        <v>2742</v>
      </c>
      <c r="AD248" s="10" t="s">
        <v>2743</v>
      </c>
      <c r="AE248" s="10" t="s">
        <v>58</v>
      </c>
      <c r="AF248" s="10" t="s">
        <v>58</v>
      </c>
      <c r="AG248" s="10" t="s">
        <v>2744</v>
      </c>
      <c r="AH248" s="10" t="s">
        <v>60</v>
      </c>
      <c r="AI248" s="10" t="s">
        <v>61</v>
      </c>
      <c r="AJ248" s="10" t="s">
        <v>1406</v>
      </c>
      <c r="AK248" s="10" t="s">
        <v>2745</v>
      </c>
      <c r="AL248" s="10" t="s">
        <v>64</v>
      </c>
      <c r="AM248" s="10" t="s">
        <v>2746</v>
      </c>
      <c r="AN248" s="10" t="s">
        <v>50</v>
      </c>
      <c r="AO248" s="11" t="s">
        <v>50</v>
      </c>
      <c r="AP248" s="10" t="s">
        <v>50</v>
      </c>
      <c r="AQ248" s="10" t="s">
        <v>50</v>
      </c>
      <c r="AR248" s="10" t="s">
        <v>50</v>
      </c>
      <c r="AS248" s="10" t="s">
        <v>50</v>
      </c>
      <c r="AT248" s="10" t="s">
        <v>50</v>
      </c>
      <c r="AU248" s="10" t="s">
        <v>50</v>
      </c>
      <c r="AV248" s="11"/>
      <c r="AW248" s="10" t="s">
        <v>66</v>
      </c>
      <c r="AX248" s="10"/>
      <c r="AY248" s="10" t="s">
        <v>66</v>
      </c>
    </row>
    <row r="249" ht="22.5" hidden="1" customHeight="1">
      <c r="A249" s="9" t="s">
        <v>2747</v>
      </c>
      <c r="B249" s="10" t="s">
        <v>2748</v>
      </c>
      <c r="C249" s="10" t="s">
        <v>43</v>
      </c>
      <c r="D249" s="10" t="s">
        <v>734</v>
      </c>
      <c r="E249" s="10" t="s">
        <v>45</v>
      </c>
      <c r="F249" s="11">
        <v>3.0</v>
      </c>
      <c r="G249" s="11">
        <v>131.1</v>
      </c>
      <c r="H249" s="11"/>
      <c r="I249" s="11">
        <v>-40.29</v>
      </c>
      <c r="J249" s="11"/>
      <c r="K249" s="11"/>
      <c r="L249" s="11">
        <v>98.67</v>
      </c>
      <c r="M249" s="10" t="s">
        <v>46</v>
      </c>
      <c r="N249" s="10" t="s">
        <v>50</v>
      </c>
      <c r="O249" s="10" t="s">
        <v>176</v>
      </c>
      <c r="P249" s="10" t="s">
        <v>177</v>
      </c>
      <c r="Q249" s="10" t="s">
        <v>178</v>
      </c>
      <c r="R249" s="10" t="s">
        <v>74</v>
      </c>
      <c r="S249" s="11">
        <v>43.7</v>
      </c>
      <c r="T249" s="11">
        <f t="shared" si="2"/>
        <v>67.74</v>
      </c>
      <c r="U249" s="11" t="s">
        <v>51</v>
      </c>
      <c r="V249" s="10" t="s">
        <v>52</v>
      </c>
      <c r="W249" s="10" t="s">
        <v>2749</v>
      </c>
      <c r="X249" s="10" t="s">
        <v>2750</v>
      </c>
      <c r="Y249" s="10" t="s">
        <v>2751</v>
      </c>
      <c r="Z249" s="10" t="s">
        <v>50</v>
      </c>
      <c r="AA249" s="10" t="s">
        <v>50</v>
      </c>
      <c r="AB249" s="10" t="s">
        <v>2749</v>
      </c>
      <c r="AC249" s="10" t="s">
        <v>2752</v>
      </c>
      <c r="AD249" s="10" t="s">
        <v>2753</v>
      </c>
      <c r="AE249" s="10" t="s">
        <v>2754</v>
      </c>
      <c r="AF249" s="10" t="s">
        <v>119</v>
      </c>
      <c r="AG249" s="10" t="s">
        <v>2755</v>
      </c>
      <c r="AH249" s="10" t="s">
        <v>60</v>
      </c>
      <c r="AI249" s="10" t="s">
        <v>61</v>
      </c>
      <c r="AJ249" s="10" t="s">
        <v>1359</v>
      </c>
      <c r="AK249" s="10" t="s">
        <v>2756</v>
      </c>
      <c r="AL249" s="10" t="s">
        <v>64</v>
      </c>
      <c r="AM249" s="10" t="s">
        <v>2757</v>
      </c>
      <c r="AN249" s="10" t="s">
        <v>50</v>
      </c>
      <c r="AO249" s="11" t="s">
        <v>50</v>
      </c>
      <c r="AP249" s="10" t="s">
        <v>50</v>
      </c>
      <c r="AQ249" s="10" t="s">
        <v>50</v>
      </c>
      <c r="AR249" s="10" t="s">
        <v>50</v>
      </c>
      <c r="AS249" s="10" t="s">
        <v>50</v>
      </c>
      <c r="AT249" s="10" t="s">
        <v>50</v>
      </c>
      <c r="AU249" s="10" t="s">
        <v>50</v>
      </c>
      <c r="AV249" s="11"/>
      <c r="AW249" s="10" t="s">
        <v>66</v>
      </c>
      <c r="AX249" s="10"/>
      <c r="AY249" s="10" t="s">
        <v>66</v>
      </c>
    </row>
    <row r="250" ht="22.5" hidden="1" customHeight="1">
      <c r="A250" s="9" t="s">
        <v>2758</v>
      </c>
      <c r="B250" s="10" t="s">
        <v>2759</v>
      </c>
      <c r="C250" s="10" t="s">
        <v>43</v>
      </c>
      <c r="D250" s="10" t="s">
        <v>1262</v>
      </c>
      <c r="E250" s="10" t="s">
        <v>45</v>
      </c>
      <c r="F250" s="11">
        <v>2.0</v>
      </c>
      <c r="G250" s="11">
        <v>87.4</v>
      </c>
      <c r="H250" s="11"/>
      <c r="I250" s="11">
        <v>-26.86</v>
      </c>
      <c r="J250" s="11"/>
      <c r="K250" s="11"/>
      <c r="L250" s="11">
        <v>65.78</v>
      </c>
      <c r="M250" s="10" t="s">
        <v>46</v>
      </c>
      <c r="N250" s="10" t="s">
        <v>50</v>
      </c>
      <c r="O250" s="10" t="s">
        <v>176</v>
      </c>
      <c r="P250" s="10" t="s">
        <v>177</v>
      </c>
      <c r="Q250" s="10" t="s">
        <v>178</v>
      </c>
      <c r="R250" s="10" t="s">
        <v>74</v>
      </c>
      <c r="S250" s="11">
        <v>43.7</v>
      </c>
      <c r="T250" s="11">
        <f>2*22.58</f>
        <v>45.16</v>
      </c>
      <c r="U250" s="11" t="s">
        <v>51</v>
      </c>
      <c r="V250" s="10" t="s">
        <v>52</v>
      </c>
      <c r="W250" s="10" t="s">
        <v>2760</v>
      </c>
      <c r="X250" s="10" t="s">
        <v>2761</v>
      </c>
      <c r="Y250" s="10" t="s">
        <v>2762</v>
      </c>
      <c r="Z250" s="10" t="s">
        <v>50</v>
      </c>
      <c r="AA250" s="10" t="s">
        <v>50</v>
      </c>
      <c r="AB250" s="10" t="s">
        <v>2760</v>
      </c>
      <c r="AC250" s="10" t="s">
        <v>2763</v>
      </c>
      <c r="AD250" s="10" t="s">
        <v>2764</v>
      </c>
      <c r="AE250" s="10" t="s">
        <v>2765</v>
      </c>
      <c r="AF250" s="10" t="s">
        <v>323</v>
      </c>
      <c r="AG250" s="10" t="s">
        <v>2766</v>
      </c>
      <c r="AH250" s="10" t="s">
        <v>60</v>
      </c>
      <c r="AI250" s="10" t="s">
        <v>61</v>
      </c>
      <c r="AJ250" s="10" t="s">
        <v>2767</v>
      </c>
      <c r="AK250" s="10" t="s">
        <v>2768</v>
      </c>
      <c r="AL250" s="10" t="s">
        <v>64</v>
      </c>
      <c r="AM250" s="10" t="s">
        <v>2769</v>
      </c>
      <c r="AN250" s="10" t="s">
        <v>50</v>
      </c>
      <c r="AO250" s="11" t="s">
        <v>50</v>
      </c>
      <c r="AP250" s="10" t="s">
        <v>50</v>
      </c>
      <c r="AQ250" s="10" t="s">
        <v>50</v>
      </c>
      <c r="AR250" s="10" t="s">
        <v>50</v>
      </c>
      <c r="AS250" s="10" t="s">
        <v>50</v>
      </c>
      <c r="AT250" s="10" t="s">
        <v>50</v>
      </c>
      <c r="AU250" s="10" t="s">
        <v>50</v>
      </c>
      <c r="AV250" s="11"/>
      <c r="AW250" s="10" t="s">
        <v>66</v>
      </c>
      <c r="AX250" s="10"/>
      <c r="AY250" s="10" t="s">
        <v>66</v>
      </c>
    </row>
    <row r="251" ht="22.5" hidden="1" customHeight="1">
      <c r="A251" s="9" t="s">
        <v>2770</v>
      </c>
      <c r="B251" s="10" t="s">
        <v>2771</v>
      </c>
      <c r="C251" s="10" t="s">
        <v>43</v>
      </c>
      <c r="D251" s="10" t="s">
        <v>1262</v>
      </c>
      <c r="E251" s="10" t="s">
        <v>66</v>
      </c>
      <c r="F251" s="11">
        <v>1.0</v>
      </c>
      <c r="G251" s="11">
        <v>79.0</v>
      </c>
      <c r="H251" s="11"/>
      <c r="I251" s="11">
        <v>-13.43</v>
      </c>
      <c r="J251" s="11">
        <v>-20.45</v>
      </c>
      <c r="K251" s="11"/>
      <c r="L251" s="11">
        <v>45.12</v>
      </c>
      <c r="M251" s="10" t="s">
        <v>46</v>
      </c>
      <c r="N251" s="10" t="s">
        <v>50</v>
      </c>
      <c r="O251" s="10" t="s">
        <v>461</v>
      </c>
      <c r="P251" s="10" t="s">
        <v>462</v>
      </c>
      <c r="Q251" s="10" t="s">
        <v>463</v>
      </c>
      <c r="R251" s="10" t="s">
        <v>74</v>
      </c>
      <c r="S251" s="11">
        <v>79.0</v>
      </c>
      <c r="T251" s="11">
        <v>10.09</v>
      </c>
      <c r="U251" s="11" t="s">
        <v>51</v>
      </c>
      <c r="V251" s="10" t="s">
        <v>52</v>
      </c>
      <c r="W251" s="10" t="s">
        <v>2772</v>
      </c>
      <c r="X251" s="10" t="s">
        <v>2773</v>
      </c>
      <c r="Y251" s="10" t="s">
        <v>2774</v>
      </c>
      <c r="Z251" s="10" t="s">
        <v>50</v>
      </c>
      <c r="AA251" s="10" t="s">
        <v>50</v>
      </c>
      <c r="AB251" s="10" t="s">
        <v>2772</v>
      </c>
      <c r="AC251" s="10" t="s">
        <v>2775</v>
      </c>
      <c r="AD251" s="10" t="s">
        <v>2776</v>
      </c>
      <c r="AE251" s="10" t="s">
        <v>151</v>
      </c>
      <c r="AF251" s="10" t="s">
        <v>151</v>
      </c>
      <c r="AG251" s="10" t="s">
        <v>2777</v>
      </c>
      <c r="AH251" s="10" t="s">
        <v>60</v>
      </c>
      <c r="AI251" s="10" t="s">
        <v>61</v>
      </c>
      <c r="AJ251" s="10" t="s">
        <v>2778</v>
      </c>
      <c r="AK251" s="10" t="s">
        <v>2779</v>
      </c>
      <c r="AL251" s="10" t="s">
        <v>64</v>
      </c>
      <c r="AM251" s="10" t="s">
        <v>2780</v>
      </c>
      <c r="AN251" s="10" t="s">
        <v>50</v>
      </c>
      <c r="AO251" s="11" t="s">
        <v>50</v>
      </c>
      <c r="AP251" s="10" t="s">
        <v>50</v>
      </c>
      <c r="AQ251" s="10" t="s">
        <v>50</v>
      </c>
      <c r="AR251" s="10" t="s">
        <v>50</v>
      </c>
      <c r="AS251" s="10" t="s">
        <v>50</v>
      </c>
      <c r="AT251" s="10" t="s">
        <v>50</v>
      </c>
      <c r="AU251" s="10" t="s">
        <v>50</v>
      </c>
      <c r="AV251" s="11"/>
      <c r="AW251" s="10" t="s">
        <v>66</v>
      </c>
      <c r="AX251" s="10"/>
      <c r="AY251" s="10" t="s">
        <v>66</v>
      </c>
    </row>
    <row r="252" ht="22.5" hidden="1" customHeight="1">
      <c r="A252" s="9" t="s">
        <v>2781</v>
      </c>
      <c r="B252" s="10" t="s">
        <v>2782</v>
      </c>
      <c r="C252" s="10" t="s">
        <v>43</v>
      </c>
      <c r="D252" s="10" t="s">
        <v>1398</v>
      </c>
      <c r="E252" s="10" t="s">
        <v>66</v>
      </c>
      <c r="F252" s="11">
        <v>1.0</v>
      </c>
      <c r="G252" s="11">
        <v>43.7</v>
      </c>
      <c r="H252" s="11">
        <v>14.63</v>
      </c>
      <c r="I252" s="11">
        <v>-13.43</v>
      </c>
      <c r="J252" s="11">
        <v>-14.63</v>
      </c>
      <c r="K252" s="11"/>
      <c r="L252" s="11">
        <v>32.89</v>
      </c>
      <c r="M252" s="10" t="s">
        <v>46</v>
      </c>
      <c r="N252" s="10" t="s">
        <v>50</v>
      </c>
      <c r="O252" s="10" t="s">
        <v>176</v>
      </c>
      <c r="P252" s="10" t="s">
        <v>177</v>
      </c>
      <c r="Q252" s="10" t="s">
        <v>178</v>
      </c>
      <c r="R252" s="10" t="s">
        <v>74</v>
      </c>
      <c r="S252" s="11">
        <v>43.7</v>
      </c>
      <c r="T252" s="11">
        <v>22.58</v>
      </c>
      <c r="U252" s="11" t="s">
        <v>51</v>
      </c>
      <c r="V252" s="10" t="s">
        <v>52</v>
      </c>
      <c r="W252" s="10" t="s">
        <v>2783</v>
      </c>
      <c r="X252" s="10" t="s">
        <v>2784</v>
      </c>
      <c r="Y252" s="10" t="s">
        <v>2785</v>
      </c>
      <c r="Z252" s="10" t="s">
        <v>50</v>
      </c>
      <c r="AA252" s="10" t="s">
        <v>50</v>
      </c>
      <c r="AB252" s="10" t="s">
        <v>2783</v>
      </c>
      <c r="AC252" s="10" t="s">
        <v>2786</v>
      </c>
      <c r="AD252" s="10" t="s">
        <v>2787</v>
      </c>
      <c r="AE252" s="10" t="s">
        <v>58</v>
      </c>
      <c r="AF252" s="10" t="s">
        <v>58</v>
      </c>
      <c r="AG252" s="10" t="s">
        <v>2788</v>
      </c>
      <c r="AH252" s="10" t="s">
        <v>60</v>
      </c>
      <c r="AI252" s="10" t="s">
        <v>61</v>
      </c>
      <c r="AJ252" s="10" t="s">
        <v>1439</v>
      </c>
      <c r="AK252" s="10" t="s">
        <v>2789</v>
      </c>
      <c r="AL252" s="10" t="s">
        <v>64</v>
      </c>
      <c r="AM252" s="10" t="s">
        <v>2790</v>
      </c>
      <c r="AN252" s="10" t="s">
        <v>50</v>
      </c>
      <c r="AO252" s="11" t="s">
        <v>50</v>
      </c>
      <c r="AP252" s="10" t="s">
        <v>50</v>
      </c>
      <c r="AQ252" s="10" t="s">
        <v>50</v>
      </c>
      <c r="AR252" s="10" t="s">
        <v>50</v>
      </c>
      <c r="AS252" s="10" t="s">
        <v>50</v>
      </c>
      <c r="AT252" s="10" t="s">
        <v>50</v>
      </c>
      <c r="AU252" s="10" t="s">
        <v>50</v>
      </c>
      <c r="AV252" s="11"/>
      <c r="AW252" s="10" t="s">
        <v>66</v>
      </c>
      <c r="AX252" s="10"/>
      <c r="AY252" s="10" t="s">
        <v>66</v>
      </c>
    </row>
    <row r="253" ht="22.5" hidden="1" customHeight="1">
      <c r="A253" s="9" t="s">
        <v>2791</v>
      </c>
      <c r="B253" s="10" t="s">
        <v>2792</v>
      </c>
      <c r="C253" s="10" t="s">
        <v>43</v>
      </c>
      <c r="D253" s="10" t="s">
        <v>1398</v>
      </c>
      <c r="E253" s="10" t="s">
        <v>66</v>
      </c>
      <c r="F253" s="11">
        <v>1.0</v>
      </c>
      <c r="G253" s="11">
        <v>43.7</v>
      </c>
      <c r="H253" s="11">
        <v>14.63</v>
      </c>
      <c r="I253" s="11">
        <v>-13.43</v>
      </c>
      <c r="J253" s="11">
        <v>-14.63</v>
      </c>
      <c r="K253" s="11"/>
      <c r="L253" s="11">
        <v>32.89</v>
      </c>
      <c r="M253" s="10" t="s">
        <v>46</v>
      </c>
      <c r="N253" s="10" t="s">
        <v>50</v>
      </c>
      <c r="O253" s="10" t="s">
        <v>176</v>
      </c>
      <c r="P253" s="10" t="s">
        <v>177</v>
      </c>
      <c r="Q253" s="10" t="s">
        <v>178</v>
      </c>
      <c r="R253" s="10" t="s">
        <v>74</v>
      </c>
      <c r="S253" s="11">
        <v>43.7</v>
      </c>
      <c r="T253" s="11">
        <v>22.58</v>
      </c>
      <c r="U253" s="11" t="s">
        <v>51</v>
      </c>
      <c r="V253" s="10" t="s">
        <v>52</v>
      </c>
      <c r="W253" s="10" t="s">
        <v>2793</v>
      </c>
      <c r="X253" s="10" t="s">
        <v>2794</v>
      </c>
      <c r="Y253" s="10" t="s">
        <v>2795</v>
      </c>
      <c r="Z253" s="10" t="s">
        <v>50</v>
      </c>
      <c r="AA253" s="10" t="s">
        <v>50</v>
      </c>
      <c r="AB253" s="10" t="s">
        <v>2793</v>
      </c>
      <c r="AC253" s="10" t="s">
        <v>2796</v>
      </c>
      <c r="AD253" s="10" t="s">
        <v>2797</v>
      </c>
      <c r="AE253" s="10" t="s">
        <v>1629</v>
      </c>
      <c r="AF253" s="10" t="s">
        <v>58</v>
      </c>
      <c r="AG253" s="10" t="s">
        <v>2798</v>
      </c>
      <c r="AH253" s="10" t="s">
        <v>60</v>
      </c>
      <c r="AI253" s="10" t="s">
        <v>61</v>
      </c>
      <c r="AJ253" s="10" t="s">
        <v>1607</v>
      </c>
      <c r="AK253" s="10" t="s">
        <v>2799</v>
      </c>
      <c r="AL253" s="10" t="s">
        <v>64</v>
      </c>
      <c r="AM253" s="10" t="s">
        <v>2800</v>
      </c>
      <c r="AN253" s="10" t="s">
        <v>50</v>
      </c>
      <c r="AO253" s="11" t="s">
        <v>50</v>
      </c>
      <c r="AP253" s="10" t="s">
        <v>50</v>
      </c>
      <c r="AQ253" s="10" t="s">
        <v>50</v>
      </c>
      <c r="AR253" s="10" t="s">
        <v>50</v>
      </c>
      <c r="AS253" s="10" t="s">
        <v>50</v>
      </c>
      <c r="AT253" s="10" t="s">
        <v>50</v>
      </c>
      <c r="AU253" s="10" t="s">
        <v>50</v>
      </c>
      <c r="AV253" s="11"/>
      <c r="AW253" s="10" t="s">
        <v>66</v>
      </c>
      <c r="AX253" s="10"/>
      <c r="AY253" s="10" t="s">
        <v>66</v>
      </c>
    </row>
    <row r="254" ht="22.5" hidden="1" customHeight="1">
      <c r="A254" s="9" t="s">
        <v>2801</v>
      </c>
      <c r="B254" s="10" t="s">
        <v>2802</v>
      </c>
      <c r="C254" s="10" t="s">
        <v>43</v>
      </c>
      <c r="D254" s="10" t="s">
        <v>1262</v>
      </c>
      <c r="E254" s="10" t="s">
        <v>66</v>
      </c>
      <c r="F254" s="11">
        <v>1.0</v>
      </c>
      <c r="G254" s="11">
        <v>43.7</v>
      </c>
      <c r="H254" s="11">
        <v>13.77</v>
      </c>
      <c r="I254" s="11">
        <v>-13.43</v>
      </c>
      <c r="J254" s="11">
        <v>-13.77</v>
      </c>
      <c r="K254" s="11"/>
      <c r="L254" s="11">
        <v>32.89</v>
      </c>
      <c r="M254" s="10" t="s">
        <v>46</v>
      </c>
      <c r="N254" s="10" t="s">
        <v>50</v>
      </c>
      <c r="O254" s="10" t="s">
        <v>176</v>
      </c>
      <c r="P254" s="10" t="s">
        <v>177</v>
      </c>
      <c r="Q254" s="10" t="s">
        <v>178</v>
      </c>
      <c r="R254" s="10" t="s">
        <v>74</v>
      </c>
      <c r="S254" s="11">
        <v>43.7</v>
      </c>
      <c r="T254" s="11">
        <v>22.58</v>
      </c>
      <c r="U254" s="11" t="s">
        <v>51</v>
      </c>
      <c r="V254" s="10" t="s">
        <v>52</v>
      </c>
      <c r="W254" s="10" t="s">
        <v>2803</v>
      </c>
      <c r="X254" s="10" t="s">
        <v>2804</v>
      </c>
      <c r="Y254" s="10" t="s">
        <v>2805</v>
      </c>
      <c r="Z254" s="10" t="s">
        <v>50</v>
      </c>
      <c r="AA254" s="10" t="s">
        <v>50</v>
      </c>
      <c r="AB254" s="10" t="s">
        <v>2803</v>
      </c>
      <c r="AC254" s="10" t="s">
        <v>2806</v>
      </c>
      <c r="AD254" s="10" t="s">
        <v>2807</v>
      </c>
      <c r="AE254" s="10" t="s">
        <v>151</v>
      </c>
      <c r="AF254" s="10" t="s">
        <v>151</v>
      </c>
      <c r="AG254" s="10" t="s">
        <v>2808</v>
      </c>
      <c r="AH254" s="10" t="s">
        <v>60</v>
      </c>
      <c r="AI254" s="10" t="s">
        <v>61</v>
      </c>
      <c r="AJ254" s="10" t="s">
        <v>2809</v>
      </c>
      <c r="AK254" s="10" t="s">
        <v>2810</v>
      </c>
      <c r="AL254" s="10" t="s">
        <v>64</v>
      </c>
      <c r="AM254" s="10" t="s">
        <v>2811</v>
      </c>
      <c r="AN254" s="10" t="s">
        <v>50</v>
      </c>
      <c r="AO254" s="11" t="s">
        <v>50</v>
      </c>
      <c r="AP254" s="10" t="s">
        <v>50</v>
      </c>
      <c r="AQ254" s="10" t="s">
        <v>50</v>
      </c>
      <c r="AR254" s="10" t="s">
        <v>50</v>
      </c>
      <c r="AS254" s="10" t="s">
        <v>50</v>
      </c>
      <c r="AT254" s="10" t="s">
        <v>50</v>
      </c>
      <c r="AU254" s="10" t="s">
        <v>50</v>
      </c>
      <c r="AV254" s="11"/>
      <c r="AW254" s="10" t="s">
        <v>66</v>
      </c>
      <c r="AX254" s="10"/>
      <c r="AY254" s="10" t="s">
        <v>66</v>
      </c>
    </row>
    <row r="255" ht="22.5" hidden="1" customHeight="1">
      <c r="A255" s="9" t="s">
        <v>2812</v>
      </c>
      <c r="B255" s="10" t="s">
        <v>2802</v>
      </c>
      <c r="C255" s="10" t="s">
        <v>43</v>
      </c>
      <c r="D255" s="10" t="s">
        <v>1262</v>
      </c>
      <c r="E255" s="10" t="s">
        <v>45</v>
      </c>
      <c r="F255" s="11">
        <v>1.0</v>
      </c>
      <c r="G255" s="11">
        <v>43.7</v>
      </c>
      <c r="H255" s="11">
        <v>13.77</v>
      </c>
      <c r="I255" s="11">
        <v>-13.43</v>
      </c>
      <c r="J255" s="11">
        <v>-13.77</v>
      </c>
      <c r="K255" s="11"/>
      <c r="L255" s="11">
        <v>32.89</v>
      </c>
      <c r="M255" s="10" t="s">
        <v>46</v>
      </c>
      <c r="N255" s="10" t="s">
        <v>50</v>
      </c>
      <c r="O255" s="10" t="s">
        <v>176</v>
      </c>
      <c r="P255" s="10" t="s">
        <v>177</v>
      </c>
      <c r="Q255" s="10" t="s">
        <v>178</v>
      </c>
      <c r="R255" s="10" t="s">
        <v>74</v>
      </c>
      <c r="S255" s="11">
        <v>43.7</v>
      </c>
      <c r="T255" s="11">
        <v>22.58</v>
      </c>
      <c r="U255" s="11" t="s">
        <v>51</v>
      </c>
      <c r="V255" s="10" t="s">
        <v>52</v>
      </c>
      <c r="W255" s="10" t="s">
        <v>2813</v>
      </c>
      <c r="X255" s="10" t="s">
        <v>2814</v>
      </c>
      <c r="Y255" s="10" t="s">
        <v>2815</v>
      </c>
      <c r="Z255" s="10" t="s">
        <v>50</v>
      </c>
      <c r="AA255" s="10" t="s">
        <v>50</v>
      </c>
      <c r="AB255" s="10" t="s">
        <v>2813</v>
      </c>
      <c r="AC255" s="10" t="s">
        <v>2816</v>
      </c>
      <c r="AD255" s="10" t="s">
        <v>2817</v>
      </c>
      <c r="AE255" s="10" t="s">
        <v>151</v>
      </c>
      <c r="AF255" s="10" t="s">
        <v>151</v>
      </c>
      <c r="AG255" s="10" t="s">
        <v>2818</v>
      </c>
      <c r="AH255" s="10" t="s">
        <v>60</v>
      </c>
      <c r="AI255" s="10" t="s">
        <v>61</v>
      </c>
      <c r="AJ255" s="10" t="s">
        <v>2778</v>
      </c>
      <c r="AK255" s="10" t="s">
        <v>2819</v>
      </c>
      <c r="AL255" s="10" t="s">
        <v>64</v>
      </c>
      <c r="AM255" s="10" t="s">
        <v>2820</v>
      </c>
      <c r="AN255" s="10" t="s">
        <v>50</v>
      </c>
      <c r="AO255" s="11" t="s">
        <v>50</v>
      </c>
      <c r="AP255" s="10" t="s">
        <v>50</v>
      </c>
      <c r="AQ255" s="10" t="s">
        <v>50</v>
      </c>
      <c r="AR255" s="10" t="s">
        <v>50</v>
      </c>
      <c r="AS255" s="10" t="s">
        <v>50</v>
      </c>
      <c r="AT255" s="10" t="s">
        <v>50</v>
      </c>
      <c r="AU255" s="10" t="s">
        <v>50</v>
      </c>
      <c r="AV255" s="11"/>
      <c r="AW255" s="10" t="s">
        <v>66</v>
      </c>
      <c r="AX255" s="10"/>
      <c r="AY255" s="10" t="s">
        <v>66</v>
      </c>
    </row>
    <row r="256" ht="22.5" hidden="1" customHeight="1">
      <c r="A256" s="9" t="s">
        <v>2821</v>
      </c>
      <c r="B256" s="10" t="s">
        <v>2822</v>
      </c>
      <c r="C256" s="10" t="s">
        <v>43</v>
      </c>
      <c r="D256" s="10" t="s">
        <v>734</v>
      </c>
      <c r="E256" s="10" t="s">
        <v>66</v>
      </c>
      <c r="F256" s="11">
        <v>1.0</v>
      </c>
      <c r="G256" s="11">
        <v>79.0</v>
      </c>
      <c r="H256" s="11">
        <v>27.13</v>
      </c>
      <c r="I256" s="11">
        <v>-13.43</v>
      </c>
      <c r="J256" s="11">
        <v>-47.58</v>
      </c>
      <c r="K256" s="11"/>
      <c r="L256" s="11">
        <v>45.12</v>
      </c>
      <c r="M256" s="10" t="s">
        <v>46</v>
      </c>
      <c r="N256" s="10" t="s">
        <v>45</v>
      </c>
      <c r="O256" s="10" t="s">
        <v>160</v>
      </c>
      <c r="P256" s="10" t="s">
        <v>161</v>
      </c>
      <c r="Q256" s="10" t="s">
        <v>162</v>
      </c>
      <c r="R256" s="10" t="s">
        <v>74</v>
      </c>
      <c r="S256" s="11">
        <v>79.0</v>
      </c>
      <c r="T256" s="11">
        <v>2.49</v>
      </c>
      <c r="U256" s="11" t="s">
        <v>51</v>
      </c>
      <c r="V256" s="10" t="s">
        <v>52</v>
      </c>
      <c r="W256" s="10" t="s">
        <v>2823</v>
      </c>
      <c r="X256" s="10" t="s">
        <v>2824</v>
      </c>
      <c r="Y256" s="10" t="s">
        <v>2825</v>
      </c>
      <c r="Z256" s="10" t="s">
        <v>50</v>
      </c>
      <c r="AA256" s="10" t="s">
        <v>50</v>
      </c>
      <c r="AB256" s="10" t="s">
        <v>2823</v>
      </c>
      <c r="AC256" s="10" t="s">
        <v>2826</v>
      </c>
      <c r="AD256" s="10" t="s">
        <v>2827</v>
      </c>
      <c r="AE256" s="10" t="s">
        <v>2828</v>
      </c>
      <c r="AF256" s="10" t="s">
        <v>2636</v>
      </c>
      <c r="AG256" s="10" t="s">
        <v>2829</v>
      </c>
      <c r="AH256" s="10" t="s">
        <v>60</v>
      </c>
      <c r="AI256" s="10" t="s">
        <v>61</v>
      </c>
      <c r="AJ256" s="10" t="s">
        <v>1406</v>
      </c>
      <c r="AK256" s="10" t="s">
        <v>2830</v>
      </c>
      <c r="AL256" s="10" t="s">
        <v>64</v>
      </c>
      <c r="AM256" s="10" t="s">
        <v>2831</v>
      </c>
      <c r="AN256" s="10" t="s">
        <v>50</v>
      </c>
      <c r="AO256" s="11" t="s">
        <v>50</v>
      </c>
      <c r="AP256" s="10" t="s">
        <v>50</v>
      </c>
      <c r="AQ256" s="10" t="s">
        <v>50</v>
      </c>
      <c r="AR256" s="10" t="s">
        <v>50</v>
      </c>
      <c r="AS256" s="10" t="s">
        <v>50</v>
      </c>
      <c r="AT256" s="10" t="s">
        <v>50</v>
      </c>
      <c r="AU256" s="10" t="s">
        <v>50</v>
      </c>
      <c r="AV256" s="11"/>
      <c r="AW256" s="10" t="s">
        <v>66</v>
      </c>
      <c r="AX256" s="10"/>
      <c r="AY256" s="10" t="s">
        <v>66</v>
      </c>
    </row>
    <row r="257" ht="22.5" hidden="1" customHeight="1">
      <c r="A257" s="9" t="s">
        <v>2832</v>
      </c>
      <c r="B257" s="10" t="s">
        <v>2833</v>
      </c>
      <c r="C257" s="10" t="s">
        <v>43</v>
      </c>
      <c r="D257" s="10" t="s">
        <v>1398</v>
      </c>
      <c r="E257" s="10" t="s">
        <v>45</v>
      </c>
      <c r="F257" s="11">
        <v>1.0</v>
      </c>
      <c r="G257" s="11">
        <v>43.7</v>
      </c>
      <c r="H257" s="11">
        <v>11.11</v>
      </c>
      <c r="I257" s="11">
        <v>-13.43</v>
      </c>
      <c r="J257" s="11">
        <v>-11.11</v>
      </c>
      <c r="K257" s="11"/>
      <c r="L257" s="11">
        <v>32.89</v>
      </c>
      <c r="M257" s="10" t="s">
        <v>46</v>
      </c>
      <c r="N257" s="10" t="s">
        <v>50</v>
      </c>
      <c r="O257" s="10" t="s">
        <v>176</v>
      </c>
      <c r="P257" s="10" t="s">
        <v>177</v>
      </c>
      <c r="Q257" s="10" t="s">
        <v>178</v>
      </c>
      <c r="R257" s="10" t="s">
        <v>74</v>
      </c>
      <c r="S257" s="11">
        <v>43.7</v>
      </c>
      <c r="T257" s="11">
        <v>22.58</v>
      </c>
      <c r="U257" s="11" t="s">
        <v>51</v>
      </c>
      <c r="V257" s="10" t="s">
        <v>52</v>
      </c>
      <c r="W257" s="10" t="s">
        <v>2834</v>
      </c>
      <c r="X257" s="10" t="s">
        <v>2835</v>
      </c>
      <c r="Y257" s="10" t="s">
        <v>2836</v>
      </c>
      <c r="Z257" s="10" t="s">
        <v>50</v>
      </c>
      <c r="AA257" s="10" t="s">
        <v>50</v>
      </c>
      <c r="AB257" s="10" t="s">
        <v>2834</v>
      </c>
      <c r="AC257" s="10" t="s">
        <v>2837</v>
      </c>
      <c r="AD257" s="10" t="s">
        <v>2838</v>
      </c>
      <c r="AE257" s="10" t="s">
        <v>2839</v>
      </c>
      <c r="AF257" s="10" t="s">
        <v>58</v>
      </c>
      <c r="AG257" s="10" t="s">
        <v>2840</v>
      </c>
      <c r="AH257" s="10" t="s">
        <v>60</v>
      </c>
      <c r="AI257" s="10" t="s">
        <v>61</v>
      </c>
      <c r="AJ257" s="10" t="s">
        <v>1497</v>
      </c>
      <c r="AK257" s="10" t="s">
        <v>1498</v>
      </c>
      <c r="AL257" s="10" t="s">
        <v>64</v>
      </c>
      <c r="AM257" s="10" t="s">
        <v>2841</v>
      </c>
      <c r="AN257" s="10" t="s">
        <v>50</v>
      </c>
      <c r="AO257" s="11" t="s">
        <v>50</v>
      </c>
      <c r="AP257" s="10" t="s">
        <v>50</v>
      </c>
      <c r="AQ257" s="10" t="s">
        <v>50</v>
      </c>
      <c r="AR257" s="10" t="s">
        <v>50</v>
      </c>
      <c r="AS257" s="10" t="s">
        <v>50</v>
      </c>
      <c r="AT257" s="10" t="s">
        <v>50</v>
      </c>
      <c r="AU257" s="10" t="s">
        <v>50</v>
      </c>
      <c r="AV257" s="11"/>
      <c r="AW257" s="10" t="s">
        <v>66</v>
      </c>
      <c r="AX257" s="10"/>
      <c r="AY257" s="10" t="s">
        <v>66</v>
      </c>
    </row>
    <row r="258" ht="22.5" hidden="1" customHeight="1">
      <c r="A258" s="9" t="s">
        <v>2842</v>
      </c>
      <c r="B258" s="10" t="s">
        <v>2843</v>
      </c>
      <c r="C258" s="10" t="s">
        <v>43</v>
      </c>
      <c r="D258" s="10" t="s">
        <v>1398</v>
      </c>
      <c r="E258" s="10" t="s">
        <v>66</v>
      </c>
      <c r="F258" s="11">
        <v>1.0</v>
      </c>
      <c r="G258" s="11">
        <v>43.7</v>
      </c>
      <c r="H258" s="11">
        <v>14.15</v>
      </c>
      <c r="I258" s="11">
        <v>-13.43</v>
      </c>
      <c r="J258" s="11">
        <v>-14.15</v>
      </c>
      <c r="K258" s="11"/>
      <c r="L258" s="11">
        <v>32.89</v>
      </c>
      <c r="M258" s="10" t="s">
        <v>46</v>
      </c>
      <c r="N258" s="10" t="s">
        <v>45</v>
      </c>
      <c r="O258" s="10" t="s">
        <v>176</v>
      </c>
      <c r="P258" s="10" t="s">
        <v>177</v>
      </c>
      <c r="Q258" s="10" t="s">
        <v>178</v>
      </c>
      <c r="R258" s="10" t="s">
        <v>74</v>
      </c>
      <c r="S258" s="11">
        <v>43.7</v>
      </c>
      <c r="T258" s="11">
        <v>22.58</v>
      </c>
      <c r="U258" s="11" t="s">
        <v>51</v>
      </c>
      <c r="V258" s="10" t="s">
        <v>52</v>
      </c>
      <c r="W258" s="10" t="s">
        <v>2844</v>
      </c>
      <c r="X258" s="10" t="s">
        <v>2845</v>
      </c>
      <c r="Y258" s="10" t="s">
        <v>2846</v>
      </c>
      <c r="Z258" s="10" t="s">
        <v>50</v>
      </c>
      <c r="AA258" s="10" t="s">
        <v>50</v>
      </c>
      <c r="AB258" s="10" t="s">
        <v>2844</v>
      </c>
      <c r="AC258" s="10" t="s">
        <v>2847</v>
      </c>
      <c r="AD258" s="10" t="s">
        <v>2848</v>
      </c>
      <c r="AE258" s="10" t="s">
        <v>2849</v>
      </c>
      <c r="AF258" s="10" t="s">
        <v>58</v>
      </c>
      <c r="AG258" s="10" t="s">
        <v>2850</v>
      </c>
      <c r="AH258" s="10" t="s">
        <v>60</v>
      </c>
      <c r="AI258" s="10" t="s">
        <v>61</v>
      </c>
      <c r="AJ258" s="10" t="s">
        <v>1439</v>
      </c>
      <c r="AK258" s="10" t="s">
        <v>2851</v>
      </c>
      <c r="AL258" s="10" t="s">
        <v>64</v>
      </c>
      <c r="AM258" s="10" t="s">
        <v>2852</v>
      </c>
      <c r="AN258" s="10" t="s">
        <v>50</v>
      </c>
      <c r="AO258" s="11" t="s">
        <v>50</v>
      </c>
      <c r="AP258" s="10" t="s">
        <v>50</v>
      </c>
      <c r="AQ258" s="10" t="s">
        <v>50</v>
      </c>
      <c r="AR258" s="10" t="s">
        <v>50</v>
      </c>
      <c r="AS258" s="10" t="s">
        <v>50</v>
      </c>
      <c r="AT258" s="10" t="s">
        <v>50</v>
      </c>
      <c r="AU258" s="10" t="s">
        <v>50</v>
      </c>
      <c r="AV258" s="11"/>
      <c r="AW258" s="10" t="s">
        <v>66</v>
      </c>
      <c r="AX258" s="10"/>
      <c r="AY258" s="10" t="s">
        <v>66</v>
      </c>
    </row>
    <row r="259" ht="22.5" hidden="1" customHeight="1">
      <c r="A259" s="9" t="s">
        <v>2853</v>
      </c>
      <c r="B259" s="10" t="s">
        <v>2854</v>
      </c>
      <c r="C259" s="10" t="s">
        <v>43</v>
      </c>
      <c r="D259" s="10" t="s">
        <v>1262</v>
      </c>
      <c r="E259" s="10" t="s">
        <v>66</v>
      </c>
      <c r="F259" s="11">
        <v>1.0</v>
      </c>
      <c r="G259" s="11">
        <v>43.7</v>
      </c>
      <c r="H259" s="11">
        <v>12.33</v>
      </c>
      <c r="I259" s="11">
        <v>-13.43</v>
      </c>
      <c r="J259" s="11">
        <v>-12.33</v>
      </c>
      <c r="K259" s="11"/>
      <c r="L259" s="11">
        <v>32.89</v>
      </c>
      <c r="M259" s="10" t="s">
        <v>46</v>
      </c>
      <c r="N259" s="10" t="s">
        <v>50</v>
      </c>
      <c r="O259" s="10" t="s">
        <v>176</v>
      </c>
      <c r="P259" s="10" t="s">
        <v>177</v>
      </c>
      <c r="Q259" s="10" t="s">
        <v>178</v>
      </c>
      <c r="R259" s="10" t="s">
        <v>74</v>
      </c>
      <c r="S259" s="11">
        <v>43.7</v>
      </c>
      <c r="T259" s="11">
        <v>22.58</v>
      </c>
      <c r="U259" s="11" t="s">
        <v>51</v>
      </c>
      <c r="V259" s="10" t="s">
        <v>52</v>
      </c>
      <c r="W259" s="10" t="s">
        <v>2855</v>
      </c>
      <c r="X259" s="10" t="s">
        <v>2856</v>
      </c>
      <c r="Y259" s="10" t="s">
        <v>2857</v>
      </c>
      <c r="Z259" s="10" t="s">
        <v>50</v>
      </c>
      <c r="AA259" s="10" t="s">
        <v>50</v>
      </c>
      <c r="AB259" s="10" t="s">
        <v>2855</v>
      </c>
      <c r="AC259" s="10" t="s">
        <v>2858</v>
      </c>
      <c r="AD259" s="10" t="s">
        <v>2859</v>
      </c>
      <c r="AE259" s="10" t="s">
        <v>2860</v>
      </c>
      <c r="AF259" s="10" t="s">
        <v>151</v>
      </c>
      <c r="AG259" s="10" t="s">
        <v>2861</v>
      </c>
      <c r="AH259" s="10" t="s">
        <v>60</v>
      </c>
      <c r="AI259" s="10" t="s">
        <v>61</v>
      </c>
      <c r="AJ259" s="10" t="s">
        <v>2778</v>
      </c>
      <c r="AK259" s="10" t="s">
        <v>2862</v>
      </c>
      <c r="AL259" s="10" t="s">
        <v>64</v>
      </c>
      <c r="AM259" s="10" t="s">
        <v>2863</v>
      </c>
      <c r="AN259" s="10" t="s">
        <v>50</v>
      </c>
      <c r="AO259" s="11" t="s">
        <v>50</v>
      </c>
      <c r="AP259" s="10" t="s">
        <v>50</v>
      </c>
      <c r="AQ259" s="10" t="s">
        <v>50</v>
      </c>
      <c r="AR259" s="10" t="s">
        <v>50</v>
      </c>
      <c r="AS259" s="10" t="s">
        <v>50</v>
      </c>
      <c r="AT259" s="10" t="s">
        <v>50</v>
      </c>
      <c r="AU259" s="10" t="s">
        <v>50</v>
      </c>
      <c r="AV259" s="11"/>
      <c r="AW259" s="10" t="s">
        <v>66</v>
      </c>
      <c r="AX259" s="10"/>
      <c r="AY259" s="10" t="s">
        <v>66</v>
      </c>
    </row>
    <row r="260" ht="22.5" hidden="1" customHeight="1">
      <c r="A260" s="12" t="s">
        <v>2864</v>
      </c>
      <c r="B260" s="13" t="s">
        <v>2865</v>
      </c>
      <c r="C260" s="13" t="s">
        <v>2866</v>
      </c>
      <c r="D260" s="13" t="s">
        <v>50</v>
      </c>
      <c r="E260" s="13" t="s">
        <v>50</v>
      </c>
      <c r="F260" s="14"/>
      <c r="G260" s="14">
        <v>301.05</v>
      </c>
      <c r="H260" s="14"/>
      <c r="I260" s="14">
        <v>-57.18</v>
      </c>
      <c r="J260" s="14">
        <v>-62.35</v>
      </c>
      <c r="K260" s="14"/>
      <c r="L260" s="14">
        <v>189.44</v>
      </c>
      <c r="M260" s="13" t="s">
        <v>46</v>
      </c>
      <c r="N260" s="13" t="s">
        <v>50</v>
      </c>
      <c r="O260" s="13" t="s">
        <v>50</v>
      </c>
      <c r="P260" s="13" t="s">
        <v>50</v>
      </c>
      <c r="Q260" s="13" t="s">
        <v>50</v>
      </c>
      <c r="R260" s="13" t="s">
        <v>50</v>
      </c>
      <c r="S260" s="14"/>
      <c r="T260" s="11"/>
      <c r="U260" s="14" t="s">
        <v>50</v>
      </c>
      <c r="V260" s="13" t="s">
        <v>52</v>
      </c>
      <c r="W260" s="13" t="s">
        <v>2867</v>
      </c>
      <c r="X260" s="13" t="s">
        <v>2868</v>
      </c>
      <c r="Y260" s="13" t="s">
        <v>2869</v>
      </c>
      <c r="Z260" s="13" t="s">
        <v>50</v>
      </c>
      <c r="AA260" s="13" t="s">
        <v>50</v>
      </c>
      <c r="AB260" s="13" t="s">
        <v>2867</v>
      </c>
      <c r="AC260" s="13" t="s">
        <v>2870</v>
      </c>
      <c r="AD260" s="13" t="s">
        <v>2871</v>
      </c>
      <c r="AE260" s="13" t="s">
        <v>2872</v>
      </c>
      <c r="AF260" s="13" t="s">
        <v>2873</v>
      </c>
      <c r="AG260" s="13" t="s">
        <v>2874</v>
      </c>
      <c r="AH260" s="13" t="s">
        <v>60</v>
      </c>
      <c r="AI260" s="13" t="s">
        <v>61</v>
      </c>
      <c r="AJ260" s="13" t="s">
        <v>1732</v>
      </c>
      <c r="AK260" s="13" t="s">
        <v>2875</v>
      </c>
      <c r="AL260" s="13" t="s">
        <v>64</v>
      </c>
      <c r="AM260" s="13" t="s">
        <v>2876</v>
      </c>
      <c r="AN260" s="13" t="s">
        <v>50</v>
      </c>
      <c r="AO260" s="15" t="s">
        <v>50</v>
      </c>
      <c r="AP260" s="13" t="s">
        <v>50</v>
      </c>
      <c r="AQ260" s="13" t="s">
        <v>50</v>
      </c>
      <c r="AR260" s="13" t="s">
        <v>50</v>
      </c>
      <c r="AS260" s="13" t="s">
        <v>50</v>
      </c>
      <c r="AT260" s="13" t="s">
        <v>50</v>
      </c>
      <c r="AU260" s="13" t="s">
        <v>50</v>
      </c>
      <c r="AV260" s="15"/>
      <c r="AW260" s="13" t="s">
        <v>50</v>
      </c>
      <c r="AX260" s="13"/>
      <c r="AY260" s="13" t="s">
        <v>50</v>
      </c>
    </row>
    <row r="261" ht="22.5" hidden="1" customHeight="1">
      <c r="A261" s="16" t="s">
        <v>2877</v>
      </c>
      <c r="B261" s="17" t="s">
        <v>2865</v>
      </c>
      <c r="C261" s="17" t="s">
        <v>43</v>
      </c>
      <c r="D261" s="17" t="s">
        <v>191</v>
      </c>
      <c r="E261" s="17" t="s">
        <v>45</v>
      </c>
      <c r="F261" s="18">
        <v>1.0</v>
      </c>
      <c r="G261" s="18"/>
      <c r="H261" s="18"/>
      <c r="I261" s="18"/>
      <c r="J261" s="18"/>
      <c r="K261" s="18"/>
      <c r="L261" s="18"/>
      <c r="M261" s="17" t="s">
        <v>50</v>
      </c>
      <c r="N261" s="17" t="s">
        <v>45</v>
      </c>
      <c r="O261" s="17" t="s">
        <v>2878</v>
      </c>
      <c r="P261" s="17" t="s">
        <v>2879</v>
      </c>
      <c r="Q261" s="17" t="s">
        <v>2880</v>
      </c>
      <c r="R261" s="17" t="s">
        <v>74</v>
      </c>
      <c r="S261" s="18">
        <v>90.0</v>
      </c>
      <c r="T261" s="18">
        <v>24.38</v>
      </c>
      <c r="U261" s="18" t="s">
        <v>51</v>
      </c>
      <c r="V261" s="17" t="s">
        <v>50</v>
      </c>
      <c r="W261" s="17" t="s">
        <v>50</v>
      </c>
      <c r="X261" s="17" t="s">
        <v>50</v>
      </c>
      <c r="Y261" s="17" t="s">
        <v>50</v>
      </c>
      <c r="Z261" s="17" t="s">
        <v>50</v>
      </c>
      <c r="AA261" s="17" t="s">
        <v>50</v>
      </c>
      <c r="AB261" s="17" t="s">
        <v>50</v>
      </c>
      <c r="AC261" s="17" t="s">
        <v>50</v>
      </c>
      <c r="AD261" s="17" t="s">
        <v>50</v>
      </c>
      <c r="AE261" s="17" t="s">
        <v>50</v>
      </c>
      <c r="AF261" s="17" t="s">
        <v>50</v>
      </c>
      <c r="AG261" s="17" t="s">
        <v>50</v>
      </c>
      <c r="AH261" s="17" t="s">
        <v>50</v>
      </c>
      <c r="AI261" s="17" t="s">
        <v>50</v>
      </c>
      <c r="AJ261" s="17" t="s">
        <v>50</v>
      </c>
      <c r="AK261" s="17" t="s">
        <v>50</v>
      </c>
      <c r="AL261" s="17" t="s">
        <v>50</v>
      </c>
      <c r="AM261" s="17" t="s">
        <v>50</v>
      </c>
      <c r="AN261" s="17" t="s">
        <v>50</v>
      </c>
      <c r="AO261" s="18" t="s">
        <v>50</v>
      </c>
      <c r="AP261" s="17" t="s">
        <v>50</v>
      </c>
      <c r="AQ261" s="17" t="s">
        <v>50</v>
      </c>
      <c r="AR261" s="17" t="s">
        <v>50</v>
      </c>
      <c r="AS261" s="17" t="s">
        <v>50</v>
      </c>
      <c r="AT261" s="17" t="s">
        <v>50</v>
      </c>
      <c r="AU261" s="17" t="s">
        <v>50</v>
      </c>
      <c r="AV261" s="18"/>
      <c r="AW261" s="17" t="s">
        <v>66</v>
      </c>
      <c r="AX261" s="17"/>
      <c r="AY261" s="17" t="s">
        <v>66</v>
      </c>
    </row>
    <row r="262" ht="22.5" hidden="1" customHeight="1">
      <c r="A262" s="16" t="s">
        <v>2881</v>
      </c>
      <c r="B262" s="17" t="s">
        <v>2865</v>
      </c>
      <c r="C262" s="17" t="s">
        <v>43</v>
      </c>
      <c r="D262" s="17" t="s">
        <v>191</v>
      </c>
      <c r="E262" s="17" t="s">
        <v>45</v>
      </c>
      <c r="F262" s="18">
        <v>1.0</v>
      </c>
      <c r="G262" s="18"/>
      <c r="H262" s="18"/>
      <c r="I262" s="18"/>
      <c r="J262" s="18"/>
      <c r="K262" s="18"/>
      <c r="L262" s="18"/>
      <c r="M262" s="17" t="s">
        <v>50</v>
      </c>
      <c r="N262" s="17" t="s">
        <v>45</v>
      </c>
      <c r="O262" s="17" t="s">
        <v>160</v>
      </c>
      <c r="P262" s="17" t="s">
        <v>161</v>
      </c>
      <c r="Q262" s="17" t="s">
        <v>162</v>
      </c>
      <c r="R262" s="17" t="s">
        <v>74</v>
      </c>
      <c r="S262" s="18">
        <v>79.0</v>
      </c>
      <c r="T262" s="11">
        <v>2.49</v>
      </c>
      <c r="U262" s="18" t="s">
        <v>51</v>
      </c>
      <c r="V262" s="17" t="s">
        <v>50</v>
      </c>
      <c r="W262" s="17" t="s">
        <v>50</v>
      </c>
      <c r="X262" s="17" t="s">
        <v>50</v>
      </c>
      <c r="Y262" s="17" t="s">
        <v>50</v>
      </c>
      <c r="Z262" s="17" t="s">
        <v>50</v>
      </c>
      <c r="AA262" s="17" t="s">
        <v>50</v>
      </c>
      <c r="AB262" s="17" t="s">
        <v>50</v>
      </c>
      <c r="AC262" s="17" t="s">
        <v>50</v>
      </c>
      <c r="AD262" s="17" t="s">
        <v>50</v>
      </c>
      <c r="AE262" s="17" t="s">
        <v>50</v>
      </c>
      <c r="AF262" s="17" t="s">
        <v>50</v>
      </c>
      <c r="AG262" s="17" t="s">
        <v>50</v>
      </c>
      <c r="AH262" s="17" t="s">
        <v>50</v>
      </c>
      <c r="AI262" s="17" t="s">
        <v>50</v>
      </c>
      <c r="AJ262" s="17" t="s">
        <v>50</v>
      </c>
      <c r="AK262" s="17" t="s">
        <v>50</v>
      </c>
      <c r="AL262" s="17" t="s">
        <v>50</v>
      </c>
      <c r="AM262" s="17" t="s">
        <v>50</v>
      </c>
      <c r="AN262" s="17" t="s">
        <v>50</v>
      </c>
      <c r="AO262" s="18" t="s">
        <v>50</v>
      </c>
      <c r="AP262" s="17" t="s">
        <v>50</v>
      </c>
      <c r="AQ262" s="17" t="s">
        <v>50</v>
      </c>
      <c r="AR262" s="17" t="s">
        <v>50</v>
      </c>
      <c r="AS262" s="17" t="s">
        <v>50</v>
      </c>
      <c r="AT262" s="17" t="s">
        <v>50</v>
      </c>
      <c r="AU262" s="17" t="s">
        <v>50</v>
      </c>
      <c r="AV262" s="18"/>
      <c r="AW262" s="17" t="s">
        <v>66</v>
      </c>
      <c r="AX262" s="17"/>
      <c r="AY262" s="17" t="s">
        <v>66</v>
      </c>
    </row>
    <row r="263" ht="22.5" hidden="1" customHeight="1">
      <c r="A263" s="16" t="s">
        <v>2882</v>
      </c>
      <c r="B263" s="17" t="s">
        <v>2883</v>
      </c>
      <c r="C263" s="17" t="s">
        <v>43</v>
      </c>
      <c r="D263" s="17" t="s">
        <v>191</v>
      </c>
      <c r="E263" s="17" t="s">
        <v>45</v>
      </c>
      <c r="F263" s="18">
        <v>1.0</v>
      </c>
      <c r="G263" s="18"/>
      <c r="H263" s="18"/>
      <c r="I263" s="18"/>
      <c r="J263" s="18"/>
      <c r="K263" s="18"/>
      <c r="L263" s="18"/>
      <c r="M263" s="17" t="s">
        <v>50</v>
      </c>
      <c r="N263" s="17" t="s">
        <v>45</v>
      </c>
      <c r="O263" s="17" t="s">
        <v>176</v>
      </c>
      <c r="P263" s="17" t="s">
        <v>177</v>
      </c>
      <c r="Q263" s="17" t="s">
        <v>178</v>
      </c>
      <c r="R263" s="17" t="s">
        <v>74</v>
      </c>
      <c r="S263" s="18">
        <v>43.7</v>
      </c>
      <c r="T263" s="18">
        <v>22.58</v>
      </c>
      <c r="U263" s="18" t="s">
        <v>51</v>
      </c>
      <c r="V263" s="17" t="s">
        <v>50</v>
      </c>
      <c r="W263" s="17" t="s">
        <v>50</v>
      </c>
      <c r="X263" s="17" t="s">
        <v>50</v>
      </c>
      <c r="Y263" s="17" t="s">
        <v>50</v>
      </c>
      <c r="Z263" s="17" t="s">
        <v>50</v>
      </c>
      <c r="AA263" s="17" t="s">
        <v>50</v>
      </c>
      <c r="AB263" s="17" t="s">
        <v>50</v>
      </c>
      <c r="AC263" s="17" t="s">
        <v>50</v>
      </c>
      <c r="AD263" s="17" t="s">
        <v>50</v>
      </c>
      <c r="AE263" s="17" t="s">
        <v>50</v>
      </c>
      <c r="AF263" s="17" t="s">
        <v>50</v>
      </c>
      <c r="AG263" s="17" t="s">
        <v>50</v>
      </c>
      <c r="AH263" s="17" t="s">
        <v>50</v>
      </c>
      <c r="AI263" s="17" t="s">
        <v>50</v>
      </c>
      <c r="AJ263" s="17" t="s">
        <v>50</v>
      </c>
      <c r="AK263" s="17" t="s">
        <v>50</v>
      </c>
      <c r="AL263" s="17" t="s">
        <v>50</v>
      </c>
      <c r="AM263" s="17" t="s">
        <v>50</v>
      </c>
      <c r="AN263" s="17" t="s">
        <v>50</v>
      </c>
      <c r="AO263" s="18" t="s">
        <v>50</v>
      </c>
      <c r="AP263" s="17" t="s">
        <v>50</v>
      </c>
      <c r="AQ263" s="17" t="s">
        <v>50</v>
      </c>
      <c r="AR263" s="17" t="s">
        <v>50</v>
      </c>
      <c r="AS263" s="17" t="s">
        <v>50</v>
      </c>
      <c r="AT263" s="17" t="s">
        <v>50</v>
      </c>
      <c r="AU263" s="17" t="s">
        <v>50</v>
      </c>
      <c r="AV263" s="18"/>
      <c r="AW263" s="17" t="s">
        <v>66</v>
      </c>
      <c r="AX263" s="17"/>
      <c r="AY263" s="17" t="s">
        <v>66</v>
      </c>
    </row>
    <row r="264" ht="22.5" hidden="1" customHeight="1">
      <c r="A264" s="16" t="s">
        <v>2884</v>
      </c>
      <c r="B264" s="17" t="s">
        <v>2883</v>
      </c>
      <c r="C264" s="17" t="s">
        <v>43</v>
      </c>
      <c r="D264" s="17" t="s">
        <v>191</v>
      </c>
      <c r="E264" s="17" t="s">
        <v>45</v>
      </c>
      <c r="F264" s="18">
        <v>1.0</v>
      </c>
      <c r="G264" s="18"/>
      <c r="H264" s="18"/>
      <c r="I264" s="18"/>
      <c r="J264" s="18"/>
      <c r="K264" s="18"/>
      <c r="L264" s="18"/>
      <c r="M264" s="17" t="s">
        <v>50</v>
      </c>
      <c r="N264" s="17" t="s">
        <v>45</v>
      </c>
      <c r="O264" s="17" t="s">
        <v>1106</v>
      </c>
      <c r="P264" s="17" t="s">
        <v>1107</v>
      </c>
      <c r="Q264" s="17" t="s">
        <v>1108</v>
      </c>
      <c r="R264" s="17" t="s">
        <v>74</v>
      </c>
      <c r="S264" s="18">
        <v>88.35</v>
      </c>
      <c r="T264" s="18">
        <v>6.87</v>
      </c>
      <c r="U264" s="18" t="s">
        <v>51</v>
      </c>
      <c r="V264" s="17" t="s">
        <v>50</v>
      </c>
      <c r="W264" s="17" t="s">
        <v>50</v>
      </c>
      <c r="X264" s="17" t="s">
        <v>50</v>
      </c>
      <c r="Y264" s="17" t="s">
        <v>50</v>
      </c>
      <c r="Z264" s="17" t="s">
        <v>50</v>
      </c>
      <c r="AA264" s="17" t="s">
        <v>50</v>
      </c>
      <c r="AB264" s="17" t="s">
        <v>50</v>
      </c>
      <c r="AC264" s="17" t="s">
        <v>50</v>
      </c>
      <c r="AD264" s="17" t="s">
        <v>50</v>
      </c>
      <c r="AE264" s="17" t="s">
        <v>50</v>
      </c>
      <c r="AF264" s="17" t="s">
        <v>50</v>
      </c>
      <c r="AG264" s="17" t="s">
        <v>50</v>
      </c>
      <c r="AH264" s="17" t="s">
        <v>50</v>
      </c>
      <c r="AI264" s="17" t="s">
        <v>50</v>
      </c>
      <c r="AJ264" s="17" t="s">
        <v>50</v>
      </c>
      <c r="AK264" s="17" t="s">
        <v>50</v>
      </c>
      <c r="AL264" s="17" t="s">
        <v>50</v>
      </c>
      <c r="AM264" s="17" t="s">
        <v>50</v>
      </c>
      <c r="AN264" s="17" t="s">
        <v>50</v>
      </c>
      <c r="AO264" s="18" t="s">
        <v>50</v>
      </c>
      <c r="AP264" s="17" t="s">
        <v>50</v>
      </c>
      <c r="AQ264" s="17" t="s">
        <v>50</v>
      </c>
      <c r="AR264" s="17" t="s">
        <v>50</v>
      </c>
      <c r="AS264" s="17" t="s">
        <v>50</v>
      </c>
      <c r="AT264" s="17" t="s">
        <v>50</v>
      </c>
      <c r="AU264" s="17" t="s">
        <v>50</v>
      </c>
      <c r="AV264" s="18"/>
      <c r="AW264" s="17" t="s">
        <v>66</v>
      </c>
      <c r="AX264" s="17"/>
      <c r="AY264" s="17" t="s">
        <v>66</v>
      </c>
    </row>
    <row r="265" ht="22.5" hidden="1" customHeight="1">
      <c r="A265" s="9" t="s">
        <v>2885</v>
      </c>
      <c r="B265" s="10" t="s">
        <v>2886</v>
      </c>
      <c r="C265" s="10" t="s">
        <v>43</v>
      </c>
      <c r="D265" s="10" t="s">
        <v>1398</v>
      </c>
      <c r="E265" s="10" t="s">
        <v>66</v>
      </c>
      <c r="F265" s="11">
        <v>1.0</v>
      </c>
      <c r="G265" s="11">
        <v>80.5</v>
      </c>
      <c r="H265" s="11"/>
      <c r="I265" s="11">
        <v>-15.3</v>
      </c>
      <c r="J265" s="11">
        <v>-19.95</v>
      </c>
      <c r="K265" s="11"/>
      <c r="L265" s="11">
        <v>45.25</v>
      </c>
      <c r="M265" s="10" t="s">
        <v>46</v>
      </c>
      <c r="N265" s="10" t="s">
        <v>50</v>
      </c>
      <c r="O265" s="10" t="s">
        <v>47</v>
      </c>
      <c r="P265" s="10" t="s">
        <v>48</v>
      </c>
      <c r="Q265" s="10" t="s">
        <v>49</v>
      </c>
      <c r="R265" s="10" t="s">
        <v>50</v>
      </c>
      <c r="S265" s="11">
        <v>80.5</v>
      </c>
      <c r="T265" s="11">
        <v>12.45</v>
      </c>
      <c r="U265" s="11" t="s">
        <v>51</v>
      </c>
      <c r="V265" s="10" t="s">
        <v>52</v>
      </c>
      <c r="W265" s="10" t="s">
        <v>2887</v>
      </c>
      <c r="X265" s="10" t="s">
        <v>2888</v>
      </c>
      <c r="Y265" s="10" t="s">
        <v>2889</v>
      </c>
      <c r="Z265" s="10" t="s">
        <v>50</v>
      </c>
      <c r="AA265" s="10" t="s">
        <v>50</v>
      </c>
      <c r="AB265" s="10" t="s">
        <v>2887</v>
      </c>
      <c r="AC265" s="10" t="s">
        <v>2890</v>
      </c>
      <c r="AD265" s="10" t="s">
        <v>2891</v>
      </c>
      <c r="AE265" s="10" t="s">
        <v>492</v>
      </c>
      <c r="AF265" s="10" t="s">
        <v>58</v>
      </c>
      <c r="AG265" s="10" t="s">
        <v>2892</v>
      </c>
      <c r="AH265" s="10" t="s">
        <v>60</v>
      </c>
      <c r="AI265" s="10" t="s">
        <v>61</v>
      </c>
      <c r="AJ265" s="10" t="s">
        <v>1619</v>
      </c>
      <c r="AK265" s="10" t="s">
        <v>2893</v>
      </c>
      <c r="AL265" s="10" t="s">
        <v>64</v>
      </c>
      <c r="AM265" s="10" t="s">
        <v>2894</v>
      </c>
      <c r="AN265" s="10" t="s">
        <v>50</v>
      </c>
      <c r="AO265" s="11" t="s">
        <v>50</v>
      </c>
      <c r="AP265" s="10" t="s">
        <v>50</v>
      </c>
      <c r="AQ265" s="10" t="s">
        <v>50</v>
      </c>
      <c r="AR265" s="10" t="s">
        <v>50</v>
      </c>
      <c r="AS265" s="10" t="s">
        <v>50</v>
      </c>
      <c r="AT265" s="10" t="s">
        <v>50</v>
      </c>
      <c r="AU265" s="10" t="s">
        <v>50</v>
      </c>
      <c r="AV265" s="11"/>
      <c r="AW265" s="10" t="s">
        <v>66</v>
      </c>
      <c r="AX265" s="10"/>
      <c r="AY265" s="10" t="s">
        <v>66</v>
      </c>
    </row>
    <row r="266" ht="22.5" hidden="1" customHeight="1">
      <c r="A266" s="9" t="s">
        <v>2895</v>
      </c>
      <c r="B266" s="10" t="s">
        <v>2896</v>
      </c>
      <c r="C266" s="10" t="s">
        <v>43</v>
      </c>
      <c r="D266" s="10" t="s">
        <v>1398</v>
      </c>
      <c r="E266" s="10" t="s">
        <v>66</v>
      </c>
      <c r="F266" s="11">
        <v>1.0</v>
      </c>
      <c r="G266" s="11">
        <v>82.5</v>
      </c>
      <c r="H266" s="11"/>
      <c r="I266" s="11">
        <v>-14.02</v>
      </c>
      <c r="J266" s="11">
        <v>-20.45</v>
      </c>
      <c r="K266" s="11"/>
      <c r="L266" s="11">
        <v>48.03</v>
      </c>
      <c r="M266" s="10" t="s">
        <v>46</v>
      </c>
      <c r="N266" s="10" t="s">
        <v>45</v>
      </c>
      <c r="O266" s="10" t="s">
        <v>412</v>
      </c>
      <c r="P266" s="10" t="s">
        <v>413</v>
      </c>
      <c r="Q266" s="10" t="s">
        <v>414</v>
      </c>
      <c r="R266" s="10" t="s">
        <v>415</v>
      </c>
      <c r="S266" s="11">
        <v>82.5</v>
      </c>
      <c r="T266" s="11">
        <v>10.05</v>
      </c>
      <c r="U266" s="11" t="s">
        <v>51</v>
      </c>
      <c r="V266" s="10" t="s">
        <v>52</v>
      </c>
      <c r="W266" s="10" t="s">
        <v>2897</v>
      </c>
      <c r="X266" s="10" t="s">
        <v>2898</v>
      </c>
      <c r="Y266" s="10" t="s">
        <v>2899</v>
      </c>
      <c r="Z266" s="10" t="s">
        <v>50</v>
      </c>
      <c r="AA266" s="10" t="s">
        <v>50</v>
      </c>
      <c r="AB266" s="10" t="s">
        <v>2897</v>
      </c>
      <c r="AC266" s="10" t="s">
        <v>2900</v>
      </c>
      <c r="AD266" s="10" t="s">
        <v>2901</v>
      </c>
      <c r="AE266" s="10" t="s">
        <v>1346</v>
      </c>
      <c r="AF266" s="10" t="s">
        <v>1347</v>
      </c>
      <c r="AG266" s="10" t="s">
        <v>2902</v>
      </c>
      <c r="AH266" s="10" t="s">
        <v>60</v>
      </c>
      <c r="AI266" s="10" t="s">
        <v>61</v>
      </c>
      <c r="AJ266" s="10" t="s">
        <v>1652</v>
      </c>
      <c r="AK266" s="10" t="s">
        <v>2903</v>
      </c>
      <c r="AL266" s="10" t="s">
        <v>64</v>
      </c>
      <c r="AM266" s="10" t="s">
        <v>2904</v>
      </c>
      <c r="AN266" s="10" t="s">
        <v>50</v>
      </c>
      <c r="AO266" s="11" t="s">
        <v>50</v>
      </c>
      <c r="AP266" s="10" t="s">
        <v>50</v>
      </c>
      <c r="AQ266" s="10" t="s">
        <v>50</v>
      </c>
      <c r="AR266" s="10" t="s">
        <v>50</v>
      </c>
      <c r="AS266" s="10" t="s">
        <v>50</v>
      </c>
      <c r="AT266" s="10" t="s">
        <v>50</v>
      </c>
      <c r="AU266" s="10" t="s">
        <v>50</v>
      </c>
      <c r="AV266" s="11"/>
      <c r="AW266" s="10" t="s">
        <v>66</v>
      </c>
      <c r="AX266" s="10"/>
      <c r="AY266" s="10" t="s">
        <v>66</v>
      </c>
    </row>
    <row r="267" ht="22.5" hidden="1" customHeight="1">
      <c r="A267" s="9" t="s">
        <v>2905</v>
      </c>
      <c r="B267" s="10" t="s">
        <v>2906</v>
      </c>
      <c r="C267" s="10" t="s">
        <v>43</v>
      </c>
      <c r="D267" s="10" t="s">
        <v>1398</v>
      </c>
      <c r="E267" s="10" t="s">
        <v>66</v>
      </c>
      <c r="F267" s="11">
        <v>1.0</v>
      </c>
      <c r="G267" s="11">
        <v>43.7</v>
      </c>
      <c r="H267" s="11">
        <v>11.11</v>
      </c>
      <c r="I267" s="11">
        <v>-13.43</v>
      </c>
      <c r="J267" s="11">
        <v>-11.11</v>
      </c>
      <c r="K267" s="11"/>
      <c r="L267" s="11">
        <v>32.89</v>
      </c>
      <c r="M267" s="10" t="s">
        <v>46</v>
      </c>
      <c r="N267" s="10" t="s">
        <v>45</v>
      </c>
      <c r="O267" s="10" t="s">
        <v>176</v>
      </c>
      <c r="P267" s="10" t="s">
        <v>177</v>
      </c>
      <c r="Q267" s="10" t="s">
        <v>178</v>
      </c>
      <c r="R267" s="10" t="s">
        <v>74</v>
      </c>
      <c r="S267" s="11">
        <v>43.7</v>
      </c>
      <c r="T267" s="11">
        <v>22.58</v>
      </c>
      <c r="U267" s="11" t="s">
        <v>51</v>
      </c>
      <c r="V267" s="10" t="s">
        <v>52</v>
      </c>
      <c r="W267" s="10" t="s">
        <v>2907</v>
      </c>
      <c r="X267" s="10" t="s">
        <v>2908</v>
      </c>
      <c r="Y267" s="10" t="s">
        <v>2909</v>
      </c>
      <c r="Z267" s="10" t="s">
        <v>50</v>
      </c>
      <c r="AA267" s="10" t="s">
        <v>50</v>
      </c>
      <c r="AB267" s="10" t="s">
        <v>2907</v>
      </c>
      <c r="AC267" s="10" t="s">
        <v>2910</v>
      </c>
      <c r="AD267" s="10" t="s">
        <v>2911</v>
      </c>
      <c r="AE267" s="10" t="s">
        <v>857</v>
      </c>
      <c r="AF267" s="10" t="s">
        <v>58</v>
      </c>
      <c r="AG267" s="10" t="s">
        <v>2912</v>
      </c>
      <c r="AH267" s="10" t="s">
        <v>60</v>
      </c>
      <c r="AI267" s="10" t="s">
        <v>61</v>
      </c>
      <c r="AJ267" s="10" t="s">
        <v>1406</v>
      </c>
      <c r="AK267" s="10" t="s">
        <v>2913</v>
      </c>
      <c r="AL267" s="10" t="s">
        <v>64</v>
      </c>
      <c r="AM267" s="10" t="s">
        <v>2914</v>
      </c>
      <c r="AN267" s="10" t="s">
        <v>50</v>
      </c>
      <c r="AO267" s="11" t="s">
        <v>50</v>
      </c>
      <c r="AP267" s="10" t="s">
        <v>50</v>
      </c>
      <c r="AQ267" s="10" t="s">
        <v>50</v>
      </c>
      <c r="AR267" s="10" t="s">
        <v>50</v>
      </c>
      <c r="AS267" s="10" t="s">
        <v>50</v>
      </c>
      <c r="AT267" s="10" t="s">
        <v>50</v>
      </c>
      <c r="AU267" s="10" t="s">
        <v>50</v>
      </c>
      <c r="AV267" s="11"/>
      <c r="AW267" s="10" t="s">
        <v>66</v>
      </c>
      <c r="AX267" s="10"/>
      <c r="AY267" s="10" t="s">
        <v>66</v>
      </c>
    </row>
    <row r="268" ht="22.5" hidden="1" customHeight="1">
      <c r="A268" s="12" t="s">
        <v>2915</v>
      </c>
      <c r="B268" s="13" t="s">
        <v>2916</v>
      </c>
      <c r="C268" s="13" t="s">
        <v>2866</v>
      </c>
      <c r="D268" s="13" t="s">
        <v>50</v>
      </c>
      <c r="E268" s="13" t="s">
        <v>50</v>
      </c>
      <c r="F268" s="14"/>
      <c r="G268" s="14">
        <v>175.02</v>
      </c>
      <c r="H268" s="14"/>
      <c r="I268" s="14">
        <v>-53.76</v>
      </c>
      <c r="J268" s="14"/>
      <c r="K268" s="14"/>
      <c r="L268" s="14">
        <v>131.32</v>
      </c>
      <c r="M268" s="13" t="s">
        <v>46</v>
      </c>
      <c r="N268" s="13" t="s">
        <v>50</v>
      </c>
      <c r="O268" s="13" t="s">
        <v>50</v>
      </c>
      <c r="P268" s="13" t="s">
        <v>50</v>
      </c>
      <c r="Q268" s="13" t="s">
        <v>50</v>
      </c>
      <c r="R268" s="13" t="s">
        <v>50</v>
      </c>
      <c r="S268" s="14"/>
      <c r="T268" s="11"/>
      <c r="U268" s="14" t="s">
        <v>50</v>
      </c>
      <c r="V268" s="13" t="s">
        <v>52</v>
      </c>
      <c r="W268" s="13" t="s">
        <v>2917</v>
      </c>
      <c r="X268" s="13" t="s">
        <v>2918</v>
      </c>
      <c r="Y268" s="13" t="s">
        <v>2919</v>
      </c>
      <c r="Z268" s="13" t="s">
        <v>50</v>
      </c>
      <c r="AA268" s="13" t="s">
        <v>50</v>
      </c>
      <c r="AB268" s="13" t="s">
        <v>2917</v>
      </c>
      <c r="AC268" s="13" t="s">
        <v>2920</v>
      </c>
      <c r="AD268" s="13" t="s">
        <v>2921</v>
      </c>
      <c r="AE268" s="13" t="s">
        <v>58</v>
      </c>
      <c r="AF268" s="13" t="s">
        <v>58</v>
      </c>
      <c r="AG268" s="13" t="s">
        <v>2922</v>
      </c>
      <c r="AH268" s="13" t="s">
        <v>60</v>
      </c>
      <c r="AI268" s="13" t="s">
        <v>61</v>
      </c>
      <c r="AJ268" s="13" t="s">
        <v>1619</v>
      </c>
      <c r="AK268" s="13" t="s">
        <v>2923</v>
      </c>
      <c r="AL268" s="13" t="s">
        <v>64</v>
      </c>
      <c r="AM268" s="13" t="s">
        <v>2924</v>
      </c>
      <c r="AN268" s="13" t="s">
        <v>50</v>
      </c>
      <c r="AO268" s="15" t="s">
        <v>50</v>
      </c>
      <c r="AP268" s="13" t="s">
        <v>50</v>
      </c>
      <c r="AQ268" s="13" t="s">
        <v>50</v>
      </c>
      <c r="AR268" s="13" t="s">
        <v>50</v>
      </c>
      <c r="AS268" s="13" t="s">
        <v>50</v>
      </c>
      <c r="AT268" s="13" t="s">
        <v>50</v>
      </c>
      <c r="AU268" s="13" t="s">
        <v>50</v>
      </c>
      <c r="AV268" s="15"/>
      <c r="AW268" s="13" t="s">
        <v>50</v>
      </c>
      <c r="AX268" s="13"/>
      <c r="AY268" s="13" t="s">
        <v>50</v>
      </c>
    </row>
    <row r="269" ht="22.5" hidden="1" customHeight="1">
      <c r="A269" s="16" t="s">
        <v>2925</v>
      </c>
      <c r="B269" s="17" t="s">
        <v>2916</v>
      </c>
      <c r="C269" s="17" t="s">
        <v>43</v>
      </c>
      <c r="D269" s="17" t="s">
        <v>1398</v>
      </c>
      <c r="E269" s="17" t="s">
        <v>45</v>
      </c>
      <c r="F269" s="18">
        <v>1.0</v>
      </c>
      <c r="G269" s="18"/>
      <c r="H269" s="18"/>
      <c r="I269" s="18"/>
      <c r="J269" s="18"/>
      <c r="K269" s="18"/>
      <c r="L269" s="18"/>
      <c r="M269" s="17" t="s">
        <v>50</v>
      </c>
      <c r="N269" s="17" t="s">
        <v>45</v>
      </c>
      <c r="O269" s="17" t="s">
        <v>2926</v>
      </c>
      <c r="P269" s="17" t="s">
        <v>2927</v>
      </c>
      <c r="Q269" s="17" t="s">
        <v>2928</v>
      </c>
      <c r="R269" s="17" t="s">
        <v>74</v>
      </c>
      <c r="S269" s="18">
        <v>35.15</v>
      </c>
      <c r="T269" s="11">
        <v>2.49</v>
      </c>
      <c r="U269" s="18" t="s">
        <v>51</v>
      </c>
      <c r="V269" s="17" t="s">
        <v>50</v>
      </c>
      <c r="W269" s="17" t="s">
        <v>50</v>
      </c>
      <c r="X269" s="17" t="s">
        <v>50</v>
      </c>
      <c r="Y269" s="17" t="s">
        <v>50</v>
      </c>
      <c r="Z269" s="17" t="s">
        <v>50</v>
      </c>
      <c r="AA269" s="17" t="s">
        <v>50</v>
      </c>
      <c r="AB269" s="17" t="s">
        <v>50</v>
      </c>
      <c r="AC269" s="17" t="s">
        <v>50</v>
      </c>
      <c r="AD269" s="17" t="s">
        <v>50</v>
      </c>
      <c r="AE269" s="17" t="s">
        <v>50</v>
      </c>
      <c r="AF269" s="17" t="s">
        <v>50</v>
      </c>
      <c r="AG269" s="17" t="s">
        <v>50</v>
      </c>
      <c r="AH269" s="17" t="s">
        <v>50</v>
      </c>
      <c r="AI269" s="17" t="s">
        <v>50</v>
      </c>
      <c r="AJ269" s="17" t="s">
        <v>50</v>
      </c>
      <c r="AK269" s="17" t="s">
        <v>50</v>
      </c>
      <c r="AL269" s="17" t="s">
        <v>50</v>
      </c>
      <c r="AM269" s="17" t="s">
        <v>50</v>
      </c>
      <c r="AN269" s="17" t="s">
        <v>50</v>
      </c>
      <c r="AO269" s="18" t="s">
        <v>50</v>
      </c>
      <c r="AP269" s="17" t="s">
        <v>50</v>
      </c>
      <c r="AQ269" s="17" t="s">
        <v>50</v>
      </c>
      <c r="AR269" s="17" t="s">
        <v>50</v>
      </c>
      <c r="AS269" s="17" t="s">
        <v>50</v>
      </c>
      <c r="AT269" s="17" t="s">
        <v>50</v>
      </c>
      <c r="AU269" s="17" t="s">
        <v>50</v>
      </c>
      <c r="AV269" s="18"/>
      <c r="AW269" s="17" t="s">
        <v>66</v>
      </c>
      <c r="AX269" s="17"/>
      <c r="AY269" s="17" t="s">
        <v>66</v>
      </c>
    </row>
    <row r="270" ht="22.5" hidden="1" customHeight="1">
      <c r="A270" s="16" t="s">
        <v>2929</v>
      </c>
      <c r="B270" s="17" t="s">
        <v>2916</v>
      </c>
      <c r="C270" s="17" t="s">
        <v>43</v>
      </c>
      <c r="D270" s="17" t="s">
        <v>1398</v>
      </c>
      <c r="E270" s="17" t="s">
        <v>45</v>
      </c>
      <c r="F270" s="18">
        <v>1.0</v>
      </c>
      <c r="G270" s="18"/>
      <c r="H270" s="18"/>
      <c r="I270" s="18"/>
      <c r="J270" s="18"/>
      <c r="K270" s="18"/>
      <c r="L270" s="18"/>
      <c r="M270" s="17" t="s">
        <v>50</v>
      </c>
      <c r="N270" s="17" t="s">
        <v>45</v>
      </c>
      <c r="O270" s="17" t="s">
        <v>2930</v>
      </c>
      <c r="P270" s="17" t="s">
        <v>2931</v>
      </c>
      <c r="Q270" s="17" t="s">
        <v>2932</v>
      </c>
      <c r="R270" s="17" t="s">
        <v>2933</v>
      </c>
      <c r="S270" s="18">
        <v>43.92</v>
      </c>
      <c r="T270" s="18">
        <v>9.36</v>
      </c>
      <c r="U270" s="18" t="s">
        <v>51</v>
      </c>
      <c r="V270" s="17" t="s">
        <v>50</v>
      </c>
      <c r="W270" s="17" t="s">
        <v>50</v>
      </c>
      <c r="X270" s="17" t="s">
        <v>50</v>
      </c>
      <c r="Y270" s="17" t="s">
        <v>50</v>
      </c>
      <c r="Z270" s="17" t="s">
        <v>50</v>
      </c>
      <c r="AA270" s="17" t="s">
        <v>50</v>
      </c>
      <c r="AB270" s="17" t="s">
        <v>50</v>
      </c>
      <c r="AC270" s="17" t="s">
        <v>50</v>
      </c>
      <c r="AD270" s="17" t="s">
        <v>50</v>
      </c>
      <c r="AE270" s="17" t="s">
        <v>50</v>
      </c>
      <c r="AF270" s="17" t="s">
        <v>50</v>
      </c>
      <c r="AG270" s="17" t="s">
        <v>50</v>
      </c>
      <c r="AH270" s="17" t="s">
        <v>50</v>
      </c>
      <c r="AI270" s="17" t="s">
        <v>50</v>
      </c>
      <c r="AJ270" s="17" t="s">
        <v>50</v>
      </c>
      <c r="AK270" s="17" t="s">
        <v>50</v>
      </c>
      <c r="AL270" s="17" t="s">
        <v>50</v>
      </c>
      <c r="AM270" s="17" t="s">
        <v>50</v>
      </c>
      <c r="AN270" s="17" t="s">
        <v>50</v>
      </c>
      <c r="AO270" s="18" t="s">
        <v>50</v>
      </c>
      <c r="AP270" s="17" t="s">
        <v>50</v>
      </c>
      <c r="AQ270" s="17" t="s">
        <v>50</v>
      </c>
      <c r="AR270" s="17" t="s">
        <v>50</v>
      </c>
      <c r="AS270" s="17" t="s">
        <v>50</v>
      </c>
      <c r="AT270" s="17" t="s">
        <v>50</v>
      </c>
      <c r="AU270" s="17" t="s">
        <v>50</v>
      </c>
      <c r="AV270" s="18"/>
      <c r="AW270" s="17" t="s">
        <v>66</v>
      </c>
      <c r="AX270" s="17"/>
      <c r="AY270" s="17" t="s">
        <v>66</v>
      </c>
    </row>
    <row r="271" ht="22.5" hidden="1" customHeight="1">
      <c r="A271" s="16" t="s">
        <v>2934</v>
      </c>
      <c r="B271" s="17" t="s">
        <v>2916</v>
      </c>
      <c r="C271" s="17" t="s">
        <v>43</v>
      </c>
      <c r="D271" s="17" t="s">
        <v>1398</v>
      </c>
      <c r="E271" s="17" t="s">
        <v>45</v>
      </c>
      <c r="F271" s="18">
        <v>1.0</v>
      </c>
      <c r="G271" s="18"/>
      <c r="H271" s="18"/>
      <c r="I271" s="18"/>
      <c r="J271" s="18"/>
      <c r="K271" s="18"/>
      <c r="L271" s="18"/>
      <c r="M271" s="17" t="s">
        <v>50</v>
      </c>
      <c r="N271" s="17" t="s">
        <v>45</v>
      </c>
      <c r="O271" s="17" t="s">
        <v>888</v>
      </c>
      <c r="P271" s="17" t="s">
        <v>889</v>
      </c>
      <c r="Q271" s="17" t="s">
        <v>890</v>
      </c>
      <c r="R271" s="17" t="s">
        <v>74</v>
      </c>
      <c r="S271" s="18">
        <v>46.55</v>
      </c>
      <c r="T271" s="18">
        <v>16.46</v>
      </c>
      <c r="U271" s="18" t="s">
        <v>51</v>
      </c>
      <c r="V271" s="17" t="s">
        <v>50</v>
      </c>
      <c r="W271" s="17" t="s">
        <v>50</v>
      </c>
      <c r="X271" s="17" t="s">
        <v>50</v>
      </c>
      <c r="Y271" s="17" t="s">
        <v>50</v>
      </c>
      <c r="Z271" s="17" t="s">
        <v>50</v>
      </c>
      <c r="AA271" s="17" t="s">
        <v>50</v>
      </c>
      <c r="AB271" s="17" t="s">
        <v>50</v>
      </c>
      <c r="AC271" s="17" t="s">
        <v>50</v>
      </c>
      <c r="AD271" s="17" t="s">
        <v>50</v>
      </c>
      <c r="AE271" s="17" t="s">
        <v>50</v>
      </c>
      <c r="AF271" s="17" t="s">
        <v>50</v>
      </c>
      <c r="AG271" s="17" t="s">
        <v>50</v>
      </c>
      <c r="AH271" s="17" t="s">
        <v>50</v>
      </c>
      <c r="AI271" s="17" t="s">
        <v>50</v>
      </c>
      <c r="AJ271" s="17" t="s">
        <v>50</v>
      </c>
      <c r="AK271" s="17" t="s">
        <v>50</v>
      </c>
      <c r="AL271" s="17" t="s">
        <v>50</v>
      </c>
      <c r="AM271" s="17" t="s">
        <v>50</v>
      </c>
      <c r="AN271" s="17" t="s">
        <v>50</v>
      </c>
      <c r="AO271" s="18" t="s">
        <v>50</v>
      </c>
      <c r="AP271" s="17" t="s">
        <v>50</v>
      </c>
      <c r="AQ271" s="17" t="s">
        <v>50</v>
      </c>
      <c r="AR271" s="17" t="s">
        <v>50</v>
      </c>
      <c r="AS271" s="17" t="s">
        <v>50</v>
      </c>
      <c r="AT271" s="17" t="s">
        <v>50</v>
      </c>
      <c r="AU271" s="17" t="s">
        <v>50</v>
      </c>
      <c r="AV271" s="18"/>
      <c r="AW271" s="17" t="s">
        <v>66</v>
      </c>
      <c r="AX271" s="17"/>
      <c r="AY271" s="17" t="s">
        <v>66</v>
      </c>
    </row>
    <row r="272" ht="22.5" hidden="1" customHeight="1">
      <c r="A272" s="16" t="s">
        <v>2935</v>
      </c>
      <c r="B272" s="17" t="s">
        <v>2916</v>
      </c>
      <c r="C272" s="17" t="s">
        <v>43</v>
      </c>
      <c r="D272" s="17" t="s">
        <v>1398</v>
      </c>
      <c r="E272" s="17" t="s">
        <v>45</v>
      </c>
      <c r="F272" s="18">
        <v>1.0</v>
      </c>
      <c r="G272" s="18"/>
      <c r="H272" s="18"/>
      <c r="I272" s="18"/>
      <c r="J272" s="18"/>
      <c r="K272" s="18"/>
      <c r="L272" s="18"/>
      <c r="M272" s="17" t="s">
        <v>50</v>
      </c>
      <c r="N272" s="17" t="s">
        <v>45</v>
      </c>
      <c r="O272" s="17" t="s">
        <v>2936</v>
      </c>
      <c r="P272" s="17" t="s">
        <v>2937</v>
      </c>
      <c r="Q272" s="17" t="s">
        <v>2938</v>
      </c>
      <c r="R272" s="17" t="s">
        <v>74</v>
      </c>
      <c r="S272" s="18">
        <v>49.4</v>
      </c>
      <c r="T272" s="18">
        <v>6.59</v>
      </c>
      <c r="U272" s="18" t="s">
        <v>51</v>
      </c>
      <c r="V272" s="17" t="s">
        <v>50</v>
      </c>
      <c r="W272" s="17" t="s">
        <v>50</v>
      </c>
      <c r="X272" s="17" t="s">
        <v>50</v>
      </c>
      <c r="Y272" s="17" t="s">
        <v>50</v>
      </c>
      <c r="Z272" s="17" t="s">
        <v>50</v>
      </c>
      <c r="AA272" s="17" t="s">
        <v>50</v>
      </c>
      <c r="AB272" s="17" t="s">
        <v>50</v>
      </c>
      <c r="AC272" s="17" t="s">
        <v>50</v>
      </c>
      <c r="AD272" s="17" t="s">
        <v>50</v>
      </c>
      <c r="AE272" s="17" t="s">
        <v>50</v>
      </c>
      <c r="AF272" s="17" t="s">
        <v>50</v>
      </c>
      <c r="AG272" s="17" t="s">
        <v>50</v>
      </c>
      <c r="AH272" s="17" t="s">
        <v>50</v>
      </c>
      <c r="AI272" s="17" t="s">
        <v>50</v>
      </c>
      <c r="AJ272" s="17" t="s">
        <v>50</v>
      </c>
      <c r="AK272" s="17" t="s">
        <v>50</v>
      </c>
      <c r="AL272" s="17" t="s">
        <v>50</v>
      </c>
      <c r="AM272" s="17" t="s">
        <v>50</v>
      </c>
      <c r="AN272" s="17" t="s">
        <v>50</v>
      </c>
      <c r="AO272" s="18" t="s">
        <v>50</v>
      </c>
      <c r="AP272" s="17" t="s">
        <v>50</v>
      </c>
      <c r="AQ272" s="17" t="s">
        <v>50</v>
      </c>
      <c r="AR272" s="17" t="s">
        <v>50</v>
      </c>
      <c r="AS272" s="17" t="s">
        <v>50</v>
      </c>
      <c r="AT272" s="17" t="s">
        <v>50</v>
      </c>
      <c r="AU272" s="17" t="s">
        <v>50</v>
      </c>
      <c r="AV272" s="18"/>
      <c r="AW272" s="17" t="s">
        <v>66</v>
      </c>
      <c r="AX272" s="17"/>
      <c r="AY272" s="17" t="s">
        <v>66</v>
      </c>
    </row>
    <row r="273" ht="22.5" hidden="1" customHeight="1">
      <c r="A273" s="9" t="s">
        <v>2939</v>
      </c>
      <c r="B273" s="10" t="s">
        <v>2940</v>
      </c>
      <c r="C273" s="10" t="s">
        <v>43</v>
      </c>
      <c r="D273" s="10" t="s">
        <v>1398</v>
      </c>
      <c r="E273" s="10" t="s">
        <v>45</v>
      </c>
      <c r="F273" s="11">
        <v>2.0</v>
      </c>
      <c r="G273" s="11">
        <v>87.4</v>
      </c>
      <c r="H273" s="11"/>
      <c r="I273" s="11">
        <v>-26.86</v>
      </c>
      <c r="J273" s="11"/>
      <c r="K273" s="11"/>
      <c r="L273" s="11">
        <v>65.78</v>
      </c>
      <c r="M273" s="10" t="s">
        <v>46</v>
      </c>
      <c r="N273" s="10" t="s">
        <v>50</v>
      </c>
      <c r="O273" s="10" t="s">
        <v>176</v>
      </c>
      <c r="P273" s="10" t="s">
        <v>177</v>
      </c>
      <c r="Q273" s="10" t="s">
        <v>178</v>
      </c>
      <c r="R273" s="10" t="s">
        <v>74</v>
      </c>
      <c r="S273" s="11">
        <v>43.7</v>
      </c>
      <c r="T273" s="11">
        <f>2*22.58</f>
        <v>45.16</v>
      </c>
      <c r="U273" s="11" t="s">
        <v>51</v>
      </c>
      <c r="V273" s="10" t="s">
        <v>52</v>
      </c>
      <c r="W273" s="10" t="s">
        <v>2941</v>
      </c>
      <c r="X273" s="10" t="s">
        <v>2942</v>
      </c>
      <c r="Y273" s="10" t="s">
        <v>2943</v>
      </c>
      <c r="Z273" s="10" t="s">
        <v>50</v>
      </c>
      <c r="AA273" s="10" t="s">
        <v>50</v>
      </c>
      <c r="AB273" s="10" t="s">
        <v>2941</v>
      </c>
      <c r="AC273" s="10" t="s">
        <v>2944</v>
      </c>
      <c r="AD273" s="10" t="s">
        <v>2945</v>
      </c>
      <c r="AE273" s="10" t="s">
        <v>58</v>
      </c>
      <c r="AF273" s="10" t="s">
        <v>58</v>
      </c>
      <c r="AG273" s="10" t="s">
        <v>2946</v>
      </c>
      <c r="AH273" s="10" t="s">
        <v>60</v>
      </c>
      <c r="AI273" s="10" t="s">
        <v>61</v>
      </c>
      <c r="AJ273" s="10" t="s">
        <v>1619</v>
      </c>
      <c r="AK273" s="10" t="s">
        <v>2947</v>
      </c>
      <c r="AL273" s="10" t="s">
        <v>64</v>
      </c>
      <c r="AM273" s="10" t="s">
        <v>2948</v>
      </c>
      <c r="AN273" s="10" t="s">
        <v>50</v>
      </c>
      <c r="AO273" s="11" t="s">
        <v>50</v>
      </c>
      <c r="AP273" s="10" t="s">
        <v>50</v>
      </c>
      <c r="AQ273" s="10" t="s">
        <v>50</v>
      </c>
      <c r="AR273" s="10" t="s">
        <v>50</v>
      </c>
      <c r="AS273" s="10" t="s">
        <v>50</v>
      </c>
      <c r="AT273" s="10" t="s">
        <v>50</v>
      </c>
      <c r="AU273" s="10" t="s">
        <v>50</v>
      </c>
      <c r="AV273" s="11"/>
      <c r="AW273" s="10" t="s">
        <v>66</v>
      </c>
      <c r="AX273" s="10"/>
      <c r="AY273" s="10" t="s">
        <v>66</v>
      </c>
    </row>
    <row r="274" ht="22.5" hidden="1" customHeight="1">
      <c r="A274" s="9" t="s">
        <v>2949</v>
      </c>
      <c r="B274" s="10" t="s">
        <v>2950</v>
      </c>
      <c r="C274" s="10" t="s">
        <v>69</v>
      </c>
      <c r="D274" s="10" t="s">
        <v>70</v>
      </c>
      <c r="E274" s="10" t="s">
        <v>66</v>
      </c>
      <c r="F274" s="11">
        <v>1.0</v>
      </c>
      <c r="G274" s="11">
        <v>120.0</v>
      </c>
      <c r="H274" s="11"/>
      <c r="I274" s="11">
        <v>-20.4</v>
      </c>
      <c r="J274" s="11">
        <v>-19.95</v>
      </c>
      <c r="K274" s="11">
        <v>-86.85</v>
      </c>
      <c r="L274" s="11">
        <v>0.0</v>
      </c>
      <c r="M274" s="10" t="s">
        <v>46</v>
      </c>
      <c r="N274" s="10" t="s">
        <v>45</v>
      </c>
      <c r="O274" s="10" t="s">
        <v>85</v>
      </c>
      <c r="P274" s="10" t="s">
        <v>86</v>
      </c>
      <c r="Q274" s="10" t="s">
        <v>87</v>
      </c>
      <c r="R274" s="10" t="s">
        <v>74</v>
      </c>
      <c r="S274" s="11">
        <v>120.0</v>
      </c>
      <c r="T274" s="11"/>
      <c r="U274" s="11" t="s">
        <v>51</v>
      </c>
      <c r="V274" s="10" t="s">
        <v>52</v>
      </c>
      <c r="W274" s="10" t="s">
        <v>2951</v>
      </c>
      <c r="X274" s="10" t="s">
        <v>2952</v>
      </c>
      <c r="Y274" s="10" t="s">
        <v>2953</v>
      </c>
      <c r="Z274" s="10" t="s">
        <v>50</v>
      </c>
      <c r="AA274" s="10" t="s">
        <v>50</v>
      </c>
      <c r="AB274" s="10" t="s">
        <v>2951</v>
      </c>
      <c r="AC274" s="10" t="s">
        <v>2954</v>
      </c>
      <c r="AD274" s="10" t="s">
        <v>50</v>
      </c>
      <c r="AE274" s="10" t="s">
        <v>2955</v>
      </c>
      <c r="AF274" s="10" t="s">
        <v>58</v>
      </c>
      <c r="AG274" s="10" t="s">
        <v>2956</v>
      </c>
      <c r="AH274" s="10" t="s">
        <v>60</v>
      </c>
      <c r="AI274" s="10" t="s">
        <v>61</v>
      </c>
      <c r="AJ274" s="10" t="s">
        <v>50</v>
      </c>
      <c r="AK274" s="10" t="s">
        <v>50</v>
      </c>
      <c r="AL274" s="10" t="s">
        <v>64</v>
      </c>
      <c r="AM274" s="10" t="s">
        <v>2957</v>
      </c>
      <c r="AN274" s="10" t="s">
        <v>50</v>
      </c>
      <c r="AO274" s="11" t="s">
        <v>50</v>
      </c>
      <c r="AP274" s="10" t="s">
        <v>50</v>
      </c>
      <c r="AQ274" s="10" t="s">
        <v>50</v>
      </c>
      <c r="AR274" s="10" t="s">
        <v>50</v>
      </c>
      <c r="AS274" s="10" t="s">
        <v>50</v>
      </c>
      <c r="AT274" s="10" t="s">
        <v>50</v>
      </c>
      <c r="AU274" s="10" t="s">
        <v>50</v>
      </c>
      <c r="AV274" s="11"/>
      <c r="AW274" s="10" t="s">
        <v>66</v>
      </c>
      <c r="AX274" s="10"/>
      <c r="AY274" s="10" t="s">
        <v>66</v>
      </c>
    </row>
    <row r="275" ht="22.5" hidden="1" customHeight="1">
      <c r="A275" s="9" t="s">
        <v>2958</v>
      </c>
      <c r="B275" s="10" t="s">
        <v>2959</v>
      </c>
      <c r="C275" s="10" t="s">
        <v>43</v>
      </c>
      <c r="D275" s="10" t="s">
        <v>191</v>
      </c>
      <c r="E275" s="10" t="s">
        <v>66</v>
      </c>
      <c r="F275" s="11">
        <v>1.0</v>
      </c>
      <c r="G275" s="11">
        <v>43.7</v>
      </c>
      <c r="H275" s="11">
        <v>17.86</v>
      </c>
      <c r="I275" s="11">
        <v>-13.43</v>
      </c>
      <c r="J275" s="11">
        <v>-17.86</v>
      </c>
      <c r="K275" s="11"/>
      <c r="L275" s="11">
        <v>32.89</v>
      </c>
      <c r="M275" s="10" t="s">
        <v>46</v>
      </c>
      <c r="N275" s="10" t="s">
        <v>50</v>
      </c>
      <c r="O275" s="10" t="s">
        <v>176</v>
      </c>
      <c r="P275" s="10" t="s">
        <v>177</v>
      </c>
      <c r="Q275" s="10" t="s">
        <v>178</v>
      </c>
      <c r="R275" s="10" t="s">
        <v>74</v>
      </c>
      <c r="S275" s="11">
        <v>43.7</v>
      </c>
      <c r="T275" s="11">
        <v>22.58</v>
      </c>
      <c r="U275" s="11" t="s">
        <v>51</v>
      </c>
      <c r="V275" s="10" t="s">
        <v>52</v>
      </c>
      <c r="W275" s="10" t="s">
        <v>2960</v>
      </c>
      <c r="X275" s="10" t="s">
        <v>2961</v>
      </c>
      <c r="Y275" s="10" t="s">
        <v>2962</v>
      </c>
      <c r="Z275" s="10" t="s">
        <v>50</v>
      </c>
      <c r="AA275" s="10" t="s">
        <v>50</v>
      </c>
      <c r="AB275" s="10" t="s">
        <v>2960</v>
      </c>
      <c r="AC275" s="10" t="s">
        <v>2963</v>
      </c>
      <c r="AD275" s="10" t="s">
        <v>2964</v>
      </c>
      <c r="AE275" s="10" t="s">
        <v>2965</v>
      </c>
      <c r="AF275" s="10" t="s">
        <v>214</v>
      </c>
      <c r="AG275" s="10" t="s">
        <v>2966</v>
      </c>
      <c r="AH275" s="10" t="s">
        <v>60</v>
      </c>
      <c r="AI275" s="10" t="s">
        <v>61</v>
      </c>
      <c r="AJ275" s="10" t="s">
        <v>1359</v>
      </c>
      <c r="AK275" s="10" t="s">
        <v>2967</v>
      </c>
      <c r="AL275" s="10" t="s">
        <v>64</v>
      </c>
      <c r="AM275" s="10" t="s">
        <v>2968</v>
      </c>
      <c r="AN275" s="10" t="s">
        <v>50</v>
      </c>
      <c r="AO275" s="11" t="s">
        <v>50</v>
      </c>
      <c r="AP275" s="10" t="s">
        <v>50</v>
      </c>
      <c r="AQ275" s="10" t="s">
        <v>50</v>
      </c>
      <c r="AR275" s="10" t="s">
        <v>50</v>
      </c>
      <c r="AS275" s="10" t="s">
        <v>50</v>
      </c>
      <c r="AT275" s="10" t="s">
        <v>50</v>
      </c>
      <c r="AU275" s="10" t="s">
        <v>50</v>
      </c>
      <c r="AV275" s="11"/>
      <c r="AW275" s="10" t="s">
        <v>66</v>
      </c>
      <c r="AX275" s="10"/>
      <c r="AY275" s="10" t="s">
        <v>66</v>
      </c>
    </row>
    <row r="276" ht="22.5" hidden="1" customHeight="1">
      <c r="A276" s="9" t="s">
        <v>2969</v>
      </c>
      <c r="B276" s="10" t="s">
        <v>2959</v>
      </c>
      <c r="C276" s="10" t="s">
        <v>43</v>
      </c>
      <c r="D276" s="10" t="s">
        <v>125</v>
      </c>
      <c r="E276" s="10" t="s">
        <v>66</v>
      </c>
      <c r="F276" s="11">
        <v>1.0</v>
      </c>
      <c r="G276" s="11">
        <v>120.0</v>
      </c>
      <c r="H276" s="11"/>
      <c r="I276" s="11">
        <v>-20.4</v>
      </c>
      <c r="J276" s="11">
        <v>-19.95</v>
      </c>
      <c r="K276" s="11"/>
      <c r="L276" s="11">
        <v>86.85</v>
      </c>
      <c r="M276" s="10" t="s">
        <v>46</v>
      </c>
      <c r="N276" s="10" t="s">
        <v>45</v>
      </c>
      <c r="O276" s="10" t="s">
        <v>85</v>
      </c>
      <c r="P276" s="10" t="s">
        <v>86</v>
      </c>
      <c r="Q276" s="10" t="s">
        <v>87</v>
      </c>
      <c r="R276" s="10" t="s">
        <v>74</v>
      </c>
      <c r="S276" s="11">
        <v>120.0</v>
      </c>
      <c r="T276" s="11">
        <v>65.78</v>
      </c>
      <c r="U276" s="11" t="s">
        <v>51</v>
      </c>
      <c r="V276" s="10" t="s">
        <v>52</v>
      </c>
      <c r="W276" s="10" t="s">
        <v>2970</v>
      </c>
      <c r="X276" s="10" t="s">
        <v>2971</v>
      </c>
      <c r="Y276" s="10" t="s">
        <v>2972</v>
      </c>
      <c r="Z276" s="10" t="s">
        <v>50</v>
      </c>
      <c r="AA276" s="10" t="s">
        <v>50</v>
      </c>
      <c r="AB276" s="10" t="s">
        <v>2970</v>
      </c>
      <c r="AC276" s="10" t="s">
        <v>2973</v>
      </c>
      <c r="AD276" s="10" t="s">
        <v>2974</v>
      </c>
      <c r="AE276" s="10" t="s">
        <v>2975</v>
      </c>
      <c r="AF276" s="10" t="s">
        <v>2976</v>
      </c>
      <c r="AG276" s="10" t="s">
        <v>2977</v>
      </c>
      <c r="AH276" s="10" t="s">
        <v>60</v>
      </c>
      <c r="AI276" s="10" t="s">
        <v>61</v>
      </c>
      <c r="AJ276" s="10" t="s">
        <v>1439</v>
      </c>
      <c r="AK276" s="10" t="s">
        <v>2978</v>
      </c>
      <c r="AL276" s="10" t="s">
        <v>64</v>
      </c>
      <c r="AM276" s="10" t="s">
        <v>2979</v>
      </c>
      <c r="AN276" s="10" t="s">
        <v>2980</v>
      </c>
      <c r="AO276" s="11" t="s">
        <v>50</v>
      </c>
      <c r="AP276" s="10" t="s">
        <v>50</v>
      </c>
      <c r="AQ276" s="10" t="s">
        <v>50</v>
      </c>
      <c r="AR276" s="10" t="s">
        <v>50</v>
      </c>
      <c r="AS276" s="10" t="s">
        <v>50</v>
      </c>
      <c r="AT276" s="10" t="s">
        <v>50</v>
      </c>
      <c r="AU276" s="10" t="s">
        <v>50</v>
      </c>
      <c r="AV276" s="11"/>
      <c r="AW276" s="10" t="s">
        <v>66</v>
      </c>
      <c r="AX276" s="10"/>
      <c r="AY276" s="10" t="s">
        <v>66</v>
      </c>
    </row>
    <row r="277" ht="22.5" hidden="1" customHeight="1">
      <c r="A277" s="9" t="s">
        <v>2981</v>
      </c>
      <c r="B277" s="10" t="s">
        <v>2982</v>
      </c>
      <c r="C277" s="10" t="s">
        <v>43</v>
      </c>
      <c r="D277" s="10" t="s">
        <v>1398</v>
      </c>
      <c r="E277" s="10" t="s">
        <v>45</v>
      </c>
      <c r="F277" s="11">
        <v>1.0</v>
      </c>
      <c r="G277" s="11">
        <v>80.0</v>
      </c>
      <c r="H277" s="11"/>
      <c r="I277" s="11">
        <v>-9.6</v>
      </c>
      <c r="J277" s="11">
        <v>-20.45</v>
      </c>
      <c r="K277" s="11"/>
      <c r="L277" s="11">
        <v>49.95</v>
      </c>
      <c r="M277" s="10" t="s">
        <v>46</v>
      </c>
      <c r="N277" s="10" t="s">
        <v>45</v>
      </c>
      <c r="O277" s="10" t="s">
        <v>192</v>
      </c>
      <c r="P277" s="10" t="s">
        <v>193</v>
      </c>
      <c r="Q277" s="10" t="s">
        <v>162</v>
      </c>
      <c r="R277" s="10" t="s">
        <v>74</v>
      </c>
      <c r="S277" s="11">
        <v>80.0</v>
      </c>
      <c r="T277" s="11">
        <v>2.49</v>
      </c>
      <c r="U277" s="11" t="s">
        <v>194</v>
      </c>
      <c r="V277" s="10" t="s">
        <v>52</v>
      </c>
      <c r="W277" s="10" t="s">
        <v>2983</v>
      </c>
      <c r="X277" s="10" t="s">
        <v>2984</v>
      </c>
      <c r="Y277" s="10" t="s">
        <v>2985</v>
      </c>
      <c r="Z277" s="10" t="s">
        <v>50</v>
      </c>
      <c r="AA277" s="10" t="s">
        <v>50</v>
      </c>
      <c r="AB277" s="10" t="s">
        <v>2983</v>
      </c>
      <c r="AC277" s="10" t="s">
        <v>2986</v>
      </c>
      <c r="AD277" s="10" t="s">
        <v>2987</v>
      </c>
      <c r="AE277" s="10" t="s">
        <v>2988</v>
      </c>
      <c r="AF277" s="10" t="s">
        <v>58</v>
      </c>
      <c r="AG277" s="10" t="s">
        <v>2989</v>
      </c>
      <c r="AH277" s="10" t="s">
        <v>60</v>
      </c>
      <c r="AI277" s="10" t="s">
        <v>61</v>
      </c>
      <c r="AJ277" s="10" t="s">
        <v>1607</v>
      </c>
      <c r="AK277" s="10" t="s">
        <v>2990</v>
      </c>
      <c r="AL277" s="10" t="s">
        <v>64</v>
      </c>
      <c r="AM277" s="10" t="s">
        <v>2991</v>
      </c>
      <c r="AN277" s="10" t="s">
        <v>50</v>
      </c>
      <c r="AO277" s="11" t="s">
        <v>50</v>
      </c>
      <c r="AP277" s="10" t="s">
        <v>50</v>
      </c>
      <c r="AQ277" s="10" t="s">
        <v>50</v>
      </c>
      <c r="AR277" s="10" t="s">
        <v>50</v>
      </c>
      <c r="AS277" s="10" t="s">
        <v>50</v>
      </c>
      <c r="AT277" s="10" t="s">
        <v>50</v>
      </c>
      <c r="AU277" s="10" t="s">
        <v>50</v>
      </c>
      <c r="AV277" s="11"/>
      <c r="AW277" s="10" t="s">
        <v>66</v>
      </c>
      <c r="AX277" s="10"/>
      <c r="AY277" s="10" t="s">
        <v>66</v>
      </c>
    </row>
    <row r="278" ht="22.5" hidden="1" customHeight="1">
      <c r="A278" s="9" t="s">
        <v>2992</v>
      </c>
      <c r="B278" s="10" t="s">
        <v>2993</v>
      </c>
      <c r="C278" s="10" t="s">
        <v>43</v>
      </c>
      <c r="D278" s="10" t="s">
        <v>1398</v>
      </c>
      <c r="E278" s="10" t="s">
        <v>66</v>
      </c>
      <c r="F278" s="11">
        <v>1.0</v>
      </c>
      <c r="G278" s="11">
        <v>43.7</v>
      </c>
      <c r="H278" s="11">
        <v>12.66</v>
      </c>
      <c r="I278" s="11">
        <v>-13.43</v>
      </c>
      <c r="J278" s="11">
        <v>-12.66</v>
      </c>
      <c r="K278" s="11"/>
      <c r="L278" s="11">
        <v>32.89</v>
      </c>
      <c r="M278" s="10" t="s">
        <v>46</v>
      </c>
      <c r="N278" s="10" t="s">
        <v>50</v>
      </c>
      <c r="O278" s="10" t="s">
        <v>176</v>
      </c>
      <c r="P278" s="10" t="s">
        <v>177</v>
      </c>
      <c r="Q278" s="10" t="s">
        <v>178</v>
      </c>
      <c r="R278" s="10" t="s">
        <v>74</v>
      </c>
      <c r="S278" s="11">
        <v>43.7</v>
      </c>
      <c r="T278" s="11">
        <v>22.58</v>
      </c>
      <c r="U278" s="11" t="s">
        <v>51</v>
      </c>
      <c r="V278" s="10" t="s">
        <v>52</v>
      </c>
      <c r="W278" s="10" t="s">
        <v>2994</v>
      </c>
      <c r="X278" s="10" t="s">
        <v>2995</v>
      </c>
      <c r="Y278" s="10" t="s">
        <v>2996</v>
      </c>
      <c r="Z278" s="10" t="s">
        <v>50</v>
      </c>
      <c r="AA278" s="10" t="s">
        <v>50</v>
      </c>
      <c r="AB278" s="10" t="s">
        <v>2994</v>
      </c>
      <c r="AC278" s="10" t="s">
        <v>2997</v>
      </c>
      <c r="AD278" s="10" t="s">
        <v>2998</v>
      </c>
      <c r="AE278" s="10" t="s">
        <v>2999</v>
      </c>
      <c r="AF278" s="10" t="s">
        <v>58</v>
      </c>
      <c r="AG278" s="10" t="s">
        <v>3000</v>
      </c>
      <c r="AH278" s="10" t="s">
        <v>60</v>
      </c>
      <c r="AI278" s="10" t="s">
        <v>61</v>
      </c>
      <c r="AJ278" s="10" t="s">
        <v>2100</v>
      </c>
      <c r="AK278" s="10" t="s">
        <v>1863</v>
      </c>
      <c r="AL278" s="10" t="s">
        <v>64</v>
      </c>
      <c r="AM278" s="10" t="s">
        <v>3001</v>
      </c>
      <c r="AN278" s="10" t="s">
        <v>50</v>
      </c>
      <c r="AO278" s="11" t="s">
        <v>50</v>
      </c>
      <c r="AP278" s="10" t="s">
        <v>50</v>
      </c>
      <c r="AQ278" s="10" t="s">
        <v>50</v>
      </c>
      <c r="AR278" s="10" t="s">
        <v>50</v>
      </c>
      <c r="AS278" s="10" t="s">
        <v>50</v>
      </c>
      <c r="AT278" s="10" t="s">
        <v>50</v>
      </c>
      <c r="AU278" s="10" t="s">
        <v>50</v>
      </c>
      <c r="AV278" s="11"/>
      <c r="AW278" s="10" t="s">
        <v>66</v>
      </c>
      <c r="AX278" s="10"/>
      <c r="AY278" s="10" t="s">
        <v>66</v>
      </c>
    </row>
    <row r="279" ht="22.5" hidden="1" customHeight="1">
      <c r="A279" s="9" t="s">
        <v>3002</v>
      </c>
      <c r="B279" s="10" t="s">
        <v>3003</v>
      </c>
      <c r="C279" s="10" t="s">
        <v>43</v>
      </c>
      <c r="D279" s="10" t="s">
        <v>1262</v>
      </c>
      <c r="E279" s="10" t="s">
        <v>45</v>
      </c>
      <c r="F279" s="11">
        <v>2.0</v>
      </c>
      <c r="G279" s="11">
        <v>87.4</v>
      </c>
      <c r="H279" s="11"/>
      <c r="I279" s="11">
        <v>-26.86</v>
      </c>
      <c r="J279" s="11"/>
      <c r="K279" s="11"/>
      <c r="L279" s="11">
        <v>65.78</v>
      </c>
      <c r="M279" s="10" t="s">
        <v>46</v>
      </c>
      <c r="N279" s="10" t="s">
        <v>50</v>
      </c>
      <c r="O279" s="10" t="s">
        <v>176</v>
      </c>
      <c r="P279" s="10" t="s">
        <v>177</v>
      </c>
      <c r="Q279" s="10" t="s">
        <v>178</v>
      </c>
      <c r="R279" s="10" t="s">
        <v>74</v>
      </c>
      <c r="S279" s="11">
        <v>43.7</v>
      </c>
      <c r="T279" s="11">
        <f>2*22.58</f>
        <v>45.16</v>
      </c>
      <c r="U279" s="11" t="s">
        <v>51</v>
      </c>
      <c r="V279" s="10" t="s">
        <v>52</v>
      </c>
      <c r="W279" s="10" t="s">
        <v>3004</v>
      </c>
      <c r="X279" s="10" t="s">
        <v>3005</v>
      </c>
      <c r="Y279" s="10" t="s">
        <v>3006</v>
      </c>
      <c r="Z279" s="10" t="s">
        <v>50</v>
      </c>
      <c r="AA279" s="10" t="s">
        <v>50</v>
      </c>
      <c r="AB279" s="10" t="s">
        <v>3004</v>
      </c>
      <c r="AC279" s="10" t="s">
        <v>3007</v>
      </c>
      <c r="AD279" s="10" t="s">
        <v>3008</v>
      </c>
      <c r="AE279" s="10" t="s">
        <v>322</v>
      </c>
      <c r="AF279" s="10" t="s">
        <v>323</v>
      </c>
      <c r="AG279" s="10" t="s">
        <v>3009</v>
      </c>
      <c r="AH279" s="10" t="s">
        <v>60</v>
      </c>
      <c r="AI279" s="10" t="s">
        <v>61</v>
      </c>
      <c r="AJ279" s="10" t="s">
        <v>2767</v>
      </c>
      <c r="AK279" s="10" t="s">
        <v>3010</v>
      </c>
      <c r="AL279" s="10" t="s">
        <v>64</v>
      </c>
      <c r="AM279" s="10" t="s">
        <v>3011</v>
      </c>
      <c r="AN279" s="10" t="s">
        <v>50</v>
      </c>
      <c r="AO279" s="11" t="s">
        <v>50</v>
      </c>
      <c r="AP279" s="10" t="s">
        <v>50</v>
      </c>
      <c r="AQ279" s="10" t="s">
        <v>50</v>
      </c>
      <c r="AR279" s="10" t="s">
        <v>50</v>
      </c>
      <c r="AS279" s="10" t="s">
        <v>50</v>
      </c>
      <c r="AT279" s="10" t="s">
        <v>50</v>
      </c>
      <c r="AU279" s="10" t="s">
        <v>50</v>
      </c>
      <c r="AV279" s="11"/>
      <c r="AW279" s="10" t="s">
        <v>66</v>
      </c>
      <c r="AX279" s="10"/>
      <c r="AY279" s="10" t="s">
        <v>66</v>
      </c>
    </row>
    <row r="280" ht="22.5" hidden="1" customHeight="1">
      <c r="A280" s="9" t="s">
        <v>3012</v>
      </c>
      <c r="B280" s="10" t="s">
        <v>3013</v>
      </c>
      <c r="C280" s="10" t="s">
        <v>43</v>
      </c>
      <c r="D280" s="10" t="s">
        <v>1398</v>
      </c>
      <c r="E280" s="10" t="s">
        <v>66</v>
      </c>
      <c r="F280" s="11">
        <v>1.0</v>
      </c>
      <c r="G280" s="11">
        <v>84.0</v>
      </c>
      <c r="H280" s="11"/>
      <c r="I280" s="11">
        <v>-14.28</v>
      </c>
      <c r="J280" s="11">
        <v>-20.45</v>
      </c>
      <c r="K280" s="11"/>
      <c r="L280" s="11">
        <v>49.27</v>
      </c>
      <c r="M280" s="10" t="s">
        <v>46</v>
      </c>
      <c r="N280" s="10" t="s">
        <v>50</v>
      </c>
      <c r="O280" s="10" t="s">
        <v>265</v>
      </c>
      <c r="P280" s="10" t="s">
        <v>266</v>
      </c>
      <c r="Q280" s="10" t="s">
        <v>267</v>
      </c>
      <c r="R280" s="10" t="s">
        <v>74</v>
      </c>
      <c r="S280" s="11">
        <v>84.0</v>
      </c>
      <c r="T280" s="11">
        <v>26.22</v>
      </c>
      <c r="U280" s="11" t="s">
        <v>51</v>
      </c>
      <c r="V280" s="10" t="s">
        <v>52</v>
      </c>
      <c r="W280" s="10" t="s">
        <v>3014</v>
      </c>
      <c r="X280" s="10" t="s">
        <v>3015</v>
      </c>
      <c r="Y280" s="10" t="s">
        <v>3016</v>
      </c>
      <c r="Z280" s="10" t="s">
        <v>50</v>
      </c>
      <c r="AA280" s="10" t="s">
        <v>50</v>
      </c>
      <c r="AB280" s="10" t="s">
        <v>3014</v>
      </c>
      <c r="AC280" s="10" t="s">
        <v>3017</v>
      </c>
      <c r="AD280" s="10" t="s">
        <v>3018</v>
      </c>
      <c r="AE280" s="10" t="s">
        <v>3019</v>
      </c>
      <c r="AF280" s="10" t="s">
        <v>58</v>
      </c>
      <c r="AG280" s="10" t="s">
        <v>3020</v>
      </c>
      <c r="AH280" s="10" t="s">
        <v>60</v>
      </c>
      <c r="AI280" s="10" t="s">
        <v>61</v>
      </c>
      <c r="AJ280" s="10" t="s">
        <v>1607</v>
      </c>
      <c r="AK280" s="10" t="s">
        <v>3021</v>
      </c>
      <c r="AL280" s="10" t="s">
        <v>64</v>
      </c>
      <c r="AM280" s="10" t="s">
        <v>3022</v>
      </c>
      <c r="AN280" s="10" t="s">
        <v>50</v>
      </c>
      <c r="AO280" s="11" t="s">
        <v>50</v>
      </c>
      <c r="AP280" s="10" t="s">
        <v>50</v>
      </c>
      <c r="AQ280" s="10" t="s">
        <v>50</v>
      </c>
      <c r="AR280" s="10" t="s">
        <v>50</v>
      </c>
      <c r="AS280" s="10" t="s">
        <v>50</v>
      </c>
      <c r="AT280" s="10" t="s">
        <v>50</v>
      </c>
      <c r="AU280" s="10" t="s">
        <v>50</v>
      </c>
      <c r="AV280" s="11"/>
      <c r="AW280" s="10" t="s">
        <v>66</v>
      </c>
      <c r="AX280" s="10"/>
      <c r="AY280" s="10" t="s">
        <v>66</v>
      </c>
    </row>
    <row r="281" ht="22.5" hidden="1" customHeight="1">
      <c r="A281" s="9" t="s">
        <v>3023</v>
      </c>
      <c r="B281" s="10" t="s">
        <v>3024</v>
      </c>
      <c r="C281" s="10" t="s">
        <v>43</v>
      </c>
      <c r="D281" s="10" t="s">
        <v>1262</v>
      </c>
      <c r="E281" s="10" t="s">
        <v>66</v>
      </c>
      <c r="F281" s="11">
        <v>1.0</v>
      </c>
      <c r="G281" s="11">
        <v>80.0</v>
      </c>
      <c r="H281" s="11"/>
      <c r="I281" s="11">
        <v>-13.6</v>
      </c>
      <c r="J281" s="11">
        <v>-19.95</v>
      </c>
      <c r="K281" s="11"/>
      <c r="L281" s="11">
        <v>50.45</v>
      </c>
      <c r="M281" s="10" t="s">
        <v>46</v>
      </c>
      <c r="N281" s="10" t="s">
        <v>45</v>
      </c>
      <c r="O281" s="10" t="s">
        <v>143</v>
      </c>
      <c r="P281" s="10" t="s">
        <v>144</v>
      </c>
      <c r="Q281" s="10" t="s">
        <v>145</v>
      </c>
      <c r="R281" s="10" t="s">
        <v>74</v>
      </c>
      <c r="S281" s="11">
        <v>80.0</v>
      </c>
      <c r="T281" s="11">
        <v>33.38</v>
      </c>
      <c r="U281" s="11" t="s">
        <v>51</v>
      </c>
      <c r="V281" s="10" t="s">
        <v>52</v>
      </c>
      <c r="W281" s="10" t="s">
        <v>3025</v>
      </c>
      <c r="X281" s="10" t="s">
        <v>3026</v>
      </c>
      <c r="Y281" s="10" t="s">
        <v>3027</v>
      </c>
      <c r="Z281" s="10" t="s">
        <v>50</v>
      </c>
      <c r="AA281" s="10" t="s">
        <v>50</v>
      </c>
      <c r="AB281" s="10" t="s">
        <v>3025</v>
      </c>
      <c r="AC281" s="10" t="s">
        <v>3028</v>
      </c>
      <c r="AD281" s="10" t="s">
        <v>3029</v>
      </c>
      <c r="AE281" s="10" t="s">
        <v>3030</v>
      </c>
      <c r="AF281" s="10" t="s">
        <v>151</v>
      </c>
      <c r="AG281" s="10" t="s">
        <v>3031</v>
      </c>
      <c r="AH281" s="10" t="s">
        <v>60</v>
      </c>
      <c r="AI281" s="10" t="s">
        <v>61</v>
      </c>
      <c r="AJ281" s="10" t="s">
        <v>3032</v>
      </c>
      <c r="AK281" s="10" t="s">
        <v>3033</v>
      </c>
      <c r="AL281" s="10" t="s">
        <v>64</v>
      </c>
      <c r="AM281" s="10" t="s">
        <v>3034</v>
      </c>
      <c r="AN281" s="10" t="s">
        <v>50</v>
      </c>
      <c r="AO281" s="11" t="s">
        <v>50</v>
      </c>
      <c r="AP281" s="10" t="s">
        <v>50</v>
      </c>
      <c r="AQ281" s="10" t="s">
        <v>50</v>
      </c>
      <c r="AR281" s="10" t="s">
        <v>50</v>
      </c>
      <c r="AS281" s="10" t="s">
        <v>50</v>
      </c>
      <c r="AT281" s="10" t="s">
        <v>50</v>
      </c>
      <c r="AU281" s="10" t="s">
        <v>50</v>
      </c>
      <c r="AV281" s="11"/>
      <c r="AW281" s="10" t="s">
        <v>66</v>
      </c>
      <c r="AX281" s="10"/>
      <c r="AY281" s="10" t="s">
        <v>66</v>
      </c>
    </row>
    <row r="282" ht="22.5" hidden="1" customHeight="1">
      <c r="A282" s="9" t="s">
        <v>3035</v>
      </c>
      <c r="B282" s="10" t="s">
        <v>3036</v>
      </c>
      <c r="C282" s="10" t="s">
        <v>43</v>
      </c>
      <c r="D282" s="10" t="s">
        <v>191</v>
      </c>
      <c r="E282" s="10" t="s">
        <v>66</v>
      </c>
      <c r="F282" s="11">
        <v>1.0</v>
      </c>
      <c r="G282" s="11">
        <v>80.5</v>
      </c>
      <c r="H282" s="11"/>
      <c r="I282" s="11">
        <v>-15.3</v>
      </c>
      <c r="J282" s="11">
        <v>-19.95</v>
      </c>
      <c r="K282" s="11"/>
      <c r="L282" s="11">
        <v>45.25</v>
      </c>
      <c r="M282" s="10" t="s">
        <v>46</v>
      </c>
      <c r="N282" s="10" t="s">
        <v>50</v>
      </c>
      <c r="O282" s="10" t="s">
        <v>47</v>
      </c>
      <c r="P282" s="10" t="s">
        <v>48</v>
      </c>
      <c r="Q282" s="10" t="s">
        <v>49</v>
      </c>
      <c r="R282" s="10" t="s">
        <v>50</v>
      </c>
      <c r="S282" s="11">
        <v>80.5</v>
      </c>
      <c r="T282" s="11">
        <v>12.45</v>
      </c>
      <c r="U282" s="11" t="s">
        <v>51</v>
      </c>
      <c r="V282" s="10" t="s">
        <v>52</v>
      </c>
      <c r="W282" s="10" t="s">
        <v>3037</v>
      </c>
      <c r="X282" s="10" t="s">
        <v>3038</v>
      </c>
      <c r="Y282" s="10" t="s">
        <v>3039</v>
      </c>
      <c r="Z282" s="10" t="s">
        <v>50</v>
      </c>
      <c r="AA282" s="10" t="s">
        <v>50</v>
      </c>
      <c r="AB282" s="10" t="s">
        <v>3037</v>
      </c>
      <c r="AC282" s="10" t="s">
        <v>3040</v>
      </c>
      <c r="AD282" s="10" t="s">
        <v>3041</v>
      </c>
      <c r="AE282" s="10" t="s">
        <v>3042</v>
      </c>
      <c r="AF282" s="10" t="s">
        <v>284</v>
      </c>
      <c r="AG282" s="10" t="s">
        <v>3043</v>
      </c>
      <c r="AH282" s="10" t="s">
        <v>60</v>
      </c>
      <c r="AI282" s="10" t="s">
        <v>61</v>
      </c>
      <c r="AJ282" s="10" t="s">
        <v>1359</v>
      </c>
      <c r="AK282" s="10" t="s">
        <v>3044</v>
      </c>
      <c r="AL282" s="10" t="s">
        <v>64</v>
      </c>
      <c r="AM282" s="10" t="s">
        <v>3045</v>
      </c>
      <c r="AN282" s="10" t="s">
        <v>50</v>
      </c>
      <c r="AO282" s="11" t="s">
        <v>50</v>
      </c>
      <c r="AP282" s="10" t="s">
        <v>50</v>
      </c>
      <c r="AQ282" s="10" t="s">
        <v>50</v>
      </c>
      <c r="AR282" s="10" t="s">
        <v>50</v>
      </c>
      <c r="AS282" s="10" t="s">
        <v>50</v>
      </c>
      <c r="AT282" s="10" t="s">
        <v>50</v>
      </c>
      <c r="AU282" s="10" t="s">
        <v>50</v>
      </c>
      <c r="AV282" s="11"/>
      <c r="AW282" s="10" t="s">
        <v>66</v>
      </c>
      <c r="AX282" s="10"/>
      <c r="AY282" s="10" t="s">
        <v>66</v>
      </c>
    </row>
    <row r="283" ht="22.5" hidden="1" customHeight="1">
      <c r="A283" s="9" t="s">
        <v>3046</v>
      </c>
      <c r="B283" s="10" t="s">
        <v>3047</v>
      </c>
      <c r="C283" s="10" t="s">
        <v>43</v>
      </c>
      <c r="D283" s="10" t="s">
        <v>191</v>
      </c>
      <c r="E283" s="10" t="s">
        <v>66</v>
      </c>
      <c r="F283" s="11">
        <v>1.0</v>
      </c>
      <c r="G283" s="11">
        <v>92.15</v>
      </c>
      <c r="H283" s="11"/>
      <c r="I283" s="11">
        <v>-17.51</v>
      </c>
      <c r="J283" s="11">
        <v>-20.45</v>
      </c>
      <c r="K283" s="11"/>
      <c r="L283" s="11">
        <v>59.72</v>
      </c>
      <c r="M283" s="10" t="s">
        <v>46</v>
      </c>
      <c r="N283" s="10" t="s">
        <v>45</v>
      </c>
      <c r="O283" s="10" t="s">
        <v>586</v>
      </c>
      <c r="P283" s="10" t="s">
        <v>587</v>
      </c>
      <c r="Q283" s="10" t="s">
        <v>588</v>
      </c>
      <c r="R283" s="10" t="s">
        <v>50</v>
      </c>
      <c r="S283" s="11">
        <v>92.15</v>
      </c>
      <c r="T283" s="11">
        <v>20.76</v>
      </c>
      <c r="U283" s="11" t="s">
        <v>51</v>
      </c>
      <c r="V283" s="10" t="s">
        <v>52</v>
      </c>
      <c r="W283" s="10" t="s">
        <v>3048</v>
      </c>
      <c r="X283" s="10" t="s">
        <v>3049</v>
      </c>
      <c r="Y283" s="10" t="s">
        <v>3050</v>
      </c>
      <c r="Z283" s="10" t="s">
        <v>50</v>
      </c>
      <c r="AA283" s="10" t="s">
        <v>50</v>
      </c>
      <c r="AB283" s="10" t="s">
        <v>3048</v>
      </c>
      <c r="AC283" s="10" t="s">
        <v>3051</v>
      </c>
      <c r="AD283" s="10" t="s">
        <v>3052</v>
      </c>
      <c r="AE283" s="10" t="s">
        <v>3053</v>
      </c>
      <c r="AF283" s="10" t="s">
        <v>119</v>
      </c>
      <c r="AG283" s="10" t="s">
        <v>3054</v>
      </c>
      <c r="AH283" s="10" t="s">
        <v>60</v>
      </c>
      <c r="AI283" s="10" t="s">
        <v>61</v>
      </c>
      <c r="AJ283" s="10" t="s">
        <v>1359</v>
      </c>
      <c r="AK283" s="10" t="s">
        <v>3055</v>
      </c>
      <c r="AL283" s="10" t="s">
        <v>64</v>
      </c>
      <c r="AM283" s="10" t="s">
        <v>3056</v>
      </c>
      <c r="AN283" s="10" t="s">
        <v>50</v>
      </c>
      <c r="AO283" s="11" t="s">
        <v>50</v>
      </c>
      <c r="AP283" s="10" t="s">
        <v>50</v>
      </c>
      <c r="AQ283" s="10" t="s">
        <v>50</v>
      </c>
      <c r="AR283" s="10" t="s">
        <v>50</v>
      </c>
      <c r="AS283" s="10" t="s">
        <v>50</v>
      </c>
      <c r="AT283" s="10" t="s">
        <v>50</v>
      </c>
      <c r="AU283" s="10" t="s">
        <v>50</v>
      </c>
      <c r="AV283" s="11"/>
      <c r="AW283" s="10" t="s">
        <v>66</v>
      </c>
      <c r="AX283" s="10"/>
      <c r="AY283" s="10" t="s">
        <v>66</v>
      </c>
    </row>
    <row r="284" ht="22.5" hidden="1" customHeight="1">
      <c r="A284" s="9" t="s">
        <v>3057</v>
      </c>
      <c r="B284" s="10" t="s">
        <v>3058</v>
      </c>
      <c r="C284" s="10" t="s">
        <v>43</v>
      </c>
      <c r="D284" s="10" t="s">
        <v>759</v>
      </c>
      <c r="E284" s="10" t="s">
        <v>66</v>
      </c>
      <c r="F284" s="11">
        <v>1.0</v>
      </c>
      <c r="G284" s="11">
        <v>120.0</v>
      </c>
      <c r="H284" s="11"/>
      <c r="I284" s="11">
        <v>-20.4</v>
      </c>
      <c r="J284" s="11">
        <v>-19.95</v>
      </c>
      <c r="K284" s="11"/>
      <c r="L284" s="11">
        <v>86.85</v>
      </c>
      <c r="M284" s="10" t="s">
        <v>46</v>
      </c>
      <c r="N284" s="10" t="s">
        <v>45</v>
      </c>
      <c r="O284" s="10" t="s">
        <v>85</v>
      </c>
      <c r="P284" s="10" t="s">
        <v>86</v>
      </c>
      <c r="Q284" s="10" t="s">
        <v>87</v>
      </c>
      <c r="R284" s="10" t="s">
        <v>74</v>
      </c>
      <c r="S284" s="11">
        <v>120.0</v>
      </c>
      <c r="T284" s="11">
        <v>65.78</v>
      </c>
      <c r="U284" s="11" t="s">
        <v>51</v>
      </c>
      <c r="V284" s="10" t="s">
        <v>52</v>
      </c>
      <c r="W284" s="10" t="s">
        <v>3059</v>
      </c>
      <c r="X284" s="10" t="s">
        <v>3060</v>
      </c>
      <c r="Y284" s="10" t="s">
        <v>3061</v>
      </c>
      <c r="Z284" s="10" t="s">
        <v>50</v>
      </c>
      <c r="AA284" s="10" t="s">
        <v>50</v>
      </c>
      <c r="AB284" s="10" t="s">
        <v>3059</v>
      </c>
      <c r="AC284" s="10" t="s">
        <v>3062</v>
      </c>
      <c r="AD284" s="10" t="s">
        <v>3063</v>
      </c>
      <c r="AE284" s="10" t="s">
        <v>3064</v>
      </c>
      <c r="AF284" s="10" t="s">
        <v>185</v>
      </c>
      <c r="AG284" s="10" t="s">
        <v>3065</v>
      </c>
      <c r="AH284" s="10" t="s">
        <v>60</v>
      </c>
      <c r="AI284" s="10" t="s">
        <v>61</v>
      </c>
      <c r="AJ284" s="10" t="s">
        <v>1607</v>
      </c>
      <c r="AK284" s="10" t="s">
        <v>3066</v>
      </c>
      <c r="AL284" s="10" t="s">
        <v>64</v>
      </c>
      <c r="AM284" s="10" t="s">
        <v>3067</v>
      </c>
      <c r="AN284" s="10" t="s">
        <v>50</v>
      </c>
      <c r="AO284" s="11" t="s">
        <v>50</v>
      </c>
      <c r="AP284" s="10" t="s">
        <v>50</v>
      </c>
      <c r="AQ284" s="10" t="s">
        <v>50</v>
      </c>
      <c r="AR284" s="10" t="s">
        <v>50</v>
      </c>
      <c r="AS284" s="10" t="s">
        <v>50</v>
      </c>
      <c r="AT284" s="10" t="s">
        <v>50</v>
      </c>
      <c r="AU284" s="10" t="s">
        <v>50</v>
      </c>
      <c r="AV284" s="11"/>
      <c r="AW284" s="10" t="s">
        <v>66</v>
      </c>
      <c r="AX284" s="10"/>
      <c r="AY284" s="10" t="s">
        <v>66</v>
      </c>
    </row>
    <row r="285" ht="22.5" hidden="1" customHeight="1">
      <c r="A285" s="9" t="s">
        <v>3068</v>
      </c>
      <c r="B285" s="10" t="s">
        <v>3069</v>
      </c>
      <c r="C285" s="10" t="s">
        <v>43</v>
      </c>
      <c r="D285" s="10" t="s">
        <v>688</v>
      </c>
      <c r="E285" s="10" t="s">
        <v>45</v>
      </c>
      <c r="F285" s="11">
        <v>2.0</v>
      </c>
      <c r="G285" s="11">
        <v>160.0</v>
      </c>
      <c r="H285" s="11"/>
      <c r="I285" s="11">
        <v>-27.2</v>
      </c>
      <c r="J285" s="11">
        <v>-39.9</v>
      </c>
      <c r="K285" s="11"/>
      <c r="L285" s="11">
        <v>100.9</v>
      </c>
      <c r="M285" s="10" t="s">
        <v>46</v>
      </c>
      <c r="N285" s="10" t="s">
        <v>50</v>
      </c>
      <c r="O285" s="10" t="s">
        <v>143</v>
      </c>
      <c r="P285" s="10" t="s">
        <v>144</v>
      </c>
      <c r="Q285" s="10" t="s">
        <v>145</v>
      </c>
      <c r="R285" s="10" t="s">
        <v>74</v>
      </c>
      <c r="S285" s="11">
        <v>80.0</v>
      </c>
      <c r="T285" s="11">
        <v>33.38</v>
      </c>
      <c r="U285" s="11" t="s">
        <v>51</v>
      </c>
      <c r="V285" s="10" t="s">
        <v>52</v>
      </c>
      <c r="W285" s="10" t="s">
        <v>3070</v>
      </c>
      <c r="X285" s="10" t="s">
        <v>3071</v>
      </c>
      <c r="Y285" s="10" t="s">
        <v>3072</v>
      </c>
      <c r="Z285" s="10" t="s">
        <v>50</v>
      </c>
      <c r="AA285" s="10" t="s">
        <v>50</v>
      </c>
      <c r="AB285" s="10" t="s">
        <v>3070</v>
      </c>
      <c r="AC285" s="10" t="s">
        <v>3073</v>
      </c>
      <c r="AD285" s="10" t="s">
        <v>3074</v>
      </c>
      <c r="AE285" s="10" t="s">
        <v>168</v>
      </c>
      <c r="AF285" s="10" t="s">
        <v>169</v>
      </c>
      <c r="AG285" s="10" t="s">
        <v>170</v>
      </c>
      <c r="AH285" s="10" t="s">
        <v>60</v>
      </c>
      <c r="AI285" s="10" t="s">
        <v>61</v>
      </c>
      <c r="AJ285" s="10" t="s">
        <v>1439</v>
      </c>
      <c r="AK285" s="10" t="s">
        <v>3075</v>
      </c>
      <c r="AL285" s="10" t="s">
        <v>64</v>
      </c>
      <c r="AM285" s="10" t="s">
        <v>3076</v>
      </c>
      <c r="AN285" s="10" t="s">
        <v>50</v>
      </c>
      <c r="AO285" s="11" t="s">
        <v>50</v>
      </c>
      <c r="AP285" s="10" t="s">
        <v>50</v>
      </c>
      <c r="AQ285" s="10" t="s">
        <v>50</v>
      </c>
      <c r="AR285" s="10" t="s">
        <v>50</v>
      </c>
      <c r="AS285" s="10" t="s">
        <v>50</v>
      </c>
      <c r="AT285" s="10" t="s">
        <v>50</v>
      </c>
      <c r="AU285" s="10" t="s">
        <v>50</v>
      </c>
      <c r="AV285" s="11"/>
      <c r="AW285" s="10" t="s">
        <v>66</v>
      </c>
      <c r="AX285" s="10"/>
      <c r="AY285" s="10" t="s">
        <v>66</v>
      </c>
    </row>
    <row r="286" ht="22.5" hidden="1" customHeight="1">
      <c r="A286" s="9" t="s">
        <v>3077</v>
      </c>
      <c r="B286" s="10" t="s">
        <v>3078</v>
      </c>
      <c r="C286" s="10" t="s">
        <v>43</v>
      </c>
      <c r="D286" s="10" t="s">
        <v>734</v>
      </c>
      <c r="E286" s="10" t="s">
        <v>45</v>
      </c>
      <c r="F286" s="11">
        <v>2.0</v>
      </c>
      <c r="G286" s="11">
        <v>87.4</v>
      </c>
      <c r="H286" s="11"/>
      <c r="I286" s="11">
        <v>-26.86</v>
      </c>
      <c r="J286" s="11"/>
      <c r="K286" s="11"/>
      <c r="L286" s="11">
        <v>65.78</v>
      </c>
      <c r="M286" s="10" t="s">
        <v>46</v>
      </c>
      <c r="N286" s="10" t="s">
        <v>45</v>
      </c>
      <c r="O286" s="10" t="s">
        <v>176</v>
      </c>
      <c r="P286" s="10" t="s">
        <v>177</v>
      </c>
      <c r="Q286" s="10" t="s">
        <v>178</v>
      </c>
      <c r="R286" s="10" t="s">
        <v>74</v>
      </c>
      <c r="S286" s="11">
        <v>43.7</v>
      </c>
      <c r="T286" s="11">
        <f>2*22.58</f>
        <v>45.16</v>
      </c>
      <c r="U286" s="11" t="s">
        <v>51</v>
      </c>
      <c r="V286" s="10" t="s">
        <v>52</v>
      </c>
      <c r="W286" s="10" t="s">
        <v>3079</v>
      </c>
      <c r="X286" s="10" t="s">
        <v>3080</v>
      </c>
      <c r="Y286" s="10" t="s">
        <v>3081</v>
      </c>
      <c r="Z286" s="10" t="s">
        <v>50</v>
      </c>
      <c r="AA286" s="10" t="s">
        <v>50</v>
      </c>
      <c r="AB286" s="10" t="s">
        <v>3079</v>
      </c>
      <c r="AC286" s="10" t="s">
        <v>3082</v>
      </c>
      <c r="AD286" s="10" t="s">
        <v>3083</v>
      </c>
      <c r="AE286" s="10" t="s">
        <v>58</v>
      </c>
      <c r="AF286" s="10" t="s">
        <v>58</v>
      </c>
      <c r="AG286" s="10" t="s">
        <v>3084</v>
      </c>
      <c r="AH286" s="10" t="s">
        <v>60</v>
      </c>
      <c r="AI286" s="10" t="s">
        <v>61</v>
      </c>
      <c r="AJ286" s="10" t="s">
        <v>1406</v>
      </c>
      <c r="AK286" s="10" t="s">
        <v>3085</v>
      </c>
      <c r="AL286" s="10" t="s">
        <v>1025</v>
      </c>
      <c r="AM286" s="10" t="s">
        <v>3086</v>
      </c>
      <c r="AN286" s="10" t="s">
        <v>3087</v>
      </c>
      <c r="AO286" s="11" t="s">
        <v>50</v>
      </c>
      <c r="AP286" s="10" t="s">
        <v>50</v>
      </c>
      <c r="AQ286" s="10" t="s">
        <v>50</v>
      </c>
      <c r="AR286" s="10" t="s">
        <v>50</v>
      </c>
      <c r="AS286" s="10" t="s">
        <v>50</v>
      </c>
      <c r="AT286" s="10" t="s">
        <v>50</v>
      </c>
      <c r="AU286" s="10" t="s">
        <v>50</v>
      </c>
      <c r="AV286" s="11"/>
      <c r="AW286" s="10" t="s">
        <v>66</v>
      </c>
      <c r="AX286" s="10"/>
      <c r="AY286" s="10" t="s">
        <v>66</v>
      </c>
    </row>
    <row r="287" ht="22.5" hidden="1" customHeight="1">
      <c r="A287" s="9" t="s">
        <v>3088</v>
      </c>
      <c r="B287" s="10" t="s">
        <v>3089</v>
      </c>
      <c r="C287" s="10" t="s">
        <v>43</v>
      </c>
      <c r="D287" s="10" t="s">
        <v>734</v>
      </c>
      <c r="E287" s="10" t="s">
        <v>66</v>
      </c>
      <c r="F287" s="11">
        <v>1.0</v>
      </c>
      <c r="G287" s="11">
        <v>79.0</v>
      </c>
      <c r="H287" s="11">
        <v>7.03</v>
      </c>
      <c r="I287" s="11">
        <v>-13.43</v>
      </c>
      <c r="J287" s="11">
        <v>-27.48</v>
      </c>
      <c r="K287" s="11"/>
      <c r="L287" s="11">
        <v>45.12</v>
      </c>
      <c r="M287" s="10" t="s">
        <v>46</v>
      </c>
      <c r="N287" s="10" t="s">
        <v>45</v>
      </c>
      <c r="O287" s="10" t="s">
        <v>461</v>
      </c>
      <c r="P287" s="10" t="s">
        <v>462</v>
      </c>
      <c r="Q287" s="10" t="s">
        <v>463</v>
      </c>
      <c r="R287" s="10" t="s">
        <v>74</v>
      </c>
      <c r="S287" s="11">
        <v>79.0</v>
      </c>
      <c r="T287" s="11">
        <v>10.09</v>
      </c>
      <c r="U287" s="11" t="s">
        <v>51</v>
      </c>
      <c r="V287" s="10" t="s">
        <v>52</v>
      </c>
      <c r="W287" s="10" t="s">
        <v>3090</v>
      </c>
      <c r="X287" s="10" t="s">
        <v>3091</v>
      </c>
      <c r="Y287" s="10" t="s">
        <v>3092</v>
      </c>
      <c r="Z287" s="10" t="s">
        <v>50</v>
      </c>
      <c r="AA287" s="10" t="s">
        <v>50</v>
      </c>
      <c r="AB287" s="10" t="s">
        <v>3090</v>
      </c>
      <c r="AC287" s="10" t="s">
        <v>3093</v>
      </c>
      <c r="AD287" s="10" t="s">
        <v>3094</v>
      </c>
      <c r="AE287" s="10" t="s">
        <v>3095</v>
      </c>
      <c r="AF287" s="10" t="s">
        <v>2976</v>
      </c>
      <c r="AG287" s="10" t="s">
        <v>3096</v>
      </c>
      <c r="AH287" s="10" t="s">
        <v>60</v>
      </c>
      <c r="AI287" s="10" t="s">
        <v>61</v>
      </c>
      <c r="AJ287" s="10" t="s">
        <v>1652</v>
      </c>
      <c r="AK287" s="10" t="s">
        <v>3097</v>
      </c>
      <c r="AL287" s="10" t="s">
        <v>64</v>
      </c>
      <c r="AM287" s="10" t="s">
        <v>3098</v>
      </c>
      <c r="AN287" s="10" t="s">
        <v>50</v>
      </c>
      <c r="AO287" s="11" t="s">
        <v>50</v>
      </c>
      <c r="AP287" s="10" t="s">
        <v>50</v>
      </c>
      <c r="AQ287" s="10" t="s">
        <v>50</v>
      </c>
      <c r="AR287" s="10" t="s">
        <v>50</v>
      </c>
      <c r="AS287" s="10" t="s">
        <v>50</v>
      </c>
      <c r="AT287" s="10" t="s">
        <v>50</v>
      </c>
      <c r="AU287" s="10" t="s">
        <v>50</v>
      </c>
      <c r="AV287" s="11"/>
      <c r="AW287" s="10" t="s">
        <v>66</v>
      </c>
      <c r="AX287" s="10"/>
      <c r="AY287" s="10" t="s">
        <v>66</v>
      </c>
    </row>
    <row r="288" ht="22.5" hidden="1" customHeight="1">
      <c r="A288" s="9" t="s">
        <v>3099</v>
      </c>
      <c r="B288" s="10" t="s">
        <v>3100</v>
      </c>
      <c r="C288" s="10" t="s">
        <v>43</v>
      </c>
      <c r="D288" s="10" t="s">
        <v>1262</v>
      </c>
      <c r="E288" s="10" t="s">
        <v>66</v>
      </c>
      <c r="F288" s="11">
        <v>1.0</v>
      </c>
      <c r="G288" s="11">
        <v>43.7</v>
      </c>
      <c r="H288" s="11">
        <v>13.77</v>
      </c>
      <c r="I288" s="11">
        <v>-13.43</v>
      </c>
      <c r="J288" s="11">
        <v>-13.77</v>
      </c>
      <c r="K288" s="11"/>
      <c r="L288" s="11">
        <v>32.89</v>
      </c>
      <c r="M288" s="10" t="s">
        <v>46</v>
      </c>
      <c r="N288" s="10" t="s">
        <v>50</v>
      </c>
      <c r="O288" s="10" t="s">
        <v>176</v>
      </c>
      <c r="P288" s="10" t="s">
        <v>177</v>
      </c>
      <c r="Q288" s="10" t="s">
        <v>178</v>
      </c>
      <c r="R288" s="10" t="s">
        <v>74</v>
      </c>
      <c r="S288" s="11">
        <v>43.7</v>
      </c>
      <c r="T288" s="11">
        <v>22.58</v>
      </c>
      <c r="U288" s="11" t="s">
        <v>51</v>
      </c>
      <c r="V288" s="10" t="s">
        <v>52</v>
      </c>
      <c r="W288" s="10" t="s">
        <v>3101</v>
      </c>
      <c r="X288" s="10" t="s">
        <v>3102</v>
      </c>
      <c r="Y288" s="10" t="s">
        <v>3103</v>
      </c>
      <c r="Z288" s="10" t="s">
        <v>50</v>
      </c>
      <c r="AA288" s="10" t="s">
        <v>50</v>
      </c>
      <c r="AB288" s="10" t="s">
        <v>3101</v>
      </c>
      <c r="AC288" s="10" t="s">
        <v>3104</v>
      </c>
      <c r="AD288" s="10" t="s">
        <v>3105</v>
      </c>
      <c r="AE288" s="10" t="s">
        <v>1323</v>
      </c>
      <c r="AF288" s="10" t="s">
        <v>151</v>
      </c>
      <c r="AG288" s="10" t="s">
        <v>3106</v>
      </c>
      <c r="AH288" s="10" t="s">
        <v>60</v>
      </c>
      <c r="AI288" s="10" t="s">
        <v>61</v>
      </c>
      <c r="AJ288" s="10" t="s">
        <v>2125</v>
      </c>
      <c r="AK288" s="10" t="s">
        <v>3107</v>
      </c>
      <c r="AL288" s="10" t="s">
        <v>64</v>
      </c>
      <c r="AM288" s="10" t="s">
        <v>3108</v>
      </c>
      <c r="AN288" s="10" t="s">
        <v>50</v>
      </c>
      <c r="AO288" s="11" t="s">
        <v>50</v>
      </c>
      <c r="AP288" s="10" t="s">
        <v>50</v>
      </c>
      <c r="AQ288" s="10" t="s">
        <v>50</v>
      </c>
      <c r="AR288" s="10" t="s">
        <v>50</v>
      </c>
      <c r="AS288" s="10" t="s">
        <v>50</v>
      </c>
      <c r="AT288" s="10" t="s">
        <v>50</v>
      </c>
      <c r="AU288" s="10" t="s">
        <v>50</v>
      </c>
      <c r="AV288" s="11"/>
      <c r="AW288" s="10" t="s">
        <v>66</v>
      </c>
      <c r="AX288" s="10"/>
      <c r="AY288" s="10" t="s">
        <v>66</v>
      </c>
    </row>
    <row r="289" ht="22.5" hidden="1" customHeight="1">
      <c r="A289" s="9" t="s">
        <v>3109</v>
      </c>
      <c r="B289" s="10" t="s">
        <v>3110</v>
      </c>
      <c r="C289" s="10" t="s">
        <v>43</v>
      </c>
      <c r="D289" s="10" t="s">
        <v>191</v>
      </c>
      <c r="E289" s="10" t="s">
        <v>66</v>
      </c>
      <c r="F289" s="11">
        <v>1.0</v>
      </c>
      <c r="G289" s="11">
        <v>120.0</v>
      </c>
      <c r="H289" s="11"/>
      <c r="I289" s="11">
        <v>-20.4</v>
      </c>
      <c r="J289" s="11">
        <v>-19.95</v>
      </c>
      <c r="K289" s="11"/>
      <c r="L289" s="11">
        <v>86.85</v>
      </c>
      <c r="M289" s="10" t="s">
        <v>46</v>
      </c>
      <c r="N289" s="10" t="s">
        <v>45</v>
      </c>
      <c r="O289" s="10" t="s">
        <v>85</v>
      </c>
      <c r="P289" s="10" t="s">
        <v>86</v>
      </c>
      <c r="Q289" s="10" t="s">
        <v>87</v>
      </c>
      <c r="R289" s="10" t="s">
        <v>74</v>
      </c>
      <c r="S289" s="11">
        <v>120.0</v>
      </c>
      <c r="T289" s="11">
        <v>65.78</v>
      </c>
      <c r="U289" s="11" t="s">
        <v>51</v>
      </c>
      <c r="V289" s="10" t="s">
        <v>52</v>
      </c>
      <c r="W289" s="10" t="s">
        <v>3111</v>
      </c>
      <c r="X289" s="10" t="s">
        <v>3112</v>
      </c>
      <c r="Y289" s="10" t="s">
        <v>3113</v>
      </c>
      <c r="Z289" s="10" t="s">
        <v>50</v>
      </c>
      <c r="AA289" s="10" t="s">
        <v>50</v>
      </c>
      <c r="AB289" s="10" t="s">
        <v>3111</v>
      </c>
      <c r="AC289" s="10" t="s">
        <v>3114</v>
      </c>
      <c r="AD289" s="10" t="s">
        <v>3115</v>
      </c>
      <c r="AE289" s="10" t="s">
        <v>3116</v>
      </c>
      <c r="AF289" s="10" t="s">
        <v>323</v>
      </c>
      <c r="AG289" s="10" t="s">
        <v>3117</v>
      </c>
      <c r="AH289" s="10" t="s">
        <v>60</v>
      </c>
      <c r="AI289" s="10" t="s">
        <v>61</v>
      </c>
      <c r="AJ289" s="10" t="s">
        <v>1925</v>
      </c>
      <c r="AK289" s="10" t="s">
        <v>3118</v>
      </c>
      <c r="AL289" s="10" t="s">
        <v>64</v>
      </c>
      <c r="AM289" s="10" t="s">
        <v>3119</v>
      </c>
      <c r="AN289" s="10" t="s">
        <v>3120</v>
      </c>
      <c r="AO289" s="11" t="s">
        <v>50</v>
      </c>
      <c r="AP289" s="10" t="s">
        <v>50</v>
      </c>
      <c r="AQ289" s="10" t="s">
        <v>50</v>
      </c>
      <c r="AR289" s="10" t="s">
        <v>50</v>
      </c>
      <c r="AS289" s="10" t="s">
        <v>50</v>
      </c>
      <c r="AT289" s="10" t="s">
        <v>50</v>
      </c>
      <c r="AU289" s="10" t="s">
        <v>50</v>
      </c>
      <c r="AV289" s="11"/>
      <c r="AW289" s="10" t="s">
        <v>66</v>
      </c>
      <c r="AX289" s="10"/>
      <c r="AY289" s="10" t="s">
        <v>66</v>
      </c>
    </row>
    <row r="290" ht="22.5" hidden="1" customHeight="1">
      <c r="A290" s="9" t="s">
        <v>3121</v>
      </c>
      <c r="B290" s="10" t="s">
        <v>3122</v>
      </c>
      <c r="C290" s="10" t="s">
        <v>43</v>
      </c>
      <c r="D290" s="10" t="s">
        <v>1262</v>
      </c>
      <c r="E290" s="10" t="s">
        <v>66</v>
      </c>
      <c r="F290" s="11">
        <v>1.0</v>
      </c>
      <c r="G290" s="11">
        <v>120.0</v>
      </c>
      <c r="H290" s="11"/>
      <c r="I290" s="11">
        <v>-20.4</v>
      </c>
      <c r="J290" s="11">
        <v>-19.95</v>
      </c>
      <c r="K290" s="11"/>
      <c r="L290" s="11">
        <v>86.85</v>
      </c>
      <c r="M290" s="10" t="s">
        <v>46</v>
      </c>
      <c r="N290" s="10" t="s">
        <v>45</v>
      </c>
      <c r="O290" s="10" t="s">
        <v>85</v>
      </c>
      <c r="P290" s="10" t="s">
        <v>86</v>
      </c>
      <c r="Q290" s="10" t="s">
        <v>87</v>
      </c>
      <c r="R290" s="10" t="s">
        <v>74</v>
      </c>
      <c r="S290" s="11">
        <v>120.0</v>
      </c>
      <c r="T290" s="11">
        <v>65.78</v>
      </c>
      <c r="U290" s="11" t="s">
        <v>51</v>
      </c>
      <c r="V290" s="10" t="s">
        <v>52</v>
      </c>
      <c r="W290" s="10" t="s">
        <v>3123</v>
      </c>
      <c r="X290" s="10" t="s">
        <v>3124</v>
      </c>
      <c r="Y290" s="10" t="s">
        <v>3125</v>
      </c>
      <c r="Z290" s="10" t="s">
        <v>50</v>
      </c>
      <c r="AA290" s="10" t="s">
        <v>50</v>
      </c>
      <c r="AB290" s="10" t="s">
        <v>3123</v>
      </c>
      <c r="AC290" s="10" t="s">
        <v>3126</v>
      </c>
      <c r="AD290" s="10" t="s">
        <v>3127</v>
      </c>
      <c r="AE290" s="10" t="s">
        <v>2860</v>
      </c>
      <c r="AF290" s="10" t="s">
        <v>151</v>
      </c>
      <c r="AG290" s="10" t="s">
        <v>3128</v>
      </c>
      <c r="AH290" s="10" t="s">
        <v>60</v>
      </c>
      <c r="AI290" s="10" t="s">
        <v>61</v>
      </c>
      <c r="AJ290" s="10" t="s">
        <v>2778</v>
      </c>
      <c r="AK290" s="10" t="s">
        <v>3129</v>
      </c>
      <c r="AL290" s="10" t="s">
        <v>64</v>
      </c>
      <c r="AM290" s="10" t="s">
        <v>3130</v>
      </c>
      <c r="AN290" s="10" t="s">
        <v>50</v>
      </c>
      <c r="AO290" s="11" t="s">
        <v>50</v>
      </c>
      <c r="AP290" s="10" t="s">
        <v>50</v>
      </c>
      <c r="AQ290" s="10" t="s">
        <v>50</v>
      </c>
      <c r="AR290" s="10" t="s">
        <v>50</v>
      </c>
      <c r="AS290" s="10" t="s">
        <v>50</v>
      </c>
      <c r="AT290" s="10" t="s">
        <v>50</v>
      </c>
      <c r="AU290" s="10" t="s">
        <v>50</v>
      </c>
      <c r="AV290" s="11"/>
      <c r="AW290" s="10" t="s">
        <v>66</v>
      </c>
      <c r="AX290" s="10"/>
      <c r="AY290" s="10" t="s">
        <v>66</v>
      </c>
    </row>
    <row r="291" ht="22.5" hidden="1" customHeight="1">
      <c r="A291" s="9" t="s">
        <v>3131</v>
      </c>
      <c r="B291" s="10" t="s">
        <v>3132</v>
      </c>
      <c r="C291" s="10" t="s">
        <v>43</v>
      </c>
      <c r="D291" s="10" t="s">
        <v>1398</v>
      </c>
      <c r="E291" s="10" t="s">
        <v>66</v>
      </c>
      <c r="F291" s="11">
        <v>1.0</v>
      </c>
      <c r="G291" s="11">
        <v>92.15</v>
      </c>
      <c r="H291" s="11"/>
      <c r="I291" s="11">
        <v>-17.51</v>
      </c>
      <c r="J291" s="11">
        <v>-20.45</v>
      </c>
      <c r="K291" s="11"/>
      <c r="L291" s="11">
        <v>59.72</v>
      </c>
      <c r="M291" s="10" t="s">
        <v>46</v>
      </c>
      <c r="N291" s="10" t="s">
        <v>50</v>
      </c>
      <c r="O291" s="10" t="s">
        <v>586</v>
      </c>
      <c r="P291" s="10" t="s">
        <v>587</v>
      </c>
      <c r="Q291" s="10" t="s">
        <v>588</v>
      </c>
      <c r="R291" s="10" t="s">
        <v>50</v>
      </c>
      <c r="S291" s="11">
        <v>92.15</v>
      </c>
      <c r="T291" s="11">
        <v>20.76</v>
      </c>
      <c r="U291" s="11" t="s">
        <v>51</v>
      </c>
      <c r="V291" s="10" t="s">
        <v>52</v>
      </c>
      <c r="W291" s="10" t="s">
        <v>3133</v>
      </c>
      <c r="X291" s="10" t="s">
        <v>3134</v>
      </c>
      <c r="Y291" s="10" t="s">
        <v>3135</v>
      </c>
      <c r="Z291" s="10" t="s">
        <v>50</v>
      </c>
      <c r="AA291" s="10" t="s">
        <v>50</v>
      </c>
      <c r="AB291" s="10" t="s">
        <v>3133</v>
      </c>
      <c r="AC291" s="10" t="s">
        <v>3136</v>
      </c>
      <c r="AD291" s="10" t="s">
        <v>3137</v>
      </c>
      <c r="AE291" s="10" t="s">
        <v>1617</v>
      </c>
      <c r="AF291" s="10" t="s">
        <v>58</v>
      </c>
      <c r="AG291" s="10" t="s">
        <v>3138</v>
      </c>
      <c r="AH291" s="10" t="s">
        <v>60</v>
      </c>
      <c r="AI291" s="10" t="s">
        <v>61</v>
      </c>
      <c r="AJ291" s="10" t="s">
        <v>1619</v>
      </c>
      <c r="AK291" s="10" t="s">
        <v>1806</v>
      </c>
      <c r="AL291" s="10" t="s">
        <v>64</v>
      </c>
      <c r="AM291" s="10" t="s">
        <v>3139</v>
      </c>
      <c r="AN291" s="10" t="s">
        <v>50</v>
      </c>
      <c r="AO291" s="11" t="s">
        <v>50</v>
      </c>
      <c r="AP291" s="10" t="s">
        <v>50</v>
      </c>
      <c r="AQ291" s="10" t="s">
        <v>50</v>
      </c>
      <c r="AR291" s="10" t="s">
        <v>50</v>
      </c>
      <c r="AS291" s="10" t="s">
        <v>50</v>
      </c>
      <c r="AT291" s="10" t="s">
        <v>50</v>
      </c>
      <c r="AU291" s="10" t="s">
        <v>50</v>
      </c>
      <c r="AV291" s="11"/>
      <c r="AW291" s="10" t="s">
        <v>66</v>
      </c>
      <c r="AX291" s="10"/>
      <c r="AY291" s="10" t="s">
        <v>66</v>
      </c>
    </row>
    <row r="292" ht="22.5" hidden="1" customHeight="1">
      <c r="A292" s="9" t="s">
        <v>3140</v>
      </c>
      <c r="B292" s="10" t="s">
        <v>3141</v>
      </c>
      <c r="C292" s="10" t="s">
        <v>43</v>
      </c>
      <c r="D292" s="10" t="s">
        <v>1398</v>
      </c>
      <c r="E292" s="10" t="s">
        <v>66</v>
      </c>
      <c r="F292" s="11">
        <v>1.0</v>
      </c>
      <c r="G292" s="11">
        <v>120.0</v>
      </c>
      <c r="H292" s="11"/>
      <c r="I292" s="11">
        <v>-20.4</v>
      </c>
      <c r="J292" s="11">
        <v>-19.95</v>
      </c>
      <c r="K292" s="11"/>
      <c r="L292" s="11">
        <v>86.85</v>
      </c>
      <c r="M292" s="10" t="s">
        <v>46</v>
      </c>
      <c r="N292" s="10" t="s">
        <v>50</v>
      </c>
      <c r="O292" s="10" t="s">
        <v>85</v>
      </c>
      <c r="P292" s="10" t="s">
        <v>86</v>
      </c>
      <c r="Q292" s="10" t="s">
        <v>87</v>
      </c>
      <c r="R292" s="10" t="s">
        <v>74</v>
      </c>
      <c r="S292" s="11">
        <v>120.0</v>
      </c>
      <c r="T292" s="11">
        <v>65.78</v>
      </c>
      <c r="U292" s="11" t="s">
        <v>51</v>
      </c>
      <c r="V292" s="10" t="s">
        <v>52</v>
      </c>
      <c r="W292" s="10" t="s">
        <v>3142</v>
      </c>
      <c r="X292" s="10" t="s">
        <v>3143</v>
      </c>
      <c r="Y292" s="10" t="s">
        <v>3144</v>
      </c>
      <c r="Z292" s="10" t="s">
        <v>50</v>
      </c>
      <c r="AA292" s="10" t="s">
        <v>50</v>
      </c>
      <c r="AB292" s="10" t="s">
        <v>3142</v>
      </c>
      <c r="AC292" s="10" t="s">
        <v>3145</v>
      </c>
      <c r="AD292" s="10" t="s">
        <v>3146</v>
      </c>
      <c r="AE292" s="10" t="s">
        <v>373</v>
      </c>
      <c r="AF292" s="10" t="s">
        <v>58</v>
      </c>
      <c r="AG292" s="10" t="s">
        <v>3147</v>
      </c>
      <c r="AH292" s="10" t="s">
        <v>60</v>
      </c>
      <c r="AI292" s="10" t="s">
        <v>61</v>
      </c>
      <c r="AJ292" s="10" t="s">
        <v>1619</v>
      </c>
      <c r="AK292" s="10" t="s">
        <v>3148</v>
      </c>
      <c r="AL292" s="10" t="s">
        <v>64</v>
      </c>
      <c r="AM292" s="10" t="s">
        <v>3149</v>
      </c>
      <c r="AN292" s="10" t="s">
        <v>50</v>
      </c>
      <c r="AO292" s="11" t="s">
        <v>50</v>
      </c>
      <c r="AP292" s="10" t="s">
        <v>50</v>
      </c>
      <c r="AQ292" s="10" t="s">
        <v>50</v>
      </c>
      <c r="AR292" s="10" t="s">
        <v>50</v>
      </c>
      <c r="AS292" s="10" t="s">
        <v>50</v>
      </c>
      <c r="AT292" s="10" t="s">
        <v>50</v>
      </c>
      <c r="AU292" s="10" t="s">
        <v>50</v>
      </c>
      <c r="AV292" s="11"/>
      <c r="AW292" s="10" t="s">
        <v>66</v>
      </c>
      <c r="AX292" s="10"/>
      <c r="AY292" s="10" t="s">
        <v>66</v>
      </c>
    </row>
    <row r="293" ht="22.5" hidden="1" customHeight="1">
      <c r="A293" s="9" t="s">
        <v>3150</v>
      </c>
      <c r="B293" s="10" t="s">
        <v>3151</v>
      </c>
      <c r="C293" s="10" t="s">
        <v>43</v>
      </c>
      <c r="D293" s="10" t="s">
        <v>1262</v>
      </c>
      <c r="E293" s="10" t="s">
        <v>45</v>
      </c>
      <c r="F293" s="11">
        <v>1.0</v>
      </c>
      <c r="G293" s="11">
        <v>79.0</v>
      </c>
      <c r="H293" s="11"/>
      <c r="I293" s="11">
        <v>-13.43</v>
      </c>
      <c r="J293" s="11">
        <v>-20.45</v>
      </c>
      <c r="K293" s="11"/>
      <c r="L293" s="11">
        <v>45.12</v>
      </c>
      <c r="M293" s="10" t="s">
        <v>46</v>
      </c>
      <c r="N293" s="10" t="s">
        <v>50</v>
      </c>
      <c r="O293" s="10" t="s">
        <v>160</v>
      </c>
      <c r="P293" s="10" t="s">
        <v>161</v>
      </c>
      <c r="Q293" s="10" t="s">
        <v>162</v>
      </c>
      <c r="R293" s="10" t="s">
        <v>74</v>
      </c>
      <c r="S293" s="11">
        <v>79.0</v>
      </c>
      <c r="T293" s="11">
        <v>2.49</v>
      </c>
      <c r="U293" s="11" t="s">
        <v>51</v>
      </c>
      <c r="V293" s="10" t="s">
        <v>52</v>
      </c>
      <c r="W293" s="10" t="s">
        <v>3152</v>
      </c>
      <c r="X293" s="10" t="s">
        <v>3153</v>
      </c>
      <c r="Y293" s="10" t="s">
        <v>3154</v>
      </c>
      <c r="Z293" s="10" t="s">
        <v>50</v>
      </c>
      <c r="AA293" s="10" t="s">
        <v>50</v>
      </c>
      <c r="AB293" s="10" t="s">
        <v>3152</v>
      </c>
      <c r="AC293" s="10" t="s">
        <v>3155</v>
      </c>
      <c r="AD293" s="10" t="s">
        <v>3156</v>
      </c>
      <c r="AE293" s="10" t="s">
        <v>151</v>
      </c>
      <c r="AF293" s="10" t="s">
        <v>151</v>
      </c>
      <c r="AG293" s="10" t="s">
        <v>3157</v>
      </c>
      <c r="AH293" s="10" t="s">
        <v>60</v>
      </c>
      <c r="AI293" s="10" t="s">
        <v>61</v>
      </c>
      <c r="AJ293" s="10" t="s">
        <v>3158</v>
      </c>
      <c r="AK293" s="10" t="s">
        <v>3159</v>
      </c>
      <c r="AL293" s="10" t="s">
        <v>64</v>
      </c>
      <c r="AM293" s="10" t="s">
        <v>3160</v>
      </c>
      <c r="AN293" s="10" t="s">
        <v>50</v>
      </c>
      <c r="AO293" s="11" t="s">
        <v>50</v>
      </c>
      <c r="AP293" s="10" t="s">
        <v>50</v>
      </c>
      <c r="AQ293" s="10" t="s">
        <v>50</v>
      </c>
      <c r="AR293" s="10" t="s">
        <v>50</v>
      </c>
      <c r="AS293" s="10" t="s">
        <v>50</v>
      </c>
      <c r="AT293" s="10" t="s">
        <v>50</v>
      </c>
      <c r="AU293" s="10" t="s">
        <v>50</v>
      </c>
      <c r="AV293" s="11"/>
      <c r="AW293" s="10" t="s">
        <v>66</v>
      </c>
      <c r="AX293" s="10"/>
      <c r="AY293" s="10" t="s">
        <v>66</v>
      </c>
    </row>
    <row r="294" ht="22.5" hidden="1" customHeight="1">
      <c r="A294" s="9" t="s">
        <v>3161</v>
      </c>
      <c r="B294" s="10" t="s">
        <v>3162</v>
      </c>
      <c r="C294" s="10" t="s">
        <v>43</v>
      </c>
      <c r="D294" s="10" t="s">
        <v>125</v>
      </c>
      <c r="E294" s="10" t="s">
        <v>45</v>
      </c>
      <c r="F294" s="11">
        <v>2.0</v>
      </c>
      <c r="G294" s="11">
        <v>160.0</v>
      </c>
      <c r="H294" s="11"/>
      <c r="I294" s="11">
        <v>-27.2</v>
      </c>
      <c r="J294" s="11">
        <v>-39.9</v>
      </c>
      <c r="K294" s="11"/>
      <c r="L294" s="11">
        <v>100.9</v>
      </c>
      <c r="M294" s="10" t="s">
        <v>46</v>
      </c>
      <c r="N294" s="10" t="s">
        <v>50</v>
      </c>
      <c r="O294" s="10" t="s">
        <v>143</v>
      </c>
      <c r="P294" s="10" t="s">
        <v>144</v>
      </c>
      <c r="Q294" s="10" t="s">
        <v>145</v>
      </c>
      <c r="R294" s="10" t="s">
        <v>74</v>
      </c>
      <c r="S294" s="11">
        <v>80.0</v>
      </c>
      <c r="T294" s="11">
        <v>33.38</v>
      </c>
      <c r="U294" s="11" t="s">
        <v>51</v>
      </c>
      <c r="V294" s="10" t="s">
        <v>52</v>
      </c>
      <c r="W294" s="10" t="s">
        <v>3163</v>
      </c>
      <c r="X294" s="10" t="s">
        <v>3164</v>
      </c>
      <c r="Y294" s="10" t="s">
        <v>3165</v>
      </c>
      <c r="Z294" s="10" t="s">
        <v>50</v>
      </c>
      <c r="AA294" s="10" t="s">
        <v>50</v>
      </c>
      <c r="AB294" s="10" t="s">
        <v>3163</v>
      </c>
      <c r="AC294" s="10" t="s">
        <v>3166</v>
      </c>
      <c r="AD294" s="10" t="s">
        <v>3167</v>
      </c>
      <c r="AE294" s="10" t="s">
        <v>3168</v>
      </c>
      <c r="AF294" s="10" t="s">
        <v>185</v>
      </c>
      <c r="AG294" s="10" t="s">
        <v>3169</v>
      </c>
      <c r="AH294" s="10" t="s">
        <v>60</v>
      </c>
      <c r="AI294" s="10" t="s">
        <v>61</v>
      </c>
      <c r="AJ294" s="10" t="s">
        <v>1439</v>
      </c>
      <c r="AK294" s="10" t="s">
        <v>3170</v>
      </c>
      <c r="AL294" s="10" t="s">
        <v>64</v>
      </c>
      <c r="AM294" s="10" t="s">
        <v>3171</v>
      </c>
      <c r="AN294" s="10" t="s">
        <v>3172</v>
      </c>
      <c r="AO294" s="11" t="s">
        <v>50</v>
      </c>
      <c r="AP294" s="10" t="s">
        <v>50</v>
      </c>
      <c r="AQ294" s="10" t="s">
        <v>50</v>
      </c>
      <c r="AR294" s="10" t="s">
        <v>50</v>
      </c>
      <c r="AS294" s="10" t="s">
        <v>50</v>
      </c>
      <c r="AT294" s="10" t="s">
        <v>50</v>
      </c>
      <c r="AU294" s="10" t="s">
        <v>50</v>
      </c>
      <c r="AV294" s="11"/>
      <c r="AW294" s="10" t="s">
        <v>66</v>
      </c>
      <c r="AX294" s="10"/>
      <c r="AY294" s="10" t="s">
        <v>66</v>
      </c>
    </row>
    <row r="295" ht="22.5" hidden="1" customHeight="1">
      <c r="A295" s="9" t="s">
        <v>3173</v>
      </c>
      <c r="B295" s="10" t="s">
        <v>3174</v>
      </c>
      <c r="C295" s="10" t="s">
        <v>3175</v>
      </c>
      <c r="D295" s="10" t="s">
        <v>3176</v>
      </c>
      <c r="E295" s="10" t="s">
        <v>66</v>
      </c>
      <c r="F295" s="11">
        <v>1.0</v>
      </c>
      <c r="G295" s="11">
        <v>80.0</v>
      </c>
      <c r="H295" s="11"/>
      <c r="I295" s="11">
        <v>-13.6</v>
      </c>
      <c r="J295" s="11">
        <v>-19.95</v>
      </c>
      <c r="K295" s="11"/>
      <c r="L295" s="11">
        <v>50.45</v>
      </c>
      <c r="M295" s="10" t="s">
        <v>46</v>
      </c>
      <c r="N295" s="10" t="s">
        <v>50</v>
      </c>
      <c r="O295" s="10" t="s">
        <v>143</v>
      </c>
      <c r="P295" s="10" t="s">
        <v>144</v>
      </c>
      <c r="Q295" s="10" t="s">
        <v>145</v>
      </c>
      <c r="R295" s="10" t="s">
        <v>74</v>
      </c>
      <c r="S295" s="11">
        <v>80.0</v>
      </c>
      <c r="T295" s="11">
        <v>33.38</v>
      </c>
      <c r="U295" s="11" t="s">
        <v>51</v>
      </c>
      <c r="V295" s="10" t="s">
        <v>52</v>
      </c>
      <c r="W295" s="10" t="s">
        <v>3177</v>
      </c>
      <c r="X295" s="10" t="s">
        <v>3178</v>
      </c>
      <c r="Y295" s="10" t="s">
        <v>3179</v>
      </c>
      <c r="Z295" s="10" t="s">
        <v>50</v>
      </c>
      <c r="AA295" s="10" t="s">
        <v>50</v>
      </c>
      <c r="AB295" s="10" t="s">
        <v>3177</v>
      </c>
      <c r="AC295" s="10" t="s">
        <v>3180</v>
      </c>
      <c r="AD295" s="10" t="s">
        <v>50</v>
      </c>
      <c r="AE295" s="10" t="s">
        <v>1936</v>
      </c>
      <c r="AF295" s="10" t="s">
        <v>58</v>
      </c>
      <c r="AG295" s="10" t="s">
        <v>3181</v>
      </c>
      <c r="AH295" s="10" t="s">
        <v>60</v>
      </c>
      <c r="AI295" s="10" t="s">
        <v>61</v>
      </c>
      <c r="AJ295" s="10" t="s">
        <v>2100</v>
      </c>
      <c r="AK295" s="10" t="s">
        <v>50</v>
      </c>
      <c r="AL295" s="10" t="s">
        <v>64</v>
      </c>
      <c r="AM295" s="10" t="s">
        <v>3182</v>
      </c>
      <c r="AN295" s="10" t="s">
        <v>50</v>
      </c>
      <c r="AO295" s="11" t="s">
        <v>50</v>
      </c>
      <c r="AP295" s="10" t="s">
        <v>50</v>
      </c>
      <c r="AQ295" s="10" t="s">
        <v>50</v>
      </c>
      <c r="AR295" s="10" t="s">
        <v>50</v>
      </c>
      <c r="AS295" s="10" t="s">
        <v>50</v>
      </c>
      <c r="AT295" s="10" t="s">
        <v>50</v>
      </c>
      <c r="AU295" s="10" t="s">
        <v>50</v>
      </c>
      <c r="AV295" s="11"/>
      <c r="AW295" s="10" t="s">
        <v>66</v>
      </c>
      <c r="AX295" s="10"/>
      <c r="AY295" s="10" t="s">
        <v>66</v>
      </c>
    </row>
    <row r="296" ht="22.5" hidden="1" customHeight="1">
      <c r="A296" s="9" t="s">
        <v>3183</v>
      </c>
      <c r="B296" s="10" t="s">
        <v>3184</v>
      </c>
      <c r="C296" s="10" t="s">
        <v>43</v>
      </c>
      <c r="D296" s="10" t="s">
        <v>1398</v>
      </c>
      <c r="E296" s="10" t="s">
        <v>66</v>
      </c>
      <c r="F296" s="11">
        <v>1.0</v>
      </c>
      <c r="G296" s="11">
        <v>92.15</v>
      </c>
      <c r="H296" s="11"/>
      <c r="I296" s="11">
        <v>-17.51</v>
      </c>
      <c r="J296" s="11">
        <v>-20.45</v>
      </c>
      <c r="K296" s="11"/>
      <c r="L296" s="11">
        <v>59.72</v>
      </c>
      <c r="M296" s="10" t="s">
        <v>46</v>
      </c>
      <c r="N296" s="10" t="s">
        <v>50</v>
      </c>
      <c r="O296" s="10" t="s">
        <v>586</v>
      </c>
      <c r="P296" s="10" t="s">
        <v>587</v>
      </c>
      <c r="Q296" s="10" t="s">
        <v>588</v>
      </c>
      <c r="R296" s="10" t="s">
        <v>50</v>
      </c>
      <c r="S296" s="11">
        <v>92.15</v>
      </c>
      <c r="T296" s="11">
        <v>20.76</v>
      </c>
      <c r="U296" s="11" t="s">
        <v>51</v>
      </c>
      <c r="V296" s="10" t="s">
        <v>52</v>
      </c>
      <c r="W296" s="10" t="s">
        <v>3185</v>
      </c>
      <c r="X296" s="10" t="s">
        <v>3186</v>
      </c>
      <c r="Y296" s="10" t="s">
        <v>3187</v>
      </c>
      <c r="Z296" s="10" t="s">
        <v>50</v>
      </c>
      <c r="AA296" s="10" t="s">
        <v>50</v>
      </c>
      <c r="AB296" s="10" t="s">
        <v>3185</v>
      </c>
      <c r="AC296" s="10" t="s">
        <v>3188</v>
      </c>
      <c r="AD296" s="10" t="s">
        <v>3189</v>
      </c>
      <c r="AE296" s="10" t="s">
        <v>3190</v>
      </c>
      <c r="AF296" s="10" t="s">
        <v>58</v>
      </c>
      <c r="AG296" s="10" t="s">
        <v>3191</v>
      </c>
      <c r="AH296" s="10" t="s">
        <v>60</v>
      </c>
      <c r="AI296" s="10" t="s">
        <v>61</v>
      </c>
      <c r="AJ296" s="10" t="s">
        <v>1497</v>
      </c>
      <c r="AK296" s="10" t="s">
        <v>3192</v>
      </c>
      <c r="AL296" s="10" t="s">
        <v>64</v>
      </c>
      <c r="AM296" s="10" t="s">
        <v>3193</v>
      </c>
      <c r="AN296" s="10" t="s">
        <v>50</v>
      </c>
      <c r="AO296" s="11" t="s">
        <v>50</v>
      </c>
      <c r="AP296" s="10" t="s">
        <v>50</v>
      </c>
      <c r="AQ296" s="10" t="s">
        <v>50</v>
      </c>
      <c r="AR296" s="10" t="s">
        <v>50</v>
      </c>
      <c r="AS296" s="10" t="s">
        <v>50</v>
      </c>
      <c r="AT296" s="10" t="s">
        <v>50</v>
      </c>
      <c r="AU296" s="10" t="s">
        <v>50</v>
      </c>
      <c r="AV296" s="11"/>
      <c r="AW296" s="10" t="s">
        <v>66</v>
      </c>
      <c r="AX296" s="10"/>
      <c r="AY296" s="10" t="s">
        <v>66</v>
      </c>
    </row>
    <row r="297" ht="22.5" hidden="1" customHeight="1">
      <c r="A297" s="9" t="s">
        <v>3194</v>
      </c>
      <c r="B297" s="10" t="s">
        <v>3195</v>
      </c>
      <c r="C297" s="10" t="s">
        <v>43</v>
      </c>
      <c r="D297" s="10" t="s">
        <v>734</v>
      </c>
      <c r="E297" s="10" t="s">
        <v>45</v>
      </c>
      <c r="F297" s="11">
        <v>1.0</v>
      </c>
      <c r="G297" s="11">
        <v>120.0</v>
      </c>
      <c r="H297" s="11"/>
      <c r="I297" s="11">
        <v>-20.4</v>
      </c>
      <c r="J297" s="11">
        <v>-19.95</v>
      </c>
      <c r="K297" s="11"/>
      <c r="L297" s="11">
        <v>86.85</v>
      </c>
      <c r="M297" s="10" t="s">
        <v>46</v>
      </c>
      <c r="N297" s="10" t="s">
        <v>45</v>
      </c>
      <c r="O297" s="10" t="s">
        <v>85</v>
      </c>
      <c r="P297" s="10" t="s">
        <v>86</v>
      </c>
      <c r="Q297" s="10" t="s">
        <v>87</v>
      </c>
      <c r="R297" s="10" t="s">
        <v>74</v>
      </c>
      <c r="S297" s="11">
        <v>120.0</v>
      </c>
      <c r="T297" s="11">
        <v>65.78</v>
      </c>
      <c r="U297" s="11" t="s">
        <v>51</v>
      </c>
      <c r="V297" s="10" t="s">
        <v>52</v>
      </c>
      <c r="W297" s="10" t="s">
        <v>3196</v>
      </c>
      <c r="X297" s="10" t="s">
        <v>3197</v>
      </c>
      <c r="Y297" s="10" t="s">
        <v>3198</v>
      </c>
      <c r="Z297" s="10" t="s">
        <v>50</v>
      </c>
      <c r="AA297" s="10" t="s">
        <v>50</v>
      </c>
      <c r="AB297" s="10" t="s">
        <v>3196</v>
      </c>
      <c r="AC297" s="10" t="s">
        <v>3199</v>
      </c>
      <c r="AD297" s="10" t="s">
        <v>3200</v>
      </c>
      <c r="AE297" s="10" t="s">
        <v>3201</v>
      </c>
      <c r="AF297" s="10" t="s">
        <v>81</v>
      </c>
      <c r="AG297" s="10" t="s">
        <v>3202</v>
      </c>
      <c r="AH297" s="10" t="s">
        <v>60</v>
      </c>
      <c r="AI297" s="10" t="s">
        <v>61</v>
      </c>
      <c r="AJ297" s="10" t="s">
        <v>1607</v>
      </c>
      <c r="AK297" s="10" t="s">
        <v>3203</v>
      </c>
      <c r="AL297" s="10" t="s">
        <v>64</v>
      </c>
      <c r="AM297" s="10" t="s">
        <v>3204</v>
      </c>
      <c r="AN297" s="10" t="s">
        <v>50</v>
      </c>
      <c r="AO297" s="11" t="s">
        <v>50</v>
      </c>
      <c r="AP297" s="10" t="s">
        <v>50</v>
      </c>
      <c r="AQ297" s="10" t="s">
        <v>50</v>
      </c>
      <c r="AR297" s="10" t="s">
        <v>50</v>
      </c>
      <c r="AS297" s="10" t="s">
        <v>50</v>
      </c>
      <c r="AT297" s="10" t="s">
        <v>50</v>
      </c>
      <c r="AU297" s="10" t="s">
        <v>50</v>
      </c>
      <c r="AV297" s="11"/>
      <c r="AW297" s="10" t="s">
        <v>66</v>
      </c>
      <c r="AX297" s="10"/>
      <c r="AY297" s="10" t="s">
        <v>66</v>
      </c>
    </row>
    <row r="298" ht="22.5" hidden="1" customHeight="1">
      <c r="A298" s="9" t="s">
        <v>3205</v>
      </c>
      <c r="B298" s="10" t="s">
        <v>3206</v>
      </c>
      <c r="C298" s="10" t="s">
        <v>43</v>
      </c>
      <c r="D298" s="10" t="s">
        <v>191</v>
      </c>
      <c r="E298" s="10" t="s">
        <v>66</v>
      </c>
      <c r="F298" s="11">
        <v>1.0</v>
      </c>
      <c r="G298" s="11">
        <v>84.0</v>
      </c>
      <c r="H298" s="11"/>
      <c r="I298" s="11">
        <v>-14.28</v>
      </c>
      <c r="J298" s="11">
        <v>-20.45</v>
      </c>
      <c r="K298" s="11"/>
      <c r="L298" s="11">
        <v>49.27</v>
      </c>
      <c r="M298" s="10" t="s">
        <v>46</v>
      </c>
      <c r="N298" s="10" t="s">
        <v>45</v>
      </c>
      <c r="O298" s="10" t="s">
        <v>265</v>
      </c>
      <c r="P298" s="10" t="s">
        <v>266</v>
      </c>
      <c r="Q298" s="10" t="s">
        <v>267</v>
      </c>
      <c r="R298" s="10" t="s">
        <v>74</v>
      </c>
      <c r="S298" s="11">
        <v>84.0</v>
      </c>
      <c r="T298" s="11">
        <v>26.22</v>
      </c>
      <c r="U298" s="11" t="s">
        <v>51</v>
      </c>
      <c r="V298" s="10" t="s">
        <v>52</v>
      </c>
      <c r="W298" s="10" t="s">
        <v>3207</v>
      </c>
      <c r="X298" s="10" t="s">
        <v>3208</v>
      </c>
      <c r="Y298" s="10" t="s">
        <v>3209</v>
      </c>
      <c r="Z298" s="10" t="s">
        <v>50</v>
      </c>
      <c r="AA298" s="10" t="s">
        <v>50</v>
      </c>
      <c r="AB298" s="10" t="s">
        <v>3207</v>
      </c>
      <c r="AC298" s="10" t="s">
        <v>3210</v>
      </c>
      <c r="AD298" s="10" t="s">
        <v>3211</v>
      </c>
      <c r="AE298" s="10" t="s">
        <v>3212</v>
      </c>
      <c r="AF298" s="10" t="s">
        <v>119</v>
      </c>
      <c r="AG298" s="10" t="s">
        <v>3213</v>
      </c>
      <c r="AH298" s="10" t="s">
        <v>60</v>
      </c>
      <c r="AI298" s="10" t="s">
        <v>61</v>
      </c>
      <c r="AJ298" s="10" t="s">
        <v>1359</v>
      </c>
      <c r="AK298" s="10" t="s">
        <v>3214</v>
      </c>
      <c r="AL298" s="10" t="s">
        <v>64</v>
      </c>
      <c r="AM298" s="10" t="s">
        <v>3215</v>
      </c>
      <c r="AN298" s="10" t="s">
        <v>50</v>
      </c>
      <c r="AO298" s="11" t="s">
        <v>50</v>
      </c>
      <c r="AP298" s="10" t="s">
        <v>50</v>
      </c>
      <c r="AQ298" s="10" t="s">
        <v>50</v>
      </c>
      <c r="AR298" s="10" t="s">
        <v>50</v>
      </c>
      <c r="AS298" s="10" t="s">
        <v>50</v>
      </c>
      <c r="AT298" s="10" t="s">
        <v>50</v>
      </c>
      <c r="AU298" s="10" t="s">
        <v>50</v>
      </c>
      <c r="AV298" s="11"/>
      <c r="AW298" s="10" t="s">
        <v>66</v>
      </c>
      <c r="AX298" s="10"/>
      <c r="AY298" s="10" t="s">
        <v>66</v>
      </c>
    </row>
    <row r="299" ht="22.5" hidden="1" customHeight="1">
      <c r="A299" s="9" t="s">
        <v>3216</v>
      </c>
      <c r="B299" s="10" t="s">
        <v>3217</v>
      </c>
      <c r="C299" s="10" t="s">
        <v>43</v>
      </c>
      <c r="D299" s="10" t="s">
        <v>1398</v>
      </c>
      <c r="E299" s="10" t="s">
        <v>45</v>
      </c>
      <c r="F299" s="11">
        <v>2.0</v>
      </c>
      <c r="G299" s="11">
        <v>87.4</v>
      </c>
      <c r="H299" s="11"/>
      <c r="I299" s="11">
        <v>-26.86</v>
      </c>
      <c r="J299" s="11"/>
      <c r="K299" s="11"/>
      <c r="L299" s="11">
        <v>65.78</v>
      </c>
      <c r="M299" s="10" t="s">
        <v>46</v>
      </c>
      <c r="N299" s="10" t="s">
        <v>50</v>
      </c>
      <c r="O299" s="10" t="s">
        <v>176</v>
      </c>
      <c r="P299" s="10" t="s">
        <v>177</v>
      </c>
      <c r="Q299" s="10" t="s">
        <v>178</v>
      </c>
      <c r="R299" s="10" t="s">
        <v>74</v>
      </c>
      <c r="S299" s="11">
        <v>43.7</v>
      </c>
      <c r="T299" s="11">
        <f>2*22.58</f>
        <v>45.16</v>
      </c>
      <c r="U299" s="11" t="s">
        <v>51</v>
      </c>
      <c r="V299" s="10" t="s">
        <v>52</v>
      </c>
      <c r="W299" s="10" t="s">
        <v>3218</v>
      </c>
      <c r="X299" s="10" t="s">
        <v>3219</v>
      </c>
      <c r="Y299" s="10" t="s">
        <v>3220</v>
      </c>
      <c r="Z299" s="10" t="s">
        <v>50</v>
      </c>
      <c r="AA299" s="10" t="s">
        <v>50</v>
      </c>
      <c r="AB299" s="10" t="s">
        <v>3218</v>
      </c>
      <c r="AC299" s="10" t="s">
        <v>3221</v>
      </c>
      <c r="AD299" s="10" t="s">
        <v>3222</v>
      </c>
      <c r="AE299" s="10" t="s">
        <v>3223</v>
      </c>
      <c r="AF299" s="10" t="s">
        <v>214</v>
      </c>
      <c r="AG299" s="10" t="s">
        <v>3224</v>
      </c>
      <c r="AH299" s="10" t="s">
        <v>60</v>
      </c>
      <c r="AI299" s="10" t="s">
        <v>61</v>
      </c>
      <c r="AJ299" s="10" t="s">
        <v>1359</v>
      </c>
      <c r="AK299" s="10" t="s">
        <v>3225</v>
      </c>
      <c r="AL299" s="10" t="s">
        <v>64</v>
      </c>
      <c r="AM299" s="10" t="s">
        <v>3226</v>
      </c>
      <c r="AN299" s="10" t="s">
        <v>50</v>
      </c>
      <c r="AO299" s="11" t="s">
        <v>50</v>
      </c>
      <c r="AP299" s="10" t="s">
        <v>50</v>
      </c>
      <c r="AQ299" s="10" t="s">
        <v>50</v>
      </c>
      <c r="AR299" s="10" t="s">
        <v>50</v>
      </c>
      <c r="AS299" s="10" t="s">
        <v>50</v>
      </c>
      <c r="AT299" s="10" t="s">
        <v>50</v>
      </c>
      <c r="AU299" s="10" t="s">
        <v>50</v>
      </c>
      <c r="AV299" s="11"/>
      <c r="AW299" s="10" t="s">
        <v>66</v>
      </c>
      <c r="AX299" s="10"/>
      <c r="AY299" s="10" t="s">
        <v>66</v>
      </c>
    </row>
    <row r="300" ht="22.5" hidden="1" customHeight="1">
      <c r="A300" s="9" t="s">
        <v>3227</v>
      </c>
      <c r="B300" s="10" t="s">
        <v>3228</v>
      </c>
      <c r="C300" s="10" t="s">
        <v>43</v>
      </c>
      <c r="D300" s="10" t="s">
        <v>191</v>
      </c>
      <c r="E300" s="10" t="s">
        <v>66</v>
      </c>
      <c r="F300" s="11">
        <v>1.0</v>
      </c>
      <c r="G300" s="11">
        <v>79.0</v>
      </c>
      <c r="H300" s="11"/>
      <c r="I300" s="11">
        <v>-13.43</v>
      </c>
      <c r="J300" s="11">
        <v>-20.45</v>
      </c>
      <c r="K300" s="11"/>
      <c r="L300" s="11">
        <v>45.12</v>
      </c>
      <c r="M300" s="10" t="s">
        <v>46</v>
      </c>
      <c r="N300" s="10" t="s">
        <v>50</v>
      </c>
      <c r="O300" s="10" t="s">
        <v>160</v>
      </c>
      <c r="P300" s="10" t="s">
        <v>161</v>
      </c>
      <c r="Q300" s="10" t="s">
        <v>162</v>
      </c>
      <c r="R300" s="10" t="s">
        <v>74</v>
      </c>
      <c r="S300" s="11">
        <v>79.0</v>
      </c>
      <c r="T300" s="11">
        <v>2.49</v>
      </c>
      <c r="U300" s="11" t="s">
        <v>51</v>
      </c>
      <c r="V300" s="10" t="s">
        <v>52</v>
      </c>
      <c r="W300" s="10" t="s">
        <v>3229</v>
      </c>
      <c r="X300" s="10" t="s">
        <v>3230</v>
      </c>
      <c r="Y300" s="10" t="s">
        <v>3231</v>
      </c>
      <c r="Z300" s="10" t="s">
        <v>50</v>
      </c>
      <c r="AA300" s="10" t="s">
        <v>50</v>
      </c>
      <c r="AB300" s="10" t="s">
        <v>3229</v>
      </c>
      <c r="AC300" s="10" t="s">
        <v>3232</v>
      </c>
      <c r="AD300" s="10" t="s">
        <v>3233</v>
      </c>
      <c r="AE300" s="10" t="s">
        <v>1213</v>
      </c>
      <c r="AF300" s="10" t="s">
        <v>284</v>
      </c>
      <c r="AG300" s="10" t="s">
        <v>3234</v>
      </c>
      <c r="AH300" s="10" t="s">
        <v>60</v>
      </c>
      <c r="AI300" s="10" t="s">
        <v>61</v>
      </c>
      <c r="AJ300" s="10" t="s">
        <v>1359</v>
      </c>
      <c r="AK300" s="10" t="s">
        <v>3235</v>
      </c>
      <c r="AL300" s="10" t="s">
        <v>64</v>
      </c>
      <c r="AM300" s="10" t="s">
        <v>3236</v>
      </c>
      <c r="AN300" s="10" t="s">
        <v>50</v>
      </c>
      <c r="AO300" s="11" t="s">
        <v>50</v>
      </c>
      <c r="AP300" s="10" t="s">
        <v>50</v>
      </c>
      <c r="AQ300" s="10" t="s">
        <v>50</v>
      </c>
      <c r="AR300" s="10" t="s">
        <v>50</v>
      </c>
      <c r="AS300" s="10" t="s">
        <v>50</v>
      </c>
      <c r="AT300" s="10" t="s">
        <v>50</v>
      </c>
      <c r="AU300" s="10" t="s">
        <v>50</v>
      </c>
      <c r="AV300" s="11"/>
      <c r="AW300" s="10" t="s">
        <v>66</v>
      </c>
      <c r="AX300" s="10"/>
      <c r="AY300" s="10" t="s">
        <v>66</v>
      </c>
    </row>
    <row r="301" ht="22.5" hidden="1" customHeight="1">
      <c r="A301" s="9" t="s">
        <v>3237</v>
      </c>
      <c r="B301" s="10" t="s">
        <v>3238</v>
      </c>
      <c r="C301" s="10" t="s">
        <v>43</v>
      </c>
      <c r="D301" s="10" t="s">
        <v>1398</v>
      </c>
      <c r="E301" s="10" t="s">
        <v>45</v>
      </c>
      <c r="F301" s="11">
        <v>1.0</v>
      </c>
      <c r="G301" s="11">
        <v>43.7</v>
      </c>
      <c r="H301" s="11">
        <v>12.66</v>
      </c>
      <c r="I301" s="11">
        <v>-13.43</v>
      </c>
      <c r="J301" s="11">
        <v>-12.66</v>
      </c>
      <c r="K301" s="11"/>
      <c r="L301" s="11">
        <v>32.89</v>
      </c>
      <c r="M301" s="10" t="s">
        <v>46</v>
      </c>
      <c r="N301" s="10" t="s">
        <v>50</v>
      </c>
      <c r="O301" s="10" t="s">
        <v>176</v>
      </c>
      <c r="P301" s="10" t="s">
        <v>177</v>
      </c>
      <c r="Q301" s="10" t="s">
        <v>178</v>
      </c>
      <c r="R301" s="10" t="s">
        <v>74</v>
      </c>
      <c r="S301" s="11">
        <v>43.7</v>
      </c>
      <c r="T301" s="11">
        <v>22.58</v>
      </c>
      <c r="U301" s="11" t="s">
        <v>51</v>
      </c>
      <c r="V301" s="10" t="s">
        <v>52</v>
      </c>
      <c r="W301" s="10" t="s">
        <v>3239</v>
      </c>
      <c r="X301" s="10" t="s">
        <v>3240</v>
      </c>
      <c r="Y301" s="10" t="s">
        <v>3241</v>
      </c>
      <c r="Z301" s="10" t="s">
        <v>50</v>
      </c>
      <c r="AA301" s="10" t="s">
        <v>50</v>
      </c>
      <c r="AB301" s="10" t="s">
        <v>3239</v>
      </c>
      <c r="AC301" s="10" t="s">
        <v>3242</v>
      </c>
      <c r="AD301" s="10" t="s">
        <v>3243</v>
      </c>
      <c r="AE301" s="10" t="s">
        <v>3244</v>
      </c>
      <c r="AF301" s="10" t="s">
        <v>58</v>
      </c>
      <c r="AG301" s="10" t="s">
        <v>3245</v>
      </c>
      <c r="AH301" s="10" t="s">
        <v>60</v>
      </c>
      <c r="AI301" s="10" t="s">
        <v>61</v>
      </c>
      <c r="AJ301" s="10" t="s">
        <v>1619</v>
      </c>
      <c r="AK301" s="10" t="s">
        <v>3246</v>
      </c>
      <c r="AL301" s="10" t="s">
        <v>64</v>
      </c>
      <c r="AM301" s="10" t="s">
        <v>3247</v>
      </c>
      <c r="AN301" s="10" t="s">
        <v>50</v>
      </c>
      <c r="AO301" s="11" t="s">
        <v>50</v>
      </c>
      <c r="AP301" s="10" t="s">
        <v>50</v>
      </c>
      <c r="AQ301" s="10" t="s">
        <v>50</v>
      </c>
      <c r="AR301" s="10" t="s">
        <v>50</v>
      </c>
      <c r="AS301" s="10" t="s">
        <v>50</v>
      </c>
      <c r="AT301" s="10" t="s">
        <v>50</v>
      </c>
      <c r="AU301" s="10" t="s">
        <v>50</v>
      </c>
      <c r="AV301" s="11"/>
      <c r="AW301" s="10" t="s">
        <v>66</v>
      </c>
      <c r="AX301" s="10"/>
      <c r="AY301" s="10" t="s">
        <v>66</v>
      </c>
    </row>
    <row r="302" ht="22.5" hidden="1" customHeight="1">
      <c r="A302" s="9" t="s">
        <v>3248</v>
      </c>
      <c r="B302" s="10" t="s">
        <v>3249</v>
      </c>
      <c r="C302" s="10" t="s">
        <v>43</v>
      </c>
      <c r="D302" s="10" t="s">
        <v>99</v>
      </c>
      <c r="E302" s="10" t="s">
        <v>45</v>
      </c>
      <c r="F302" s="11">
        <v>1.0</v>
      </c>
      <c r="G302" s="11">
        <v>79.2</v>
      </c>
      <c r="H302" s="11"/>
      <c r="I302" s="11">
        <v>-13.46</v>
      </c>
      <c r="J302" s="11">
        <v>-20.45</v>
      </c>
      <c r="K302" s="11"/>
      <c r="L302" s="11">
        <v>50.04</v>
      </c>
      <c r="M302" s="10" t="s">
        <v>46</v>
      </c>
      <c r="N302" s="10" t="s">
        <v>50</v>
      </c>
      <c r="O302" s="10" t="s">
        <v>892</v>
      </c>
      <c r="P302" s="10" t="s">
        <v>893</v>
      </c>
      <c r="Q302" s="10" t="s">
        <v>894</v>
      </c>
      <c r="R302" s="10" t="s">
        <v>74</v>
      </c>
      <c r="S302" s="11">
        <v>79.2</v>
      </c>
      <c r="T302" s="11">
        <v>2.97</v>
      </c>
      <c r="U302" s="11" t="s">
        <v>51</v>
      </c>
      <c r="V302" s="10" t="s">
        <v>52</v>
      </c>
      <c r="W302" s="10" t="s">
        <v>3250</v>
      </c>
      <c r="X302" s="10" t="s">
        <v>3251</v>
      </c>
      <c r="Y302" s="10" t="s">
        <v>3252</v>
      </c>
      <c r="Z302" s="10" t="s">
        <v>50</v>
      </c>
      <c r="AA302" s="10" t="s">
        <v>50</v>
      </c>
      <c r="AB302" s="10" t="s">
        <v>3250</v>
      </c>
      <c r="AC302" s="10" t="s">
        <v>3253</v>
      </c>
      <c r="AD302" s="10" t="s">
        <v>3254</v>
      </c>
      <c r="AE302" s="10" t="s">
        <v>469</v>
      </c>
      <c r="AF302" s="10" t="s">
        <v>185</v>
      </c>
      <c r="AG302" s="10" t="s">
        <v>3255</v>
      </c>
      <c r="AH302" s="10" t="s">
        <v>60</v>
      </c>
      <c r="AI302" s="10" t="s">
        <v>61</v>
      </c>
      <c r="AJ302" s="10" t="s">
        <v>3256</v>
      </c>
      <c r="AK302" s="10" t="s">
        <v>3257</v>
      </c>
      <c r="AL302" s="10" t="s">
        <v>64</v>
      </c>
      <c r="AM302" s="10" t="s">
        <v>3258</v>
      </c>
      <c r="AN302" s="10" t="s">
        <v>50</v>
      </c>
      <c r="AO302" s="11" t="s">
        <v>50</v>
      </c>
      <c r="AP302" s="10" t="s">
        <v>50</v>
      </c>
      <c r="AQ302" s="10" t="s">
        <v>50</v>
      </c>
      <c r="AR302" s="10" t="s">
        <v>50</v>
      </c>
      <c r="AS302" s="10" t="s">
        <v>50</v>
      </c>
      <c r="AT302" s="10" t="s">
        <v>50</v>
      </c>
      <c r="AU302" s="10" t="s">
        <v>50</v>
      </c>
      <c r="AV302" s="11"/>
      <c r="AW302" s="10" t="s">
        <v>66</v>
      </c>
      <c r="AX302" s="10"/>
      <c r="AY302" s="10" t="s">
        <v>66</v>
      </c>
    </row>
    <row r="303" ht="22.5" hidden="1" customHeight="1">
      <c r="A303" s="9" t="s">
        <v>3259</v>
      </c>
      <c r="B303" s="10" t="s">
        <v>3260</v>
      </c>
      <c r="C303" s="10" t="s">
        <v>43</v>
      </c>
      <c r="D303" s="10" t="s">
        <v>759</v>
      </c>
      <c r="E303" s="10" t="s">
        <v>45</v>
      </c>
      <c r="F303" s="11">
        <v>1.0</v>
      </c>
      <c r="G303" s="11">
        <v>80.0</v>
      </c>
      <c r="H303" s="11"/>
      <c r="I303" s="11">
        <v>-13.6</v>
      </c>
      <c r="J303" s="11">
        <v>-19.95</v>
      </c>
      <c r="K303" s="11"/>
      <c r="L303" s="11">
        <v>50.45</v>
      </c>
      <c r="M303" s="10" t="s">
        <v>46</v>
      </c>
      <c r="N303" s="10" t="s">
        <v>50</v>
      </c>
      <c r="O303" s="10" t="s">
        <v>143</v>
      </c>
      <c r="P303" s="10" t="s">
        <v>144</v>
      </c>
      <c r="Q303" s="10" t="s">
        <v>145</v>
      </c>
      <c r="R303" s="10" t="s">
        <v>74</v>
      </c>
      <c r="S303" s="11">
        <v>80.0</v>
      </c>
      <c r="T303" s="11">
        <v>33.38</v>
      </c>
      <c r="U303" s="11" t="s">
        <v>51</v>
      </c>
      <c r="V303" s="10" t="s">
        <v>52</v>
      </c>
      <c r="W303" s="10" t="s">
        <v>3261</v>
      </c>
      <c r="X303" s="10" t="s">
        <v>3262</v>
      </c>
      <c r="Y303" s="10" t="s">
        <v>3263</v>
      </c>
      <c r="Z303" s="10" t="s">
        <v>50</v>
      </c>
      <c r="AA303" s="10" t="s">
        <v>50</v>
      </c>
      <c r="AB303" s="10" t="s">
        <v>3261</v>
      </c>
      <c r="AC303" s="10" t="s">
        <v>3264</v>
      </c>
      <c r="AD303" s="10" t="s">
        <v>3265</v>
      </c>
      <c r="AE303" s="10" t="s">
        <v>3266</v>
      </c>
      <c r="AF303" s="10" t="s">
        <v>185</v>
      </c>
      <c r="AG303" s="10" t="s">
        <v>3267</v>
      </c>
      <c r="AH303" s="10" t="s">
        <v>60</v>
      </c>
      <c r="AI303" s="10" t="s">
        <v>61</v>
      </c>
      <c r="AJ303" s="10" t="s">
        <v>1406</v>
      </c>
      <c r="AK303" s="10" t="s">
        <v>3268</v>
      </c>
      <c r="AL303" s="10" t="s">
        <v>64</v>
      </c>
      <c r="AM303" s="10" t="s">
        <v>3269</v>
      </c>
      <c r="AN303" s="10" t="s">
        <v>50</v>
      </c>
      <c r="AO303" s="11" t="s">
        <v>50</v>
      </c>
      <c r="AP303" s="10" t="s">
        <v>50</v>
      </c>
      <c r="AQ303" s="10" t="s">
        <v>50</v>
      </c>
      <c r="AR303" s="10" t="s">
        <v>50</v>
      </c>
      <c r="AS303" s="10" t="s">
        <v>50</v>
      </c>
      <c r="AT303" s="10" t="s">
        <v>50</v>
      </c>
      <c r="AU303" s="10" t="s">
        <v>50</v>
      </c>
      <c r="AV303" s="11"/>
      <c r="AW303" s="10" t="s">
        <v>66</v>
      </c>
      <c r="AX303" s="10"/>
      <c r="AY303" s="10" t="s">
        <v>66</v>
      </c>
    </row>
    <row r="304" ht="22.5" hidden="1" customHeight="1">
      <c r="A304" s="9" t="s">
        <v>3270</v>
      </c>
      <c r="B304" s="10" t="s">
        <v>3271</v>
      </c>
      <c r="C304" s="10" t="s">
        <v>43</v>
      </c>
      <c r="D304" s="10" t="s">
        <v>191</v>
      </c>
      <c r="E304" s="10" t="s">
        <v>45</v>
      </c>
      <c r="F304" s="11">
        <v>1.0</v>
      </c>
      <c r="G304" s="11">
        <v>92.15</v>
      </c>
      <c r="H304" s="11"/>
      <c r="I304" s="11">
        <v>-17.51</v>
      </c>
      <c r="J304" s="11">
        <v>-20.45</v>
      </c>
      <c r="K304" s="11"/>
      <c r="L304" s="11">
        <v>59.72</v>
      </c>
      <c r="M304" s="10" t="s">
        <v>46</v>
      </c>
      <c r="N304" s="10" t="s">
        <v>50</v>
      </c>
      <c r="O304" s="10" t="s">
        <v>586</v>
      </c>
      <c r="P304" s="10" t="s">
        <v>587</v>
      </c>
      <c r="Q304" s="10" t="s">
        <v>588</v>
      </c>
      <c r="R304" s="10" t="s">
        <v>50</v>
      </c>
      <c r="S304" s="11">
        <v>92.15</v>
      </c>
      <c r="T304" s="11">
        <v>20.76</v>
      </c>
      <c r="U304" s="11" t="s">
        <v>51</v>
      </c>
      <c r="V304" s="10" t="s">
        <v>52</v>
      </c>
      <c r="W304" s="10" t="s">
        <v>3272</v>
      </c>
      <c r="X304" s="10" t="s">
        <v>3273</v>
      </c>
      <c r="Y304" s="10" t="s">
        <v>3274</v>
      </c>
      <c r="Z304" s="10" t="s">
        <v>50</v>
      </c>
      <c r="AA304" s="10" t="s">
        <v>50</v>
      </c>
      <c r="AB304" s="10" t="s">
        <v>3272</v>
      </c>
      <c r="AC304" s="10" t="s">
        <v>3275</v>
      </c>
      <c r="AD304" s="10" t="s">
        <v>3276</v>
      </c>
      <c r="AE304" s="10" t="s">
        <v>3277</v>
      </c>
      <c r="AF304" s="10" t="s">
        <v>185</v>
      </c>
      <c r="AG304" s="10" t="s">
        <v>3278</v>
      </c>
      <c r="AH304" s="10" t="s">
        <v>60</v>
      </c>
      <c r="AI304" s="10" t="s">
        <v>61</v>
      </c>
      <c r="AJ304" s="10" t="s">
        <v>3279</v>
      </c>
      <c r="AK304" s="10" t="s">
        <v>3280</v>
      </c>
      <c r="AL304" s="10" t="s">
        <v>64</v>
      </c>
      <c r="AM304" s="10" t="s">
        <v>3281</v>
      </c>
      <c r="AN304" s="10" t="s">
        <v>50</v>
      </c>
      <c r="AO304" s="11" t="s">
        <v>50</v>
      </c>
      <c r="AP304" s="10" t="s">
        <v>50</v>
      </c>
      <c r="AQ304" s="10" t="s">
        <v>50</v>
      </c>
      <c r="AR304" s="10" t="s">
        <v>50</v>
      </c>
      <c r="AS304" s="10" t="s">
        <v>50</v>
      </c>
      <c r="AT304" s="10" t="s">
        <v>50</v>
      </c>
      <c r="AU304" s="10" t="s">
        <v>50</v>
      </c>
      <c r="AV304" s="11"/>
      <c r="AW304" s="10" t="s">
        <v>66</v>
      </c>
      <c r="AX304" s="10"/>
      <c r="AY304" s="10" t="s">
        <v>66</v>
      </c>
    </row>
    <row r="305" ht="22.5" hidden="1" customHeight="1">
      <c r="A305" s="9" t="s">
        <v>3282</v>
      </c>
      <c r="B305" s="10" t="s">
        <v>3283</v>
      </c>
      <c r="C305" s="10" t="s">
        <v>43</v>
      </c>
      <c r="D305" s="10" t="s">
        <v>688</v>
      </c>
      <c r="E305" s="10" t="s">
        <v>66</v>
      </c>
      <c r="F305" s="11">
        <v>1.0</v>
      </c>
      <c r="G305" s="11">
        <v>80.0</v>
      </c>
      <c r="H305" s="11">
        <v>16.65</v>
      </c>
      <c r="I305" s="11">
        <v>-13.6</v>
      </c>
      <c r="J305" s="11">
        <v>-36.6</v>
      </c>
      <c r="K305" s="11"/>
      <c r="L305" s="11">
        <v>50.45</v>
      </c>
      <c r="M305" s="10" t="s">
        <v>46</v>
      </c>
      <c r="N305" s="10" t="s">
        <v>45</v>
      </c>
      <c r="O305" s="10" t="s">
        <v>143</v>
      </c>
      <c r="P305" s="10" t="s">
        <v>144</v>
      </c>
      <c r="Q305" s="10" t="s">
        <v>145</v>
      </c>
      <c r="R305" s="10" t="s">
        <v>74</v>
      </c>
      <c r="S305" s="11">
        <v>80.0</v>
      </c>
      <c r="T305" s="11">
        <v>33.38</v>
      </c>
      <c r="U305" s="11" t="s">
        <v>51</v>
      </c>
      <c r="V305" s="10" t="s">
        <v>52</v>
      </c>
      <c r="W305" s="10" t="s">
        <v>3284</v>
      </c>
      <c r="X305" s="10" t="s">
        <v>3285</v>
      </c>
      <c r="Y305" s="10" t="s">
        <v>3286</v>
      </c>
      <c r="Z305" s="10" t="s">
        <v>50</v>
      </c>
      <c r="AA305" s="10" t="s">
        <v>50</v>
      </c>
      <c r="AB305" s="10" t="s">
        <v>3284</v>
      </c>
      <c r="AC305" s="10" t="s">
        <v>3287</v>
      </c>
      <c r="AD305" s="10" t="s">
        <v>3288</v>
      </c>
      <c r="AE305" s="10" t="s">
        <v>3289</v>
      </c>
      <c r="AF305" s="10" t="s">
        <v>169</v>
      </c>
      <c r="AG305" s="10" t="s">
        <v>3290</v>
      </c>
      <c r="AH305" s="10" t="s">
        <v>60</v>
      </c>
      <c r="AI305" s="10" t="s">
        <v>61</v>
      </c>
      <c r="AJ305" s="10" t="s">
        <v>1439</v>
      </c>
      <c r="AK305" s="10" t="s">
        <v>3291</v>
      </c>
      <c r="AL305" s="10" t="s">
        <v>64</v>
      </c>
      <c r="AM305" s="10" t="s">
        <v>3292</v>
      </c>
      <c r="AN305" s="10" t="s">
        <v>50</v>
      </c>
      <c r="AO305" s="11" t="s">
        <v>50</v>
      </c>
      <c r="AP305" s="10" t="s">
        <v>50</v>
      </c>
      <c r="AQ305" s="10" t="s">
        <v>50</v>
      </c>
      <c r="AR305" s="10" t="s">
        <v>50</v>
      </c>
      <c r="AS305" s="10" t="s">
        <v>50</v>
      </c>
      <c r="AT305" s="10" t="s">
        <v>50</v>
      </c>
      <c r="AU305" s="10" t="s">
        <v>50</v>
      </c>
      <c r="AV305" s="11"/>
      <c r="AW305" s="10" t="s">
        <v>66</v>
      </c>
      <c r="AX305" s="10"/>
      <c r="AY305" s="10" t="s">
        <v>66</v>
      </c>
    </row>
    <row r="306" ht="22.5" hidden="1" customHeight="1">
      <c r="A306" s="9" t="s">
        <v>3293</v>
      </c>
      <c r="B306" s="10" t="s">
        <v>3294</v>
      </c>
      <c r="C306" s="10" t="s">
        <v>43</v>
      </c>
      <c r="D306" s="10" t="s">
        <v>1262</v>
      </c>
      <c r="E306" s="10" t="s">
        <v>45</v>
      </c>
      <c r="F306" s="11">
        <v>1.0</v>
      </c>
      <c r="G306" s="11">
        <v>43.7</v>
      </c>
      <c r="H306" s="11">
        <v>9.94</v>
      </c>
      <c r="I306" s="11">
        <v>-13.43</v>
      </c>
      <c r="J306" s="11">
        <v>-9.94</v>
      </c>
      <c r="K306" s="11"/>
      <c r="L306" s="11">
        <v>32.89</v>
      </c>
      <c r="M306" s="10" t="s">
        <v>46</v>
      </c>
      <c r="N306" s="10" t="s">
        <v>50</v>
      </c>
      <c r="O306" s="10" t="s">
        <v>176</v>
      </c>
      <c r="P306" s="10" t="s">
        <v>177</v>
      </c>
      <c r="Q306" s="10" t="s">
        <v>178</v>
      </c>
      <c r="R306" s="10" t="s">
        <v>74</v>
      </c>
      <c r="S306" s="11">
        <v>43.7</v>
      </c>
      <c r="T306" s="11">
        <v>22.58</v>
      </c>
      <c r="U306" s="11" t="s">
        <v>51</v>
      </c>
      <c r="V306" s="10" t="s">
        <v>52</v>
      </c>
      <c r="W306" s="10" t="s">
        <v>3295</v>
      </c>
      <c r="X306" s="10" t="s">
        <v>3296</v>
      </c>
      <c r="Y306" s="10" t="s">
        <v>3297</v>
      </c>
      <c r="Z306" s="10" t="s">
        <v>50</v>
      </c>
      <c r="AA306" s="10" t="s">
        <v>50</v>
      </c>
      <c r="AB306" s="10" t="s">
        <v>3295</v>
      </c>
      <c r="AC306" s="10" t="s">
        <v>3298</v>
      </c>
      <c r="AD306" s="10" t="s">
        <v>3299</v>
      </c>
      <c r="AE306" s="10" t="s">
        <v>235</v>
      </c>
      <c r="AF306" s="10" t="s">
        <v>58</v>
      </c>
      <c r="AG306" s="10" t="s">
        <v>3300</v>
      </c>
      <c r="AH306" s="10" t="s">
        <v>60</v>
      </c>
      <c r="AI306" s="10" t="s">
        <v>61</v>
      </c>
      <c r="AJ306" s="10" t="s">
        <v>3301</v>
      </c>
      <c r="AK306" s="10" t="s">
        <v>3302</v>
      </c>
      <c r="AL306" s="10" t="s">
        <v>64</v>
      </c>
      <c r="AM306" s="10" t="s">
        <v>3303</v>
      </c>
      <c r="AN306" s="10" t="s">
        <v>50</v>
      </c>
      <c r="AO306" s="11" t="s">
        <v>50</v>
      </c>
      <c r="AP306" s="10" t="s">
        <v>50</v>
      </c>
      <c r="AQ306" s="10" t="s">
        <v>50</v>
      </c>
      <c r="AR306" s="10" t="s">
        <v>50</v>
      </c>
      <c r="AS306" s="10" t="s">
        <v>50</v>
      </c>
      <c r="AT306" s="10" t="s">
        <v>50</v>
      </c>
      <c r="AU306" s="10" t="s">
        <v>50</v>
      </c>
      <c r="AV306" s="11"/>
      <c r="AW306" s="10" t="s">
        <v>66</v>
      </c>
      <c r="AX306" s="10"/>
      <c r="AY306" s="10" t="s">
        <v>66</v>
      </c>
    </row>
    <row r="307" ht="22.5" hidden="1" customHeight="1">
      <c r="A307" s="9" t="s">
        <v>3304</v>
      </c>
      <c r="B307" s="10" t="s">
        <v>3305</v>
      </c>
      <c r="C307" s="10" t="s">
        <v>3175</v>
      </c>
      <c r="D307" s="10" t="s">
        <v>3176</v>
      </c>
      <c r="E307" s="10" t="s">
        <v>45</v>
      </c>
      <c r="F307" s="11">
        <v>1.0</v>
      </c>
      <c r="G307" s="11">
        <v>120.0</v>
      </c>
      <c r="H307" s="11"/>
      <c r="I307" s="11">
        <v>-20.4</v>
      </c>
      <c r="J307" s="11">
        <v>-19.95</v>
      </c>
      <c r="K307" s="11"/>
      <c r="L307" s="11">
        <v>86.85</v>
      </c>
      <c r="M307" s="10" t="s">
        <v>46</v>
      </c>
      <c r="N307" s="10" t="s">
        <v>50</v>
      </c>
      <c r="O307" s="10" t="s">
        <v>85</v>
      </c>
      <c r="P307" s="10" t="s">
        <v>86</v>
      </c>
      <c r="Q307" s="10" t="s">
        <v>87</v>
      </c>
      <c r="R307" s="10" t="s">
        <v>74</v>
      </c>
      <c r="S307" s="11">
        <v>120.0</v>
      </c>
      <c r="T307" s="11">
        <v>65.78</v>
      </c>
      <c r="U307" s="11" t="s">
        <v>51</v>
      </c>
      <c r="V307" s="10" t="s">
        <v>52</v>
      </c>
      <c r="W307" s="10" t="s">
        <v>3306</v>
      </c>
      <c r="X307" s="10" t="s">
        <v>3307</v>
      </c>
      <c r="Y307" s="10" t="s">
        <v>3308</v>
      </c>
      <c r="Z307" s="10" t="s">
        <v>50</v>
      </c>
      <c r="AA307" s="10" t="s">
        <v>50</v>
      </c>
      <c r="AB307" s="10" t="s">
        <v>3306</v>
      </c>
      <c r="AC307" s="10" t="s">
        <v>3309</v>
      </c>
      <c r="AD307" s="10" t="s">
        <v>50</v>
      </c>
      <c r="AE307" s="10" t="s">
        <v>58</v>
      </c>
      <c r="AF307" s="10" t="s">
        <v>58</v>
      </c>
      <c r="AG307" s="10" t="s">
        <v>3310</v>
      </c>
      <c r="AH307" s="10" t="s">
        <v>60</v>
      </c>
      <c r="AI307" s="10" t="s">
        <v>61</v>
      </c>
      <c r="AJ307" s="10" t="s">
        <v>3311</v>
      </c>
      <c r="AK307" s="10" t="s">
        <v>50</v>
      </c>
      <c r="AL307" s="10" t="s">
        <v>64</v>
      </c>
      <c r="AM307" s="10" t="s">
        <v>3312</v>
      </c>
      <c r="AN307" s="10" t="s">
        <v>50</v>
      </c>
      <c r="AO307" s="11" t="s">
        <v>50</v>
      </c>
      <c r="AP307" s="10" t="s">
        <v>50</v>
      </c>
      <c r="AQ307" s="10" t="s">
        <v>50</v>
      </c>
      <c r="AR307" s="10" t="s">
        <v>50</v>
      </c>
      <c r="AS307" s="10" t="s">
        <v>50</v>
      </c>
      <c r="AT307" s="10" t="s">
        <v>50</v>
      </c>
      <c r="AU307" s="10" t="s">
        <v>50</v>
      </c>
      <c r="AV307" s="11"/>
      <c r="AW307" s="10" t="s">
        <v>66</v>
      </c>
      <c r="AX307" s="10"/>
      <c r="AY307" s="10" t="s">
        <v>66</v>
      </c>
    </row>
    <row r="308" ht="22.5" hidden="1" customHeight="1">
      <c r="A308" s="9" t="s">
        <v>3313</v>
      </c>
      <c r="B308" s="10" t="s">
        <v>3314</v>
      </c>
      <c r="C308" s="10" t="s">
        <v>43</v>
      </c>
      <c r="D308" s="10" t="s">
        <v>1262</v>
      </c>
      <c r="E308" s="10" t="s">
        <v>66</v>
      </c>
      <c r="F308" s="11">
        <v>1.0</v>
      </c>
      <c r="G308" s="11">
        <v>120.0</v>
      </c>
      <c r="H308" s="11"/>
      <c r="I308" s="11">
        <v>-20.4</v>
      </c>
      <c r="J308" s="11">
        <v>-19.95</v>
      </c>
      <c r="K308" s="11"/>
      <c r="L308" s="11">
        <v>86.85</v>
      </c>
      <c r="M308" s="10" t="s">
        <v>46</v>
      </c>
      <c r="N308" s="10" t="s">
        <v>50</v>
      </c>
      <c r="O308" s="10" t="s">
        <v>85</v>
      </c>
      <c r="P308" s="10" t="s">
        <v>86</v>
      </c>
      <c r="Q308" s="10" t="s">
        <v>87</v>
      </c>
      <c r="R308" s="10" t="s">
        <v>74</v>
      </c>
      <c r="S308" s="11">
        <v>120.0</v>
      </c>
      <c r="T308" s="11">
        <v>65.78</v>
      </c>
      <c r="U308" s="11" t="s">
        <v>51</v>
      </c>
      <c r="V308" s="10" t="s">
        <v>52</v>
      </c>
      <c r="W308" s="10" t="s">
        <v>3315</v>
      </c>
      <c r="X308" s="10" t="s">
        <v>3316</v>
      </c>
      <c r="Y308" s="10" t="s">
        <v>3317</v>
      </c>
      <c r="Z308" s="10" t="s">
        <v>50</v>
      </c>
      <c r="AA308" s="10" t="s">
        <v>50</v>
      </c>
      <c r="AB308" s="10" t="s">
        <v>3315</v>
      </c>
      <c r="AC308" s="10" t="s">
        <v>3318</v>
      </c>
      <c r="AD308" s="10" t="s">
        <v>3319</v>
      </c>
      <c r="AE308" s="10" t="s">
        <v>3320</v>
      </c>
      <c r="AF308" s="10" t="s">
        <v>323</v>
      </c>
      <c r="AG308" s="10" t="s">
        <v>3321</v>
      </c>
      <c r="AH308" s="10" t="s">
        <v>60</v>
      </c>
      <c r="AI308" s="10" t="s">
        <v>61</v>
      </c>
      <c r="AJ308" s="10" t="s">
        <v>3322</v>
      </c>
      <c r="AK308" s="10" t="s">
        <v>3323</v>
      </c>
      <c r="AL308" s="10" t="s">
        <v>64</v>
      </c>
      <c r="AM308" s="10" t="s">
        <v>3324</v>
      </c>
      <c r="AN308" s="10" t="s">
        <v>3325</v>
      </c>
      <c r="AO308" s="11" t="s">
        <v>50</v>
      </c>
      <c r="AP308" s="10" t="s">
        <v>50</v>
      </c>
      <c r="AQ308" s="10" t="s">
        <v>50</v>
      </c>
      <c r="AR308" s="10" t="s">
        <v>50</v>
      </c>
      <c r="AS308" s="10" t="s">
        <v>50</v>
      </c>
      <c r="AT308" s="10" t="s">
        <v>50</v>
      </c>
      <c r="AU308" s="10" t="s">
        <v>50</v>
      </c>
      <c r="AV308" s="11"/>
      <c r="AW308" s="10" t="s">
        <v>66</v>
      </c>
      <c r="AX308" s="10"/>
      <c r="AY308" s="10" t="s">
        <v>66</v>
      </c>
    </row>
    <row r="309" ht="22.5" hidden="1" customHeight="1">
      <c r="A309" s="9" t="s">
        <v>3326</v>
      </c>
      <c r="B309" s="10" t="s">
        <v>3327</v>
      </c>
      <c r="C309" s="10" t="s">
        <v>43</v>
      </c>
      <c r="D309" s="10" t="s">
        <v>1398</v>
      </c>
      <c r="E309" s="10" t="s">
        <v>45</v>
      </c>
      <c r="F309" s="11">
        <v>1.0</v>
      </c>
      <c r="G309" s="11">
        <v>80.0</v>
      </c>
      <c r="H309" s="11"/>
      <c r="I309" s="11">
        <v>-13.6</v>
      </c>
      <c r="J309" s="11">
        <v>-19.95</v>
      </c>
      <c r="K309" s="11"/>
      <c r="L309" s="11">
        <v>50.45</v>
      </c>
      <c r="M309" s="10" t="s">
        <v>46</v>
      </c>
      <c r="N309" s="10" t="s">
        <v>50</v>
      </c>
      <c r="O309" s="10" t="s">
        <v>143</v>
      </c>
      <c r="P309" s="10" t="s">
        <v>144</v>
      </c>
      <c r="Q309" s="10" t="s">
        <v>145</v>
      </c>
      <c r="R309" s="10" t="s">
        <v>74</v>
      </c>
      <c r="S309" s="11">
        <v>80.0</v>
      </c>
      <c r="T309" s="11">
        <v>33.38</v>
      </c>
      <c r="U309" s="11" t="s">
        <v>51</v>
      </c>
      <c r="V309" s="10" t="s">
        <v>52</v>
      </c>
      <c r="W309" s="10" t="s">
        <v>3328</v>
      </c>
      <c r="X309" s="10" t="s">
        <v>3329</v>
      </c>
      <c r="Y309" s="10" t="s">
        <v>3330</v>
      </c>
      <c r="Z309" s="10" t="s">
        <v>50</v>
      </c>
      <c r="AA309" s="10" t="s">
        <v>50</v>
      </c>
      <c r="AB309" s="10" t="s">
        <v>3328</v>
      </c>
      <c r="AC309" s="10" t="s">
        <v>3331</v>
      </c>
      <c r="AD309" s="10" t="s">
        <v>3332</v>
      </c>
      <c r="AE309" s="10" t="s">
        <v>3333</v>
      </c>
      <c r="AF309" s="10" t="s">
        <v>323</v>
      </c>
      <c r="AG309" s="10" t="s">
        <v>3334</v>
      </c>
      <c r="AH309" s="10" t="s">
        <v>60</v>
      </c>
      <c r="AI309" s="10" t="s">
        <v>61</v>
      </c>
      <c r="AJ309" s="10" t="s">
        <v>3335</v>
      </c>
      <c r="AK309" s="10" t="s">
        <v>3336</v>
      </c>
      <c r="AL309" s="10" t="s">
        <v>64</v>
      </c>
      <c r="AM309" s="10" t="s">
        <v>3337</v>
      </c>
      <c r="AN309" s="10" t="s">
        <v>50</v>
      </c>
      <c r="AO309" s="11" t="s">
        <v>50</v>
      </c>
      <c r="AP309" s="10" t="s">
        <v>50</v>
      </c>
      <c r="AQ309" s="10" t="s">
        <v>50</v>
      </c>
      <c r="AR309" s="10" t="s">
        <v>50</v>
      </c>
      <c r="AS309" s="10" t="s">
        <v>50</v>
      </c>
      <c r="AT309" s="10" t="s">
        <v>50</v>
      </c>
      <c r="AU309" s="10" t="s">
        <v>50</v>
      </c>
      <c r="AV309" s="11"/>
      <c r="AW309" s="10" t="s">
        <v>66</v>
      </c>
      <c r="AX309" s="10"/>
      <c r="AY309" s="10" t="s">
        <v>66</v>
      </c>
    </row>
    <row r="310" ht="22.5" hidden="1" customHeight="1">
      <c r="A310" s="12" t="s">
        <v>3338</v>
      </c>
      <c r="B310" s="13" t="s">
        <v>3339</v>
      </c>
      <c r="C310" s="13" t="s">
        <v>747</v>
      </c>
      <c r="D310" s="13" t="s">
        <v>50</v>
      </c>
      <c r="E310" s="13" t="s">
        <v>50</v>
      </c>
      <c r="F310" s="14"/>
      <c r="G310" s="14">
        <v>180.5</v>
      </c>
      <c r="H310" s="14"/>
      <c r="I310" s="14">
        <v>-54.68</v>
      </c>
      <c r="J310" s="14"/>
      <c r="K310" s="14"/>
      <c r="L310" s="14">
        <v>136.64</v>
      </c>
      <c r="M310" s="13" t="s">
        <v>46</v>
      </c>
      <c r="N310" s="13" t="s">
        <v>50</v>
      </c>
      <c r="O310" s="13" t="s">
        <v>50</v>
      </c>
      <c r="P310" s="13" t="s">
        <v>50</v>
      </c>
      <c r="Q310" s="13" t="s">
        <v>50</v>
      </c>
      <c r="R310" s="13" t="s">
        <v>50</v>
      </c>
      <c r="S310" s="14"/>
      <c r="T310" s="14"/>
      <c r="U310" s="14" t="s">
        <v>50</v>
      </c>
      <c r="V310" s="13" t="s">
        <v>52</v>
      </c>
      <c r="W310" s="13" t="s">
        <v>3340</v>
      </c>
      <c r="X310" s="13" t="s">
        <v>3341</v>
      </c>
      <c r="Y310" s="13" t="s">
        <v>3342</v>
      </c>
      <c r="Z310" s="13" t="s">
        <v>50</v>
      </c>
      <c r="AA310" s="13" t="s">
        <v>50</v>
      </c>
      <c r="AB310" s="13" t="s">
        <v>3340</v>
      </c>
      <c r="AC310" s="13" t="s">
        <v>3343</v>
      </c>
      <c r="AD310" s="13" t="s">
        <v>3344</v>
      </c>
      <c r="AE310" s="13" t="s">
        <v>3345</v>
      </c>
      <c r="AF310" s="13" t="s">
        <v>214</v>
      </c>
      <c r="AG310" s="13" t="s">
        <v>3346</v>
      </c>
      <c r="AH310" s="13" t="s">
        <v>60</v>
      </c>
      <c r="AI310" s="13" t="s">
        <v>61</v>
      </c>
      <c r="AJ310" s="13" t="s">
        <v>3347</v>
      </c>
      <c r="AK310" s="13" t="s">
        <v>3348</v>
      </c>
      <c r="AL310" s="13" t="s">
        <v>64</v>
      </c>
      <c r="AM310" s="13" t="s">
        <v>3349</v>
      </c>
      <c r="AN310" s="13" t="s">
        <v>50</v>
      </c>
      <c r="AO310" s="15" t="s">
        <v>50</v>
      </c>
      <c r="AP310" s="13" t="s">
        <v>50</v>
      </c>
      <c r="AQ310" s="13" t="s">
        <v>50</v>
      </c>
      <c r="AR310" s="13" t="s">
        <v>50</v>
      </c>
      <c r="AS310" s="13" t="s">
        <v>50</v>
      </c>
      <c r="AT310" s="13" t="s">
        <v>50</v>
      </c>
      <c r="AU310" s="13" t="s">
        <v>50</v>
      </c>
      <c r="AV310" s="15"/>
      <c r="AW310" s="13" t="s">
        <v>50</v>
      </c>
      <c r="AX310" s="13"/>
      <c r="AY310" s="13" t="s">
        <v>50</v>
      </c>
    </row>
    <row r="311" ht="22.5" hidden="1" customHeight="1">
      <c r="A311" s="16" t="s">
        <v>3350</v>
      </c>
      <c r="B311" s="17" t="s">
        <v>3339</v>
      </c>
      <c r="C311" s="17" t="s">
        <v>43</v>
      </c>
      <c r="D311" s="17" t="s">
        <v>1262</v>
      </c>
      <c r="E311" s="17" t="s">
        <v>45</v>
      </c>
      <c r="F311" s="18">
        <v>2.0</v>
      </c>
      <c r="G311" s="18"/>
      <c r="H311" s="18"/>
      <c r="I311" s="18"/>
      <c r="J311" s="18"/>
      <c r="K311" s="18"/>
      <c r="L311" s="18"/>
      <c r="M311" s="17" t="s">
        <v>50</v>
      </c>
      <c r="N311" s="17" t="s">
        <v>50</v>
      </c>
      <c r="O311" s="17" t="s">
        <v>888</v>
      </c>
      <c r="P311" s="17" t="s">
        <v>889</v>
      </c>
      <c r="Q311" s="17" t="s">
        <v>890</v>
      </c>
      <c r="R311" s="17" t="s">
        <v>74</v>
      </c>
      <c r="S311" s="18">
        <v>46.55</v>
      </c>
      <c r="T311" s="18">
        <v>16.46</v>
      </c>
      <c r="U311" s="18" t="s">
        <v>51</v>
      </c>
      <c r="V311" s="17" t="s">
        <v>50</v>
      </c>
      <c r="W311" s="17" t="s">
        <v>50</v>
      </c>
      <c r="X311" s="17" t="s">
        <v>50</v>
      </c>
      <c r="Y311" s="17" t="s">
        <v>50</v>
      </c>
      <c r="Z311" s="17" t="s">
        <v>50</v>
      </c>
      <c r="AA311" s="17" t="s">
        <v>50</v>
      </c>
      <c r="AB311" s="17" t="s">
        <v>50</v>
      </c>
      <c r="AC311" s="17" t="s">
        <v>50</v>
      </c>
      <c r="AD311" s="17" t="s">
        <v>50</v>
      </c>
      <c r="AE311" s="17" t="s">
        <v>50</v>
      </c>
      <c r="AF311" s="17" t="s">
        <v>50</v>
      </c>
      <c r="AG311" s="17" t="s">
        <v>50</v>
      </c>
      <c r="AH311" s="17" t="s">
        <v>50</v>
      </c>
      <c r="AI311" s="17" t="s">
        <v>50</v>
      </c>
      <c r="AJ311" s="17" t="s">
        <v>50</v>
      </c>
      <c r="AK311" s="17" t="s">
        <v>50</v>
      </c>
      <c r="AL311" s="17" t="s">
        <v>50</v>
      </c>
      <c r="AM311" s="17" t="s">
        <v>50</v>
      </c>
      <c r="AN311" s="17" t="s">
        <v>50</v>
      </c>
      <c r="AO311" s="18" t="s">
        <v>50</v>
      </c>
      <c r="AP311" s="17" t="s">
        <v>50</v>
      </c>
      <c r="AQ311" s="17" t="s">
        <v>50</v>
      </c>
      <c r="AR311" s="17" t="s">
        <v>50</v>
      </c>
      <c r="AS311" s="17" t="s">
        <v>50</v>
      </c>
      <c r="AT311" s="17" t="s">
        <v>50</v>
      </c>
      <c r="AU311" s="17" t="s">
        <v>50</v>
      </c>
      <c r="AV311" s="18"/>
      <c r="AW311" s="17" t="s">
        <v>66</v>
      </c>
      <c r="AX311" s="17"/>
      <c r="AY311" s="17" t="s">
        <v>66</v>
      </c>
    </row>
    <row r="312" ht="22.5" hidden="1" customHeight="1">
      <c r="A312" s="16" t="s">
        <v>3351</v>
      </c>
      <c r="B312" s="17" t="s">
        <v>3339</v>
      </c>
      <c r="C312" s="17" t="s">
        <v>43</v>
      </c>
      <c r="D312" s="17" t="s">
        <v>1262</v>
      </c>
      <c r="E312" s="17" t="s">
        <v>45</v>
      </c>
      <c r="F312" s="18">
        <v>2.0</v>
      </c>
      <c r="G312" s="18"/>
      <c r="H312" s="18"/>
      <c r="I312" s="18"/>
      <c r="J312" s="18"/>
      <c r="K312" s="18"/>
      <c r="L312" s="18"/>
      <c r="M312" s="17" t="s">
        <v>50</v>
      </c>
      <c r="N312" s="17" t="s">
        <v>50</v>
      </c>
      <c r="O312" s="17" t="s">
        <v>176</v>
      </c>
      <c r="P312" s="17" t="s">
        <v>177</v>
      </c>
      <c r="Q312" s="17" t="s">
        <v>178</v>
      </c>
      <c r="R312" s="17" t="s">
        <v>74</v>
      </c>
      <c r="S312" s="18">
        <v>43.7</v>
      </c>
      <c r="T312" s="11">
        <f>2*22.58</f>
        <v>45.16</v>
      </c>
      <c r="U312" s="18" t="s">
        <v>51</v>
      </c>
      <c r="V312" s="17" t="s">
        <v>50</v>
      </c>
      <c r="W312" s="17" t="s">
        <v>50</v>
      </c>
      <c r="X312" s="17" t="s">
        <v>50</v>
      </c>
      <c r="Y312" s="17" t="s">
        <v>50</v>
      </c>
      <c r="Z312" s="17" t="s">
        <v>50</v>
      </c>
      <c r="AA312" s="17" t="s">
        <v>50</v>
      </c>
      <c r="AB312" s="17" t="s">
        <v>50</v>
      </c>
      <c r="AC312" s="17" t="s">
        <v>50</v>
      </c>
      <c r="AD312" s="17" t="s">
        <v>50</v>
      </c>
      <c r="AE312" s="17" t="s">
        <v>50</v>
      </c>
      <c r="AF312" s="17" t="s">
        <v>50</v>
      </c>
      <c r="AG312" s="17" t="s">
        <v>50</v>
      </c>
      <c r="AH312" s="17" t="s">
        <v>50</v>
      </c>
      <c r="AI312" s="17" t="s">
        <v>50</v>
      </c>
      <c r="AJ312" s="17" t="s">
        <v>50</v>
      </c>
      <c r="AK312" s="17" t="s">
        <v>50</v>
      </c>
      <c r="AL312" s="17" t="s">
        <v>50</v>
      </c>
      <c r="AM312" s="17" t="s">
        <v>50</v>
      </c>
      <c r="AN312" s="17" t="s">
        <v>50</v>
      </c>
      <c r="AO312" s="18" t="s">
        <v>50</v>
      </c>
      <c r="AP312" s="17" t="s">
        <v>50</v>
      </c>
      <c r="AQ312" s="17" t="s">
        <v>50</v>
      </c>
      <c r="AR312" s="17" t="s">
        <v>50</v>
      </c>
      <c r="AS312" s="17" t="s">
        <v>50</v>
      </c>
      <c r="AT312" s="17" t="s">
        <v>50</v>
      </c>
      <c r="AU312" s="17" t="s">
        <v>50</v>
      </c>
      <c r="AV312" s="18"/>
      <c r="AW312" s="17" t="s">
        <v>66</v>
      </c>
      <c r="AX312" s="17"/>
      <c r="AY312" s="17" t="s">
        <v>66</v>
      </c>
    </row>
    <row r="313" ht="22.5" hidden="1" customHeight="1">
      <c r="A313" s="9" t="s">
        <v>3352</v>
      </c>
      <c r="B313" s="10" t="s">
        <v>3353</v>
      </c>
      <c r="C313" s="10" t="s">
        <v>43</v>
      </c>
      <c r="D313" s="10" t="s">
        <v>191</v>
      </c>
      <c r="E313" s="10" t="s">
        <v>66</v>
      </c>
      <c r="F313" s="11">
        <v>1.0</v>
      </c>
      <c r="G313" s="11">
        <v>101.5</v>
      </c>
      <c r="H313" s="11"/>
      <c r="I313" s="11">
        <v>-19.28</v>
      </c>
      <c r="J313" s="11">
        <v>-19.95</v>
      </c>
      <c r="K313" s="11"/>
      <c r="L313" s="11">
        <v>62.27</v>
      </c>
      <c r="M313" s="10" t="s">
        <v>46</v>
      </c>
      <c r="N313" s="10" t="s">
        <v>45</v>
      </c>
      <c r="O313" s="10" t="s">
        <v>100</v>
      </c>
      <c r="P313" s="10" t="s">
        <v>101</v>
      </c>
      <c r="Q313" s="10" t="s">
        <v>102</v>
      </c>
      <c r="R313" s="10" t="s">
        <v>50</v>
      </c>
      <c r="S313" s="11">
        <v>101.5</v>
      </c>
      <c r="T313" s="11">
        <v>38.61</v>
      </c>
      <c r="U313" s="11" t="s">
        <v>51</v>
      </c>
      <c r="V313" s="10" t="s">
        <v>52</v>
      </c>
      <c r="W313" s="10" t="s">
        <v>3354</v>
      </c>
      <c r="X313" s="10" t="s">
        <v>3355</v>
      </c>
      <c r="Y313" s="10" t="s">
        <v>3356</v>
      </c>
      <c r="Z313" s="10" t="s">
        <v>50</v>
      </c>
      <c r="AA313" s="10" t="s">
        <v>50</v>
      </c>
      <c r="AB313" s="10" t="s">
        <v>3354</v>
      </c>
      <c r="AC313" s="10" t="s">
        <v>3357</v>
      </c>
      <c r="AD313" s="10" t="s">
        <v>3358</v>
      </c>
      <c r="AE313" s="10" t="s">
        <v>3359</v>
      </c>
      <c r="AF313" s="10" t="s">
        <v>185</v>
      </c>
      <c r="AG313" s="10" t="s">
        <v>3360</v>
      </c>
      <c r="AH313" s="10" t="s">
        <v>60</v>
      </c>
      <c r="AI313" s="10" t="s">
        <v>61</v>
      </c>
      <c r="AJ313" s="10" t="s">
        <v>3361</v>
      </c>
      <c r="AK313" s="10" t="s">
        <v>3362</v>
      </c>
      <c r="AL313" s="10" t="s">
        <v>64</v>
      </c>
      <c r="AM313" s="10" t="s">
        <v>3363</v>
      </c>
      <c r="AN313" s="10" t="s">
        <v>50</v>
      </c>
      <c r="AO313" s="11" t="s">
        <v>50</v>
      </c>
      <c r="AP313" s="10" t="s">
        <v>50</v>
      </c>
      <c r="AQ313" s="10" t="s">
        <v>50</v>
      </c>
      <c r="AR313" s="10" t="s">
        <v>50</v>
      </c>
      <c r="AS313" s="10" t="s">
        <v>50</v>
      </c>
      <c r="AT313" s="10" t="s">
        <v>50</v>
      </c>
      <c r="AU313" s="10" t="s">
        <v>50</v>
      </c>
      <c r="AV313" s="11"/>
      <c r="AW313" s="10" t="s">
        <v>66</v>
      </c>
      <c r="AX313" s="10"/>
      <c r="AY313" s="10" t="s">
        <v>66</v>
      </c>
    </row>
    <row r="314" ht="22.5" hidden="1" customHeight="1">
      <c r="A314" s="9" t="s">
        <v>3364</v>
      </c>
      <c r="B314" s="10" t="s">
        <v>3365</v>
      </c>
      <c r="C314" s="10" t="s">
        <v>43</v>
      </c>
      <c r="D314" s="10" t="s">
        <v>1262</v>
      </c>
      <c r="E314" s="10" t="s">
        <v>45</v>
      </c>
      <c r="F314" s="11">
        <v>1.0</v>
      </c>
      <c r="G314" s="11">
        <v>79.0</v>
      </c>
      <c r="H314" s="11"/>
      <c r="I314" s="11">
        <v>-13.43</v>
      </c>
      <c r="J314" s="11">
        <v>-19.95</v>
      </c>
      <c r="K314" s="11"/>
      <c r="L314" s="11">
        <v>45.62</v>
      </c>
      <c r="M314" s="10" t="s">
        <v>46</v>
      </c>
      <c r="N314" s="10" t="s">
        <v>45</v>
      </c>
      <c r="O314" s="10" t="s">
        <v>766</v>
      </c>
      <c r="P314" s="10" t="s">
        <v>767</v>
      </c>
      <c r="Q314" s="10" t="s">
        <v>768</v>
      </c>
      <c r="R314" s="10" t="s">
        <v>74</v>
      </c>
      <c r="S314" s="11">
        <v>79.0</v>
      </c>
      <c r="T314" s="11">
        <v>13.62</v>
      </c>
      <c r="U314" s="11" t="s">
        <v>51</v>
      </c>
      <c r="V314" s="10" t="s">
        <v>52</v>
      </c>
      <c r="W314" s="10" t="s">
        <v>3366</v>
      </c>
      <c r="X314" s="10" t="s">
        <v>3367</v>
      </c>
      <c r="Y314" s="10" t="s">
        <v>3368</v>
      </c>
      <c r="Z314" s="10" t="s">
        <v>50</v>
      </c>
      <c r="AA314" s="10" t="s">
        <v>50</v>
      </c>
      <c r="AB314" s="10" t="s">
        <v>3366</v>
      </c>
      <c r="AC314" s="10" t="s">
        <v>3369</v>
      </c>
      <c r="AD314" s="10" t="s">
        <v>3370</v>
      </c>
      <c r="AE314" s="10" t="s">
        <v>3371</v>
      </c>
      <c r="AF314" s="10" t="s">
        <v>323</v>
      </c>
      <c r="AG314" s="10" t="s">
        <v>3372</v>
      </c>
      <c r="AH314" s="10" t="s">
        <v>60</v>
      </c>
      <c r="AI314" s="10" t="s">
        <v>61</v>
      </c>
      <c r="AJ314" s="10" t="s">
        <v>3373</v>
      </c>
      <c r="AK314" s="10" t="s">
        <v>3374</v>
      </c>
      <c r="AL314" s="10" t="s">
        <v>64</v>
      </c>
      <c r="AM314" s="10" t="s">
        <v>3375</v>
      </c>
      <c r="AN314" s="10" t="s">
        <v>50</v>
      </c>
      <c r="AO314" s="11" t="s">
        <v>50</v>
      </c>
      <c r="AP314" s="10" t="s">
        <v>50</v>
      </c>
      <c r="AQ314" s="10" t="s">
        <v>50</v>
      </c>
      <c r="AR314" s="10" t="s">
        <v>50</v>
      </c>
      <c r="AS314" s="10" t="s">
        <v>50</v>
      </c>
      <c r="AT314" s="10" t="s">
        <v>50</v>
      </c>
      <c r="AU314" s="10" t="s">
        <v>50</v>
      </c>
      <c r="AV314" s="11"/>
      <c r="AW314" s="10" t="s">
        <v>66</v>
      </c>
      <c r="AX314" s="10"/>
      <c r="AY314" s="10" t="s">
        <v>66</v>
      </c>
    </row>
    <row r="315" ht="22.5" hidden="1" customHeight="1">
      <c r="A315" s="9" t="s">
        <v>3376</v>
      </c>
      <c r="B315" s="10" t="s">
        <v>3377</v>
      </c>
      <c r="C315" s="10" t="s">
        <v>43</v>
      </c>
      <c r="D315" s="10" t="s">
        <v>1398</v>
      </c>
      <c r="E315" s="10" t="s">
        <v>66</v>
      </c>
      <c r="F315" s="11">
        <v>1.0</v>
      </c>
      <c r="G315" s="11">
        <v>82.5</v>
      </c>
      <c r="H315" s="11"/>
      <c r="I315" s="11">
        <v>-14.02</v>
      </c>
      <c r="J315" s="11">
        <v>-20.45</v>
      </c>
      <c r="K315" s="11"/>
      <c r="L315" s="11">
        <v>48.03</v>
      </c>
      <c r="M315" s="10" t="s">
        <v>46</v>
      </c>
      <c r="N315" s="10" t="s">
        <v>45</v>
      </c>
      <c r="O315" s="10" t="s">
        <v>412</v>
      </c>
      <c r="P315" s="10" t="s">
        <v>413</v>
      </c>
      <c r="Q315" s="10" t="s">
        <v>414</v>
      </c>
      <c r="R315" s="10" t="s">
        <v>415</v>
      </c>
      <c r="S315" s="11">
        <v>82.5</v>
      </c>
      <c r="T315" s="11">
        <v>10.05</v>
      </c>
      <c r="U315" s="11" t="s">
        <v>51</v>
      </c>
      <c r="V315" s="10" t="s">
        <v>52</v>
      </c>
      <c r="W315" s="10" t="s">
        <v>3378</v>
      </c>
      <c r="X315" s="10" t="s">
        <v>3379</v>
      </c>
      <c r="Y315" s="10" t="s">
        <v>3380</v>
      </c>
      <c r="Z315" s="10" t="s">
        <v>50</v>
      </c>
      <c r="AA315" s="10" t="s">
        <v>50</v>
      </c>
      <c r="AB315" s="10" t="s">
        <v>3378</v>
      </c>
      <c r="AC315" s="10" t="s">
        <v>3381</v>
      </c>
      <c r="AD315" s="10" t="s">
        <v>3382</v>
      </c>
      <c r="AE315" s="10" t="s">
        <v>2277</v>
      </c>
      <c r="AF315" s="10" t="s">
        <v>775</v>
      </c>
      <c r="AG315" s="10" t="s">
        <v>3383</v>
      </c>
      <c r="AH315" s="10" t="s">
        <v>60</v>
      </c>
      <c r="AI315" s="10" t="s">
        <v>61</v>
      </c>
      <c r="AJ315" s="10" t="s">
        <v>3384</v>
      </c>
      <c r="AK315" s="10" t="s">
        <v>3385</v>
      </c>
      <c r="AL315" s="10" t="s">
        <v>64</v>
      </c>
      <c r="AM315" s="10" t="s">
        <v>3386</v>
      </c>
      <c r="AN315" s="10" t="s">
        <v>3387</v>
      </c>
      <c r="AO315" s="11" t="s">
        <v>50</v>
      </c>
      <c r="AP315" s="10" t="s">
        <v>50</v>
      </c>
      <c r="AQ315" s="10" t="s">
        <v>50</v>
      </c>
      <c r="AR315" s="10" t="s">
        <v>50</v>
      </c>
      <c r="AS315" s="10" t="s">
        <v>50</v>
      </c>
      <c r="AT315" s="10" t="s">
        <v>50</v>
      </c>
      <c r="AU315" s="10" t="s">
        <v>50</v>
      </c>
      <c r="AV315" s="11"/>
      <c r="AW315" s="10" t="s">
        <v>66</v>
      </c>
      <c r="AX315" s="10"/>
      <c r="AY315" s="10" t="s">
        <v>66</v>
      </c>
    </row>
    <row r="316" ht="22.5" hidden="1" customHeight="1">
      <c r="A316" s="9" t="s">
        <v>3388</v>
      </c>
      <c r="B316" s="10" t="s">
        <v>3389</v>
      </c>
      <c r="C316" s="10" t="s">
        <v>43</v>
      </c>
      <c r="D316" s="10" t="s">
        <v>1398</v>
      </c>
      <c r="E316" s="10" t="s">
        <v>66</v>
      </c>
      <c r="F316" s="11">
        <v>1.0</v>
      </c>
      <c r="G316" s="11">
        <v>79.0</v>
      </c>
      <c r="H316" s="11"/>
      <c r="I316" s="11">
        <v>-13.43</v>
      </c>
      <c r="J316" s="11">
        <v>-20.45</v>
      </c>
      <c r="K316" s="11"/>
      <c r="L316" s="11">
        <v>45.12</v>
      </c>
      <c r="M316" s="10" t="s">
        <v>46</v>
      </c>
      <c r="N316" s="10" t="s">
        <v>45</v>
      </c>
      <c r="O316" s="10" t="s">
        <v>160</v>
      </c>
      <c r="P316" s="10" t="s">
        <v>161</v>
      </c>
      <c r="Q316" s="10" t="s">
        <v>162</v>
      </c>
      <c r="R316" s="10" t="s">
        <v>74</v>
      </c>
      <c r="S316" s="11">
        <v>79.0</v>
      </c>
      <c r="T316" s="11">
        <v>2.49</v>
      </c>
      <c r="U316" s="11" t="s">
        <v>51</v>
      </c>
      <c r="V316" s="10" t="s">
        <v>52</v>
      </c>
      <c r="W316" s="10" t="s">
        <v>3390</v>
      </c>
      <c r="X316" s="10" t="s">
        <v>3391</v>
      </c>
      <c r="Y316" s="10" t="s">
        <v>3392</v>
      </c>
      <c r="Z316" s="10" t="s">
        <v>50</v>
      </c>
      <c r="AA316" s="10" t="s">
        <v>50</v>
      </c>
      <c r="AB316" s="10" t="s">
        <v>3390</v>
      </c>
      <c r="AC316" s="10" t="s">
        <v>3393</v>
      </c>
      <c r="AD316" s="10" t="s">
        <v>3394</v>
      </c>
      <c r="AE316" s="10" t="s">
        <v>3395</v>
      </c>
      <c r="AF316" s="10" t="s">
        <v>119</v>
      </c>
      <c r="AG316" s="10" t="s">
        <v>3396</v>
      </c>
      <c r="AH316" s="10" t="s">
        <v>60</v>
      </c>
      <c r="AI316" s="10" t="s">
        <v>61</v>
      </c>
      <c r="AJ316" s="10" t="s">
        <v>3347</v>
      </c>
      <c r="AK316" s="10" t="s">
        <v>3397</v>
      </c>
      <c r="AL316" s="10" t="s">
        <v>64</v>
      </c>
      <c r="AM316" s="10" t="s">
        <v>3398</v>
      </c>
      <c r="AN316" s="10" t="s">
        <v>50</v>
      </c>
      <c r="AO316" s="11" t="s">
        <v>50</v>
      </c>
      <c r="AP316" s="10" t="s">
        <v>50</v>
      </c>
      <c r="AQ316" s="10" t="s">
        <v>50</v>
      </c>
      <c r="AR316" s="10" t="s">
        <v>50</v>
      </c>
      <c r="AS316" s="10" t="s">
        <v>50</v>
      </c>
      <c r="AT316" s="10" t="s">
        <v>50</v>
      </c>
      <c r="AU316" s="10" t="s">
        <v>50</v>
      </c>
      <c r="AV316" s="11"/>
      <c r="AW316" s="10" t="s">
        <v>66</v>
      </c>
      <c r="AX316" s="10"/>
      <c r="AY316" s="10" t="s">
        <v>66</v>
      </c>
    </row>
    <row r="317" ht="22.5" hidden="1" customHeight="1">
      <c r="A317" s="9" t="s">
        <v>3399</v>
      </c>
      <c r="B317" s="10" t="s">
        <v>3400</v>
      </c>
      <c r="C317" s="10" t="s">
        <v>43</v>
      </c>
      <c r="D317" s="10" t="s">
        <v>2481</v>
      </c>
      <c r="E317" s="10" t="s">
        <v>66</v>
      </c>
      <c r="F317" s="11">
        <v>1.0</v>
      </c>
      <c r="G317" s="11">
        <v>43.7</v>
      </c>
      <c r="H317" s="11">
        <v>12.66</v>
      </c>
      <c r="I317" s="11">
        <v>-13.43</v>
      </c>
      <c r="J317" s="11">
        <v>-12.66</v>
      </c>
      <c r="K317" s="11"/>
      <c r="L317" s="11">
        <v>32.89</v>
      </c>
      <c r="M317" s="10" t="s">
        <v>46</v>
      </c>
      <c r="N317" s="10" t="s">
        <v>50</v>
      </c>
      <c r="O317" s="10" t="s">
        <v>176</v>
      </c>
      <c r="P317" s="10" t="s">
        <v>177</v>
      </c>
      <c r="Q317" s="10" t="s">
        <v>178</v>
      </c>
      <c r="R317" s="10" t="s">
        <v>74</v>
      </c>
      <c r="S317" s="11">
        <v>43.7</v>
      </c>
      <c r="T317" s="11">
        <v>22.58</v>
      </c>
      <c r="U317" s="11" t="s">
        <v>51</v>
      </c>
      <c r="V317" s="10" t="s">
        <v>52</v>
      </c>
      <c r="W317" s="10" t="s">
        <v>3401</v>
      </c>
      <c r="X317" s="10" t="s">
        <v>3402</v>
      </c>
      <c r="Y317" s="10" t="s">
        <v>3403</v>
      </c>
      <c r="Z317" s="10" t="s">
        <v>50</v>
      </c>
      <c r="AA317" s="10" t="s">
        <v>50</v>
      </c>
      <c r="AB317" s="10" t="s">
        <v>3401</v>
      </c>
      <c r="AC317" s="10" t="s">
        <v>3404</v>
      </c>
      <c r="AD317" s="10" t="s">
        <v>3405</v>
      </c>
      <c r="AE317" s="10" t="s">
        <v>3406</v>
      </c>
      <c r="AF317" s="10" t="s">
        <v>58</v>
      </c>
      <c r="AG317" s="10" t="s">
        <v>3407</v>
      </c>
      <c r="AH317" s="10" t="s">
        <v>60</v>
      </c>
      <c r="AI317" s="10" t="s">
        <v>61</v>
      </c>
      <c r="AJ317" s="10" t="s">
        <v>3408</v>
      </c>
      <c r="AK317" s="10" t="s">
        <v>3409</v>
      </c>
      <c r="AL317" s="10" t="s">
        <v>64</v>
      </c>
      <c r="AM317" s="10" t="s">
        <v>3410</v>
      </c>
      <c r="AN317" s="10" t="s">
        <v>50</v>
      </c>
      <c r="AO317" s="11" t="s">
        <v>50</v>
      </c>
      <c r="AP317" s="10" t="s">
        <v>50</v>
      </c>
      <c r="AQ317" s="10" t="s">
        <v>50</v>
      </c>
      <c r="AR317" s="10" t="s">
        <v>50</v>
      </c>
      <c r="AS317" s="10" t="s">
        <v>50</v>
      </c>
      <c r="AT317" s="10" t="s">
        <v>50</v>
      </c>
      <c r="AU317" s="10" t="s">
        <v>50</v>
      </c>
      <c r="AV317" s="11"/>
      <c r="AW317" s="10" t="s">
        <v>66</v>
      </c>
      <c r="AX317" s="10"/>
      <c r="AY317" s="10" t="s">
        <v>66</v>
      </c>
    </row>
    <row r="318" ht="22.5" hidden="1" customHeight="1">
      <c r="A318" s="9" t="s">
        <v>3411</v>
      </c>
      <c r="B318" s="10" t="s">
        <v>3412</v>
      </c>
      <c r="C318" s="10" t="s">
        <v>43</v>
      </c>
      <c r="D318" s="10" t="s">
        <v>1262</v>
      </c>
      <c r="E318" s="10" t="s">
        <v>66</v>
      </c>
      <c r="F318" s="11">
        <v>1.0</v>
      </c>
      <c r="G318" s="11">
        <v>80.0</v>
      </c>
      <c r="H318" s="11"/>
      <c r="I318" s="11">
        <v>-13.6</v>
      </c>
      <c r="J318" s="11">
        <v>-19.95</v>
      </c>
      <c r="K318" s="11"/>
      <c r="L318" s="11">
        <v>50.45</v>
      </c>
      <c r="M318" s="10" t="s">
        <v>46</v>
      </c>
      <c r="N318" s="10" t="s">
        <v>50</v>
      </c>
      <c r="O318" s="10" t="s">
        <v>143</v>
      </c>
      <c r="P318" s="10" t="s">
        <v>144</v>
      </c>
      <c r="Q318" s="10" t="s">
        <v>145</v>
      </c>
      <c r="R318" s="10" t="s">
        <v>74</v>
      </c>
      <c r="S318" s="11">
        <v>80.0</v>
      </c>
      <c r="T318" s="11">
        <v>33.38</v>
      </c>
      <c r="U318" s="11" t="s">
        <v>51</v>
      </c>
      <c r="V318" s="10" t="s">
        <v>52</v>
      </c>
      <c r="W318" s="10" t="s">
        <v>3413</v>
      </c>
      <c r="X318" s="10" t="s">
        <v>3414</v>
      </c>
      <c r="Y318" s="10" t="s">
        <v>3415</v>
      </c>
      <c r="Z318" s="10" t="s">
        <v>50</v>
      </c>
      <c r="AA318" s="10" t="s">
        <v>50</v>
      </c>
      <c r="AB318" s="10" t="s">
        <v>3413</v>
      </c>
      <c r="AC318" s="10" t="s">
        <v>3416</v>
      </c>
      <c r="AD318" s="10" t="s">
        <v>3417</v>
      </c>
      <c r="AE318" s="10" t="s">
        <v>3418</v>
      </c>
      <c r="AF318" s="10" t="s">
        <v>323</v>
      </c>
      <c r="AG318" s="10" t="s">
        <v>3419</v>
      </c>
      <c r="AH318" s="10" t="s">
        <v>60</v>
      </c>
      <c r="AI318" s="10" t="s">
        <v>61</v>
      </c>
      <c r="AJ318" s="10" t="s">
        <v>3420</v>
      </c>
      <c r="AK318" s="10" t="s">
        <v>3421</v>
      </c>
      <c r="AL318" s="10" t="s">
        <v>64</v>
      </c>
      <c r="AM318" s="10" t="s">
        <v>3422</v>
      </c>
      <c r="AN318" s="10" t="s">
        <v>50</v>
      </c>
      <c r="AO318" s="11" t="s">
        <v>50</v>
      </c>
      <c r="AP318" s="10" t="s">
        <v>50</v>
      </c>
      <c r="AQ318" s="10" t="s">
        <v>50</v>
      </c>
      <c r="AR318" s="10" t="s">
        <v>50</v>
      </c>
      <c r="AS318" s="10" t="s">
        <v>50</v>
      </c>
      <c r="AT318" s="10" t="s">
        <v>50</v>
      </c>
      <c r="AU318" s="10" t="s">
        <v>50</v>
      </c>
      <c r="AV318" s="11"/>
      <c r="AW318" s="10" t="s">
        <v>66</v>
      </c>
      <c r="AX318" s="10"/>
      <c r="AY318" s="10" t="s">
        <v>66</v>
      </c>
    </row>
    <row r="319" ht="22.5" hidden="1" customHeight="1">
      <c r="A319" s="9" t="s">
        <v>3423</v>
      </c>
      <c r="B319" s="10" t="s">
        <v>3424</v>
      </c>
      <c r="C319" s="10" t="s">
        <v>43</v>
      </c>
      <c r="D319" s="10" t="s">
        <v>1398</v>
      </c>
      <c r="E319" s="10" t="s">
        <v>66</v>
      </c>
      <c r="F319" s="11">
        <v>1.0</v>
      </c>
      <c r="G319" s="11">
        <v>120.0</v>
      </c>
      <c r="H319" s="11"/>
      <c r="I319" s="11">
        <v>-20.4</v>
      </c>
      <c r="J319" s="11">
        <v>-19.95</v>
      </c>
      <c r="K319" s="11"/>
      <c r="L319" s="11">
        <v>86.85</v>
      </c>
      <c r="M319" s="10" t="s">
        <v>46</v>
      </c>
      <c r="N319" s="10" t="s">
        <v>50</v>
      </c>
      <c r="O319" s="10" t="s">
        <v>85</v>
      </c>
      <c r="P319" s="10" t="s">
        <v>86</v>
      </c>
      <c r="Q319" s="10" t="s">
        <v>87</v>
      </c>
      <c r="R319" s="10" t="s">
        <v>74</v>
      </c>
      <c r="S319" s="11">
        <v>120.0</v>
      </c>
      <c r="T319" s="11">
        <v>65.78</v>
      </c>
      <c r="U319" s="11" t="s">
        <v>51</v>
      </c>
      <c r="V319" s="10" t="s">
        <v>52</v>
      </c>
      <c r="W319" s="10" t="s">
        <v>3425</v>
      </c>
      <c r="X319" s="10" t="s">
        <v>3426</v>
      </c>
      <c r="Y319" s="10" t="s">
        <v>3427</v>
      </c>
      <c r="Z319" s="10" t="s">
        <v>50</v>
      </c>
      <c r="AA319" s="10" t="s">
        <v>50</v>
      </c>
      <c r="AB319" s="10" t="s">
        <v>3425</v>
      </c>
      <c r="AC319" s="10" t="s">
        <v>3428</v>
      </c>
      <c r="AD319" s="10" t="s">
        <v>3429</v>
      </c>
      <c r="AE319" s="10" t="s">
        <v>3430</v>
      </c>
      <c r="AF319" s="10" t="s">
        <v>775</v>
      </c>
      <c r="AG319" s="10" t="s">
        <v>3431</v>
      </c>
      <c r="AH319" s="10" t="s">
        <v>60</v>
      </c>
      <c r="AI319" s="10" t="s">
        <v>61</v>
      </c>
      <c r="AJ319" s="10" t="s">
        <v>3347</v>
      </c>
      <c r="AK319" s="10" t="s">
        <v>2559</v>
      </c>
      <c r="AL319" s="10" t="s">
        <v>64</v>
      </c>
      <c r="AM319" s="10" t="s">
        <v>3432</v>
      </c>
      <c r="AN319" s="10" t="s">
        <v>50</v>
      </c>
      <c r="AO319" s="11" t="s">
        <v>50</v>
      </c>
      <c r="AP319" s="10" t="s">
        <v>50</v>
      </c>
      <c r="AQ319" s="10" t="s">
        <v>50</v>
      </c>
      <c r="AR319" s="10" t="s">
        <v>50</v>
      </c>
      <c r="AS319" s="10" t="s">
        <v>50</v>
      </c>
      <c r="AT319" s="10" t="s">
        <v>50</v>
      </c>
      <c r="AU319" s="10" t="s">
        <v>50</v>
      </c>
      <c r="AV319" s="11"/>
      <c r="AW319" s="10" t="s">
        <v>66</v>
      </c>
      <c r="AX319" s="10"/>
      <c r="AY319" s="10" t="s">
        <v>66</v>
      </c>
    </row>
    <row r="320" ht="22.5" hidden="1" customHeight="1">
      <c r="A320" s="9" t="s">
        <v>3433</v>
      </c>
      <c r="B320" s="10" t="s">
        <v>3434</v>
      </c>
      <c r="C320" s="10" t="s">
        <v>43</v>
      </c>
      <c r="D320" s="10" t="s">
        <v>759</v>
      </c>
      <c r="E320" s="10" t="s">
        <v>66</v>
      </c>
      <c r="F320" s="11">
        <v>1.0</v>
      </c>
      <c r="G320" s="11">
        <v>84.0</v>
      </c>
      <c r="H320" s="11">
        <v>19.33</v>
      </c>
      <c r="I320" s="11">
        <v>-14.28</v>
      </c>
      <c r="J320" s="11">
        <v>-39.78</v>
      </c>
      <c r="K320" s="11"/>
      <c r="L320" s="11">
        <v>49.27</v>
      </c>
      <c r="M320" s="10" t="s">
        <v>46</v>
      </c>
      <c r="N320" s="10" t="s">
        <v>45</v>
      </c>
      <c r="O320" s="10" t="s">
        <v>265</v>
      </c>
      <c r="P320" s="10" t="s">
        <v>266</v>
      </c>
      <c r="Q320" s="10" t="s">
        <v>267</v>
      </c>
      <c r="R320" s="10" t="s">
        <v>74</v>
      </c>
      <c r="S320" s="11">
        <v>84.0</v>
      </c>
      <c r="T320" s="11">
        <v>26.22</v>
      </c>
      <c r="U320" s="11" t="s">
        <v>51</v>
      </c>
      <c r="V320" s="10" t="s">
        <v>52</v>
      </c>
      <c r="W320" s="10" t="s">
        <v>3435</v>
      </c>
      <c r="X320" s="10" t="s">
        <v>3436</v>
      </c>
      <c r="Y320" s="10" t="s">
        <v>3437</v>
      </c>
      <c r="Z320" s="10" t="s">
        <v>50</v>
      </c>
      <c r="AA320" s="10" t="s">
        <v>50</v>
      </c>
      <c r="AB320" s="10" t="s">
        <v>3435</v>
      </c>
      <c r="AC320" s="10" t="s">
        <v>3438</v>
      </c>
      <c r="AD320" s="10" t="s">
        <v>3439</v>
      </c>
      <c r="AE320" s="10" t="s">
        <v>3440</v>
      </c>
      <c r="AF320" s="10" t="s">
        <v>2873</v>
      </c>
      <c r="AG320" s="10" t="s">
        <v>3441</v>
      </c>
      <c r="AH320" s="10" t="s">
        <v>60</v>
      </c>
      <c r="AI320" s="10" t="s">
        <v>61</v>
      </c>
      <c r="AJ320" s="10" t="s">
        <v>3347</v>
      </c>
      <c r="AK320" s="10" t="s">
        <v>3442</v>
      </c>
      <c r="AL320" s="10" t="s">
        <v>64</v>
      </c>
      <c r="AM320" s="10" t="s">
        <v>3443</v>
      </c>
      <c r="AN320" s="10" t="s">
        <v>50</v>
      </c>
      <c r="AO320" s="11" t="s">
        <v>50</v>
      </c>
      <c r="AP320" s="10" t="s">
        <v>50</v>
      </c>
      <c r="AQ320" s="10" t="s">
        <v>50</v>
      </c>
      <c r="AR320" s="10" t="s">
        <v>50</v>
      </c>
      <c r="AS320" s="10" t="s">
        <v>50</v>
      </c>
      <c r="AT320" s="10" t="s">
        <v>50</v>
      </c>
      <c r="AU320" s="10" t="s">
        <v>50</v>
      </c>
      <c r="AV320" s="11"/>
      <c r="AW320" s="10" t="s">
        <v>66</v>
      </c>
      <c r="AX320" s="10"/>
      <c r="AY320" s="10" t="s">
        <v>66</v>
      </c>
    </row>
    <row r="321" ht="22.5" hidden="1" customHeight="1">
      <c r="A321" s="9" t="s">
        <v>3444</v>
      </c>
      <c r="B321" s="10" t="s">
        <v>3445</v>
      </c>
      <c r="C321" s="10" t="s">
        <v>43</v>
      </c>
      <c r="D321" s="10" t="s">
        <v>191</v>
      </c>
      <c r="E321" s="10" t="s">
        <v>66</v>
      </c>
      <c r="F321" s="11">
        <v>1.0</v>
      </c>
      <c r="G321" s="11">
        <v>43.7</v>
      </c>
      <c r="H321" s="11"/>
      <c r="I321" s="11">
        <v>-13.43</v>
      </c>
      <c r="J321" s="11"/>
      <c r="K321" s="11"/>
      <c r="L321" s="11">
        <v>32.89</v>
      </c>
      <c r="M321" s="10" t="s">
        <v>46</v>
      </c>
      <c r="N321" s="10" t="s">
        <v>50</v>
      </c>
      <c r="O321" s="10" t="s">
        <v>176</v>
      </c>
      <c r="P321" s="10" t="s">
        <v>177</v>
      </c>
      <c r="Q321" s="10" t="s">
        <v>178</v>
      </c>
      <c r="R321" s="10" t="s">
        <v>74</v>
      </c>
      <c r="S321" s="11">
        <v>43.7</v>
      </c>
      <c r="T321" s="11">
        <v>22.58</v>
      </c>
      <c r="U321" s="11" t="s">
        <v>51</v>
      </c>
      <c r="V321" s="10" t="s">
        <v>52</v>
      </c>
      <c r="W321" s="10" t="s">
        <v>3446</v>
      </c>
      <c r="X321" s="10" t="s">
        <v>3447</v>
      </c>
      <c r="Y321" s="10" t="s">
        <v>3448</v>
      </c>
      <c r="Z321" s="10" t="s">
        <v>50</v>
      </c>
      <c r="AA321" s="10" t="s">
        <v>50</v>
      </c>
      <c r="AB321" s="10" t="s">
        <v>3446</v>
      </c>
      <c r="AC321" s="10" t="s">
        <v>3449</v>
      </c>
      <c r="AD321" s="10" t="s">
        <v>3450</v>
      </c>
      <c r="AE321" s="10" t="s">
        <v>3451</v>
      </c>
      <c r="AF321" s="10" t="s">
        <v>775</v>
      </c>
      <c r="AG321" s="10" t="s">
        <v>3452</v>
      </c>
      <c r="AH321" s="10" t="s">
        <v>60</v>
      </c>
      <c r="AI321" s="10" t="s">
        <v>61</v>
      </c>
      <c r="AJ321" s="10" t="s">
        <v>3384</v>
      </c>
      <c r="AK321" s="10" t="s">
        <v>3453</v>
      </c>
      <c r="AL321" s="10" t="s">
        <v>64</v>
      </c>
      <c r="AM321" s="10" t="s">
        <v>3454</v>
      </c>
      <c r="AN321" s="10" t="s">
        <v>50</v>
      </c>
      <c r="AO321" s="11" t="s">
        <v>50</v>
      </c>
      <c r="AP321" s="10" t="s">
        <v>50</v>
      </c>
      <c r="AQ321" s="10" t="s">
        <v>50</v>
      </c>
      <c r="AR321" s="10" t="s">
        <v>50</v>
      </c>
      <c r="AS321" s="10" t="s">
        <v>50</v>
      </c>
      <c r="AT321" s="10" t="s">
        <v>50</v>
      </c>
      <c r="AU321" s="10" t="s">
        <v>50</v>
      </c>
      <c r="AV321" s="11"/>
      <c r="AW321" s="10" t="s">
        <v>66</v>
      </c>
      <c r="AX321" s="10"/>
      <c r="AY321" s="10" t="s">
        <v>66</v>
      </c>
    </row>
    <row r="322" ht="22.5" hidden="1" customHeight="1">
      <c r="A322" s="9" t="s">
        <v>3455</v>
      </c>
      <c r="B322" s="10" t="s">
        <v>3456</v>
      </c>
      <c r="C322" s="10" t="s">
        <v>43</v>
      </c>
      <c r="D322" s="10" t="s">
        <v>1398</v>
      </c>
      <c r="E322" s="10" t="s">
        <v>66</v>
      </c>
      <c r="F322" s="11">
        <v>1.0</v>
      </c>
      <c r="G322" s="11">
        <v>120.0</v>
      </c>
      <c r="H322" s="11"/>
      <c r="I322" s="11">
        <v>-20.4</v>
      </c>
      <c r="J322" s="11">
        <v>-19.95</v>
      </c>
      <c r="K322" s="11"/>
      <c r="L322" s="11">
        <v>86.85</v>
      </c>
      <c r="M322" s="10" t="s">
        <v>46</v>
      </c>
      <c r="N322" s="10" t="s">
        <v>50</v>
      </c>
      <c r="O322" s="10" t="s">
        <v>85</v>
      </c>
      <c r="P322" s="10" t="s">
        <v>86</v>
      </c>
      <c r="Q322" s="10" t="s">
        <v>87</v>
      </c>
      <c r="R322" s="10" t="s">
        <v>74</v>
      </c>
      <c r="S322" s="11">
        <v>120.0</v>
      </c>
      <c r="T322" s="11">
        <v>65.78</v>
      </c>
      <c r="U322" s="11" t="s">
        <v>51</v>
      </c>
      <c r="V322" s="10" t="s">
        <v>52</v>
      </c>
      <c r="W322" s="10" t="s">
        <v>3457</v>
      </c>
      <c r="X322" s="10" t="s">
        <v>3458</v>
      </c>
      <c r="Y322" s="10" t="s">
        <v>3459</v>
      </c>
      <c r="Z322" s="10" t="s">
        <v>50</v>
      </c>
      <c r="AA322" s="10" t="s">
        <v>50</v>
      </c>
      <c r="AB322" s="10" t="s">
        <v>3457</v>
      </c>
      <c r="AC322" s="10" t="s">
        <v>3460</v>
      </c>
      <c r="AD322" s="10" t="s">
        <v>3461</v>
      </c>
      <c r="AE322" s="10" t="s">
        <v>1346</v>
      </c>
      <c r="AF322" s="10" t="s">
        <v>1347</v>
      </c>
      <c r="AG322" s="10" t="s">
        <v>3462</v>
      </c>
      <c r="AH322" s="10" t="s">
        <v>60</v>
      </c>
      <c r="AI322" s="10" t="s">
        <v>61</v>
      </c>
      <c r="AJ322" s="10" t="s">
        <v>3463</v>
      </c>
      <c r="AK322" s="10" t="s">
        <v>2013</v>
      </c>
      <c r="AL322" s="10" t="s">
        <v>64</v>
      </c>
      <c r="AM322" s="10" t="s">
        <v>3464</v>
      </c>
      <c r="AN322" s="10" t="s">
        <v>50</v>
      </c>
      <c r="AO322" s="11" t="s">
        <v>50</v>
      </c>
      <c r="AP322" s="10" t="s">
        <v>50</v>
      </c>
      <c r="AQ322" s="10" t="s">
        <v>50</v>
      </c>
      <c r="AR322" s="10" t="s">
        <v>50</v>
      </c>
      <c r="AS322" s="10" t="s">
        <v>50</v>
      </c>
      <c r="AT322" s="10" t="s">
        <v>50</v>
      </c>
      <c r="AU322" s="10" t="s">
        <v>50</v>
      </c>
      <c r="AV322" s="11"/>
      <c r="AW322" s="10" t="s">
        <v>66</v>
      </c>
      <c r="AX322" s="10"/>
      <c r="AY322" s="10" t="s">
        <v>66</v>
      </c>
    </row>
    <row r="323" ht="22.5" hidden="1" customHeight="1">
      <c r="A323" s="9" t="s">
        <v>3465</v>
      </c>
      <c r="B323" s="10" t="s">
        <v>3466</v>
      </c>
      <c r="C323" s="10" t="s">
        <v>43</v>
      </c>
      <c r="D323" s="10" t="s">
        <v>1398</v>
      </c>
      <c r="E323" s="10" t="s">
        <v>45</v>
      </c>
      <c r="F323" s="11">
        <v>2.0</v>
      </c>
      <c r="G323" s="11">
        <v>161.0</v>
      </c>
      <c r="H323" s="11"/>
      <c r="I323" s="11">
        <v>-30.6</v>
      </c>
      <c r="J323" s="11">
        <v>-39.9</v>
      </c>
      <c r="K323" s="11"/>
      <c r="L323" s="11">
        <v>90.5</v>
      </c>
      <c r="M323" s="10" t="s">
        <v>46</v>
      </c>
      <c r="N323" s="10" t="s">
        <v>50</v>
      </c>
      <c r="O323" s="10" t="s">
        <v>47</v>
      </c>
      <c r="P323" s="10" t="s">
        <v>48</v>
      </c>
      <c r="Q323" s="10" t="s">
        <v>49</v>
      </c>
      <c r="R323" s="10" t="s">
        <v>50</v>
      </c>
      <c r="S323" s="11">
        <v>80.5</v>
      </c>
      <c r="T323" s="11">
        <v>12.45</v>
      </c>
      <c r="U323" s="11" t="s">
        <v>51</v>
      </c>
      <c r="V323" s="10" t="s">
        <v>52</v>
      </c>
      <c r="W323" s="10" t="s">
        <v>3467</v>
      </c>
      <c r="X323" s="10" t="s">
        <v>3468</v>
      </c>
      <c r="Y323" s="10" t="s">
        <v>3469</v>
      </c>
      <c r="Z323" s="10" t="s">
        <v>50</v>
      </c>
      <c r="AA323" s="10" t="s">
        <v>50</v>
      </c>
      <c r="AB323" s="10" t="s">
        <v>3467</v>
      </c>
      <c r="AC323" s="10" t="s">
        <v>3470</v>
      </c>
      <c r="AD323" s="10" t="s">
        <v>3471</v>
      </c>
      <c r="AE323" s="10" t="s">
        <v>361</v>
      </c>
      <c r="AF323" s="10" t="s">
        <v>323</v>
      </c>
      <c r="AG323" s="10" t="s">
        <v>3472</v>
      </c>
      <c r="AH323" s="10" t="s">
        <v>60</v>
      </c>
      <c r="AI323" s="10" t="s">
        <v>61</v>
      </c>
      <c r="AJ323" s="10" t="s">
        <v>3335</v>
      </c>
      <c r="AK323" s="10" t="s">
        <v>3473</v>
      </c>
      <c r="AL323" s="10" t="s">
        <v>64</v>
      </c>
      <c r="AM323" s="10" t="s">
        <v>3474</v>
      </c>
      <c r="AN323" s="10" t="s">
        <v>50</v>
      </c>
      <c r="AO323" s="11" t="s">
        <v>50</v>
      </c>
      <c r="AP323" s="10" t="s">
        <v>50</v>
      </c>
      <c r="AQ323" s="10" t="s">
        <v>50</v>
      </c>
      <c r="AR323" s="10" t="s">
        <v>50</v>
      </c>
      <c r="AS323" s="10" t="s">
        <v>50</v>
      </c>
      <c r="AT323" s="10" t="s">
        <v>50</v>
      </c>
      <c r="AU323" s="10" t="s">
        <v>50</v>
      </c>
      <c r="AV323" s="11"/>
      <c r="AW323" s="10" t="s">
        <v>66</v>
      </c>
      <c r="AX323" s="10"/>
      <c r="AY323" s="10" t="s">
        <v>66</v>
      </c>
    </row>
    <row r="324" ht="22.5" hidden="1" customHeight="1">
      <c r="A324" s="9" t="s">
        <v>3475</v>
      </c>
      <c r="B324" s="10" t="s">
        <v>3476</v>
      </c>
      <c r="C324" s="10" t="s">
        <v>43</v>
      </c>
      <c r="D324" s="10" t="s">
        <v>3477</v>
      </c>
      <c r="E324" s="10" t="s">
        <v>66</v>
      </c>
      <c r="F324" s="11">
        <v>1.0</v>
      </c>
      <c r="G324" s="11">
        <v>120.0</v>
      </c>
      <c r="H324" s="11"/>
      <c r="I324" s="11">
        <v>-20.4</v>
      </c>
      <c r="J324" s="11">
        <v>-19.95</v>
      </c>
      <c r="K324" s="11"/>
      <c r="L324" s="11">
        <v>86.85</v>
      </c>
      <c r="M324" s="10" t="s">
        <v>46</v>
      </c>
      <c r="N324" s="10" t="s">
        <v>45</v>
      </c>
      <c r="O324" s="10" t="s">
        <v>85</v>
      </c>
      <c r="P324" s="10" t="s">
        <v>86</v>
      </c>
      <c r="Q324" s="10" t="s">
        <v>87</v>
      </c>
      <c r="R324" s="10" t="s">
        <v>74</v>
      </c>
      <c r="S324" s="11">
        <v>120.0</v>
      </c>
      <c r="T324" s="11">
        <v>65.78</v>
      </c>
      <c r="U324" s="11" t="s">
        <v>51</v>
      </c>
      <c r="V324" s="10" t="s">
        <v>52</v>
      </c>
      <c r="W324" s="10" t="s">
        <v>3478</v>
      </c>
      <c r="X324" s="10" t="s">
        <v>3479</v>
      </c>
      <c r="Y324" s="10" t="s">
        <v>3480</v>
      </c>
      <c r="Z324" s="10" t="s">
        <v>50</v>
      </c>
      <c r="AA324" s="10" t="s">
        <v>50</v>
      </c>
      <c r="AB324" s="10" t="s">
        <v>3478</v>
      </c>
      <c r="AC324" s="10" t="s">
        <v>3481</v>
      </c>
      <c r="AD324" s="10" t="s">
        <v>3482</v>
      </c>
      <c r="AE324" s="10" t="s">
        <v>58</v>
      </c>
      <c r="AF324" s="10" t="s">
        <v>58</v>
      </c>
      <c r="AG324" s="10" t="s">
        <v>3483</v>
      </c>
      <c r="AH324" s="10" t="s">
        <v>60</v>
      </c>
      <c r="AI324" s="10" t="s">
        <v>61</v>
      </c>
      <c r="AJ324" s="10" t="s">
        <v>3484</v>
      </c>
      <c r="AK324" s="10" t="s">
        <v>3485</v>
      </c>
      <c r="AL324" s="10" t="s">
        <v>64</v>
      </c>
      <c r="AM324" s="10" t="s">
        <v>3486</v>
      </c>
      <c r="AN324" s="10" t="s">
        <v>50</v>
      </c>
      <c r="AO324" s="11" t="s">
        <v>50</v>
      </c>
      <c r="AP324" s="10" t="s">
        <v>50</v>
      </c>
      <c r="AQ324" s="10" t="s">
        <v>50</v>
      </c>
      <c r="AR324" s="10" t="s">
        <v>50</v>
      </c>
      <c r="AS324" s="10" t="s">
        <v>50</v>
      </c>
      <c r="AT324" s="10" t="s">
        <v>50</v>
      </c>
      <c r="AU324" s="10" t="s">
        <v>50</v>
      </c>
      <c r="AV324" s="11"/>
      <c r="AW324" s="10" t="s">
        <v>66</v>
      </c>
      <c r="AX324" s="10"/>
      <c r="AY324" s="10" t="s">
        <v>66</v>
      </c>
    </row>
    <row r="325" ht="22.5" hidden="1" customHeight="1">
      <c r="A325" s="9" t="s">
        <v>3487</v>
      </c>
      <c r="B325" s="10" t="s">
        <v>3488</v>
      </c>
      <c r="C325" s="10" t="s">
        <v>43</v>
      </c>
      <c r="D325" s="10" t="s">
        <v>1398</v>
      </c>
      <c r="E325" s="10" t="s">
        <v>66</v>
      </c>
      <c r="F325" s="11">
        <v>1.0</v>
      </c>
      <c r="G325" s="11">
        <v>80.0</v>
      </c>
      <c r="H325" s="11"/>
      <c r="I325" s="11">
        <v>-13.6</v>
      </c>
      <c r="J325" s="11">
        <v>-19.95</v>
      </c>
      <c r="K325" s="11"/>
      <c r="L325" s="11">
        <v>50.45</v>
      </c>
      <c r="M325" s="10" t="s">
        <v>46</v>
      </c>
      <c r="N325" s="10" t="s">
        <v>50</v>
      </c>
      <c r="O325" s="10" t="s">
        <v>143</v>
      </c>
      <c r="P325" s="10" t="s">
        <v>144</v>
      </c>
      <c r="Q325" s="10" t="s">
        <v>145</v>
      </c>
      <c r="R325" s="10" t="s">
        <v>74</v>
      </c>
      <c r="S325" s="11">
        <v>80.0</v>
      </c>
      <c r="T325" s="11">
        <v>33.38</v>
      </c>
      <c r="U325" s="11" t="s">
        <v>51</v>
      </c>
      <c r="V325" s="10" t="s">
        <v>52</v>
      </c>
      <c r="W325" s="10" t="s">
        <v>3489</v>
      </c>
      <c r="X325" s="10" t="s">
        <v>3490</v>
      </c>
      <c r="Y325" s="10" t="s">
        <v>3491</v>
      </c>
      <c r="Z325" s="10" t="s">
        <v>50</v>
      </c>
      <c r="AA325" s="10" t="s">
        <v>50</v>
      </c>
      <c r="AB325" s="10" t="s">
        <v>3489</v>
      </c>
      <c r="AC325" s="10" t="s">
        <v>3492</v>
      </c>
      <c r="AD325" s="10" t="s">
        <v>3493</v>
      </c>
      <c r="AE325" s="10" t="s">
        <v>1774</v>
      </c>
      <c r="AF325" s="10" t="s">
        <v>775</v>
      </c>
      <c r="AG325" s="10" t="s">
        <v>3494</v>
      </c>
      <c r="AH325" s="10" t="s">
        <v>60</v>
      </c>
      <c r="AI325" s="10" t="s">
        <v>61</v>
      </c>
      <c r="AJ325" s="10" t="s">
        <v>3384</v>
      </c>
      <c r="AK325" s="10" t="s">
        <v>3495</v>
      </c>
      <c r="AL325" s="10" t="s">
        <v>64</v>
      </c>
      <c r="AM325" s="10" t="s">
        <v>3496</v>
      </c>
      <c r="AN325" s="10" t="s">
        <v>50</v>
      </c>
      <c r="AO325" s="11" t="s">
        <v>50</v>
      </c>
      <c r="AP325" s="10" t="s">
        <v>50</v>
      </c>
      <c r="AQ325" s="10" t="s">
        <v>50</v>
      </c>
      <c r="AR325" s="10" t="s">
        <v>50</v>
      </c>
      <c r="AS325" s="10" t="s">
        <v>50</v>
      </c>
      <c r="AT325" s="10" t="s">
        <v>50</v>
      </c>
      <c r="AU325" s="10" t="s">
        <v>50</v>
      </c>
      <c r="AV325" s="11"/>
      <c r="AW325" s="10" t="s">
        <v>66</v>
      </c>
      <c r="AX325" s="10"/>
      <c r="AY325" s="10" t="s">
        <v>66</v>
      </c>
    </row>
    <row r="326" ht="22.5" hidden="1" customHeight="1">
      <c r="A326" s="9" t="s">
        <v>3497</v>
      </c>
      <c r="B326" s="10" t="s">
        <v>3498</v>
      </c>
      <c r="C326" s="10" t="s">
        <v>43</v>
      </c>
      <c r="D326" s="10" t="s">
        <v>191</v>
      </c>
      <c r="E326" s="10" t="s">
        <v>66</v>
      </c>
      <c r="F326" s="11">
        <v>1.0</v>
      </c>
      <c r="G326" s="11">
        <v>80.0</v>
      </c>
      <c r="H326" s="11">
        <v>16.65</v>
      </c>
      <c r="I326" s="11">
        <v>-13.6</v>
      </c>
      <c r="J326" s="11">
        <v>-36.6</v>
      </c>
      <c r="K326" s="11"/>
      <c r="L326" s="11">
        <v>50.45</v>
      </c>
      <c r="M326" s="10" t="s">
        <v>46</v>
      </c>
      <c r="N326" s="10" t="s">
        <v>50</v>
      </c>
      <c r="O326" s="10" t="s">
        <v>143</v>
      </c>
      <c r="P326" s="10" t="s">
        <v>144</v>
      </c>
      <c r="Q326" s="10" t="s">
        <v>145</v>
      </c>
      <c r="R326" s="10" t="s">
        <v>74</v>
      </c>
      <c r="S326" s="11">
        <v>80.0</v>
      </c>
      <c r="T326" s="11">
        <v>33.38</v>
      </c>
      <c r="U326" s="11" t="s">
        <v>51</v>
      </c>
      <c r="V326" s="10" t="s">
        <v>52</v>
      </c>
      <c r="W326" s="10" t="s">
        <v>3499</v>
      </c>
      <c r="X326" s="10" t="s">
        <v>3500</v>
      </c>
      <c r="Y326" s="10" t="s">
        <v>3501</v>
      </c>
      <c r="Z326" s="10" t="s">
        <v>50</v>
      </c>
      <c r="AA326" s="10" t="s">
        <v>50</v>
      </c>
      <c r="AB326" s="10" t="s">
        <v>3499</v>
      </c>
      <c r="AC326" s="10" t="s">
        <v>3502</v>
      </c>
      <c r="AD326" s="10" t="s">
        <v>3503</v>
      </c>
      <c r="AE326" s="10" t="s">
        <v>3504</v>
      </c>
      <c r="AF326" s="10" t="s">
        <v>169</v>
      </c>
      <c r="AG326" s="10" t="s">
        <v>3505</v>
      </c>
      <c r="AH326" s="10" t="s">
        <v>60</v>
      </c>
      <c r="AI326" s="10" t="s">
        <v>61</v>
      </c>
      <c r="AJ326" s="10" t="s">
        <v>3463</v>
      </c>
      <c r="AK326" s="10" t="s">
        <v>3506</v>
      </c>
      <c r="AL326" s="10" t="s">
        <v>64</v>
      </c>
      <c r="AM326" s="10" t="s">
        <v>3507</v>
      </c>
      <c r="AN326" s="10" t="s">
        <v>50</v>
      </c>
      <c r="AO326" s="11" t="s">
        <v>50</v>
      </c>
      <c r="AP326" s="10" t="s">
        <v>50</v>
      </c>
      <c r="AQ326" s="10" t="s">
        <v>50</v>
      </c>
      <c r="AR326" s="10" t="s">
        <v>50</v>
      </c>
      <c r="AS326" s="10" t="s">
        <v>50</v>
      </c>
      <c r="AT326" s="10" t="s">
        <v>50</v>
      </c>
      <c r="AU326" s="10" t="s">
        <v>50</v>
      </c>
      <c r="AV326" s="11"/>
      <c r="AW326" s="10" t="s">
        <v>66</v>
      </c>
      <c r="AX326" s="10"/>
      <c r="AY326" s="10" t="s">
        <v>66</v>
      </c>
    </row>
    <row r="327" ht="22.5" hidden="1" customHeight="1">
      <c r="A327" s="9" t="s">
        <v>3508</v>
      </c>
      <c r="B327" s="10" t="s">
        <v>3509</v>
      </c>
      <c r="C327" s="10" t="s">
        <v>43</v>
      </c>
      <c r="D327" s="10" t="s">
        <v>290</v>
      </c>
      <c r="E327" s="10" t="s">
        <v>66</v>
      </c>
      <c r="F327" s="11">
        <v>1.0</v>
      </c>
      <c r="G327" s="11">
        <v>120.0</v>
      </c>
      <c r="H327" s="11"/>
      <c r="I327" s="11">
        <v>-20.4</v>
      </c>
      <c r="J327" s="11">
        <v>-19.95</v>
      </c>
      <c r="K327" s="11"/>
      <c r="L327" s="11">
        <v>86.85</v>
      </c>
      <c r="M327" s="10" t="s">
        <v>46</v>
      </c>
      <c r="N327" s="10" t="s">
        <v>50</v>
      </c>
      <c r="O327" s="10" t="s">
        <v>85</v>
      </c>
      <c r="P327" s="10" t="s">
        <v>86</v>
      </c>
      <c r="Q327" s="10" t="s">
        <v>87</v>
      </c>
      <c r="R327" s="10" t="s">
        <v>74</v>
      </c>
      <c r="S327" s="11">
        <v>120.0</v>
      </c>
      <c r="T327" s="11">
        <v>65.78</v>
      </c>
      <c r="U327" s="11" t="s">
        <v>51</v>
      </c>
      <c r="V327" s="10" t="s">
        <v>52</v>
      </c>
      <c r="W327" s="10" t="s">
        <v>3510</v>
      </c>
      <c r="X327" s="10" t="s">
        <v>3511</v>
      </c>
      <c r="Y327" s="10" t="s">
        <v>3512</v>
      </c>
      <c r="Z327" s="10" t="s">
        <v>50</v>
      </c>
      <c r="AA327" s="10" t="s">
        <v>50</v>
      </c>
      <c r="AB327" s="10" t="s">
        <v>3510</v>
      </c>
      <c r="AC327" s="10" t="s">
        <v>3513</v>
      </c>
      <c r="AD327" s="10" t="s">
        <v>3514</v>
      </c>
      <c r="AE327" s="10" t="s">
        <v>151</v>
      </c>
      <c r="AF327" s="10" t="s">
        <v>151</v>
      </c>
      <c r="AG327" s="10" t="s">
        <v>3515</v>
      </c>
      <c r="AH327" s="10" t="s">
        <v>60</v>
      </c>
      <c r="AI327" s="10" t="s">
        <v>61</v>
      </c>
      <c r="AJ327" s="10" t="s">
        <v>3516</v>
      </c>
      <c r="AK327" s="10" t="s">
        <v>3517</v>
      </c>
      <c r="AL327" s="10" t="s">
        <v>64</v>
      </c>
      <c r="AM327" s="10" t="s">
        <v>3518</v>
      </c>
      <c r="AN327" s="10" t="s">
        <v>50</v>
      </c>
      <c r="AO327" s="11" t="s">
        <v>50</v>
      </c>
      <c r="AP327" s="10" t="s">
        <v>50</v>
      </c>
      <c r="AQ327" s="10" t="s">
        <v>50</v>
      </c>
      <c r="AR327" s="10" t="s">
        <v>50</v>
      </c>
      <c r="AS327" s="10" t="s">
        <v>50</v>
      </c>
      <c r="AT327" s="10" t="s">
        <v>50</v>
      </c>
      <c r="AU327" s="10" t="s">
        <v>50</v>
      </c>
      <c r="AV327" s="11"/>
      <c r="AW327" s="10" t="s">
        <v>66</v>
      </c>
      <c r="AX327" s="10"/>
      <c r="AY327" s="10" t="s">
        <v>66</v>
      </c>
    </row>
    <row r="328" ht="22.5" hidden="1" customHeight="1">
      <c r="A328" s="9" t="s">
        <v>3519</v>
      </c>
      <c r="B328" s="10" t="s">
        <v>3520</v>
      </c>
      <c r="C328" s="10" t="s">
        <v>43</v>
      </c>
      <c r="D328" s="10" t="s">
        <v>1398</v>
      </c>
      <c r="E328" s="10" t="s">
        <v>45</v>
      </c>
      <c r="F328" s="11">
        <v>2.0</v>
      </c>
      <c r="G328" s="11">
        <v>160.0</v>
      </c>
      <c r="H328" s="11"/>
      <c r="I328" s="11">
        <v>-27.2</v>
      </c>
      <c r="J328" s="11">
        <v>-39.9</v>
      </c>
      <c r="K328" s="11"/>
      <c r="L328" s="11">
        <v>100.9</v>
      </c>
      <c r="M328" s="10" t="s">
        <v>46</v>
      </c>
      <c r="N328" s="10" t="s">
        <v>45</v>
      </c>
      <c r="O328" s="10" t="s">
        <v>143</v>
      </c>
      <c r="P328" s="10" t="s">
        <v>144</v>
      </c>
      <c r="Q328" s="10" t="s">
        <v>145</v>
      </c>
      <c r="R328" s="10" t="s">
        <v>74</v>
      </c>
      <c r="S328" s="11">
        <v>80.0</v>
      </c>
      <c r="T328" s="11">
        <v>33.38</v>
      </c>
      <c r="U328" s="11" t="s">
        <v>51</v>
      </c>
      <c r="V328" s="10" t="s">
        <v>52</v>
      </c>
      <c r="W328" s="10" t="s">
        <v>3521</v>
      </c>
      <c r="X328" s="10" t="s">
        <v>3522</v>
      </c>
      <c r="Y328" s="10" t="s">
        <v>3523</v>
      </c>
      <c r="Z328" s="10" t="s">
        <v>50</v>
      </c>
      <c r="AA328" s="10" t="s">
        <v>50</v>
      </c>
      <c r="AB328" s="10" t="s">
        <v>3521</v>
      </c>
      <c r="AC328" s="10" t="s">
        <v>3524</v>
      </c>
      <c r="AD328" s="10" t="s">
        <v>3525</v>
      </c>
      <c r="AE328" s="10" t="s">
        <v>3526</v>
      </c>
      <c r="AF328" s="10" t="s">
        <v>323</v>
      </c>
      <c r="AG328" s="10" t="s">
        <v>3527</v>
      </c>
      <c r="AH328" s="10" t="s">
        <v>60</v>
      </c>
      <c r="AI328" s="10" t="s">
        <v>61</v>
      </c>
      <c r="AJ328" s="10" t="s">
        <v>3335</v>
      </c>
      <c r="AK328" s="10" t="s">
        <v>3528</v>
      </c>
      <c r="AL328" s="10" t="s">
        <v>64</v>
      </c>
      <c r="AM328" s="10" t="s">
        <v>3529</v>
      </c>
      <c r="AN328" s="10" t="s">
        <v>50</v>
      </c>
      <c r="AO328" s="11" t="s">
        <v>50</v>
      </c>
      <c r="AP328" s="10" t="s">
        <v>50</v>
      </c>
      <c r="AQ328" s="10" t="s">
        <v>50</v>
      </c>
      <c r="AR328" s="10" t="s">
        <v>50</v>
      </c>
      <c r="AS328" s="10" t="s">
        <v>50</v>
      </c>
      <c r="AT328" s="10" t="s">
        <v>50</v>
      </c>
      <c r="AU328" s="10" t="s">
        <v>50</v>
      </c>
      <c r="AV328" s="11"/>
      <c r="AW328" s="10" t="s">
        <v>66</v>
      </c>
      <c r="AX328" s="10"/>
      <c r="AY328" s="10" t="s">
        <v>66</v>
      </c>
    </row>
    <row r="329" ht="22.5" hidden="1" customHeight="1">
      <c r="A329" s="9" t="s">
        <v>3530</v>
      </c>
      <c r="B329" s="10" t="s">
        <v>3531</v>
      </c>
      <c r="C329" s="10" t="s">
        <v>43</v>
      </c>
      <c r="D329" s="10" t="s">
        <v>1262</v>
      </c>
      <c r="E329" s="10" t="s">
        <v>66</v>
      </c>
      <c r="F329" s="11">
        <v>1.0</v>
      </c>
      <c r="G329" s="11">
        <v>120.0</v>
      </c>
      <c r="H329" s="11"/>
      <c r="I329" s="11">
        <v>-20.4</v>
      </c>
      <c r="J329" s="11">
        <v>-19.95</v>
      </c>
      <c r="K329" s="11"/>
      <c r="L329" s="11">
        <v>86.85</v>
      </c>
      <c r="M329" s="10" t="s">
        <v>46</v>
      </c>
      <c r="N329" s="10" t="s">
        <v>45</v>
      </c>
      <c r="O329" s="10" t="s">
        <v>85</v>
      </c>
      <c r="P329" s="10" t="s">
        <v>86</v>
      </c>
      <c r="Q329" s="10" t="s">
        <v>87</v>
      </c>
      <c r="R329" s="10" t="s">
        <v>74</v>
      </c>
      <c r="S329" s="11">
        <v>120.0</v>
      </c>
      <c r="T329" s="11">
        <v>65.78</v>
      </c>
      <c r="U329" s="11" t="s">
        <v>51</v>
      </c>
      <c r="V329" s="10" t="s">
        <v>52</v>
      </c>
      <c r="W329" s="10" t="s">
        <v>3532</v>
      </c>
      <c r="X329" s="10" t="s">
        <v>3533</v>
      </c>
      <c r="Y329" s="10" t="s">
        <v>3534</v>
      </c>
      <c r="Z329" s="10" t="s">
        <v>50</v>
      </c>
      <c r="AA329" s="10" t="s">
        <v>50</v>
      </c>
      <c r="AB329" s="10" t="s">
        <v>3532</v>
      </c>
      <c r="AC329" s="10" t="s">
        <v>3535</v>
      </c>
      <c r="AD329" s="10" t="s">
        <v>3536</v>
      </c>
      <c r="AE329" s="10" t="s">
        <v>3537</v>
      </c>
      <c r="AF329" s="10" t="s">
        <v>58</v>
      </c>
      <c r="AG329" s="10" t="s">
        <v>3538</v>
      </c>
      <c r="AH329" s="10" t="s">
        <v>60</v>
      </c>
      <c r="AI329" s="10" t="s">
        <v>61</v>
      </c>
      <c r="AJ329" s="10" t="s">
        <v>3347</v>
      </c>
      <c r="AK329" s="10" t="s">
        <v>3539</v>
      </c>
      <c r="AL329" s="10" t="s">
        <v>64</v>
      </c>
      <c r="AM329" s="10" t="s">
        <v>3540</v>
      </c>
      <c r="AN329" s="10" t="s">
        <v>50</v>
      </c>
      <c r="AO329" s="11" t="s">
        <v>50</v>
      </c>
      <c r="AP329" s="10" t="s">
        <v>50</v>
      </c>
      <c r="AQ329" s="10" t="s">
        <v>50</v>
      </c>
      <c r="AR329" s="10" t="s">
        <v>50</v>
      </c>
      <c r="AS329" s="10" t="s">
        <v>50</v>
      </c>
      <c r="AT329" s="10" t="s">
        <v>50</v>
      </c>
      <c r="AU329" s="10" t="s">
        <v>50</v>
      </c>
      <c r="AV329" s="11"/>
      <c r="AW329" s="10" t="s">
        <v>66</v>
      </c>
      <c r="AX329" s="10"/>
      <c r="AY329" s="10" t="s">
        <v>66</v>
      </c>
    </row>
    <row r="330" ht="22.5" hidden="1" customHeight="1">
      <c r="A330" s="9" t="s">
        <v>3541</v>
      </c>
      <c r="B330" s="10" t="s">
        <v>3542</v>
      </c>
      <c r="C330" s="10" t="s">
        <v>43</v>
      </c>
      <c r="D330" s="10" t="s">
        <v>1262</v>
      </c>
      <c r="E330" s="10" t="s">
        <v>66</v>
      </c>
      <c r="F330" s="11">
        <v>1.0</v>
      </c>
      <c r="G330" s="11">
        <v>120.0</v>
      </c>
      <c r="H330" s="11"/>
      <c r="I330" s="11">
        <v>-20.4</v>
      </c>
      <c r="J330" s="11">
        <v>-19.95</v>
      </c>
      <c r="K330" s="11"/>
      <c r="L330" s="11">
        <v>86.85</v>
      </c>
      <c r="M330" s="10" t="s">
        <v>46</v>
      </c>
      <c r="N330" s="10" t="s">
        <v>50</v>
      </c>
      <c r="O330" s="10" t="s">
        <v>85</v>
      </c>
      <c r="P330" s="10" t="s">
        <v>86</v>
      </c>
      <c r="Q330" s="10" t="s">
        <v>87</v>
      </c>
      <c r="R330" s="10" t="s">
        <v>74</v>
      </c>
      <c r="S330" s="11">
        <v>120.0</v>
      </c>
      <c r="T330" s="11">
        <v>65.78</v>
      </c>
      <c r="U330" s="11" t="s">
        <v>51</v>
      </c>
      <c r="V330" s="10" t="s">
        <v>52</v>
      </c>
      <c r="W330" s="10" t="s">
        <v>3543</v>
      </c>
      <c r="X330" s="10" t="s">
        <v>3544</v>
      </c>
      <c r="Y330" s="10" t="s">
        <v>3545</v>
      </c>
      <c r="Z330" s="10" t="s">
        <v>50</v>
      </c>
      <c r="AA330" s="10" t="s">
        <v>50</v>
      </c>
      <c r="AB330" s="10" t="s">
        <v>3543</v>
      </c>
      <c r="AC330" s="10" t="s">
        <v>3546</v>
      </c>
      <c r="AD330" s="10" t="s">
        <v>3547</v>
      </c>
      <c r="AE330" s="10" t="s">
        <v>1629</v>
      </c>
      <c r="AF330" s="10" t="s">
        <v>58</v>
      </c>
      <c r="AG330" s="10" t="s">
        <v>3548</v>
      </c>
      <c r="AH330" s="10" t="s">
        <v>60</v>
      </c>
      <c r="AI330" s="10" t="s">
        <v>61</v>
      </c>
      <c r="AJ330" s="10" t="s">
        <v>3279</v>
      </c>
      <c r="AK330" s="10" t="s">
        <v>3549</v>
      </c>
      <c r="AL330" s="10" t="s">
        <v>64</v>
      </c>
      <c r="AM330" s="10" t="s">
        <v>3550</v>
      </c>
      <c r="AN330" s="10" t="s">
        <v>50</v>
      </c>
      <c r="AO330" s="11" t="s">
        <v>50</v>
      </c>
      <c r="AP330" s="10" t="s">
        <v>50</v>
      </c>
      <c r="AQ330" s="10" t="s">
        <v>50</v>
      </c>
      <c r="AR330" s="10" t="s">
        <v>50</v>
      </c>
      <c r="AS330" s="10" t="s">
        <v>50</v>
      </c>
      <c r="AT330" s="10" t="s">
        <v>50</v>
      </c>
      <c r="AU330" s="10" t="s">
        <v>50</v>
      </c>
      <c r="AV330" s="11"/>
      <c r="AW330" s="10" t="s">
        <v>66</v>
      </c>
      <c r="AX330" s="10"/>
      <c r="AY330" s="10" t="s">
        <v>66</v>
      </c>
    </row>
    <row r="331" ht="22.5" hidden="1" customHeight="1">
      <c r="A331" s="9" t="s">
        <v>3551</v>
      </c>
      <c r="B331" s="10" t="s">
        <v>3552</v>
      </c>
      <c r="C331" s="10" t="s">
        <v>43</v>
      </c>
      <c r="D331" s="10" t="s">
        <v>1262</v>
      </c>
      <c r="E331" s="10" t="s">
        <v>45</v>
      </c>
      <c r="F331" s="11">
        <v>2.0</v>
      </c>
      <c r="G331" s="11">
        <v>165.0</v>
      </c>
      <c r="H331" s="11"/>
      <c r="I331" s="11">
        <v>-28.04</v>
      </c>
      <c r="J331" s="11">
        <v>-40.9</v>
      </c>
      <c r="K331" s="11"/>
      <c r="L331" s="11">
        <v>96.06</v>
      </c>
      <c r="M331" s="10" t="s">
        <v>46</v>
      </c>
      <c r="N331" s="10" t="s">
        <v>45</v>
      </c>
      <c r="O331" s="10" t="s">
        <v>412</v>
      </c>
      <c r="P331" s="10" t="s">
        <v>413</v>
      </c>
      <c r="Q331" s="10" t="s">
        <v>414</v>
      </c>
      <c r="R331" s="10" t="s">
        <v>415</v>
      </c>
      <c r="S331" s="11">
        <v>82.5</v>
      </c>
      <c r="T331" s="11">
        <v>10.05</v>
      </c>
      <c r="U331" s="11" t="s">
        <v>51</v>
      </c>
      <c r="V331" s="10" t="s">
        <v>52</v>
      </c>
      <c r="W331" s="10" t="s">
        <v>3553</v>
      </c>
      <c r="X331" s="10" t="s">
        <v>3554</v>
      </c>
      <c r="Y331" s="10" t="s">
        <v>3555</v>
      </c>
      <c r="Z331" s="10" t="s">
        <v>50</v>
      </c>
      <c r="AA331" s="10" t="s">
        <v>50</v>
      </c>
      <c r="AB331" s="10" t="s">
        <v>3553</v>
      </c>
      <c r="AC331" s="10" t="s">
        <v>3556</v>
      </c>
      <c r="AD331" s="10" t="s">
        <v>3557</v>
      </c>
      <c r="AE331" s="10" t="s">
        <v>1346</v>
      </c>
      <c r="AF331" s="10" t="s">
        <v>1347</v>
      </c>
      <c r="AG331" s="10" t="s">
        <v>3558</v>
      </c>
      <c r="AH331" s="10" t="s">
        <v>60</v>
      </c>
      <c r="AI331" s="10" t="s">
        <v>61</v>
      </c>
      <c r="AJ331" s="10" t="s">
        <v>3384</v>
      </c>
      <c r="AK331" s="10" t="s">
        <v>3559</v>
      </c>
      <c r="AL331" s="10" t="s">
        <v>64</v>
      </c>
      <c r="AM331" s="10" t="s">
        <v>3560</v>
      </c>
      <c r="AN331" s="10" t="s">
        <v>50</v>
      </c>
      <c r="AO331" s="11" t="s">
        <v>50</v>
      </c>
      <c r="AP331" s="10" t="s">
        <v>50</v>
      </c>
      <c r="AQ331" s="10" t="s">
        <v>50</v>
      </c>
      <c r="AR331" s="10" t="s">
        <v>50</v>
      </c>
      <c r="AS331" s="10" t="s">
        <v>50</v>
      </c>
      <c r="AT331" s="10" t="s">
        <v>50</v>
      </c>
      <c r="AU331" s="10" t="s">
        <v>50</v>
      </c>
      <c r="AV331" s="11"/>
      <c r="AW331" s="10" t="s">
        <v>66</v>
      </c>
      <c r="AX331" s="10"/>
      <c r="AY331" s="10" t="s">
        <v>66</v>
      </c>
    </row>
    <row r="332" ht="22.5" hidden="1" customHeight="1">
      <c r="A332" s="9" t="s">
        <v>3561</v>
      </c>
      <c r="B332" s="10" t="s">
        <v>3562</v>
      </c>
      <c r="C332" s="10" t="s">
        <v>43</v>
      </c>
      <c r="D332" s="10" t="s">
        <v>1262</v>
      </c>
      <c r="E332" s="10" t="s">
        <v>45</v>
      </c>
      <c r="F332" s="11">
        <v>3.0</v>
      </c>
      <c r="G332" s="11">
        <v>237.0</v>
      </c>
      <c r="H332" s="11"/>
      <c r="I332" s="11">
        <v>-40.29</v>
      </c>
      <c r="J332" s="11">
        <v>-61.35</v>
      </c>
      <c r="K332" s="11"/>
      <c r="L332" s="11">
        <v>135.36</v>
      </c>
      <c r="M332" s="10" t="s">
        <v>46</v>
      </c>
      <c r="N332" s="10" t="s">
        <v>45</v>
      </c>
      <c r="O332" s="10" t="s">
        <v>160</v>
      </c>
      <c r="P332" s="10" t="s">
        <v>161</v>
      </c>
      <c r="Q332" s="10" t="s">
        <v>162</v>
      </c>
      <c r="R332" s="10" t="s">
        <v>74</v>
      </c>
      <c r="S332" s="11">
        <v>79.0</v>
      </c>
      <c r="T332" s="11">
        <v>2.49</v>
      </c>
      <c r="U332" s="11" t="s">
        <v>51</v>
      </c>
      <c r="V332" s="10" t="s">
        <v>52</v>
      </c>
      <c r="W332" s="10" t="s">
        <v>3563</v>
      </c>
      <c r="X332" s="10" t="s">
        <v>3564</v>
      </c>
      <c r="Y332" s="10" t="s">
        <v>3565</v>
      </c>
      <c r="Z332" s="10" t="s">
        <v>50</v>
      </c>
      <c r="AA332" s="10" t="s">
        <v>50</v>
      </c>
      <c r="AB332" s="10" t="s">
        <v>3563</v>
      </c>
      <c r="AC332" s="10" t="s">
        <v>3566</v>
      </c>
      <c r="AD332" s="10" t="s">
        <v>3567</v>
      </c>
      <c r="AE332" s="10" t="s">
        <v>58</v>
      </c>
      <c r="AF332" s="10" t="s">
        <v>58</v>
      </c>
      <c r="AG332" s="10" t="s">
        <v>3568</v>
      </c>
      <c r="AH332" s="10" t="s">
        <v>60</v>
      </c>
      <c r="AI332" s="10" t="s">
        <v>61</v>
      </c>
      <c r="AJ332" s="10" t="s">
        <v>3311</v>
      </c>
      <c r="AK332" s="10" t="s">
        <v>3569</v>
      </c>
      <c r="AL332" s="10" t="s">
        <v>64</v>
      </c>
      <c r="AM332" s="10" t="s">
        <v>3570</v>
      </c>
      <c r="AN332" s="10" t="s">
        <v>50</v>
      </c>
      <c r="AO332" s="11" t="s">
        <v>50</v>
      </c>
      <c r="AP332" s="10" t="s">
        <v>50</v>
      </c>
      <c r="AQ332" s="10" t="s">
        <v>50</v>
      </c>
      <c r="AR332" s="10" t="s">
        <v>50</v>
      </c>
      <c r="AS332" s="10" t="s">
        <v>50</v>
      </c>
      <c r="AT332" s="10" t="s">
        <v>50</v>
      </c>
      <c r="AU332" s="10" t="s">
        <v>50</v>
      </c>
      <c r="AV332" s="11"/>
      <c r="AW332" s="10" t="s">
        <v>66</v>
      </c>
      <c r="AX332" s="10"/>
      <c r="AY332" s="10" t="s">
        <v>66</v>
      </c>
    </row>
    <row r="333" ht="22.5" hidden="1" customHeight="1">
      <c r="A333" s="9" t="s">
        <v>3571</v>
      </c>
      <c r="B333" s="10" t="s">
        <v>3572</v>
      </c>
      <c r="C333" s="10" t="s">
        <v>43</v>
      </c>
      <c r="D333" s="10" t="s">
        <v>1262</v>
      </c>
      <c r="E333" s="10" t="s">
        <v>66</v>
      </c>
      <c r="F333" s="11">
        <v>1.0</v>
      </c>
      <c r="G333" s="11">
        <v>101.5</v>
      </c>
      <c r="H333" s="11"/>
      <c r="I333" s="11">
        <v>-19.28</v>
      </c>
      <c r="J333" s="11">
        <v>-19.95</v>
      </c>
      <c r="K333" s="11"/>
      <c r="L333" s="11">
        <v>62.27</v>
      </c>
      <c r="M333" s="10" t="s">
        <v>46</v>
      </c>
      <c r="N333" s="10" t="s">
        <v>45</v>
      </c>
      <c r="O333" s="10" t="s">
        <v>100</v>
      </c>
      <c r="P333" s="10" t="s">
        <v>101</v>
      </c>
      <c r="Q333" s="10" t="s">
        <v>102</v>
      </c>
      <c r="R333" s="10" t="s">
        <v>50</v>
      </c>
      <c r="S333" s="11">
        <v>101.5</v>
      </c>
      <c r="T333" s="11">
        <v>38.61</v>
      </c>
      <c r="U333" s="11" t="s">
        <v>51</v>
      </c>
      <c r="V333" s="10" t="s">
        <v>52</v>
      </c>
      <c r="W333" s="10" t="s">
        <v>3573</v>
      </c>
      <c r="X333" s="10" t="s">
        <v>3574</v>
      </c>
      <c r="Y333" s="10" t="s">
        <v>3575</v>
      </c>
      <c r="Z333" s="10" t="s">
        <v>50</v>
      </c>
      <c r="AA333" s="10" t="s">
        <v>50</v>
      </c>
      <c r="AB333" s="10" t="s">
        <v>3573</v>
      </c>
      <c r="AC333" s="10" t="s">
        <v>3576</v>
      </c>
      <c r="AD333" s="10" t="s">
        <v>3577</v>
      </c>
      <c r="AE333" s="10" t="s">
        <v>1936</v>
      </c>
      <c r="AF333" s="10" t="s">
        <v>58</v>
      </c>
      <c r="AG333" s="10" t="s">
        <v>3578</v>
      </c>
      <c r="AH333" s="10" t="s">
        <v>60</v>
      </c>
      <c r="AI333" s="10" t="s">
        <v>61</v>
      </c>
      <c r="AJ333" s="10" t="s">
        <v>3347</v>
      </c>
      <c r="AK333" s="10" t="s">
        <v>3579</v>
      </c>
      <c r="AL333" s="10" t="s">
        <v>64</v>
      </c>
      <c r="AM333" s="10" t="s">
        <v>3580</v>
      </c>
      <c r="AN333" s="10" t="s">
        <v>50</v>
      </c>
      <c r="AO333" s="11" t="s">
        <v>50</v>
      </c>
      <c r="AP333" s="10" t="s">
        <v>50</v>
      </c>
      <c r="AQ333" s="10" t="s">
        <v>50</v>
      </c>
      <c r="AR333" s="10" t="s">
        <v>50</v>
      </c>
      <c r="AS333" s="10" t="s">
        <v>50</v>
      </c>
      <c r="AT333" s="10" t="s">
        <v>50</v>
      </c>
      <c r="AU333" s="10" t="s">
        <v>50</v>
      </c>
      <c r="AV333" s="11"/>
      <c r="AW333" s="10" t="s">
        <v>66</v>
      </c>
      <c r="AX333" s="10"/>
      <c r="AY333" s="10" t="s">
        <v>66</v>
      </c>
    </row>
    <row r="334" ht="22.5" hidden="1" customHeight="1">
      <c r="A334" s="9" t="s">
        <v>3581</v>
      </c>
      <c r="B334" s="10" t="s">
        <v>3582</v>
      </c>
      <c r="C334" s="10" t="s">
        <v>43</v>
      </c>
      <c r="D334" s="10" t="s">
        <v>1262</v>
      </c>
      <c r="E334" s="10" t="s">
        <v>66</v>
      </c>
      <c r="F334" s="11">
        <v>1.0</v>
      </c>
      <c r="G334" s="11">
        <v>120.0</v>
      </c>
      <c r="H334" s="11"/>
      <c r="I334" s="11">
        <v>-20.4</v>
      </c>
      <c r="J334" s="11">
        <v>-19.95</v>
      </c>
      <c r="K334" s="11"/>
      <c r="L334" s="11">
        <v>86.85</v>
      </c>
      <c r="M334" s="10" t="s">
        <v>46</v>
      </c>
      <c r="N334" s="10" t="s">
        <v>45</v>
      </c>
      <c r="O334" s="10" t="s">
        <v>85</v>
      </c>
      <c r="P334" s="10" t="s">
        <v>86</v>
      </c>
      <c r="Q334" s="10" t="s">
        <v>87</v>
      </c>
      <c r="R334" s="10" t="s">
        <v>74</v>
      </c>
      <c r="S334" s="11">
        <v>120.0</v>
      </c>
      <c r="T334" s="11">
        <v>65.78</v>
      </c>
      <c r="U334" s="11" t="s">
        <v>51</v>
      </c>
      <c r="V334" s="10" t="s">
        <v>52</v>
      </c>
      <c r="W334" s="10" t="s">
        <v>3583</v>
      </c>
      <c r="X334" s="10" t="s">
        <v>3584</v>
      </c>
      <c r="Y334" s="10" t="s">
        <v>3585</v>
      </c>
      <c r="Z334" s="10" t="s">
        <v>50</v>
      </c>
      <c r="AA334" s="10" t="s">
        <v>50</v>
      </c>
      <c r="AB334" s="10" t="s">
        <v>3583</v>
      </c>
      <c r="AC334" s="10" t="s">
        <v>3586</v>
      </c>
      <c r="AD334" s="10" t="s">
        <v>3587</v>
      </c>
      <c r="AE334" s="10" t="s">
        <v>3244</v>
      </c>
      <c r="AF334" s="10" t="s">
        <v>58</v>
      </c>
      <c r="AG334" s="10" t="s">
        <v>3588</v>
      </c>
      <c r="AH334" s="10" t="s">
        <v>60</v>
      </c>
      <c r="AI334" s="10" t="s">
        <v>61</v>
      </c>
      <c r="AJ334" s="10" t="s">
        <v>3311</v>
      </c>
      <c r="AK334" s="10" t="s">
        <v>3589</v>
      </c>
      <c r="AL334" s="10" t="s">
        <v>64</v>
      </c>
      <c r="AM334" s="10" t="s">
        <v>3590</v>
      </c>
      <c r="AN334" s="10" t="s">
        <v>50</v>
      </c>
      <c r="AO334" s="11" t="s">
        <v>50</v>
      </c>
      <c r="AP334" s="10" t="s">
        <v>50</v>
      </c>
      <c r="AQ334" s="10" t="s">
        <v>50</v>
      </c>
      <c r="AR334" s="10" t="s">
        <v>50</v>
      </c>
      <c r="AS334" s="10" t="s">
        <v>50</v>
      </c>
      <c r="AT334" s="10" t="s">
        <v>50</v>
      </c>
      <c r="AU334" s="10" t="s">
        <v>50</v>
      </c>
      <c r="AV334" s="11"/>
      <c r="AW334" s="10" t="s">
        <v>66</v>
      </c>
      <c r="AX334" s="10"/>
      <c r="AY334" s="10" t="s">
        <v>66</v>
      </c>
    </row>
    <row r="335" ht="22.5" hidden="1" customHeight="1">
      <c r="A335" s="9" t="s">
        <v>3591</v>
      </c>
      <c r="B335" s="10" t="s">
        <v>3592</v>
      </c>
      <c r="C335" s="10" t="s">
        <v>43</v>
      </c>
      <c r="D335" s="10" t="s">
        <v>1262</v>
      </c>
      <c r="E335" s="10" t="s">
        <v>66</v>
      </c>
      <c r="F335" s="11">
        <v>1.0</v>
      </c>
      <c r="G335" s="11">
        <v>79.0</v>
      </c>
      <c r="H335" s="11"/>
      <c r="I335" s="11">
        <v>-13.43</v>
      </c>
      <c r="J335" s="11">
        <v>-20.45</v>
      </c>
      <c r="K335" s="11"/>
      <c r="L335" s="11">
        <v>45.12</v>
      </c>
      <c r="M335" s="10" t="s">
        <v>46</v>
      </c>
      <c r="N335" s="10" t="s">
        <v>45</v>
      </c>
      <c r="O335" s="10" t="s">
        <v>160</v>
      </c>
      <c r="P335" s="10" t="s">
        <v>161</v>
      </c>
      <c r="Q335" s="10" t="s">
        <v>162</v>
      </c>
      <c r="R335" s="10" t="s">
        <v>74</v>
      </c>
      <c r="S335" s="11">
        <v>79.0</v>
      </c>
      <c r="T335" s="11">
        <v>2.49</v>
      </c>
      <c r="U335" s="11" t="s">
        <v>51</v>
      </c>
      <c r="V335" s="10" t="s">
        <v>52</v>
      </c>
      <c r="W335" s="10" t="s">
        <v>3593</v>
      </c>
      <c r="X335" s="10" t="s">
        <v>3594</v>
      </c>
      <c r="Y335" s="10" t="s">
        <v>3595</v>
      </c>
      <c r="Z335" s="10" t="s">
        <v>50</v>
      </c>
      <c r="AA335" s="10" t="s">
        <v>50</v>
      </c>
      <c r="AB335" s="10" t="s">
        <v>3593</v>
      </c>
      <c r="AC335" s="10" t="s">
        <v>3596</v>
      </c>
      <c r="AD335" s="10" t="s">
        <v>3597</v>
      </c>
      <c r="AE335" s="10" t="s">
        <v>833</v>
      </c>
      <c r="AF335" s="10" t="s">
        <v>58</v>
      </c>
      <c r="AG335" s="10" t="s">
        <v>3598</v>
      </c>
      <c r="AH335" s="10" t="s">
        <v>60</v>
      </c>
      <c r="AI335" s="10" t="s">
        <v>61</v>
      </c>
      <c r="AJ335" s="10" t="s">
        <v>3301</v>
      </c>
      <c r="AK335" s="10" t="s">
        <v>3599</v>
      </c>
      <c r="AL335" s="10" t="s">
        <v>64</v>
      </c>
      <c r="AM335" s="10" t="s">
        <v>3600</v>
      </c>
      <c r="AN335" s="10" t="s">
        <v>50</v>
      </c>
      <c r="AO335" s="11" t="s">
        <v>50</v>
      </c>
      <c r="AP335" s="10" t="s">
        <v>50</v>
      </c>
      <c r="AQ335" s="10" t="s">
        <v>50</v>
      </c>
      <c r="AR335" s="10" t="s">
        <v>50</v>
      </c>
      <c r="AS335" s="10" t="s">
        <v>50</v>
      </c>
      <c r="AT335" s="10" t="s">
        <v>50</v>
      </c>
      <c r="AU335" s="10" t="s">
        <v>50</v>
      </c>
      <c r="AV335" s="11"/>
      <c r="AW335" s="10" t="s">
        <v>66</v>
      </c>
      <c r="AX335" s="10"/>
      <c r="AY335" s="10" t="s">
        <v>66</v>
      </c>
    </row>
    <row r="336" ht="22.5" hidden="1" customHeight="1">
      <c r="A336" s="9" t="s">
        <v>3601</v>
      </c>
      <c r="B336" s="10" t="s">
        <v>3602</v>
      </c>
      <c r="C336" s="10" t="s">
        <v>43</v>
      </c>
      <c r="D336" s="10" t="s">
        <v>290</v>
      </c>
      <c r="E336" s="10" t="s">
        <v>66</v>
      </c>
      <c r="F336" s="11">
        <v>1.0</v>
      </c>
      <c r="G336" s="11">
        <v>80.0</v>
      </c>
      <c r="H336" s="11"/>
      <c r="I336" s="11">
        <v>-13.6</v>
      </c>
      <c r="J336" s="11">
        <v>-19.95</v>
      </c>
      <c r="K336" s="11"/>
      <c r="L336" s="11">
        <v>50.45</v>
      </c>
      <c r="M336" s="10" t="s">
        <v>46</v>
      </c>
      <c r="N336" s="10" t="s">
        <v>45</v>
      </c>
      <c r="O336" s="10" t="s">
        <v>143</v>
      </c>
      <c r="P336" s="10" t="s">
        <v>144</v>
      </c>
      <c r="Q336" s="10" t="s">
        <v>145</v>
      </c>
      <c r="R336" s="10" t="s">
        <v>74</v>
      </c>
      <c r="S336" s="11">
        <v>80.0</v>
      </c>
      <c r="T336" s="11">
        <v>33.38</v>
      </c>
      <c r="U336" s="11" t="s">
        <v>51</v>
      </c>
      <c r="V336" s="10" t="s">
        <v>52</v>
      </c>
      <c r="W336" s="10" t="s">
        <v>3603</v>
      </c>
      <c r="X336" s="10" t="s">
        <v>3604</v>
      </c>
      <c r="Y336" s="10" t="s">
        <v>3605</v>
      </c>
      <c r="Z336" s="10" t="s">
        <v>50</v>
      </c>
      <c r="AA336" s="10" t="s">
        <v>50</v>
      </c>
      <c r="AB336" s="10" t="s">
        <v>3603</v>
      </c>
      <c r="AC336" s="10" t="s">
        <v>3606</v>
      </c>
      <c r="AD336" s="10" t="s">
        <v>3607</v>
      </c>
      <c r="AE336" s="10" t="s">
        <v>3608</v>
      </c>
      <c r="AF336" s="10" t="s">
        <v>151</v>
      </c>
      <c r="AG336" s="10" t="s">
        <v>3609</v>
      </c>
      <c r="AH336" s="10" t="s">
        <v>60</v>
      </c>
      <c r="AI336" s="10" t="s">
        <v>61</v>
      </c>
      <c r="AJ336" s="10" t="s">
        <v>3610</v>
      </c>
      <c r="AK336" s="10" t="s">
        <v>3611</v>
      </c>
      <c r="AL336" s="10" t="s">
        <v>64</v>
      </c>
      <c r="AM336" s="10" t="s">
        <v>3612</v>
      </c>
      <c r="AN336" s="10" t="s">
        <v>50</v>
      </c>
      <c r="AO336" s="11" t="s">
        <v>50</v>
      </c>
      <c r="AP336" s="10" t="s">
        <v>50</v>
      </c>
      <c r="AQ336" s="10" t="s">
        <v>50</v>
      </c>
      <c r="AR336" s="10" t="s">
        <v>50</v>
      </c>
      <c r="AS336" s="10" t="s">
        <v>50</v>
      </c>
      <c r="AT336" s="10" t="s">
        <v>50</v>
      </c>
      <c r="AU336" s="10" t="s">
        <v>50</v>
      </c>
      <c r="AV336" s="11"/>
      <c r="AW336" s="10" t="s">
        <v>66</v>
      </c>
      <c r="AX336" s="10"/>
      <c r="AY336" s="10" t="s">
        <v>66</v>
      </c>
    </row>
    <row r="337" ht="22.5" hidden="1" customHeight="1">
      <c r="A337" s="9" t="s">
        <v>3613</v>
      </c>
      <c r="B337" s="10" t="s">
        <v>3614</v>
      </c>
      <c r="C337" s="10" t="s">
        <v>43</v>
      </c>
      <c r="D337" s="10" t="s">
        <v>1262</v>
      </c>
      <c r="E337" s="10" t="s">
        <v>66</v>
      </c>
      <c r="F337" s="11">
        <v>1.0</v>
      </c>
      <c r="G337" s="11">
        <v>84.0</v>
      </c>
      <c r="H337" s="11"/>
      <c r="I337" s="11">
        <v>-14.28</v>
      </c>
      <c r="J337" s="11">
        <v>-20.45</v>
      </c>
      <c r="K337" s="11"/>
      <c r="L337" s="11">
        <v>49.27</v>
      </c>
      <c r="M337" s="10" t="s">
        <v>46</v>
      </c>
      <c r="N337" s="10" t="s">
        <v>50</v>
      </c>
      <c r="O337" s="10" t="s">
        <v>265</v>
      </c>
      <c r="P337" s="10" t="s">
        <v>266</v>
      </c>
      <c r="Q337" s="10" t="s">
        <v>267</v>
      </c>
      <c r="R337" s="10" t="s">
        <v>74</v>
      </c>
      <c r="S337" s="11">
        <v>84.0</v>
      </c>
      <c r="T337" s="11">
        <v>26.22</v>
      </c>
      <c r="U337" s="11" t="s">
        <v>51</v>
      </c>
      <c r="V337" s="10" t="s">
        <v>52</v>
      </c>
      <c r="W337" s="10" t="s">
        <v>3615</v>
      </c>
      <c r="X337" s="10" t="s">
        <v>3616</v>
      </c>
      <c r="Y337" s="10" t="s">
        <v>3617</v>
      </c>
      <c r="Z337" s="10" t="s">
        <v>50</v>
      </c>
      <c r="AA337" s="10" t="s">
        <v>50</v>
      </c>
      <c r="AB337" s="10" t="s">
        <v>3615</v>
      </c>
      <c r="AC337" s="10" t="s">
        <v>3618</v>
      </c>
      <c r="AD337" s="10" t="s">
        <v>3619</v>
      </c>
      <c r="AE337" s="10" t="s">
        <v>1010</v>
      </c>
      <c r="AF337" s="10" t="s">
        <v>58</v>
      </c>
      <c r="AG337" s="10" t="s">
        <v>3620</v>
      </c>
      <c r="AH337" s="10" t="s">
        <v>60</v>
      </c>
      <c r="AI337" s="10" t="s">
        <v>61</v>
      </c>
      <c r="AJ337" s="10" t="s">
        <v>3311</v>
      </c>
      <c r="AK337" s="10" t="s">
        <v>3621</v>
      </c>
      <c r="AL337" s="10" t="s">
        <v>64</v>
      </c>
      <c r="AM337" s="10" t="s">
        <v>3622</v>
      </c>
      <c r="AN337" s="10" t="s">
        <v>50</v>
      </c>
      <c r="AO337" s="11" t="s">
        <v>50</v>
      </c>
      <c r="AP337" s="10" t="s">
        <v>50</v>
      </c>
      <c r="AQ337" s="10" t="s">
        <v>50</v>
      </c>
      <c r="AR337" s="10" t="s">
        <v>50</v>
      </c>
      <c r="AS337" s="10" t="s">
        <v>50</v>
      </c>
      <c r="AT337" s="10" t="s">
        <v>50</v>
      </c>
      <c r="AU337" s="10" t="s">
        <v>50</v>
      </c>
      <c r="AV337" s="11"/>
      <c r="AW337" s="10" t="s">
        <v>66</v>
      </c>
      <c r="AX337" s="10"/>
      <c r="AY337" s="10" t="s">
        <v>66</v>
      </c>
    </row>
    <row r="338" ht="22.5" hidden="1" customHeight="1">
      <c r="A338" s="9" t="s">
        <v>3623</v>
      </c>
      <c r="B338" s="10" t="s">
        <v>3624</v>
      </c>
      <c r="C338" s="10" t="s">
        <v>43</v>
      </c>
      <c r="D338" s="10" t="s">
        <v>1262</v>
      </c>
      <c r="E338" s="10" t="s">
        <v>66</v>
      </c>
      <c r="F338" s="11">
        <v>1.0</v>
      </c>
      <c r="G338" s="11">
        <v>80.0</v>
      </c>
      <c r="H338" s="11"/>
      <c r="I338" s="11">
        <v>-13.6</v>
      </c>
      <c r="J338" s="11">
        <v>-19.95</v>
      </c>
      <c r="K338" s="11"/>
      <c r="L338" s="11">
        <v>50.45</v>
      </c>
      <c r="M338" s="10" t="s">
        <v>46</v>
      </c>
      <c r="N338" s="10" t="s">
        <v>45</v>
      </c>
      <c r="O338" s="10" t="s">
        <v>143</v>
      </c>
      <c r="P338" s="10" t="s">
        <v>144</v>
      </c>
      <c r="Q338" s="10" t="s">
        <v>145</v>
      </c>
      <c r="R338" s="10" t="s">
        <v>74</v>
      </c>
      <c r="S338" s="11">
        <v>80.0</v>
      </c>
      <c r="T338" s="11">
        <v>33.38</v>
      </c>
      <c r="U338" s="11" t="s">
        <v>51</v>
      </c>
      <c r="V338" s="10" t="s">
        <v>52</v>
      </c>
      <c r="W338" s="10" t="s">
        <v>3625</v>
      </c>
      <c r="X338" s="10" t="s">
        <v>3626</v>
      </c>
      <c r="Y338" s="10" t="s">
        <v>3627</v>
      </c>
      <c r="Z338" s="10" t="s">
        <v>50</v>
      </c>
      <c r="AA338" s="10" t="s">
        <v>50</v>
      </c>
      <c r="AB338" s="10" t="s">
        <v>3625</v>
      </c>
      <c r="AC338" s="10" t="s">
        <v>3628</v>
      </c>
      <c r="AD338" s="10" t="s">
        <v>3629</v>
      </c>
      <c r="AE338" s="10" t="s">
        <v>3630</v>
      </c>
      <c r="AF338" s="10" t="s">
        <v>323</v>
      </c>
      <c r="AG338" s="10" t="s">
        <v>3631</v>
      </c>
      <c r="AH338" s="10" t="s">
        <v>60</v>
      </c>
      <c r="AI338" s="10" t="s">
        <v>61</v>
      </c>
      <c r="AJ338" s="10" t="s">
        <v>3373</v>
      </c>
      <c r="AK338" s="10" t="s">
        <v>3632</v>
      </c>
      <c r="AL338" s="10" t="s">
        <v>64</v>
      </c>
      <c r="AM338" s="10" t="s">
        <v>3633</v>
      </c>
      <c r="AN338" s="10" t="s">
        <v>50</v>
      </c>
      <c r="AO338" s="11" t="s">
        <v>50</v>
      </c>
      <c r="AP338" s="10" t="s">
        <v>50</v>
      </c>
      <c r="AQ338" s="10" t="s">
        <v>50</v>
      </c>
      <c r="AR338" s="10" t="s">
        <v>50</v>
      </c>
      <c r="AS338" s="10" t="s">
        <v>50</v>
      </c>
      <c r="AT338" s="10" t="s">
        <v>50</v>
      </c>
      <c r="AU338" s="10" t="s">
        <v>50</v>
      </c>
      <c r="AV338" s="11"/>
      <c r="AW338" s="10" t="s">
        <v>66</v>
      </c>
      <c r="AX338" s="10"/>
      <c r="AY338" s="10" t="s">
        <v>66</v>
      </c>
    </row>
    <row r="339" ht="22.5" hidden="1" customHeight="1">
      <c r="A339" s="9" t="s">
        <v>3634</v>
      </c>
      <c r="B339" s="10" t="s">
        <v>3635</v>
      </c>
      <c r="C339" s="10" t="s">
        <v>43</v>
      </c>
      <c r="D339" s="10" t="s">
        <v>1262</v>
      </c>
      <c r="E339" s="10" t="s">
        <v>45</v>
      </c>
      <c r="F339" s="11">
        <v>3.0</v>
      </c>
      <c r="G339" s="11">
        <v>131.1</v>
      </c>
      <c r="H339" s="11"/>
      <c r="I339" s="11">
        <v>-40.29</v>
      </c>
      <c r="J339" s="11"/>
      <c r="K339" s="11"/>
      <c r="L339" s="11">
        <v>98.67</v>
      </c>
      <c r="M339" s="10" t="s">
        <v>46</v>
      </c>
      <c r="N339" s="10" t="s">
        <v>50</v>
      </c>
      <c r="O339" s="10" t="s">
        <v>176</v>
      </c>
      <c r="P339" s="10" t="s">
        <v>177</v>
      </c>
      <c r="Q339" s="10" t="s">
        <v>178</v>
      </c>
      <c r="R339" s="10" t="s">
        <v>74</v>
      </c>
      <c r="S339" s="11">
        <v>43.7</v>
      </c>
      <c r="T339" s="11">
        <f>3*22.58</f>
        <v>67.74</v>
      </c>
      <c r="U339" s="11" t="s">
        <v>51</v>
      </c>
      <c r="V339" s="10" t="s">
        <v>52</v>
      </c>
      <c r="W339" s="10" t="s">
        <v>3636</v>
      </c>
      <c r="X339" s="10" t="s">
        <v>3637</v>
      </c>
      <c r="Y339" s="10" t="s">
        <v>3638</v>
      </c>
      <c r="Z339" s="10" t="s">
        <v>50</v>
      </c>
      <c r="AA339" s="10" t="s">
        <v>50</v>
      </c>
      <c r="AB339" s="10" t="s">
        <v>3636</v>
      </c>
      <c r="AC339" s="10" t="s">
        <v>3639</v>
      </c>
      <c r="AD339" s="10" t="s">
        <v>3640</v>
      </c>
      <c r="AE339" s="10" t="s">
        <v>2988</v>
      </c>
      <c r="AF339" s="10" t="s">
        <v>58</v>
      </c>
      <c r="AG339" s="10" t="s">
        <v>3641</v>
      </c>
      <c r="AH339" s="10" t="s">
        <v>60</v>
      </c>
      <c r="AI339" s="10" t="s">
        <v>61</v>
      </c>
      <c r="AJ339" s="10" t="s">
        <v>203</v>
      </c>
      <c r="AK339" s="10" t="s">
        <v>3642</v>
      </c>
      <c r="AL339" s="10" t="s">
        <v>64</v>
      </c>
      <c r="AM339" s="10" t="s">
        <v>3643</v>
      </c>
      <c r="AN339" s="10" t="s">
        <v>50</v>
      </c>
      <c r="AO339" s="11" t="s">
        <v>50</v>
      </c>
      <c r="AP339" s="10" t="s">
        <v>50</v>
      </c>
      <c r="AQ339" s="10" t="s">
        <v>50</v>
      </c>
      <c r="AR339" s="10" t="s">
        <v>50</v>
      </c>
      <c r="AS339" s="10" t="s">
        <v>50</v>
      </c>
      <c r="AT339" s="10" t="s">
        <v>50</v>
      </c>
      <c r="AU339" s="10" t="s">
        <v>50</v>
      </c>
      <c r="AV339" s="11"/>
      <c r="AW339" s="10" t="s">
        <v>66</v>
      </c>
      <c r="AX339" s="10"/>
      <c r="AY339" s="10" t="s">
        <v>66</v>
      </c>
    </row>
    <row r="340" ht="22.5" hidden="1" customHeight="1">
      <c r="A340" s="9" t="s">
        <v>3644</v>
      </c>
      <c r="B340" s="10" t="s">
        <v>3645</v>
      </c>
      <c r="C340" s="10" t="s">
        <v>43</v>
      </c>
      <c r="D340" s="10" t="s">
        <v>1398</v>
      </c>
      <c r="E340" s="10" t="s">
        <v>66</v>
      </c>
      <c r="F340" s="11">
        <v>1.0</v>
      </c>
      <c r="G340" s="11">
        <v>80.0</v>
      </c>
      <c r="H340" s="11"/>
      <c r="I340" s="11">
        <v>-13.6</v>
      </c>
      <c r="J340" s="11">
        <v>-19.95</v>
      </c>
      <c r="K340" s="11"/>
      <c r="L340" s="11">
        <v>50.45</v>
      </c>
      <c r="M340" s="10" t="s">
        <v>46</v>
      </c>
      <c r="N340" s="10" t="s">
        <v>50</v>
      </c>
      <c r="O340" s="10" t="s">
        <v>143</v>
      </c>
      <c r="P340" s="10" t="s">
        <v>144</v>
      </c>
      <c r="Q340" s="10" t="s">
        <v>145</v>
      </c>
      <c r="R340" s="10" t="s">
        <v>74</v>
      </c>
      <c r="S340" s="11">
        <v>80.0</v>
      </c>
      <c r="T340" s="11">
        <v>33.38</v>
      </c>
      <c r="U340" s="11" t="s">
        <v>51</v>
      </c>
      <c r="V340" s="10" t="s">
        <v>52</v>
      </c>
      <c r="W340" s="10" t="s">
        <v>3646</v>
      </c>
      <c r="X340" s="10" t="s">
        <v>3647</v>
      </c>
      <c r="Y340" s="10" t="s">
        <v>3648</v>
      </c>
      <c r="Z340" s="10" t="s">
        <v>50</v>
      </c>
      <c r="AA340" s="10" t="s">
        <v>50</v>
      </c>
      <c r="AB340" s="10" t="s">
        <v>3646</v>
      </c>
      <c r="AC340" s="10" t="s">
        <v>3649</v>
      </c>
      <c r="AD340" s="10" t="s">
        <v>3650</v>
      </c>
      <c r="AE340" s="10" t="s">
        <v>3651</v>
      </c>
      <c r="AF340" s="10" t="s">
        <v>201</v>
      </c>
      <c r="AG340" s="10" t="s">
        <v>3652</v>
      </c>
      <c r="AH340" s="10" t="s">
        <v>60</v>
      </c>
      <c r="AI340" s="10" t="s">
        <v>61</v>
      </c>
      <c r="AJ340" s="10" t="s">
        <v>3653</v>
      </c>
      <c r="AK340" s="10" t="s">
        <v>3654</v>
      </c>
      <c r="AL340" s="10" t="s">
        <v>64</v>
      </c>
      <c r="AM340" s="10" t="s">
        <v>3655</v>
      </c>
      <c r="AN340" s="10" t="s">
        <v>50</v>
      </c>
      <c r="AO340" s="11" t="s">
        <v>50</v>
      </c>
      <c r="AP340" s="10" t="s">
        <v>50</v>
      </c>
      <c r="AQ340" s="10" t="s">
        <v>50</v>
      </c>
      <c r="AR340" s="10" t="s">
        <v>50</v>
      </c>
      <c r="AS340" s="10" t="s">
        <v>50</v>
      </c>
      <c r="AT340" s="10" t="s">
        <v>50</v>
      </c>
      <c r="AU340" s="10" t="s">
        <v>50</v>
      </c>
      <c r="AV340" s="11"/>
      <c r="AW340" s="10" t="s">
        <v>66</v>
      </c>
      <c r="AX340" s="10"/>
      <c r="AY340" s="10" t="s">
        <v>66</v>
      </c>
    </row>
    <row r="341" ht="22.5" hidden="1" customHeight="1">
      <c r="A341" s="9" t="s">
        <v>3656</v>
      </c>
      <c r="B341" s="10" t="s">
        <v>3657</v>
      </c>
      <c r="C341" s="10" t="s">
        <v>69</v>
      </c>
      <c r="D341" s="10" t="s">
        <v>402</v>
      </c>
      <c r="E341" s="10" t="s">
        <v>45</v>
      </c>
      <c r="F341" s="11">
        <v>2.0</v>
      </c>
      <c r="G341" s="11">
        <v>240.0</v>
      </c>
      <c r="H341" s="11"/>
      <c r="I341" s="11">
        <v>-40.8</v>
      </c>
      <c r="J341" s="11">
        <v>-39.9</v>
      </c>
      <c r="K341" s="11">
        <v>-173.7</v>
      </c>
      <c r="L341" s="11">
        <v>0.0</v>
      </c>
      <c r="M341" s="10" t="s">
        <v>46</v>
      </c>
      <c r="N341" s="10" t="s">
        <v>50</v>
      </c>
      <c r="O341" s="10" t="s">
        <v>85</v>
      </c>
      <c r="P341" s="10" t="s">
        <v>86</v>
      </c>
      <c r="Q341" s="10" t="s">
        <v>87</v>
      </c>
      <c r="R341" s="10" t="s">
        <v>74</v>
      </c>
      <c r="S341" s="11">
        <v>120.0</v>
      </c>
      <c r="T341" s="11"/>
      <c r="U341" s="11" t="s">
        <v>51</v>
      </c>
      <c r="V341" s="10" t="s">
        <v>52</v>
      </c>
      <c r="W341" s="10" t="s">
        <v>3658</v>
      </c>
      <c r="X341" s="10" t="s">
        <v>3659</v>
      </c>
      <c r="Y341" s="10" t="s">
        <v>3660</v>
      </c>
      <c r="Z341" s="10" t="s">
        <v>50</v>
      </c>
      <c r="AA341" s="10" t="s">
        <v>50</v>
      </c>
      <c r="AB341" s="10" t="s">
        <v>3658</v>
      </c>
      <c r="AC341" s="10" t="s">
        <v>3661</v>
      </c>
      <c r="AD341" s="10" t="s">
        <v>50</v>
      </c>
      <c r="AE341" s="10" t="s">
        <v>3359</v>
      </c>
      <c r="AF341" s="10" t="s">
        <v>185</v>
      </c>
      <c r="AG341" s="10" t="s">
        <v>3662</v>
      </c>
      <c r="AH341" s="10" t="s">
        <v>60</v>
      </c>
      <c r="AI341" s="10" t="s">
        <v>61</v>
      </c>
      <c r="AJ341" s="10" t="s">
        <v>50</v>
      </c>
      <c r="AK341" s="10" t="s">
        <v>50</v>
      </c>
      <c r="AL341" s="10" t="s">
        <v>64</v>
      </c>
      <c r="AM341" s="10" t="s">
        <v>3663</v>
      </c>
      <c r="AN341" s="10" t="s">
        <v>50</v>
      </c>
      <c r="AO341" s="11" t="s">
        <v>50</v>
      </c>
      <c r="AP341" s="10" t="s">
        <v>50</v>
      </c>
      <c r="AQ341" s="10" t="s">
        <v>50</v>
      </c>
      <c r="AR341" s="10" t="s">
        <v>50</v>
      </c>
      <c r="AS341" s="10" t="s">
        <v>50</v>
      </c>
      <c r="AT341" s="10" t="s">
        <v>50</v>
      </c>
      <c r="AU341" s="10" t="s">
        <v>50</v>
      </c>
      <c r="AV341" s="11"/>
      <c r="AW341" s="10" t="s">
        <v>66</v>
      </c>
      <c r="AX341" s="10"/>
      <c r="AY341" s="10" t="s">
        <v>66</v>
      </c>
    </row>
    <row r="342" ht="22.5" hidden="1" customHeight="1">
      <c r="A342" s="9" t="s">
        <v>3664</v>
      </c>
      <c r="B342" s="10" t="s">
        <v>3665</v>
      </c>
      <c r="C342" s="10" t="s">
        <v>43</v>
      </c>
      <c r="D342" s="10" t="s">
        <v>1262</v>
      </c>
      <c r="E342" s="10" t="s">
        <v>66</v>
      </c>
      <c r="F342" s="11">
        <v>1.0</v>
      </c>
      <c r="G342" s="11">
        <v>79.0</v>
      </c>
      <c r="H342" s="11"/>
      <c r="I342" s="11">
        <v>-13.43</v>
      </c>
      <c r="J342" s="11">
        <v>-19.95</v>
      </c>
      <c r="K342" s="11"/>
      <c r="L342" s="11">
        <v>45.62</v>
      </c>
      <c r="M342" s="10" t="s">
        <v>46</v>
      </c>
      <c r="N342" s="10" t="s">
        <v>50</v>
      </c>
      <c r="O342" s="10" t="s">
        <v>766</v>
      </c>
      <c r="P342" s="10" t="s">
        <v>767</v>
      </c>
      <c r="Q342" s="10" t="s">
        <v>768</v>
      </c>
      <c r="R342" s="10" t="s">
        <v>74</v>
      </c>
      <c r="S342" s="11">
        <v>79.0</v>
      </c>
      <c r="T342" s="11">
        <v>13.62</v>
      </c>
      <c r="U342" s="11" t="s">
        <v>51</v>
      </c>
      <c r="V342" s="10" t="s">
        <v>52</v>
      </c>
      <c r="W342" s="10" t="s">
        <v>3666</v>
      </c>
      <c r="X342" s="10" t="s">
        <v>3667</v>
      </c>
      <c r="Y342" s="10" t="s">
        <v>3668</v>
      </c>
      <c r="Z342" s="10" t="s">
        <v>50</v>
      </c>
      <c r="AA342" s="10" t="s">
        <v>50</v>
      </c>
      <c r="AB342" s="10" t="s">
        <v>3666</v>
      </c>
      <c r="AC342" s="10" t="s">
        <v>3669</v>
      </c>
      <c r="AD342" s="10" t="s">
        <v>3670</v>
      </c>
      <c r="AE342" s="10" t="s">
        <v>3671</v>
      </c>
      <c r="AF342" s="10" t="s">
        <v>58</v>
      </c>
      <c r="AG342" s="10" t="s">
        <v>3672</v>
      </c>
      <c r="AH342" s="10" t="s">
        <v>60</v>
      </c>
      <c r="AI342" s="10" t="s">
        <v>61</v>
      </c>
      <c r="AJ342" s="10" t="s">
        <v>3463</v>
      </c>
      <c r="AK342" s="10" t="s">
        <v>3673</v>
      </c>
      <c r="AL342" s="10" t="s">
        <v>64</v>
      </c>
      <c r="AM342" s="10" t="s">
        <v>3674</v>
      </c>
      <c r="AN342" s="10" t="s">
        <v>3675</v>
      </c>
      <c r="AO342" s="11" t="s">
        <v>50</v>
      </c>
      <c r="AP342" s="10" t="s">
        <v>50</v>
      </c>
      <c r="AQ342" s="10" t="s">
        <v>50</v>
      </c>
      <c r="AR342" s="10" t="s">
        <v>50</v>
      </c>
      <c r="AS342" s="10" t="s">
        <v>50</v>
      </c>
      <c r="AT342" s="10" t="s">
        <v>50</v>
      </c>
      <c r="AU342" s="10" t="s">
        <v>50</v>
      </c>
      <c r="AV342" s="11"/>
      <c r="AW342" s="10" t="s">
        <v>66</v>
      </c>
      <c r="AX342" s="10"/>
      <c r="AY342" s="10" t="s">
        <v>66</v>
      </c>
    </row>
    <row r="343" ht="22.5" hidden="1" customHeight="1">
      <c r="A343" s="9" t="s">
        <v>3676</v>
      </c>
      <c r="B343" s="10" t="s">
        <v>3677</v>
      </c>
      <c r="C343" s="10" t="s">
        <v>43</v>
      </c>
      <c r="D343" s="10" t="s">
        <v>290</v>
      </c>
      <c r="E343" s="10" t="s">
        <v>45</v>
      </c>
      <c r="F343" s="11">
        <v>2.0</v>
      </c>
      <c r="G343" s="11">
        <v>87.4</v>
      </c>
      <c r="H343" s="11"/>
      <c r="I343" s="11">
        <v>-26.86</v>
      </c>
      <c r="J343" s="11"/>
      <c r="K343" s="11"/>
      <c r="L343" s="11">
        <v>65.78</v>
      </c>
      <c r="M343" s="10" t="s">
        <v>46</v>
      </c>
      <c r="N343" s="10" t="s">
        <v>45</v>
      </c>
      <c r="O343" s="10" t="s">
        <v>176</v>
      </c>
      <c r="P343" s="10" t="s">
        <v>177</v>
      </c>
      <c r="Q343" s="10" t="s">
        <v>178</v>
      </c>
      <c r="R343" s="10" t="s">
        <v>74</v>
      </c>
      <c r="S343" s="11">
        <v>43.7</v>
      </c>
      <c r="T343" s="11">
        <f>2*22.58</f>
        <v>45.16</v>
      </c>
      <c r="U343" s="11" t="s">
        <v>51</v>
      </c>
      <c r="V343" s="10" t="s">
        <v>52</v>
      </c>
      <c r="W343" s="10" t="s">
        <v>3678</v>
      </c>
      <c r="X343" s="10" t="s">
        <v>3679</v>
      </c>
      <c r="Y343" s="10" t="s">
        <v>3680</v>
      </c>
      <c r="Z343" s="10" t="s">
        <v>50</v>
      </c>
      <c r="AA343" s="10" t="s">
        <v>50</v>
      </c>
      <c r="AB343" s="10" t="s">
        <v>3678</v>
      </c>
      <c r="AC343" s="10" t="s">
        <v>3681</v>
      </c>
      <c r="AD343" s="10" t="s">
        <v>3682</v>
      </c>
      <c r="AE343" s="10" t="s">
        <v>2860</v>
      </c>
      <c r="AF343" s="10" t="s">
        <v>151</v>
      </c>
      <c r="AG343" s="10" t="s">
        <v>3683</v>
      </c>
      <c r="AH343" s="10" t="s">
        <v>60</v>
      </c>
      <c r="AI343" s="10" t="s">
        <v>61</v>
      </c>
      <c r="AJ343" s="10" t="s">
        <v>3684</v>
      </c>
      <c r="AK343" s="10" t="s">
        <v>3685</v>
      </c>
      <c r="AL343" s="10" t="s">
        <v>64</v>
      </c>
      <c r="AM343" s="10" t="s">
        <v>3686</v>
      </c>
      <c r="AN343" s="10" t="s">
        <v>50</v>
      </c>
      <c r="AO343" s="11" t="s">
        <v>50</v>
      </c>
      <c r="AP343" s="10" t="s">
        <v>50</v>
      </c>
      <c r="AQ343" s="10" t="s">
        <v>50</v>
      </c>
      <c r="AR343" s="10" t="s">
        <v>50</v>
      </c>
      <c r="AS343" s="10" t="s">
        <v>50</v>
      </c>
      <c r="AT343" s="10" t="s">
        <v>50</v>
      </c>
      <c r="AU343" s="10" t="s">
        <v>50</v>
      </c>
      <c r="AV343" s="11"/>
      <c r="AW343" s="10" t="s">
        <v>66</v>
      </c>
      <c r="AX343" s="10"/>
      <c r="AY343" s="10" t="s">
        <v>66</v>
      </c>
    </row>
    <row r="344" ht="22.5" hidden="1" customHeight="1">
      <c r="A344" s="9" t="s">
        <v>3687</v>
      </c>
      <c r="B344" s="10" t="s">
        <v>3688</v>
      </c>
      <c r="C344" s="10" t="s">
        <v>43</v>
      </c>
      <c r="D344" s="10" t="s">
        <v>290</v>
      </c>
      <c r="E344" s="10" t="s">
        <v>66</v>
      </c>
      <c r="F344" s="11">
        <v>1.0</v>
      </c>
      <c r="G344" s="11">
        <v>120.0</v>
      </c>
      <c r="H344" s="11"/>
      <c r="I344" s="11">
        <v>-20.4</v>
      </c>
      <c r="J344" s="11">
        <v>-19.95</v>
      </c>
      <c r="K344" s="11"/>
      <c r="L344" s="11">
        <v>86.85</v>
      </c>
      <c r="M344" s="10" t="s">
        <v>46</v>
      </c>
      <c r="N344" s="10" t="s">
        <v>45</v>
      </c>
      <c r="O344" s="10" t="s">
        <v>85</v>
      </c>
      <c r="P344" s="10" t="s">
        <v>86</v>
      </c>
      <c r="Q344" s="10" t="s">
        <v>87</v>
      </c>
      <c r="R344" s="10" t="s">
        <v>74</v>
      </c>
      <c r="S344" s="11">
        <v>120.0</v>
      </c>
      <c r="T344" s="11">
        <v>65.78</v>
      </c>
      <c r="U344" s="11" t="s">
        <v>51</v>
      </c>
      <c r="V344" s="10" t="s">
        <v>52</v>
      </c>
      <c r="W344" s="10" t="s">
        <v>3689</v>
      </c>
      <c r="X344" s="10" t="s">
        <v>3690</v>
      </c>
      <c r="Y344" s="10" t="s">
        <v>3691</v>
      </c>
      <c r="Z344" s="10" t="s">
        <v>50</v>
      </c>
      <c r="AA344" s="10" t="s">
        <v>50</v>
      </c>
      <c r="AB344" s="10" t="s">
        <v>3689</v>
      </c>
      <c r="AC344" s="10" t="s">
        <v>3692</v>
      </c>
      <c r="AD344" s="10" t="s">
        <v>3693</v>
      </c>
      <c r="AE344" s="10" t="s">
        <v>3694</v>
      </c>
      <c r="AF344" s="10" t="s">
        <v>151</v>
      </c>
      <c r="AG344" s="10" t="s">
        <v>3695</v>
      </c>
      <c r="AH344" s="10" t="s">
        <v>60</v>
      </c>
      <c r="AI344" s="10" t="s">
        <v>61</v>
      </c>
      <c r="AJ344" s="10" t="s">
        <v>3696</v>
      </c>
      <c r="AK344" s="10" t="s">
        <v>3697</v>
      </c>
      <c r="AL344" s="10" t="s">
        <v>64</v>
      </c>
      <c r="AM344" s="10" t="s">
        <v>3698</v>
      </c>
      <c r="AN344" s="10" t="s">
        <v>50</v>
      </c>
      <c r="AO344" s="11" t="s">
        <v>50</v>
      </c>
      <c r="AP344" s="10" t="s">
        <v>50</v>
      </c>
      <c r="AQ344" s="10" t="s">
        <v>50</v>
      </c>
      <c r="AR344" s="10" t="s">
        <v>50</v>
      </c>
      <c r="AS344" s="10" t="s">
        <v>50</v>
      </c>
      <c r="AT344" s="10" t="s">
        <v>50</v>
      </c>
      <c r="AU344" s="10" t="s">
        <v>50</v>
      </c>
      <c r="AV344" s="11"/>
      <c r="AW344" s="10" t="s">
        <v>66</v>
      </c>
      <c r="AX344" s="10"/>
      <c r="AY344" s="10" t="s">
        <v>66</v>
      </c>
    </row>
    <row r="345" ht="22.5" hidden="1" customHeight="1">
      <c r="A345" s="9" t="s">
        <v>3699</v>
      </c>
      <c r="B345" s="10" t="s">
        <v>3700</v>
      </c>
      <c r="C345" s="10" t="s">
        <v>43</v>
      </c>
      <c r="D345" s="10" t="s">
        <v>191</v>
      </c>
      <c r="E345" s="10" t="s">
        <v>66</v>
      </c>
      <c r="F345" s="11">
        <v>1.0</v>
      </c>
      <c r="G345" s="11">
        <v>80.0</v>
      </c>
      <c r="H345" s="11"/>
      <c r="I345" s="11">
        <v>-13.6</v>
      </c>
      <c r="J345" s="11">
        <v>-19.95</v>
      </c>
      <c r="K345" s="11"/>
      <c r="L345" s="11">
        <v>50.45</v>
      </c>
      <c r="M345" s="10" t="s">
        <v>46</v>
      </c>
      <c r="N345" s="10" t="s">
        <v>45</v>
      </c>
      <c r="O345" s="10" t="s">
        <v>143</v>
      </c>
      <c r="P345" s="10" t="s">
        <v>144</v>
      </c>
      <c r="Q345" s="10" t="s">
        <v>145</v>
      </c>
      <c r="R345" s="10" t="s">
        <v>74</v>
      </c>
      <c r="S345" s="11">
        <v>80.0</v>
      </c>
      <c r="T345" s="11">
        <v>33.38</v>
      </c>
      <c r="U345" s="11" t="s">
        <v>51</v>
      </c>
      <c r="V345" s="10" t="s">
        <v>52</v>
      </c>
      <c r="W345" s="10" t="s">
        <v>3701</v>
      </c>
      <c r="X345" s="10" t="s">
        <v>3702</v>
      </c>
      <c r="Y345" s="10" t="s">
        <v>3703</v>
      </c>
      <c r="Z345" s="10" t="s">
        <v>50</v>
      </c>
      <c r="AA345" s="10" t="s">
        <v>50</v>
      </c>
      <c r="AB345" s="10" t="s">
        <v>3701</v>
      </c>
      <c r="AC345" s="10" t="s">
        <v>3704</v>
      </c>
      <c r="AD345" s="10" t="s">
        <v>3705</v>
      </c>
      <c r="AE345" s="10" t="s">
        <v>2443</v>
      </c>
      <c r="AF345" s="10" t="s">
        <v>58</v>
      </c>
      <c r="AG345" s="10" t="s">
        <v>3706</v>
      </c>
      <c r="AH345" s="10" t="s">
        <v>60</v>
      </c>
      <c r="AI345" s="10" t="s">
        <v>61</v>
      </c>
      <c r="AJ345" s="10" t="s">
        <v>203</v>
      </c>
      <c r="AK345" s="10" t="s">
        <v>3707</v>
      </c>
      <c r="AL345" s="10" t="s">
        <v>64</v>
      </c>
      <c r="AM345" s="10" t="s">
        <v>3708</v>
      </c>
      <c r="AN345" s="10" t="s">
        <v>3709</v>
      </c>
      <c r="AO345" s="11" t="s">
        <v>50</v>
      </c>
      <c r="AP345" s="10" t="s">
        <v>50</v>
      </c>
      <c r="AQ345" s="10" t="s">
        <v>50</v>
      </c>
      <c r="AR345" s="10" t="s">
        <v>50</v>
      </c>
      <c r="AS345" s="10" t="s">
        <v>50</v>
      </c>
      <c r="AT345" s="10" t="s">
        <v>50</v>
      </c>
      <c r="AU345" s="10" t="s">
        <v>50</v>
      </c>
      <c r="AV345" s="11"/>
      <c r="AW345" s="10" t="s">
        <v>66</v>
      </c>
      <c r="AX345" s="10"/>
      <c r="AY345" s="10" t="s">
        <v>66</v>
      </c>
    </row>
    <row r="346" ht="22.5" hidden="1" customHeight="1">
      <c r="A346" s="9" t="s">
        <v>3710</v>
      </c>
      <c r="B346" s="10" t="s">
        <v>3711</v>
      </c>
      <c r="C346" s="10" t="s">
        <v>43</v>
      </c>
      <c r="D346" s="10" t="s">
        <v>1398</v>
      </c>
      <c r="E346" s="10" t="s">
        <v>66</v>
      </c>
      <c r="F346" s="11">
        <v>1.0</v>
      </c>
      <c r="G346" s="11">
        <v>120.0</v>
      </c>
      <c r="H346" s="11"/>
      <c r="I346" s="11">
        <v>-20.4</v>
      </c>
      <c r="J346" s="11">
        <v>-19.95</v>
      </c>
      <c r="K346" s="11"/>
      <c r="L346" s="11">
        <v>86.85</v>
      </c>
      <c r="M346" s="10" t="s">
        <v>46</v>
      </c>
      <c r="N346" s="10" t="s">
        <v>50</v>
      </c>
      <c r="O346" s="10" t="s">
        <v>85</v>
      </c>
      <c r="P346" s="10" t="s">
        <v>86</v>
      </c>
      <c r="Q346" s="10" t="s">
        <v>87</v>
      </c>
      <c r="R346" s="10" t="s">
        <v>74</v>
      </c>
      <c r="S346" s="11">
        <v>120.0</v>
      </c>
      <c r="T346" s="11">
        <v>65.78</v>
      </c>
      <c r="U346" s="11" t="s">
        <v>51</v>
      </c>
      <c r="V346" s="10" t="s">
        <v>52</v>
      </c>
      <c r="W346" s="10" t="s">
        <v>3712</v>
      </c>
      <c r="X346" s="10" t="s">
        <v>3713</v>
      </c>
      <c r="Y346" s="10" t="s">
        <v>3714</v>
      </c>
      <c r="Z346" s="10" t="s">
        <v>50</v>
      </c>
      <c r="AA346" s="10" t="s">
        <v>50</v>
      </c>
      <c r="AB346" s="10" t="s">
        <v>3712</v>
      </c>
      <c r="AC346" s="10" t="s">
        <v>3715</v>
      </c>
      <c r="AD346" s="10" t="s">
        <v>3716</v>
      </c>
      <c r="AE346" s="10" t="s">
        <v>3717</v>
      </c>
      <c r="AF346" s="10" t="s">
        <v>214</v>
      </c>
      <c r="AG346" s="10" t="s">
        <v>3718</v>
      </c>
      <c r="AH346" s="10" t="s">
        <v>60</v>
      </c>
      <c r="AI346" s="10" t="s">
        <v>61</v>
      </c>
      <c r="AJ346" s="10" t="s">
        <v>3347</v>
      </c>
      <c r="AK346" s="10" t="s">
        <v>3719</v>
      </c>
      <c r="AL346" s="10" t="s">
        <v>64</v>
      </c>
      <c r="AM346" s="10" t="s">
        <v>3720</v>
      </c>
      <c r="AN346" s="10" t="s">
        <v>50</v>
      </c>
      <c r="AO346" s="11" t="s">
        <v>50</v>
      </c>
      <c r="AP346" s="10" t="s">
        <v>50</v>
      </c>
      <c r="AQ346" s="10" t="s">
        <v>50</v>
      </c>
      <c r="AR346" s="10" t="s">
        <v>50</v>
      </c>
      <c r="AS346" s="10" t="s">
        <v>50</v>
      </c>
      <c r="AT346" s="10" t="s">
        <v>50</v>
      </c>
      <c r="AU346" s="10" t="s">
        <v>50</v>
      </c>
      <c r="AV346" s="11"/>
      <c r="AW346" s="10" t="s">
        <v>66</v>
      </c>
      <c r="AX346" s="10"/>
      <c r="AY346" s="10" t="s">
        <v>66</v>
      </c>
    </row>
    <row r="347" ht="22.5" hidden="1" customHeight="1">
      <c r="A347" s="9" t="s">
        <v>3721</v>
      </c>
      <c r="B347" s="10" t="s">
        <v>3722</v>
      </c>
      <c r="C347" s="10" t="s">
        <v>43</v>
      </c>
      <c r="D347" s="10" t="s">
        <v>290</v>
      </c>
      <c r="E347" s="10" t="s">
        <v>66</v>
      </c>
      <c r="F347" s="11">
        <v>1.0</v>
      </c>
      <c r="G347" s="11">
        <v>80.0</v>
      </c>
      <c r="H347" s="11"/>
      <c r="I347" s="11">
        <v>-13.6</v>
      </c>
      <c r="J347" s="11">
        <v>-19.95</v>
      </c>
      <c r="K347" s="11"/>
      <c r="L347" s="11">
        <v>50.45</v>
      </c>
      <c r="M347" s="10" t="s">
        <v>46</v>
      </c>
      <c r="N347" s="10" t="s">
        <v>50</v>
      </c>
      <c r="O347" s="10" t="s">
        <v>143</v>
      </c>
      <c r="P347" s="10" t="s">
        <v>144</v>
      </c>
      <c r="Q347" s="10" t="s">
        <v>145</v>
      </c>
      <c r="R347" s="10" t="s">
        <v>74</v>
      </c>
      <c r="S347" s="11">
        <v>80.0</v>
      </c>
      <c r="T347" s="11">
        <v>33.38</v>
      </c>
      <c r="U347" s="11" t="s">
        <v>51</v>
      </c>
      <c r="V347" s="10" t="s">
        <v>52</v>
      </c>
      <c r="W347" s="10" t="s">
        <v>3723</v>
      </c>
      <c r="X347" s="10" t="s">
        <v>3724</v>
      </c>
      <c r="Y347" s="10" t="s">
        <v>3725</v>
      </c>
      <c r="Z347" s="10" t="s">
        <v>50</v>
      </c>
      <c r="AA347" s="10" t="s">
        <v>50</v>
      </c>
      <c r="AB347" s="10" t="s">
        <v>3723</v>
      </c>
      <c r="AC347" s="10" t="s">
        <v>3726</v>
      </c>
      <c r="AD347" s="10" t="s">
        <v>3727</v>
      </c>
      <c r="AE347" s="10" t="s">
        <v>151</v>
      </c>
      <c r="AF347" s="10" t="s">
        <v>151</v>
      </c>
      <c r="AG347" s="10" t="s">
        <v>3728</v>
      </c>
      <c r="AH347" s="10" t="s">
        <v>60</v>
      </c>
      <c r="AI347" s="10" t="s">
        <v>61</v>
      </c>
      <c r="AJ347" s="10" t="s">
        <v>3684</v>
      </c>
      <c r="AK347" s="10" t="s">
        <v>3729</v>
      </c>
      <c r="AL347" s="10" t="s">
        <v>64</v>
      </c>
      <c r="AM347" s="10" t="s">
        <v>3730</v>
      </c>
      <c r="AN347" s="10" t="s">
        <v>50</v>
      </c>
      <c r="AO347" s="11" t="s">
        <v>50</v>
      </c>
      <c r="AP347" s="10" t="s">
        <v>50</v>
      </c>
      <c r="AQ347" s="10" t="s">
        <v>50</v>
      </c>
      <c r="AR347" s="10" t="s">
        <v>50</v>
      </c>
      <c r="AS347" s="10" t="s">
        <v>50</v>
      </c>
      <c r="AT347" s="10" t="s">
        <v>50</v>
      </c>
      <c r="AU347" s="10" t="s">
        <v>50</v>
      </c>
      <c r="AV347" s="11"/>
      <c r="AW347" s="10" t="s">
        <v>66</v>
      </c>
      <c r="AX347" s="10"/>
      <c r="AY347" s="10" t="s">
        <v>66</v>
      </c>
    </row>
    <row r="348" ht="22.5" hidden="1" customHeight="1">
      <c r="A348" s="9" t="s">
        <v>3731</v>
      </c>
      <c r="B348" s="10" t="s">
        <v>3732</v>
      </c>
      <c r="C348" s="10" t="s">
        <v>43</v>
      </c>
      <c r="D348" s="10" t="s">
        <v>1398</v>
      </c>
      <c r="E348" s="10" t="s">
        <v>66</v>
      </c>
      <c r="F348" s="11">
        <v>1.0</v>
      </c>
      <c r="G348" s="11">
        <v>80.5</v>
      </c>
      <c r="H348" s="11"/>
      <c r="I348" s="11">
        <v>-15.3</v>
      </c>
      <c r="J348" s="11">
        <v>-19.95</v>
      </c>
      <c r="K348" s="11"/>
      <c r="L348" s="11">
        <v>45.25</v>
      </c>
      <c r="M348" s="10" t="s">
        <v>46</v>
      </c>
      <c r="N348" s="10" t="s">
        <v>45</v>
      </c>
      <c r="O348" s="10" t="s">
        <v>47</v>
      </c>
      <c r="P348" s="10" t="s">
        <v>48</v>
      </c>
      <c r="Q348" s="10" t="s">
        <v>49</v>
      </c>
      <c r="R348" s="10" t="s">
        <v>50</v>
      </c>
      <c r="S348" s="11">
        <v>80.5</v>
      </c>
      <c r="T348" s="11">
        <v>12.45</v>
      </c>
      <c r="U348" s="11" t="s">
        <v>51</v>
      </c>
      <c r="V348" s="10" t="s">
        <v>52</v>
      </c>
      <c r="W348" s="10" t="s">
        <v>3733</v>
      </c>
      <c r="X348" s="10" t="s">
        <v>3734</v>
      </c>
      <c r="Y348" s="10" t="s">
        <v>3735</v>
      </c>
      <c r="Z348" s="10" t="s">
        <v>3736</v>
      </c>
      <c r="AA348" s="10" t="s">
        <v>3737</v>
      </c>
      <c r="AB348" s="10" t="s">
        <v>3733</v>
      </c>
      <c r="AC348" s="10" t="s">
        <v>3738</v>
      </c>
      <c r="AD348" s="10" t="s">
        <v>3739</v>
      </c>
      <c r="AE348" s="10" t="s">
        <v>3740</v>
      </c>
      <c r="AF348" s="10" t="s">
        <v>214</v>
      </c>
      <c r="AG348" s="10" t="s">
        <v>3741</v>
      </c>
      <c r="AH348" s="10" t="s">
        <v>60</v>
      </c>
      <c r="AI348" s="10" t="s">
        <v>61</v>
      </c>
      <c r="AJ348" s="10" t="s">
        <v>3347</v>
      </c>
      <c r="AK348" s="10" t="s">
        <v>3742</v>
      </c>
      <c r="AL348" s="10" t="s">
        <v>64</v>
      </c>
      <c r="AM348" s="10" t="s">
        <v>3743</v>
      </c>
      <c r="AN348" s="10" t="s">
        <v>50</v>
      </c>
      <c r="AO348" s="11" t="s">
        <v>50</v>
      </c>
      <c r="AP348" s="10" t="s">
        <v>50</v>
      </c>
      <c r="AQ348" s="10" t="s">
        <v>50</v>
      </c>
      <c r="AR348" s="10" t="s">
        <v>50</v>
      </c>
      <c r="AS348" s="10" t="s">
        <v>50</v>
      </c>
      <c r="AT348" s="10" t="s">
        <v>50</v>
      </c>
      <c r="AU348" s="10" t="s">
        <v>50</v>
      </c>
      <c r="AV348" s="11"/>
      <c r="AW348" s="10" t="s">
        <v>66</v>
      </c>
      <c r="AX348" s="10"/>
      <c r="AY348" s="10" t="s">
        <v>66</v>
      </c>
    </row>
    <row r="349" ht="22.5" hidden="1" customHeight="1">
      <c r="A349" s="9" t="s">
        <v>3744</v>
      </c>
      <c r="B349" s="10" t="s">
        <v>3745</v>
      </c>
      <c r="C349" s="10" t="s">
        <v>43</v>
      </c>
      <c r="D349" s="10" t="s">
        <v>1398</v>
      </c>
      <c r="E349" s="10" t="s">
        <v>66</v>
      </c>
      <c r="F349" s="11">
        <v>1.0</v>
      </c>
      <c r="G349" s="11">
        <v>80.0</v>
      </c>
      <c r="H349" s="11"/>
      <c r="I349" s="11">
        <v>-13.6</v>
      </c>
      <c r="J349" s="11">
        <v>-19.95</v>
      </c>
      <c r="K349" s="11"/>
      <c r="L349" s="11">
        <v>50.45</v>
      </c>
      <c r="M349" s="10" t="s">
        <v>46</v>
      </c>
      <c r="N349" s="10" t="s">
        <v>45</v>
      </c>
      <c r="O349" s="10" t="s">
        <v>143</v>
      </c>
      <c r="P349" s="10" t="s">
        <v>144</v>
      </c>
      <c r="Q349" s="10" t="s">
        <v>145</v>
      </c>
      <c r="R349" s="10" t="s">
        <v>74</v>
      </c>
      <c r="S349" s="11">
        <v>80.0</v>
      </c>
      <c r="T349" s="11">
        <v>33.38</v>
      </c>
      <c r="U349" s="11" t="s">
        <v>51</v>
      </c>
      <c r="V349" s="10" t="s">
        <v>52</v>
      </c>
      <c r="W349" s="10" t="s">
        <v>3746</v>
      </c>
      <c r="X349" s="10" t="s">
        <v>3747</v>
      </c>
      <c r="Y349" s="10" t="s">
        <v>3748</v>
      </c>
      <c r="Z349" s="10" t="s">
        <v>50</v>
      </c>
      <c r="AA349" s="10" t="s">
        <v>50</v>
      </c>
      <c r="AB349" s="10" t="s">
        <v>3746</v>
      </c>
      <c r="AC349" s="10" t="s">
        <v>3749</v>
      </c>
      <c r="AD349" s="10" t="s">
        <v>3750</v>
      </c>
      <c r="AE349" s="10" t="s">
        <v>3751</v>
      </c>
      <c r="AF349" s="10" t="s">
        <v>58</v>
      </c>
      <c r="AG349" s="10" t="s">
        <v>3752</v>
      </c>
      <c r="AH349" s="10" t="s">
        <v>60</v>
      </c>
      <c r="AI349" s="10" t="s">
        <v>61</v>
      </c>
      <c r="AJ349" s="10" t="s">
        <v>3279</v>
      </c>
      <c r="AK349" s="10" t="s">
        <v>3753</v>
      </c>
      <c r="AL349" s="10" t="s">
        <v>64</v>
      </c>
      <c r="AM349" s="10" t="s">
        <v>3754</v>
      </c>
      <c r="AN349" s="10" t="s">
        <v>50</v>
      </c>
      <c r="AO349" s="11" t="s">
        <v>50</v>
      </c>
      <c r="AP349" s="10" t="s">
        <v>50</v>
      </c>
      <c r="AQ349" s="10" t="s">
        <v>50</v>
      </c>
      <c r="AR349" s="10" t="s">
        <v>50</v>
      </c>
      <c r="AS349" s="10" t="s">
        <v>50</v>
      </c>
      <c r="AT349" s="10" t="s">
        <v>50</v>
      </c>
      <c r="AU349" s="10" t="s">
        <v>50</v>
      </c>
      <c r="AV349" s="11"/>
      <c r="AW349" s="10" t="s">
        <v>66</v>
      </c>
      <c r="AX349" s="10"/>
      <c r="AY349" s="10" t="s">
        <v>66</v>
      </c>
    </row>
    <row r="350" ht="22.5" hidden="1" customHeight="1">
      <c r="A350" s="9" t="s">
        <v>3755</v>
      </c>
      <c r="B350" s="10" t="s">
        <v>3756</v>
      </c>
      <c r="C350" s="10" t="s">
        <v>43</v>
      </c>
      <c r="D350" s="10" t="s">
        <v>1262</v>
      </c>
      <c r="E350" s="10" t="s">
        <v>45</v>
      </c>
      <c r="F350" s="11">
        <v>1.0</v>
      </c>
      <c r="G350" s="11">
        <v>79.0</v>
      </c>
      <c r="H350" s="11"/>
      <c r="I350" s="11">
        <v>-15.01</v>
      </c>
      <c r="J350" s="11">
        <v>-19.95</v>
      </c>
      <c r="K350" s="11"/>
      <c r="L350" s="11">
        <v>44.04</v>
      </c>
      <c r="M350" s="10" t="s">
        <v>46</v>
      </c>
      <c r="N350" s="10" t="s">
        <v>50</v>
      </c>
      <c r="O350" s="10" t="s">
        <v>3757</v>
      </c>
      <c r="P350" s="10" t="s">
        <v>3758</v>
      </c>
      <c r="Q350" s="10" t="s">
        <v>3759</v>
      </c>
      <c r="R350" s="10" t="s">
        <v>50</v>
      </c>
      <c r="S350" s="11">
        <v>79.0</v>
      </c>
      <c r="T350" s="11">
        <v>4.94</v>
      </c>
      <c r="U350" s="11" t="s">
        <v>51</v>
      </c>
      <c r="V350" s="10" t="s">
        <v>52</v>
      </c>
      <c r="W350" s="10" t="s">
        <v>3760</v>
      </c>
      <c r="X350" s="10" t="s">
        <v>3761</v>
      </c>
      <c r="Y350" s="10" t="s">
        <v>3762</v>
      </c>
      <c r="Z350" s="10" t="s">
        <v>50</v>
      </c>
      <c r="AA350" s="10" t="s">
        <v>50</v>
      </c>
      <c r="AB350" s="10" t="s">
        <v>3760</v>
      </c>
      <c r="AC350" s="10" t="s">
        <v>3763</v>
      </c>
      <c r="AD350" s="10" t="s">
        <v>3764</v>
      </c>
      <c r="AE350" s="10" t="s">
        <v>3765</v>
      </c>
      <c r="AF350" s="10" t="s">
        <v>58</v>
      </c>
      <c r="AG350" s="10" t="s">
        <v>3766</v>
      </c>
      <c r="AH350" s="10" t="s">
        <v>60</v>
      </c>
      <c r="AI350" s="10" t="s">
        <v>61</v>
      </c>
      <c r="AJ350" s="10" t="s">
        <v>203</v>
      </c>
      <c r="AK350" s="10" t="s">
        <v>3767</v>
      </c>
      <c r="AL350" s="10" t="s">
        <v>64</v>
      </c>
      <c r="AM350" s="10" t="s">
        <v>3768</v>
      </c>
      <c r="AN350" s="10" t="s">
        <v>50</v>
      </c>
      <c r="AO350" s="11" t="s">
        <v>50</v>
      </c>
      <c r="AP350" s="10" t="s">
        <v>50</v>
      </c>
      <c r="AQ350" s="10" t="s">
        <v>50</v>
      </c>
      <c r="AR350" s="10" t="s">
        <v>50</v>
      </c>
      <c r="AS350" s="10" t="s">
        <v>50</v>
      </c>
      <c r="AT350" s="10" t="s">
        <v>50</v>
      </c>
      <c r="AU350" s="10" t="s">
        <v>50</v>
      </c>
      <c r="AV350" s="11"/>
      <c r="AW350" s="10" t="s">
        <v>66</v>
      </c>
      <c r="AX350" s="10"/>
      <c r="AY350" s="10" t="s">
        <v>66</v>
      </c>
    </row>
    <row r="351" ht="22.5" hidden="1" customHeight="1">
      <c r="A351" s="9" t="s">
        <v>3769</v>
      </c>
      <c r="B351" s="10" t="s">
        <v>3770</v>
      </c>
      <c r="C351" s="10" t="s">
        <v>43</v>
      </c>
      <c r="D351" s="10" t="s">
        <v>290</v>
      </c>
      <c r="E351" s="10" t="s">
        <v>66</v>
      </c>
      <c r="F351" s="11">
        <v>1.0</v>
      </c>
      <c r="G351" s="11">
        <v>80.0</v>
      </c>
      <c r="H351" s="11"/>
      <c r="I351" s="11">
        <v>-13.6</v>
      </c>
      <c r="J351" s="11">
        <v>-19.95</v>
      </c>
      <c r="K351" s="11"/>
      <c r="L351" s="11">
        <v>50.45</v>
      </c>
      <c r="M351" s="10" t="s">
        <v>46</v>
      </c>
      <c r="N351" s="10" t="s">
        <v>45</v>
      </c>
      <c r="O351" s="10" t="s">
        <v>143</v>
      </c>
      <c r="P351" s="10" t="s">
        <v>144</v>
      </c>
      <c r="Q351" s="10" t="s">
        <v>145</v>
      </c>
      <c r="R351" s="10" t="s">
        <v>74</v>
      </c>
      <c r="S351" s="11">
        <v>80.0</v>
      </c>
      <c r="T351" s="11">
        <v>33.38</v>
      </c>
      <c r="U351" s="11" t="s">
        <v>51</v>
      </c>
      <c r="V351" s="10" t="s">
        <v>52</v>
      </c>
      <c r="W351" s="10" t="s">
        <v>3771</v>
      </c>
      <c r="X351" s="10" t="s">
        <v>3772</v>
      </c>
      <c r="Y351" s="10" t="s">
        <v>3773</v>
      </c>
      <c r="Z351" s="10" t="s">
        <v>50</v>
      </c>
      <c r="AA351" s="10" t="s">
        <v>50</v>
      </c>
      <c r="AB351" s="10" t="s">
        <v>3771</v>
      </c>
      <c r="AC351" s="10" t="s">
        <v>3774</v>
      </c>
      <c r="AD351" s="10" t="s">
        <v>3775</v>
      </c>
      <c r="AE351" s="10" t="s">
        <v>322</v>
      </c>
      <c r="AF351" s="10" t="s">
        <v>323</v>
      </c>
      <c r="AG351" s="10" t="s">
        <v>3776</v>
      </c>
      <c r="AH351" s="10" t="s">
        <v>60</v>
      </c>
      <c r="AI351" s="10" t="s">
        <v>61</v>
      </c>
      <c r="AJ351" s="10" t="s">
        <v>3420</v>
      </c>
      <c r="AK351" s="10" t="s">
        <v>3777</v>
      </c>
      <c r="AL351" s="10" t="s">
        <v>64</v>
      </c>
      <c r="AM351" s="10" t="s">
        <v>3778</v>
      </c>
      <c r="AN351" s="10" t="s">
        <v>50</v>
      </c>
      <c r="AO351" s="11" t="s">
        <v>50</v>
      </c>
      <c r="AP351" s="10" t="s">
        <v>50</v>
      </c>
      <c r="AQ351" s="10" t="s">
        <v>50</v>
      </c>
      <c r="AR351" s="10" t="s">
        <v>50</v>
      </c>
      <c r="AS351" s="10" t="s">
        <v>50</v>
      </c>
      <c r="AT351" s="10" t="s">
        <v>50</v>
      </c>
      <c r="AU351" s="10" t="s">
        <v>50</v>
      </c>
      <c r="AV351" s="11"/>
      <c r="AW351" s="10" t="s">
        <v>66</v>
      </c>
      <c r="AX351" s="10"/>
      <c r="AY351" s="10" t="s">
        <v>66</v>
      </c>
    </row>
    <row r="352" ht="22.5" hidden="1" customHeight="1">
      <c r="A352" s="9" t="s">
        <v>3779</v>
      </c>
      <c r="B352" s="10" t="s">
        <v>3780</v>
      </c>
      <c r="C352" s="10" t="s">
        <v>43</v>
      </c>
      <c r="D352" s="10" t="s">
        <v>1398</v>
      </c>
      <c r="E352" s="10" t="s">
        <v>66</v>
      </c>
      <c r="F352" s="11">
        <v>1.0</v>
      </c>
      <c r="G352" s="11">
        <v>43.7</v>
      </c>
      <c r="H352" s="11">
        <v>12.66</v>
      </c>
      <c r="I352" s="11">
        <v>-13.43</v>
      </c>
      <c r="J352" s="11">
        <v>-12.66</v>
      </c>
      <c r="K352" s="11"/>
      <c r="L352" s="11">
        <v>32.89</v>
      </c>
      <c r="M352" s="10" t="s">
        <v>46</v>
      </c>
      <c r="N352" s="10" t="s">
        <v>50</v>
      </c>
      <c r="O352" s="10" t="s">
        <v>176</v>
      </c>
      <c r="P352" s="10" t="s">
        <v>177</v>
      </c>
      <c r="Q352" s="10" t="s">
        <v>178</v>
      </c>
      <c r="R352" s="10" t="s">
        <v>74</v>
      </c>
      <c r="S352" s="11">
        <v>43.7</v>
      </c>
      <c r="T352" s="11">
        <v>22.58</v>
      </c>
      <c r="U352" s="11" t="s">
        <v>51</v>
      </c>
      <c r="V352" s="10" t="s">
        <v>52</v>
      </c>
      <c r="W352" s="10" t="s">
        <v>3781</v>
      </c>
      <c r="X352" s="10" t="s">
        <v>3782</v>
      </c>
      <c r="Y352" s="10" t="s">
        <v>3783</v>
      </c>
      <c r="Z352" s="10" t="s">
        <v>50</v>
      </c>
      <c r="AA352" s="10" t="s">
        <v>50</v>
      </c>
      <c r="AB352" s="10" t="s">
        <v>3781</v>
      </c>
      <c r="AC352" s="10" t="s">
        <v>3784</v>
      </c>
      <c r="AD352" s="10" t="s">
        <v>3785</v>
      </c>
      <c r="AE352" s="10" t="s">
        <v>1089</v>
      </c>
      <c r="AF352" s="10" t="s">
        <v>284</v>
      </c>
      <c r="AG352" s="10" t="s">
        <v>3786</v>
      </c>
      <c r="AH352" s="10" t="s">
        <v>60</v>
      </c>
      <c r="AI352" s="10" t="s">
        <v>61</v>
      </c>
      <c r="AJ352" s="10" t="s">
        <v>3347</v>
      </c>
      <c r="AK352" s="10" t="s">
        <v>3787</v>
      </c>
      <c r="AL352" s="10" t="s">
        <v>64</v>
      </c>
      <c r="AM352" s="10" t="s">
        <v>3788</v>
      </c>
      <c r="AN352" s="10" t="s">
        <v>50</v>
      </c>
      <c r="AO352" s="11" t="s">
        <v>50</v>
      </c>
      <c r="AP352" s="10" t="s">
        <v>50</v>
      </c>
      <c r="AQ352" s="10" t="s">
        <v>50</v>
      </c>
      <c r="AR352" s="10" t="s">
        <v>50</v>
      </c>
      <c r="AS352" s="10" t="s">
        <v>50</v>
      </c>
      <c r="AT352" s="10" t="s">
        <v>50</v>
      </c>
      <c r="AU352" s="10" t="s">
        <v>50</v>
      </c>
      <c r="AV352" s="11"/>
      <c r="AW352" s="10" t="s">
        <v>66</v>
      </c>
      <c r="AX352" s="10"/>
      <c r="AY352" s="10" t="s">
        <v>66</v>
      </c>
    </row>
    <row r="353" ht="22.5" hidden="1" customHeight="1">
      <c r="A353" s="9" t="s">
        <v>3789</v>
      </c>
      <c r="B353" s="10" t="s">
        <v>3790</v>
      </c>
      <c r="C353" s="10" t="s">
        <v>43</v>
      </c>
      <c r="D353" s="10" t="s">
        <v>290</v>
      </c>
      <c r="E353" s="10" t="s">
        <v>45</v>
      </c>
      <c r="F353" s="11">
        <v>1.0</v>
      </c>
      <c r="G353" s="11">
        <v>101.5</v>
      </c>
      <c r="H353" s="11"/>
      <c r="I353" s="11">
        <v>-19.28</v>
      </c>
      <c r="J353" s="11">
        <v>-19.95</v>
      </c>
      <c r="K353" s="11"/>
      <c r="L353" s="11">
        <v>62.27</v>
      </c>
      <c r="M353" s="10" t="s">
        <v>46</v>
      </c>
      <c r="N353" s="10" t="s">
        <v>45</v>
      </c>
      <c r="O353" s="10" t="s">
        <v>100</v>
      </c>
      <c r="P353" s="10" t="s">
        <v>101</v>
      </c>
      <c r="Q353" s="10" t="s">
        <v>102</v>
      </c>
      <c r="R353" s="10" t="s">
        <v>50</v>
      </c>
      <c r="S353" s="11">
        <v>101.5</v>
      </c>
      <c r="T353" s="11">
        <v>38.61</v>
      </c>
      <c r="U353" s="11" t="s">
        <v>51</v>
      </c>
      <c r="V353" s="10" t="s">
        <v>52</v>
      </c>
      <c r="W353" s="10" t="s">
        <v>3791</v>
      </c>
      <c r="X353" s="10" t="s">
        <v>3792</v>
      </c>
      <c r="Y353" s="10" t="s">
        <v>3793</v>
      </c>
      <c r="Z353" s="10" t="s">
        <v>50</v>
      </c>
      <c r="AA353" s="10" t="s">
        <v>50</v>
      </c>
      <c r="AB353" s="10" t="s">
        <v>3791</v>
      </c>
      <c r="AC353" s="10" t="s">
        <v>3794</v>
      </c>
      <c r="AD353" s="10" t="s">
        <v>3795</v>
      </c>
      <c r="AE353" s="10" t="s">
        <v>3796</v>
      </c>
      <c r="AF353" s="10" t="s">
        <v>151</v>
      </c>
      <c r="AG353" s="10" t="s">
        <v>3797</v>
      </c>
      <c r="AH353" s="10" t="s">
        <v>60</v>
      </c>
      <c r="AI353" s="10" t="s">
        <v>61</v>
      </c>
      <c r="AJ353" s="10" t="s">
        <v>3798</v>
      </c>
      <c r="AK353" s="10" t="s">
        <v>3799</v>
      </c>
      <c r="AL353" s="10" t="s">
        <v>64</v>
      </c>
      <c r="AM353" s="10" t="s">
        <v>3800</v>
      </c>
      <c r="AN353" s="10" t="s">
        <v>50</v>
      </c>
      <c r="AO353" s="11" t="s">
        <v>50</v>
      </c>
      <c r="AP353" s="10" t="s">
        <v>50</v>
      </c>
      <c r="AQ353" s="10" t="s">
        <v>50</v>
      </c>
      <c r="AR353" s="10" t="s">
        <v>50</v>
      </c>
      <c r="AS353" s="10" t="s">
        <v>50</v>
      </c>
      <c r="AT353" s="10" t="s">
        <v>50</v>
      </c>
      <c r="AU353" s="10" t="s">
        <v>50</v>
      </c>
      <c r="AV353" s="11"/>
      <c r="AW353" s="10" t="s">
        <v>66</v>
      </c>
      <c r="AX353" s="10"/>
      <c r="AY353" s="10" t="s">
        <v>66</v>
      </c>
    </row>
    <row r="354" ht="22.5" hidden="1" customHeight="1">
      <c r="A354" s="9" t="s">
        <v>3801</v>
      </c>
      <c r="B354" s="10" t="s">
        <v>3802</v>
      </c>
      <c r="C354" s="10" t="s">
        <v>43</v>
      </c>
      <c r="D354" s="10" t="s">
        <v>1262</v>
      </c>
      <c r="E354" s="10" t="s">
        <v>45</v>
      </c>
      <c r="F354" s="11">
        <v>1.0</v>
      </c>
      <c r="G354" s="11">
        <v>84.0</v>
      </c>
      <c r="H354" s="11"/>
      <c r="I354" s="11">
        <v>-14.28</v>
      </c>
      <c r="J354" s="11">
        <v>-20.45</v>
      </c>
      <c r="K354" s="11"/>
      <c r="L354" s="11">
        <v>49.27</v>
      </c>
      <c r="M354" s="10" t="s">
        <v>46</v>
      </c>
      <c r="N354" s="10" t="s">
        <v>45</v>
      </c>
      <c r="O354" s="10" t="s">
        <v>265</v>
      </c>
      <c r="P354" s="10" t="s">
        <v>266</v>
      </c>
      <c r="Q354" s="10" t="s">
        <v>267</v>
      </c>
      <c r="R354" s="10" t="s">
        <v>74</v>
      </c>
      <c r="S354" s="11">
        <v>84.0</v>
      </c>
      <c r="T354" s="11">
        <v>26.22</v>
      </c>
      <c r="U354" s="11" t="s">
        <v>51</v>
      </c>
      <c r="V354" s="10" t="s">
        <v>52</v>
      </c>
      <c r="W354" s="10" t="s">
        <v>3803</v>
      </c>
      <c r="X354" s="10" t="s">
        <v>3804</v>
      </c>
      <c r="Y354" s="10" t="s">
        <v>3805</v>
      </c>
      <c r="Z354" s="10" t="s">
        <v>50</v>
      </c>
      <c r="AA354" s="10" t="s">
        <v>50</v>
      </c>
      <c r="AB354" s="10" t="s">
        <v>3803</v>
      </c>
      <c r="AC354" s="10" t="s">
        <v>3806</v>
      </c>
      <c r="AD354" s="10" t="s">
        <v>3807</v>
      </c>
      <c r="AE354" s="10" t="s">
        <v>3808</v>
      </c>
      <c r="AF354" s="10" t="s">
        <v>58</v>
      </c>
      <c r="AG354" s="10" t="s">
        <v>3809</v>
      </c>
      <c r="AH354" s="10" t="s">
        <v>60</v>
      </c>
      <c r="AI354" s="10" t="s">
        <v>61</v>
      </c>
      <c r="AJ354" s="10" t="s">
        <v>203</v>
      </c>
      <c r="AK354" s="10" t="s">
        <v>3810</v>
      </c>
      <c r="AL354" s="10" t="s">
        <v>64</v>
      </c>
      <c r="AM354" s="10" t="s">
        <v>3811</v>
      </c>
      <c r="AN354" s="10" t="s">
        <v>50</v>
      </c>
      <c r="AO354" s="11" t="s">
        <v>50</v>
      </c>
      <c r="AP354" s="10" t="s">
        <v>50</v>
      </c>
      <c r="AQ354" s="10" t="s">
        <v>50</v>
      </c>
      <c r="AR354" s="10" t="s">
        <v>50</v>
      </c>
      <c r="AS354" s="10" t="s">
        <v>50</v>
      </c>
      <c r="AT354" s="10" t="s">
        <v>50</v>
      </c>
      <c r="AU354" s="10" t="s">
        <v>50</v>
      </c>
      <c r="AV354" s="11"/>
      <c r="AW354" s="10" t="s">
        <v>66</v>
      </c>
      <c r="AX354" s="10"/>
      <c r="AY354" s="10" t="s">
        <v>66</v>
      </c>
    </row>
    <row r="355" ht="22.5" hidden="1" customHeight="1">
      <c r="A355" s="9" t="s">
        <v>3812</v>
      </c>
      <c r="B355" s="10" t="s">
        <v>3813</v>
      </c>
      <c r="C355" s="10" t="s">
        <v>43</v>
      </c>
      <c r="D355" s="10" t="s">
        <v>1262</v>
      </c>
      <c r="E355" s="10" t="s">
        <v>66</v>
      </c>
      <c r="F355" s="11">
        <v>1.0</v>
      </c>
      <c r="G355" s="11">
        <v>79.2</v>
      </c>
      <c r="H355" s="11"/>
      <c r="I355" s="11">
        <v>-13.46</v>
      </c>
      <c r="J355" s="11">
        <v>-20.45</v>
      </c>
      <c r="K355" s="11"/>
      <c r="L355" s="11">
        <v>45.29</v>
      </c>
      <c r="M355" s="10" t="s">
        <v>46</v>
      </c>
      <c r="N355" s="10" t="s">
        <v>45</v>
      </c>
      <c r="O355" s="10" t="s">
        <v>127</v>
      </c>
      <c r="P355" s="10" t="s">
        <v>128</v>
      </c>
      <c r="Q355" s="10" t="s">
        <v>129</v>
      </c>
      <c r="R355" s="10" t="s">
        <v>74</v>
      </c>
      <c r="S355" s="11">
        <v>79.2</v>
      </c>
      <c r="T355" s="11">
        <v>17.68</v>
      </c>
      <c r="U355" s="11" t="s">
        <v>51</v>
      </c>
      <c r="V355" s="10" t="s">
        <v>52</v>
      </c>
      <c r="W355" s="10" t="s">
        <v>3814</v>
      </c>
      <c r="X355" s="10" t="s">
        <v>3815</v>
      </c>
      <c r="Y355" s="10" t="s">
        <v>3816</v>
      </c>
      <c r="Z355" s="10" t="s">
        <v>50</v>
      </c>
      <c r="AA355" s="10" t="s">
        <v>50</v>
      </c>
      <c r="AB355" s="10" t="s">
        <v>3814</v>
      </c>
      <c r="AC355" s="10" t="s">
        <v>3817</v>
      </c>
      <c r="AD355" s="10" t="s">
        <v>3818</v>
      </c>
      <c r="AE355" s="10" t="s">
        <v>3819</v>
      </c>
      <c r="AF355" s="10" t="s">
        <v>214</v>
      </c>
      <c r="AG355" s="10" t="s">
        <v>3820</v>
      </c>
      <c r="AH355" s="10" t="s">
        <v>60</v>
      </c>
      <c r="AI355" s="10" t="s">
        <v>61</v>
      </c>
      <c r="AJ355" s="10" t="s">
        <v>3347</v>
      </c>
      <c r="AK355" s="10" t="s">
        <v>3821</v>
      </c>
      <c r="AL355" s="10" t="s">
        <v>64</v>
      </c>
      <c r="AM355" s="10" t="s">
        <v>3822</v>
      </c>
      <c r="AN355" s="10" t="s">
        <v>50</v>
      </c>
      <c r="AO355" s="11" t="s">
        <v>50</v>
      </c>
      <c r="AP355" s="10" t="s">
        <v>50</v>
      </c>
      <c r="AQ355" s="10" t="s">
        <v>50</v>
      </c>
      <c r="AR355" s="10" t="s">
        <v>50</v>
      </c>
      <c r="AS355" s="10" t="s">
        <v>50</v>
      </c>
      <c r="AT355" s="10" t="s">
        <v>50</v>
      </c>
      <c r="AU355" s="10" t="s">
        <v>50</v>
      </c>
      <c r="AV355" s="11"/>
      <c r="AW355" s="10" t="s">
        <v>66</v>
      </c>
      <c r="AX355" s="10"/>
      <c r="AY355" s="10" t="s">
        <v>66</v>
      </c>
    </row>
    <row r="356" ht="22.5" hidden="1" customHeight="1">
      <c r="A356" s="9" t="s">
        <v>3823</v>
      </c>
      <c r="B356" s="10" t="s">
        <v>3824</v>
      </c>
      <c r="C356" s="10" t="s">
        <v>43</v>
      </c>
      <c r="D356" s="10" t="s">
        <v>1262</v>
      </c>
      <c r="E356" s="10" t="s">
        <v>45</v>
      </c>
      <c r="F356" s="11">
        <v>1.0</v>
      </c>
      <c r="G356" s="11">
        <v>79.2</v>
      </c>
      <c r="H356" s="11"/>
      <c r="I356" s="11">
        <v>-13.46</v>
      </c>
      <c r="J356" s="11">
        <v>-20.45</v>
      </c>
      <c r="K356" s="11"/>
      <c r="L356" s="11">
        <v>50.04</v>
      </c>
      <c r="M356" s="10" t="s">
        <v>46</v>
      </c>
      <c r="N356" s="10" t="s">
        <v>45</v>
      </c>
      <c r="O356" s="10" t="s">
        <v>892</v>
      </c>
      <c r="P356" s="10" t="s">
        <v>893</v>
      </c>
      <c r="Q356" s="10" t="s">
        <v>894</v>
      </c>
      <c r="R356" s="10" t="s">
        <v>74</v>
      </c>
      <c r="S356" s="11">
        <v>79.2</v>
      </c>
      <c r="T356" s="11">
        <v>2.97</v>
      </c>
      <c r="U356" s="11" t="s">
        <v>51</v>
      </c>
      <c r="V356" s="10" t="s">
        <v>52</v>
      </c>
      <c r="W356" s="10" t="s">
        <v>3825</v>
      </c>
      <c r="X356" s="10" t="s">
        <v>3826</v>
      </c>
      <c r="Y356" s="10" t="s">
        <v>3827</v>
      </c>
      <c r="Z356" s="10" t="s">
        <v>50</v>
      </c>
      <c r="AA356" s="10" t="s">
        <v>50</v>
      </c>
      <c r="AB356" s="10" t="s">
        <v>3825</v>
      </c>
      <c r="AC356" s="10" t="s">
        <v>3828</v>
      </c>
      <c r="AD356" s="10" t="s">
        <v>3829</v>
      </c>
      <c r="AE356" s="10" t="s">
        <v>3830</v>
      </c>
      <c r="AF356" s="10" t="s">
        <v>58</v>
      </c>
      <c r="AG356" s="10" t="s">
        <v>3831</v>
      </c>
      <c r="AH356" s="10" t="s">
        <v>60</v>
      </c>
      <c r="AI356" s="10" t="s">
        <v>61</v>
      </c>
      <c r="AJ356" s="10" t="s">
        <v>203</v>
      </c>
      <c r="AK356" s="10" t="s">
        <v>3832</v>
      </c>
      <c r="AL356" s="10" t="s">
        <v>64</v>
      </c>
      <c r="AM356" s="10" t="s">
        <v>3833</v>
      </c>
      <c r="AN356" s="10" t="s">
        <v>50</v>
      </c>
      <c r="AO356" s="11" t="s">
        <v>50</v>
      </c>
      <c r="AP356" s="10" t="s">
        <v>50</v>
      </c>
      <c r="AQ356" s="10" t="s">
        <v>50</v>
      </c>
      <c r="AR356" s="10" t="s">
        <v>50</v>
      </c>
      <c r="AS356" s="10" t="s">
        <v>50</v>
      </c>
      <c r="AT356" s="10" t="s">
        <v>50</v>
      </c>
      <c r="AU356" s="10" t="s">
        <v>50</v>
      </c>
      <c r="AV356" s="11"/>
      <c r="AW356" s="10" t="s">
        <v>66</v>
      </c>
      <c r="AX356" s="10"/>
      <c r="AY356" s="10" t="s">
        <v>66</v>
      </c>
    </row>
    <row r="357" ht="22.5" hidden="1" customHeight="1">
      <c r="A357" s="9" t="s">
        <v>3834</v>
      </c>
      <c r="B357" s="10" t="s">
        <v>3835</v>
      </c>
      <c r="C357" s="10" t="s">
        <v>43</v>
      </c>
      <c r="D357" s="10" t="s">
        <v>1262</v>
      </c>
      <c r="E357" s="10" t="s">
        <v>45</v>
      </c>
      <c r="F357" s="11">
        <v>1.0</v>
      </c>
      <c r="G357" s="11">
        <v>43.7</v>
      </c>
      <c r="H357" s="11">
        <v>19.97</v>
      </c>
      <c r="I357" s="11">
        <v>-13.43</v>
      </c>
      <c r="J357" s="11">
        <v>-19.97</v>
      </c>
      <c r="K357" s="11"/>
      <c r="L357" s="11">
        <v>32.89</v>
      </c>
      <c r="M357" s="10" t="s">
        <v>46</v>
      </c>
      <c r="N357" s="10" t="s">
        <v>50</v>
      </c>
      <c r="O357" s="10" t="s">
        <v>176</v>
      </c>
      <c r="P357" s="10" t="s">
        <v>177</v>
      </c>
      <c r="Q357" s="10" t="s">
        <v>178</v>
      </c>
      <c r="R357" s="10" t="s">
        <v>74</v>
      </c>
      <c r="S357" s="11">
        <v>43.7</v>
      </c>
      <c r="T357" s="11">
        <v>22.58</v>
      </c>
      <c r="U357" s="11" t="s">
        <v>51</v>
      </c>
      <c r="V357" s="10" t="s">
        <v>52</v>
      </c>
      <c r="W357" s="10" t="s">
        <v>3836</v>
      </c>
      <c r="X357" s="10" t="s">
        <v>3837</v>
      </c>
      <c r="Y357" s="10" t="s">
        <v>3838</v>
      </c>
      <c r="Z357" s="10" t="s">
        <v>50</v>
      </c>
      <c r="AA357" s="10" t="s">
        <v>50</v>
      </c>
      <c r="AB357" s="10" t="s">
        <v>3836</v>
      </c>
      <c r="AC357" s="10" t="s">
        <v>3839</v>
      </c>
      <c r="AD357" s="10" t="s">
        <v>3840</v>
      </c>
      <c r="AE357" s="10" t="s">
        <v>3841</v>
      </c>
      <c r="AF357" s="10" t="s">
        <v>323</v>
      </c>
      <c r="AG357" s="10" t="s">
        <v>3842</v>
      </c>
      <c r="AH357" s="10" t="s">
        <v>60</v>
      </c>
      <c r="AI357" s="10" t="s">
        <v>61</v>
      </c>
      <c r="AJ357" s="10" t="s">
        <v>3335</v>
      </c>
      <c r="AK357" s="10" t="s">
        <v>3843</v>
      </c>
      <c r="AL357" s="10" t="s">
        <v>64</v>
      </c>
      <c r="AM357" s="10" t="s">
        <v>3844</v>
      </c>
      <c r="AN357" s="10" t="s">
        <v>50</v>
      </c>
      <c r="AO357" s="11" t="s">
        <v>50</v>
      </c>
      <c r="AP357" s="10" t="s">
        <v>50</v>
      </c>
      <c r="AQ357" s="10" t="s">
        <v>50</v>
      </c>
      <c r="AR357" s="10" t="s">
        <v>50</v>
      </c>
      <c r="AS357" s="10" t="s">
        <v>50</v>
      </c>
      <c r="AT357" s="10" t="s">
        <v>50</v>
      </c>
      <c r="AU357" s="10" t="s">
        <v>50</v>
      </c>
      <c r="AV357" s="11"/>
      <c r="AW357" s="10" t="s">
        <v>66</v>
      </c>
      <c r="AX357" s="10"/>
      <c r="AY357" s="10" t="s">
        <v>66</v>
      </c>
    </row>
    <row r="358" ht="22.5" hidden="1" customHeight="1">
      <c r="A358" s="9" t="s">
        <v>3845</v>
      </c>
      <c r="B358" s="10" t="s">
        <v>3846</v>
      </c>
      <c r="C358" s="10" t="s">
        <v>43</v>
      </c>
      <c r="D358" s="10" t="s">
        <v>1398</v>
      </c>
      <c r="E358" s="10" t="s">
        <v>66</v>
      </c>
      <c r="F358" s="11">
        <v>1.0</v>
      </c>
      <c r="G358" s="11">
        <v>79.0</v>
      </c>
      <c r="H358" s="11"/>
      <c r="I358" s="11">
        <v>-13.43</v>
      </c>
      <c r="J358" s="11">
        <v>-19.95</v>
      </c>
      <c r="K358" s="11"/>
      <c r="L358" s="11">
        <v>45.62</v>
      </c>
      <c r="M358" s="10" t="s">
        <v>46</v>
      </c>
      <c r="N358" s="10" t="s">
        <v>50</v>
      </c>
      <c r="O358" s="10" t="s">
        <v>766</v>
      </c>
      <c r="P358" s="10" t="s">
        <v>767</v>
      </c>
      <c r="Q358" s="10" t="s">
        <v>768</v>
      </c>
      <c r="R358" s="10" t="s">
        <v>74</v>
      </c>
      <c r="S358" s="11">
        <v>79.0</v>
      </c>
      <c r="T358" s="11">
        <v>13.62</v>
      </c>
      <c r="U358" s="11" t="s">
        <v>51</v>
      </c>
      <c r="V358" s="10" t="s">
        <v>52</v>
      </c>
      <c r="W358" s="10" t="s">
        <v>3847</v>
      </c>
      <c r="X358" s="10" t="s">
        <v>3848</v>
      </c>
      <c r="Y358" s="10" t="s">
        <v>3849</v>
      </c>
      <c r="Z358" s="10" t="s">
        <v>50</v>
      </c>
      <c r="AA358" s="10" t="s">
        <v>50</v>
      </c>
      <c r="AB358" s="10" t="s">
        <v>3847</v>
      </c>
      <c r="AC358" s="10" t="s">
        <v>3850</v>
      </c>
      <c r="AD358" s="10" t="s">
        <v>3851</v>
      </c>
      <c r="AE358" s="10" t="s">
        <v>2277</v>
      </c>
      <c r="AF358" s="10" t="s">
        <v>775</v>
      </c>
      <c r="AG358" s="10" t="s">
        <v>3852</v>
      </c>
      <c r="AH358" s="10" t="s">
        <v>60</v>
      </c>
      <c r="AI358" s="10" t="s">
        <v>61</v>
      </c>
      <c r="AJ358" s="10" t="s">
        <v>3384</v>
      </c>
      <c r="AK358" s="10" t="s">
        <v>3853</v>
      </c>
      <c r="AL358" s="10" t="s">
        <v>64</v>
      </c>
      <c r="AM358" s="10" t="s">
        <v>3854</v>
      </c>
      <c r="AN358" s="10" t="s">
        <v>50</v>
      </c>
      <c r="AO358" s="11" t="s">
        <v>50</v>
      </c>
      <c r="AP358" s="10" t="s">
        <v>50</v>
      </c>
      <c r="AQ358" s="10" t="s">
        <v>50</v>
      </c>
      <c r="AR358" s="10" t="s">
        <v>50</v>
      </c>
      <c r="AS358" s="10" t="s">
        <v>50</v>
      </c>
      <c r="AT358" s="10" t="s">
        <v>50</v>
      </c>
      <c r="AU358" s="10" t="s">
        <v>50</v>
      </c>
      <c r="AV358" s="11"/>
      <c r="AW358" s="10" t="s">
        <v>66</v>
      </c>
      <c r="AX358" s="10"/>
      <c r="AY358" s="10" t="s">
        <v>66</v>
      </c>
    </row>
    <row r="359" ht="22.5" hidden="1" customHeight="1">
      <c r="A359" s="9" t="s">
        <v>3855</v>
      </c>
      <c r="B359" s="10" t="s">
        <v>3856</v>
      </c>
      <c r="C359" s="10" t="s">
        <v>43</v>
      </c>
      <c r="D359" s="10" t="s">
        <v>1262</v>
      </c>
      <c r="E359" s="10" t="s">
        <v>45</v>
      </c>
      <c r="F359" s="11">
        <v>1.0</v>
      </c>
      <c r="G359" s="11">
        <v>79.2</v>
      </c>
      <c r="H359" s="11"/>
      <c r="I359" s="11">
        <v>-13.46</v>
      </c>
      <c r="J359" s="11">
        <v>-20.45</v>
      </c>
      <c r="K359" s="11"/>
      <c r="L359" s="11">
        <v>50.04</v>
      </c>
      <c r="M359" s="10" t="s">
        <v>46</v>
      </c>
      <c r="N359" s="10" t="s">
        <v>45</v>
      </c>
      <c r="O359" s="10" t="s">
        <v>892</v>
      </c>
      <c r="P359" s="10" t="s">
        <v>893</v>
      </c>
      <c r="Q359" s="10" t="s">
        <v>894</v>
      </c>
      <c r="R359" s="10" t="s">
        <v>74</v>
      </c>
      <c r="S359" s="11">
        <v>79.2</v>
      </c>
      <c r="T359" s="11">
        <v>2.97</v>
      </c>
      <c r="U359" s="11" t="s">
        <v>51</v>
      </c>
      <c r="V359" s="10" t="s">
        <v>52</v>
      </c>
      <c r="W359" s="10" t="s">
        <v>3857</v>
      </c>
      <c r="X359" s="10" t="s">
        <v>3858</v>
      </c>
      <c r="Y359" s="10" t="s">
        <v>3859</v>
      </c>
      <c r="Z359" s="10" t="s">
        <v>50</v>
      </c>
      <c r="AA359" s="10" t="s">
        <v>50</v>
      </c>
      <c r="AB359" s="10" t="s">
        <v>3857</v>
      </c>
      <c r="AC359" s="10" t="s">
        <v>3860</v>
      </c>
      <c r="AD359" s="10" t="s">
        <v>3861</v>
      </c>
      <c r="AE359" s="10" t="s">
        <v>3862</v>
      </c>
      <c r="AF359" s="10" t="s">
        <v>58</v>
      </c>
      <c r="AG359" s="10" t="s">
        <v>3863</v>
      </c>
      <c r="AH359" s="10" t="s">
        <v>60</v>
      </c>
      <c r="AI359" s="10" t="s">
        <v>61</v>
      </c>
      <c r="AJ359" s="10" t="s">
        <v>3311</v>
      </c>
      <c r="AK359" s="10" t="s">
        <v>3864</v>
      </c>
      <c r="AL359" s="10" t="s">
        <v>64</v>
      </c>
      <c r="AM359" s="10" t="s">
        <v>3865</v>
      </c>
      <c r="AN359" s="10" t="s">
        <v>50</v>
      </c>
      <c r="AO359" s="11" t="s">
        <v>50</v>
      </c>
      <c r="AP359" s="10" t="s">
        <v>50</v>
      </c>
      <c r="AQ359" s="10" t="s">
        <v>50</v>
      </c>
      <c r="AR359" s="10" t="s">
        <v>50</v>
      </c>
      <c r="AS359" s="10" t="s">
        <v>50</v>
      </c>
      <c r="AT359" s="10" t="s">
        <v>50</v>
      </c>
      <c r="AU359" s="10" t="s">
        <v>50</v>
      </c>
      <c r="AV359" s="11"/>
      <c r="AW359" s="10" t="s">
        <v>66</v>
      </c>
      <c r="AX359" s="10"/>
      <c r="AY359" s="10" t="s">
        <v>66</v>
      </c>
    </row>
    <row r="360" ht="22.5" hidden="1" customHeight="1">
      <c r="A360" s="9" t="s">
        <v>3866</v>
      </c>
      <c r="B360" s="10" t="s">
        <v>3867</v>
      </c>
      <c r="C360" s="10" t="s">
        <v>43</v>
      </c>
      <c r="D360" s="10" t="s">
        <v>1262</v>
      </c>
      <c r="E360" s="10" t="s">
        <v>66</v>
      </c>
      <c r="F360" s="11">
        <v>1.0</v>
      </c>
      <c r="G360" s="11">
        <v>80.0</v>
      </c>
      <c r="H360" s="11"/>
      <c r="I360" s="11">
        <v>-13.6</v>
      </c>
      <c r="J360" s="11">
        <v>-19.95</v>
      </c>
      <c r="K360" s="11"/>
      <c r="L360" s="11">
        <v>50.45</v>
      </c>
      <c r="M360" s="10" t="s">
        <v>46</v>
      </c>
      <c r="N360" s="10" t="s">
        <v>50</v>
      </c>
      <c r="O360" s="10" t="s">
        <v>143</v>
      </c>
      <c r="P360" s="10" t="s">
        <v>144</v>
      </c>
      <c r="Q360" s="10" t="s">
        <v>145</v>
      </c>
      <c r="R360" s="10" t="s">
        <v>74</v>
      </c>
      <c r="S360" s="11">
        <v>80.0</v>
      </c>
      <c r="T360" s="11">
        <v>33.38</v>
      </c>
      <c r="U360" s="11" t="s">
        <v>51</v>
      </c>
      <c r="V360" s="10" t="s">
        <v>52</v>
      </c>
      <c r="W360" s="10" t="s">
        <v>3868</v>
      </c>
      <c r="X360" s="10" t="s">
        <v>3869</v>
      </c>
      <c r="Y360" s="10" t="s">
        <v>3870</v>
      </c>
      <c r="Z360" s="10" t="s">
        <v>50</v>
      </c>
      <c r="AA360" s="10" t="s">
        <v>50</v>
      </c>
      <c r="AB360" s="10" t="s">
        <v>3868</v>
      </c>
      <c r="AC360" s="10" t="s">
        <v>3871</v>
      </c>
      <c r="AD360" s="10" t="s">
        <v>3872</v>
      </c>
      <c r="AE360" s="10" t="s">
        <v>3873</v>
      </c>
      <c r="AF360" s="10" t="s">
        <v>58</v>
      </c>
      <c r="AG360" s="10" t="s">
        <v>3874</v>
      </c>
      <c r="AH360" s="10" t="s">
        <v>60</v>
      </c>
      <c r="AI360" s="10" t="s">
        <v>61</v>
      </c>
      <c r="AJ360" s="10" t="s">
        <v>3311</v>
      </c>
      <c r="AK360" s="10" t="s">
        <v>3875</v>
      </c>
      <c r="AL360" s="10" t="s">
        <v>64</v>
      </c>
      <c r="AM360" s="10" t="s">
        <v>3876</v>
      </c>
      <c r="AN360" s="10" t="s">
        <v>50</v>
      </c>
      <c r="AO360" s="11" t="s">
        <v>50</v>
      </c>
      <c r="AP360" s="10" t="s">
        <v>50</v>
      </c>
      <c r="AQ360" s="10" t="s">
        <v>50</v>
      </c>
      <c r="AR360" s="10" t="s">
        <v>50</v>
      </c>
      <c r="AS360" s="10" t="s">
        <v>50</v>
      </c>
      <c r="AT360" s="10" t="s">
        <v>50</v>
      </c>
      <c r="AU360" s="10" t="s">
        <v>50</v>
      </c>
      <c r="AV360" s="11"/>
      <c r="AW360" s="10" t="s">
        <v>66</v>
      </c>
      <c r="AX360" s="10"/>
      <c r="AY360" s="10" t="s">
        <v>66</v>
      </c>
    </row>
    <row r="361" ht="22.5" hidden="1" customHeight="1">
      <c r="A361" s="9" t="s">
        <v>3877</v>
      </c>
      <c r="B361" s="10" t="s">
        <v>3878</v>
      </c>
      <c r="C361" s="10" t="s">
        <v>43</v>
      </c>
      <c r="D361" s="10" t="s">
        <v>1398</v>
      </c>
      <c r="E361" s="10" t="s">
        <v>66</v>
      </c>
      <c r="F361" s="11">
        <v>1.0</v>
      </c>
      <c r="G361" s="11">
        <v>80.0</v>
      </c>
      <c r="H361" s="11"/>
      <c r="I361" s="11">
        <v>-13.6</v>
      </c>
      <c r="J361" s="11">
        <v>-19.95</v>
      </c>
      <c r="K361" s="11"/>
      <c r="L361" s="11">
        <v>50.45</v>
      </c>
      <c r="M361" s="10" t="s">
        <v>46</v>
      </c>
      <c r="N361" s="10" t="s">
        <v>50</v>
      </c>
      <c r="O361" s="10" t="s">
        <v>143</v>
      </c>
      <c r="P361" s="10" t="s">
        <v>144</v>
      </c>
      <c r="Q361" s="10" t="s">
        <v>145</v>
      </c>
      <c r="R361" s="10" t="s">
        <v>74</v>
      </c>
      <c r="S361" s="11">
        <v>80.0</v>
      </c>
      <c r="T361" s="11">
        <v>33.38</v>
      </c>
      <c r="U361" s="11" t="s">
        <v>51</v>
      </c>
      <c r="V361" s="10" t="s">
        <v>52</v>
      </c>
      <c r="W361" s="10" t="s">
        <v>3879</v>
      </c>
      <c r="X361" s="10" t="s">
        <v>3880</v>
      </c>
      <c r="Y361" s="10" t="s">
        <v>3881</v>
      </c>
      <c r="Z361" s="10" t="s">
        <v>50</v>
      </c>
      <c r="AA361" s="10" t="s">
        <v>50</v>
      </c>
      <c r="AB361" s="10" t="s">
        <v>3879</v>
      </c>
      <c r="AC361" s="10" t="s">
        <v>3882</v>
      </c>
      <c r="AD361" s="10" t="s">
        <v>3883</v>
      </c>
      <c r="AE361" s="10" t="s">
        <v>1291</v>
      </c>
      <c r="AF361" s="10" t="s">
        <v>201</v>
      </c>
      <c r="AG361" s="10" t="s">
        <v>3884</v>
      </c>
      <c r="AH361" s="10" t="s">
        <v>60</v>
      </c>
      <c r="AI361" s="10" t="s">
        <v>61</v>
      </c>
      <c r="AJ361" s="10" t="s">
        <v>203</v>
      </c>
      <c r="AK361" s="10" t="s">
        <v>3885</v>
      </c>
      <c r="AL361" s="10" t="s">
        <v>64</v>
      </c>
      <c r="AM361" s="10" t="s">
        <v>3886</v>
      </c>
      <c r="AN361" s="10" t="s">
        <v>50</v>
      </c>
      <c r="AO361" s="11" t="s">
        <v>50</v>
      </c>
      <c r="AP361" s="10" t="s">
        <v>50</v>
      </c>
      <c r="AQ361" s="10" t="s">
        <v>50</v>
      </c>
      <c r="AR361" s="10" t="s">
        <v>50</v>
      </c>
      <c r="AS361" s="10" t="s">
        <v>50</v>
      </c>
      <c r="AT361" s="10" t="s">
        <v>50</v>
      </c>
      <c r="AU361" s="10" t="s">
        <v>50</v>
      </c>
      <c r="AV361" s="11"/>
      <c r="AW361" s="10" t="s">
        <v>66</v>
      </c>
      <c r="AX361" s="10"/>
      <c r="AY361" s="10" t="s">
        <v>66</v>
      </c>
    </row>
    <row r="362" ht="22.5" hidden="1" customHeight="1">
      <c r="A362" s="9" t="s">
        <v>3887</v>
      </c>
      <c r="B362" s="10" t="s">
        <v>3888</v>
      </c>
      <c r="C362" s="10" t="s">
        <v>43</v>
      </c>
      <c r="D362" s="10" t="s">
        <v>191</v>
      </c>
      <c r="E362" s="10" t="s">
        <v>66</v>
      </c>
      <c r="F362" s="11">
        <v>1.0</v>
      </c>
      <c r="G362" s="11">
        <v>120.0</v>
      </c>
      <c r="H362" s="11"/>
      <c r="I362" s="11">
        <v>-20.4</v>
      </c>
      <c r="J362" s="11">
        <v>-19.95</v>
      </c>
      <c r="K362" s="11"/>
      <c r="L362" s="11">
        <v>86.85</v>
      </c>
      <c r="M362" s="10" t="s">
        <v>46</v>
      </c>
      <c r="N362" s="10" t="s">
        <v>50</v>
      </c>
      <c r="O362" s="10" t="s">
        <v>85</v>
      </c>
      <c r="P362" s="10" t="s">
        <v>86</v>
      </c>
      <c r="Q362" s="10" t="s">
        <v>87</v>
      </c>
      <c r="R362" s="10" t="s">
        <v>74</v>
      </c>
      <c r="S362" s="11">
        <v>120.0</v>
      </c>
      <c r="T362" s="11">
        <v>65.78</v>
      </c>
      <c r="U362" s="11" t="s">
        <v>51</v>
      </c>
      <c r="V362" s="10" t="s">
        <v>52</v>
      </c>
      <c r="W362" s="10" t="s">
        <v>3889</v>
      </c>
      <c r="X362" s="10" t="s">
        <v>3890</v>
      </c>
      <c r="Y362" s="10" t="s">
        <v>3891</v>
      </c>
      <c r="Z362" s="10" t="s">
        <v>50</v>
      </c>
      <c r="AA362" s="10" t="s">
        <v>50</v>
      </c>
      <c r="AB362" s="10" t="s">
        <v>3889</v>
      </c>
      <c r="AC362" s="10" t="s">
        <v>3892</v>
      </c>
      <c r="AD362" s="10" t="s">
        <v>3893</v>
      </c>
      <c r="AE362" s="10" t="s">
        <v>3894</v>
      </c>
      <c r="AF362" s="10" t="s">
        <v>201</v>
      </c>
      <c r="AG362" s="10" t="s">
        <v>3895</v>
      </c>
      <c r="AH362" s="10" t="s">
        <v>60</v>
      </c>
      <c r="AI362" s="10" t="s">
        <v>61</v>
      </c>
      <c r="AJ362" s="10" t="s">
        <v>3279</v>
      </c>
      <c r="AK362" s="10" t="s">
        <v>3896</v>
      </c>
      <c r="AL362" s="10" t="s">
        <v>64</v>
      </c>
      <c r="AM362" s="10" t="s">
        <v>3897</v>
      </c>
      <c r="AN362" s="10" t="s">
        <v>50</v>
      </c>
      <c r="AO362" s="11" t="s">
        <v>50</v>
      </c>
      <c r="AP362" s="10" t="s">
        <v>50</v>
      </c>
      <c r="AQ362" s="10" t="s">
        <v>50</v>
      </c>
      <c r="AR362" s="10" t="s">
        <v>50</v>
      </c>
      <c r="AS362" s="10" t="s">
        <v>50</v>
      </c>
      <c r="AT362" s="10" t="s">
        <v>50</v>
      </c>
      <c r="AU362" s="10" t="s">
        <v>50</v>
      </c>
      <c r="AV362" s="11"/>
      <c r="AW362" s="10" t="s">
        <v>66</v>
      </c>
      <c r="AX362" s="10"/>
      <c r="AY362" s="10" t="s">
        <v>66</v>
      </c>
    </row>
    <row r="363" ht="22.5" hidden="1" customHeight="1">
      <c r="A363" s="9" t="s">
        <v>3898</v>
      </c>
      <c r="B363" s="10" t="s">
        <v>3899</v>
      </c>
      <c r="C363" s="10" t="s">
        <v>43</v>
      </c>
      <c r="D363" s="10" t="s">
        <v>290</v>
      </c>
      <c r="E363" s="10" t="s">
        <v>45</v>
      </c>
      <c r="F363" s="11">
        <v>1.0</v>
      </c>
      <c r="G363" s="11">
        <v>79.0</v>
      </c>
      <c r="H363" s="11"/>
      <c r="I363" s="11">
        <v>-13.43</v>
      </c>
      <c r="J363" s="11">
        <v>-20.45</v>
      </c>
      <c r="K363" s="11"/>
      <c r="L363" s="11">
        <v>45.12</v>
      </c>
      <c r="M363" s="10" t="s">
        <v>46</v>
      </c>
      <c r="N363" s="10" t="s">
        <v>45</v>
      </c>
      <c r="O363" s="10" t="s">
        <v>461</v>
      </c>
      <c r="P363" s="10" t="s">
        <v>462</v>
      </c>
      <c r="Q363" s="10" t="s">
        <v>463</v>
      </c>
      <c r="R363" s="10" t="s">
        <v>74</v>
      </c>
      <c r="S363" s="11">
        <v>79.0</v>
      </c>
      <c r="T363" s="11">
        <v>10.09</v>
      </c>
      <c r="U363" s="11" t="s">
        <v>51</v>
      </c>
      <c r="V363" s="10" t="s">
        <v>52</v>
      </c>
      <c r="W363" s="10" t="s">
        <v>3900</v>
      </c>
      <c r="X363" s="10" t="s">
        <v>3901</v>
      </c>
      <c r="Y363" s="10" t="s">
        <v>3902</v>
      </c>
      <c r="Z363" s="10" t="s">
        <v>50</v>
      </c>
      <c r="AA363" s="10" t="s">
        <v>50</v>
      </c>
      <c r="AB363" s="10" t="s">
        <v>3900</v>
      </c>
      <c r="AC363" s="10" t="s">
        <v>3903</v>
      </c>
      <c r="AD363" s="10" t="s">
        <v>3904</v>
      </c>
      <c r="AE363" s="10" t="s">
        <v>3320</v>
      </c>
      <c r="AF363" s="10" t="s">
        <v>323</v>
      </c>
      <c r="AG363" s="10" t="s">
        <v>3905</v>
      </c>
      <c r="AH363" s="10" t="s">
        <v>60</v>
      </c>
      <c r="AI363" s="10" t="s">
        <v>61</v>
      </c>
      <c r="AJ363" s="10" t="s">
        <v>3906</v>
      </c>
      <c r="AK363" s="10" t="s">
        <v>3907</v>
      </c>
      <c r="AL363" s="10" t="s">
        <v>64</v>
      </c>
      <c r="AM363" s="10" t="s">
        <v>3908</v>
      </c>
      <c r="AN363" s="10" t="s">
        <v>50</v>
      </c>
      <c r="AO363" s="11" t="s">
        <v>50</v>
      </c>
      <c r="AP363" s="10" t="s">
        <v>50</v>
      </c>
      <c r="AQ363" s="10" t="s">
        <v>50</v>
      </c>
      <c r="AR363" s="10" t="s">
        <v>50</v>
      </c>
      <c r="AS363" s="10" t="s">
        <v>50</v>
      </c>
      <c r="AT363" s="10" t="s">
        <v>50</v>
      </c>
      <c r="AU363" s="10" t="s">
        <v>50</v>
      </c>
      <c r="AV363" s="11"/>
      <c r="AW363" s="10" t="s">
        <v>66</v>
      </c>
      <c r="AX363" s="10"/>
      <c r="AY363" s="10" t="s">
        <v>66</v>
      </c>
    </row>
    <row r="364" ht="22.5" hidden="1" customHeight="1">
      <c r="A364" s="9" t="s">
        <v>3909</v>
      </c>
      <c r="B364" s="10" t="s">
        <v>3910</v>
      </c>
      <c r="C364" s="10" t="s">
        <v>43</v>
      </c>
      <c r="D364" s="10" t="s">
        <v>290</v>
      </c>
      <c r="E364" s="10" t="s">
        <v>66</v>
      </c>
      <c r="F364" s="11">
        <v>1.0</v>
      </c>
      <c r="G364" s="11">
        <v>80.0</v>
      </c>
      <c r="H364" s="11"/>
      <c r="I364" s="11">
        <v>-13.6</v>
      </c>
      <c r="J364" s="11">
        <v>-19.95</v>
      </c>
      <c r="K364" s="11"/>
      <c r="L364" s="11">
        <v>50.45</v>
      </c>
      <c r="M364" s="10" t="s">
        <v>46</v>
      </c>
      <c r="N364" s="10" t="s">
        <v>50</v>
      </c>
      <c r="O364" s="10" t="s">
        <v>143</v>
      </c>
      <c r="P364" s="10" t="s">
        <v>144</v>
      </c>
      <c r="Q364" s="10" t="s">
        <v>145</v>
      </c>
      <c r="R364" s="10" t="s">
        <v>74</v>
      </c>
      <c r="S364" s="11">
        <v>80.0</v>
      </c>
      <c r="T364" s="11">
        <v>33.38</v>
      </c>
      <c r="U364" s="11" t="s">
        <v>51</v>
      </c>
      <c r="V364" s="10" t="s">
        <v>52</v>
      </c>
      <c r="W364" s="10" t="s">
        <v>3911</v>
      </c>
      <c r="X364" s="10" t="s">
        <v>3912</v>
      </c>
      <c r="Y364" s="10" t="s">
        <v>3913</v>
      </c>
      <c r="Z364" s="10" t="s">
        <v>50</v>
      </c>
      <c r="AA364" s="10" t="s">
        <v>50</v>
      </c>
      <c r="AB364" s="10" t="s">
        <v>3911</v>
      </c>
      <c r="AC364" s="10" t="s">
        <v>3914</v>
      </c>
      <c r="AD364" s="10" t="s">
        <v>3915</v>
      </c>
      <c r="AE364" s="10" t="s">
        <v>3916</v>
      </c>
      <c r="AF364" s="10" t="s">
        <v>58</v>
      </c>
      <c r="AG364" s="10" t="s">
        <v>3917</v>
      </c>
      <c r="AH364" s="10" t="s">
        <v>60</v>
      </c>
      <c r="AI364" s="10" t="s">
        <v>61</v>
      </c>
      <c r="AJ364" s="10" t="s">
        <v>3918</v>
      </c>
      <c r="AK364" s="10" t="s">
        <v>3919</v>
      </c>
      <c r="AL364" s="10" t="s">
        <v>64</v>
      </c>
      <c r="AM364" s="10" t="s">
        <v>3920</v>
      </c>
      <c r="AN364" s="10" t="s">
        <v>3921</v>
      </c>
      <c r="AO364" s="11" t="s">
        <v>50</v>
      </c>
      <c r="AP364" s="10" t="s">
        <v>50</v>
      </c>
      <c r="AQ364" s="10" t="s">
        <v>50</v>
      </c>
      <c r="AR364" s="10" t="s">
        <v>50</v>
      </c>
      <c r="AS364" s="10" t="s">
        <v>50</v>
      </c>
      <c r="AT364" s="10" t="s">
        <v>50</v>
      </c>
      <c r="AU364" s="10" t="s">
        <v>50</v>
      </c>
      <c r="AV364" s="11"/>
      <c r="AW364" s="10" t="s">
        <v>66</v>
      </c>
      <c r="AX364" s="10"/>
      <c r="AY364" s="10" t="s">
        <v>66</v>
      </c>
    </row>
    <row r="365" ht="22.5" hidden="1" customHeight="1">
      <c r="A365" s="9" t="s">
        <v>3922</v>
      </c>
      <c r="B365" s="10" t="s">
        <v>3923</v>
      </c>
      <c r="C365" s="10" t="s">
        <v>43</v>
      </c>
      <c r="D365" s="10" t="s">
        <v>290</v>
      </c>
      <c r="E365" s="10" t="s">
        <v>66</v>
      </c>
      <c r="F365" s="11">
        <v>1.0</v>
      </c>
      <c r="G365" s="11">
        <v>43.7</v>
      </c>
      <c r="H365" s="11">
        <v>14.15</v>
      </c>
      <c r="I365" s="11">
        <v>-13.43</v>
      </c>
      <c r="J365" s="11">
        <v>-14.15</v>
      </c>
      <c r="K365" s="11"/>
      <c r="L365" s="11">
        <v>32.89</v>
      </c>
      <c r="M365" s="10" t="s">
        <v>46</v>
      </c>
      <c r="N365" s="10" t="s">
        <v>50</v>
      </c>
      <c r="O365" s="10" t="s">
        <v>176</v>
      </c>
      <c r="P365" s="10" t="s">
        <v>177</v>
      </c>
      <c r="Q365" s="10" t="s">
        <v>178</v>
      </c>
      <c r="R365" s="10" t="s">
        <v>74</v>
      </c>
      <c r="S365" s="11">
        <v>43.7</v>
      </c>
      <c r="T365" s="11">
        <v>22.58</v>
      </c>
      <c r="U365" s="11" t="s">
        <v>51</v>
      </c>
      <c r="V365" s="10" t="s">
        <v>52</v>
      </c>
      <c r="W365" s="10" t="s">
        <v>3924</v>
      </c>
      <c r="X365" s="10" t="s">
        <v>3925</v>
      </c>
      <c r="Y365" s="10" t="s">
        <v>3926</v>
      </c>
      <c r="Z365" s="10" t="s">
        <v>50</v>
      </c>
      <c r="AA365" s="10" t="s">
        <v>50</v>
      </c>
      <c r="AB365" s="10" t="s">
        <v>3924</v>
      </c>
      <c r="AC365" s="10" t="s">
        <v>3927</v>
      </c>
      <c r="AD365" s="10" t="s">
        <v>3928</v>
      </c>
      <c r="AE365" s="10" t="s">
        <v>2064</v>
      </c>
      <c r="AF365" s="10" t="s">
        <v>119</v>
      </c>
      <c r="AG365" s="10" t="s">
        <v>3929</v>
      </c>
      <c r="AH365" s="10" t="s">
        <v>60</v>
      </c>
      <c r="AI365" s="10" t="s">
        <v>61</v>
      </c>
      <c r="AJ365" s="10" t="s">
        <v>3930</v>
      </c>
      <c r="AK365" s="10" t="s">
        <v>3931</v>
      </c>
      <c r="AL365" s="10" t="s">
        <v>64</v>
      </c>
      <c r="AM365" s="10" t="s">
        <v>3932</v>
      </c>
      <c r="AN365" s="10" t="s">
        <v>50</v>
      </c>
      <c r="AO365" s="11" t="s">
        <v>50</v>
      </c>
      <c r="AP365" s="10" t="s">
        <v>50</v>
      </c>
      <c r="AQ365" s="10" t="s">
        <v>50</v>
      </c>
      <c r="AR365" s="10" t="s">
        <v>50</v>
      </c>
      <c r="AS365" s="10" t="s">
        <v>50</v>
      </c>
      <c r="AT365" s="10" t="s">
        <v>50</v>
      </c>
      <c r="AU365" s="10" t="s">
        <v>50</v>
      </c>
      <c r="AV365" s="11"/>
      <c r="AW365" s="10" t="s">
        <v>66</v>
      </c>
      <c r="AX365" s="10"/>
      <c r="AY365" s="10" t="s">
        <v>66</v>
      </c>
    </row>
    <row r="366" ht="22.5" hidden="1" customHeight="1">
      <c r="A366" s="9" t="s">
        <v>3933</v>
      </c>
      <c r="B366" s="10" t="s">
        <v>3934</v>
      </c>
      <c r="C366" s="10" t="s">
        <v>43</v>
      </c>
      <c r="D366" s="10" t="s">
        <v>2326</v>
      </c>
      <c r="E366" s="10" t="s">
        <v>45</v>
      </c>
      <c r="F366" s="11">
        <v>1.0</v>
      </c>
      <c r="G366" s="11">
        <v>80.0</v>
      </c>
      <c r="H366" s="11"/>
      <c r="I366" s="11">
        <v>-13.6</v>
      </c>
      <c r="J366" s="11">
        <v>-19.95</v>
      </c>
      <c r="K366" s="11"/>
      <c r="L366" s="11">
        <v>50.45</v>
      </c>
      <c r="M366" s="10" t="s">
        <v>46</v>
      </c>
      <c r="N366" s="10" t="s">
        <v>50</v>
      </c>
      <c r="O366" s="10" t="s">
        <v>143</v>
      </c>
      <c r="P366" s="10" t="s">
        <v>144</v>
      </c>
      <c r="Q366" s="10" t="s">
        <v>145</v>
      </c>
      <c r="R366" s="10" t="s">
        <v>74</v>
      </c>
      <c r="S366" s="11">
        <v>80.0</v>
      </c>
      <c r="T366" s="11">
        <v>33.38</v>
      </c>
      <c r="U366" s="11" t="s">
        <v>51</v>
      </c>
      <c r="V366" s="10" t="s">
        <v>52</v>
      </c>
      <c r="W366" s="10" t="s">
        <v>3935</v>
      </c>
      <c r="X366" s="10" t="s">
        <v>3936</v>
      </c>
      <c r="Y366" s="10" t="s">
        <v>3937</v>
      </c>
      <c r="Z366" s="10" t="s">
        <v>50</v>
      </c>
      <c r="AA366" s="10" t="s">
        <v>50</v>
      </c>
      <c r="AB366" s="10" t="s">
        <v>3935</v>
      </c>
      <c r="AC366" s="10" t="s">
        <v>3938</v>
      </c>
      <c r="AD366" s="10" t="s">
        <v>3939</v>
      </c>
      <c r="AE366" s="10" t="s">
        <v>322</v>
      </c>
      <c r="AF366" s="10" t="s">
        <v>323</v>
      </c>
      <c r="AG366" s="10" t="s">
        <v>3940</v>
      </c>
      <c r="AH366" s="10" t="s">
        <v>60</v>
      </c>
      <c r="AI366" s="10" t="s">
        <v>61</v>
      </c>
      <c r="AJ366" s="10" t="s">
        <v>3941</v>
      </c>
      <c r="AK366" s="10" t="s">
        <v>3942</v>
      </c>
      <c r="AL366" s="10" t="s">
        <v>64</v>
      </c>
      <c r="AM366" s="10" t="s">
        <v>3943</v>
      </c>
      <c r="AN366" s="10" t="s">
        <v>50</v>
      </c>
      <c r="AO366" s="11" t="s">
        <v>50</v>
      </c>
      <c r="AP366" s="10" t="s">
        <v>50</v>
      </c>
      <c r="AQ366" s="10" t="s">
        <v>50</v>
      </c>
      <c r="AR366" s="10" t="s">
        <v>50</v>
      </c>
      <c r="AS366" s="10" t="s">
        <v>50</v>
      </c>
      <c r="AT366" s="10" t="s">
        <v>50</v>
      </c>
      <c r="AU366" s="10" t="s">
        <v>50</v>
      </c>
      <c r="AV366" s="11"/>
      <c r="AW366" s="10" t="s">
        <v>66</v>
      </c>
      <c r="AX366" s="10"/>
      <c r="AY366" s="10" t="s">
        <v>66</v>
      </c>
    </row>
    <row r="367" ht="22.5" hidden="1" customHeight="1">
      <c r="A367" s="9" t="s">
        <v>3944</v>
      </c>
      <c r="B367" s="10" t="s">
        <v>3945</v>
      </c>
      <c r="C367" s="10" t="s">
        <v>43</v>
      </c>
      <c r="D367" s="10" t="s">
        <v>1398</v>
      </c>
      <c r="E367" s="10" t="s">
        <v>66</v>
      </c>
      <c r="F367" s="11">
        <v>1.0</v>
      </c>
      <c r="G367" s="11">
        <v>92.15</v>
      </c>
      <c r="H367" s="11"/>
      <c r="I367" s="11">
        <v>-17.51</v>
      </c>
      <c r="J367" s="11">
        <v>-20.45</v>
      </c>
      <c r="K367" s="11"/>
      <c r="L367" s="11">
        <v>59.72</v>
      </c>
      <c r="M367" s="10" t="s">
        <v>46</v>
      </c>
      <c r="N367" s="10" t="s">
        <v>50</v>
      </c>
      <c r="O367" s="10" t="s">
        <v>586</v>
      </c>
      <c r="P367" s="10" t="s">
        <v>587</v>
      </c>
      <c r="Q367" s="10" t="s">
        <v>588</v>
      </c>
      <c r="R367" s="10" t="s">
        <v>50</v>
      </c>
      <c r="S367" s="11">
        <v>92.15</v>
      </c>
      <c r="T367" s="11">
        <v>20.76</v>
      </c>
      <c r="U367" s="11" t="s">
        <v>51</v>
      </c>
      <c r="V367" s="10" t="s">
        <v>52</v>
      </c>
      <c r="W367" s="10" t="s">
        <v>3946</v>
      </c>
      <c r="X367" s="10" t="s">
        <v>3947</v>
      </c>
      <c r="Y367" s="10" t="s">
        <v>3948</v>
      </c>
      <c r="Z367" s="10" t="s">
        <v>50</v>
      </c>
      <c r="AA367" s="10" t="s">
        <v>50</v>
      </c>
      <c r="AB367" s="10" t="s">
        <v>3946</v>
      </c>
      <c r="AC367" s="10" t="s">
        <v>3949</v>
      </c>
      <c r="AD367" s="10" t="s">
        <v>3950</v>
      </c>
      <c r="AE367" s="10" t="s">
        <v>3951</v>
      </c>
      <c r="AF367" s="10" t="s">
        <v>185</v>
      </c>
      <c r="AG367" s="10" t="s">
        <v>3952</v>
      </c>
      <c r="AH367" s="10" t="s">
        <v>60</v>
      </c>
      <c r="AI367" s="10" t="s">
        <v>61</v>
      </c>
      <c r="AJ367" s="10" t="s">
        <v>3918</v>
      </c>
      <c r="AK367" s="10" t="s">
        <v>3953</v>
      </c>
      <c r="AL367" s="10" t="s">
        <v>64</v>
      </c>
      <c r="AM367" s="10" t="s">
        <v>3954</v>
      </c>
      <c r="AN367" s="10" t="s">
        <v>50</v>
      </c>
      <c r="AO367" s="11" t="s">
        <v>50</v>
      </c>
      <c r="AP367" s="10" t="s">
        <v>50</v>
      </c>
      <c r="AQ367" s="10" t="s">
        <v>50</v>
      </c>
      <c r="AR367" s="10" t="s">
        <v>50</v>
      </c>
      <c r="AS367" s="10" t="s">
        <v>50</v>
      </c>
      <c r="AT367" s="10" t="s">
        <v>50</v>
      </c>
      <c r="AU367" s="10" t="s">
        <v>50</v>
      </c>
      <c r="AV367" s="11"/>
      <c r="AW367" s="10" t="s">
        <v>66</v>
      </c>
      <c r="AX367" s="10"/>
      <c r="AY367" s="10" t="s">
        <v>66</v>
      </c>
    </row>
    <row r="368" ht="22.5" hidden="1" customHeight="1">
      <c r="A368" s="9" t="s">
        <v>3955</v>
      </c>
      <c r="B368" s="10" t="s">
        <v>3956</v>
      </c>
      <c r="C368" s="10" t="s">
        <v>43</v>
      </c>
      <c r="D368" s="10" t="s">
        <v>1262</v>
      </c>
      <c r="E368" s="10" t="s">
        <v>66</v>
      </c>
      <c r="F368" s="11">
        <v>1.0</v>
      </c>
      <c r="G368" s="11">
        <v>79.0</v>
      </c>
      <c r="H368" s="11"/>
      <c r="I368" s="11">
        <v>-13.43</v>
      </c>
      <c r="J368" s="11">
        <v>-19.95</v>
      </c>
      <c r="K368" s="11"/>
      <c r="L368" s="11">
        <v>45.62</v>
      </c>
      <c r="M368" s="10" t="s">
        <v>46</v>
      </c>
      <c r="N368" s="10" t="s">
        <v>45</v>
      </c>
      <c r="O368" s="10" t="s">
        <v>766</v>
      </c>
      <c r="P368" s="10" t="s">
        <v>767</v>
      </c>
      <c r="Q368" s="10" t="s">
        <v>768</v>
      </c>
      <c r="R368" s="10" t="s">
        <v>74</v>
      </c>
      <c r="S368" s="11">
        <v>79.0</v>
      </c>
      <c r="T368" s="11">
        <v>13.62</v>
      </c>
      <c r="U368" s="11" t="s">
        <v>51</v>
      </c>
      <c r="V368" s="10" t="s">
        <v>52</v>
      </c>
      <c r="W368" s="10" t="s">
        <v>3957</v>
      </c>
      <c r="X368" s="10" t="s">
        <v>3958</v>
      </c>
      <c r="Y368" s="10" t="s">
        <v>3959</v>
      </c>
      <c r="Z368" s="10" t="s">
        <v>50</v>
      </c>
      <c r="AA368" s="10" t="s">
        <v>50</v>
      </c>
      <c r="AB368" s="10" t="s">
        <v>3957</v>
      </c>
      <c r="AC368" s="10" t="s">
        <v>3960</v>
      </c>
      <c r="AD368" s="10" t="s">
        <v>3961</v>
      </c>
      <c r="AE368" s="10" t="s">
        <v>3962</v>
      </c>
      <c r="AF368" s="10" t="s">
        <v>284</v>
      </c>
      <c r="AG368" s="10" t="s">
        <v>3963</v>
      </c>
      <c r="AH368" s="10" t="s">
        <v>60</v>
      </c>
      <c r="AI368" s="10" t="s">
        <v>61</v>
      </c>
      <c r="AJ368" s="10" t="s">
        <v>3964</v>
      </c>
      <c r="AK368" s="10" t="s">
        <v>3965</v>
      </c>
      <c r="AL368" s="10" t="s">
        <v>64</v>
      </c>
      <c r="AM368" s="10" t="s">
        <v>3966</v>
      </c>
      <c r="AN368" s="10" t="s">
        <v>50</v>
      </c>
      <c r="AO368" s="11" t="s">
        <v>50</v>
      </c>
      <c r="AP368" s="10" t="s">
        <v>50</v>
      </c>
      <c r="AQ368" s="10" t="s">
        <v>50</v>
      </c>
      <c r="AR368" s="10" t="s">
        <v>50</v>
      </c>
      <c r="AS368" s="10" t="s">
        <v>50</v>
      </c>
      <c r="AT368" s="10" t="s">
        <v>50</v>
      </c>
      <c r="AU368" s="10" t="s">
        <v>50</v>
      </c>
      <c r="AV368" s="11"/>
      <c r="AW368" s="10" t="s">
        <v>66</v>
      </c>
      <c r="AX368" s="10"/>
      <c r="AY368" s="10" t="s">
        <v>66</v>
      </c>
    </row>
    <row r="369" ht="22.5" hidden="1" customHeight="1">
      <c r="A369" s="9" t="s">
        <v>3967</v>
      </c>
      <c r="B369" s="10" t="s">
        <v>3968</v>
      </c>
      <c r="C369" s="10" t="s">
        <v>43</v>
      </c>
      <c r="D369" s="10" t="s">
        <v>2326</v>
      </c>
      <c r="E369" s="10" t="s">
        <v>45</v>
      </c>
      <c r="F369" s="11">
        <v>1.0</v>
      </c>
      <c r="G369" s="11">
        <v>79.2</v>
      </c>
      <c r="H369" s="11"/>
      <c r="I369" s="11">
        <v>-13.46</v>
      </c>
      <c r="J369" s="11">
        <v>-20.45</v>
      </c>
      <c r="K369" s="11"/>
      <c r="L369" s="11">
        <v>50.04</v>
      </c>
      <c r="M369" s="10" t="s">
        <v>46</v>
      </c>
      <c r="N369" s="10" t="s">
        <v>45</v>
      </c>
      <c r="O369" s="10" t="s">
        <v>892</v>
      </c>
      <c r="P369" s="10" t="s">
        <v>893</v>
      </c>
      <c r="Q369" s="10" t="s">
        <v>894</v>
      </c>
      <c r="R369" s="10" t="s">
        <v>74</v>
      </c>
      <c r="S369" s="11">
        <v>79.2</v>
      </c>
      <c r="T369" s="11">
        <v>2.97</v>
      </c>
      <c r="U369" s="11" t="s">
        <v>51</v>
      </c>
      <c r="V369" s="10" t="s">
        <v>52</v>
      </c>
      <c r="W369" s="10" t="s">
        <v>3969</v>
      </c>
      <c r="X369" s="10" t="s">
        <v>3970</v>
      </c>
      <c r="Y369" s="10" t="s">
        <v>3971</v>
      </c>
      <c r="Z369" s="10" t="s">
        <v>50</v>
      </c>
      <c r="AA369" s="10" t="s">
        <v>50</v>
      </c>
      <c r="AB369" s="10" t="s">
        <v>3969</v>
      </c>
      <c r="AC369" s="10" t="s">
        <v>3972</v>
      </c>
      <c r="AD369" s="10" t="s">
        <v>3973</v>
      </c>
      <c r="AE369" s="10" t="s">
        <v>322</v>
      </c>
      <c r="AF369" s="10" t="s">
        <v>323</v>
      </c>
      <c r="AG369" s="10" t="s">
        <v>3974</v>
      </c>
      <c r="AH369" s="10" t="s">
        <v>60</v>
      </c>
      <c r="AI369" s="10" t="s">
        <v>61</v>
      </c>
      <c r="AJ369" s="10" t="s">
        <v>3941</v>
      </c>
      <c r="AK369" s="10" t="s">
        <v>3975</v>
      </c>
      <c r="AL369" s="10" t="s">
        <v>64</v>
      </c>
      <c r="AM369" s="10" t="s">
        <v>3976</v>
      </c>
      <c r="AN369" s="10" t="s">
        <v>50</v>
      </c>
      <c r="AO369" s="11" t="s">
        <v>50</v>
      </c>
      <c r="AP369" s="10" t="s">
        <v>50</v>
      </c>
      <c r="AQ369" s="10" t="s">
        <v>50</v>
      </c>
      <c r="AR369" s="10" t="s">
        <v>50</v>
      </c>
      <c r="AS369" s="10" t="s">
        <v>50</v>
      </c>
      <c r="AT369" s="10" t="s">
        <v>50</v>
      </c>
      <c r="AU369" s="10" t="s">
        <v>50</v>
      </c>
      <c r="AV369" s="11"/>
      <c r="AW369" s="10" t="s">
        <v>66</v>
      </c>
      <c r="AX369" s="10"/>
      <c r="AY369" s="10" t="s">
        <v>66</v>
      </c>
    </row>
    <row r="370" ht="22.5" hidden="1" customHeight="1">
      <c r="A370" s="9" t="s">
        <v>3977</v>
      </c>
      <c r="B370" s="10" t="s">
        <v>3978</v>
      </c>
      <c r="C370" s="10" t="s">
        <v>43</v>
      </c>
      <c r="D370" s="10" t="s">
        <v>1262</v>
      </c>
      <c r="E370" s="10" t="s">
        <v>45</v>
      </c>
      <c r="F370" s="11">
        <v>4.0</v>
      </c>
      <c r="G370" s="11">
        <v>174.8</v>
      </c>
      <c r="H370" s="11">
        <v>1.14</v>
      </c>
      <c r="I370" s="11">
        <v>-53.72</v>
      </c>
      <c r="J370" s="11">
        <v>-1.14</v>
      </c>
      <c r="K370" s="11"/>
      <c r="L370" s="11">
        <v>131.56</v>
      </c>
      <c r="M370" s="10" t="s">
        <v>46</v>
      </c>
      <c r="N370" s="10" t="s">
        <v>50</v>
      </c>
      <c r="O370" s="10" t="s">
        <v>176</v>
      </c>
      <c r="P370" s="10" t="s">
        <v>177</v>
      </c>
      <c r="Q370" s="10" t="s">
        <v>178</v>
      </c>
      <c r="R370" s="10" t="s">
        <v>74</v>
      </c>
      <c r="S370" s="11">
        <v>43.7</v>
      </c>
      <c r="T370" s="11">
        <f>4*22.58</f>
        <v>90.32</v>
      </c>
      <c r="U370" s="11" t="s">
        <v>51</v>
      </c>
      <c r="V370" s="10" t="s">
        <v>52</v>
      </c>
      <c r="W370" s="10" t="s">
        <v>3979</v>
      </c>
      <c r="X370" s="10" t="s">
        <v>3980</v>
      </c>
      <c r="Y370" s="10" t="s">
        <v>3981</v>
      </c>
      <c r="Z370" s="10" t="s">
        <v>50</v>
      </c>
      <c r="AA370" s="10" t="s">
        <v>50</v>
      </c>
      <c r="AB370" s="10" t="s">
        <v>3979</v>
      </c>
      <c r="AC370" s="10" t="s">
        <v>3982</v>
      </c>
      <c r="AD370" s="10" t="s">
        <v>3983</v>
      </c>
      <c r="AE370" s="10" t="s">
        <v>3984</v>
      </c>
      <c r="AF370" s="10" t="s">
        <v>408</v>
      </c>
      <c r="AG370" s="10" t="s">
        <v>3985</v>
      </c>
      <c r="AH370" s="10" t="s">
        <v>60</v>
      </c>
      <c r="AI370" s="10" t="s">
        <v>61</v>
      </c>
      <c r="AJ370" s="10" t="s">
        <v>298</v>
      </c>
      <c r="AK370" s="10" t="s">
        <v>3986</v>
      </c>
      <c r="AL370" s="10" t="s">
        <v>64</v>
      </c>
      <c r="AM370" s="10" t="s">
        <v>3987</v>
      </c>
      <c r="AN370" s="10" t="s">
        <v>50</v>
      </c>
      <c r="AO370" s="11" t="s">
        <v>50</v>
      </c>
      <c r="AP370" s="10" t="s">
        <v>50</v>
      </c>
      <c r="AQ370" s="10" t="s">
        <v>50</v>
      </c>
      <c r="AR370" s="10" t="s">
        <v>50</v>
      </c>
      <c r="AS370" s="10" t="s">
        <v>50</v>
      </c>
      <c r="AT370" s="10" t="s">
        <v>50</v>
      </c>
      <c r="AU370" s="10" t="s">
        <v>50</v>
      </c>
      <c r="AV370" s="11"/>
      <c r="AW370" s="10" t="s">
        <v>66</v>
      </c>
      <c r="AX370" s="10"/>
      <c r="AY370" s="10" t="s">
        <v>66</v>
      </c>
    </row>
    <row r="371" ht="22.5" hidden="1" customHeight="1">
      <c r="A371" s="9" t="s">
        <v>3988</v>
      </c>
      <c r="B371" s="10" t="s">
        <v>3989</v>
      </c>
      <c r="C371" s="10" t="s">
        <v>43</v>
      </c>
      <c r="D371" s="10" t="s">
        <v>1262</v>
      </c>
      <c r="E371" s="10" t="s">
        <v>66</v>
      </c>
      <c r="F371" s="11">
        <v>1.0</v>
      </c>
      <c r="G371" s="11">
        <v>80.0</v>
      </c>
      <c r="H371" s="11"/>
      <c r="I371" s="11">
        <v>-13.6</v>
      </c>
      <c r="J371" s="11">
        <v>-19.95</v>
      </c>
      <c r="K371" s="11"/>
      <c r="L371" s="11">
        <v>50.45</v>
      </c>
      <c r="M371" s="10" t="s">
        <v>46</v>
      </c>
      <c r="N371" s="10" t="s">
        <v>50</v>
      </c>
      <c r="O371" s="10" t="s">
        <v>143</v>
      </c>
      <c r="P371" s="10" t="s">
        <v>144</v>
      </c>
      <c r="Q371" s="10" t="s">
        <v>145</v>
      </c>
      <c r="R371" s="10" t="s">
        <v>74</v>
      </c>
      <c r="S371" s="11">
        <v>80.0</v>
      </c>
      <c r="T371" s="11">
        <v>33.38</v>
      </c>
      <c r="U371" s="11" t="s">
        <v>51</v>
      </c>
      <c r="V371" s="10" t="s">
        <v>52</v>
      </c>
      <c r="W371" s="10" t="s">
        <v>3990</v>
      </c>
      <c r="X371" s="10" t="s">
        <v>3991</v>
      </c>
      <c r="Y371" s="10" t="s">
        <v>3992</v>
      </c>
      <c r="Z371" s="10" t="s">
        <v>50</v>
      </c>
      <c r="AA371" s="10" t="s">
        <v>50</v>
      </c>
      <c r="AB371" s="10" t="s">
        <v>3990</v>
      </c>
      <c r="AC371" s="10" t="s">
        <v>3993</v>
      </c>
      <c r="AD371" s="10" t="s">
        <v>3994</v>
      </c>
      <c r="AE371" s="10" t="s">
        <v>322</v>
      </c>
      <c r="AF371" s="10" t="s">
        <v>323</v>
      </c>
      <c r="AG371" s="10" t="s">
        <v>3995</v>
      </c>
      <c r="AH371" s="10" t="s">
        <v>60</v>
      </c>
      <c r="AI371" s="10" t="s">
        <v>61</v>
      </c>
      <c r="AJ371" s="10" t="s">
        <v>3906</v>
      </c>
      <c r="AK371" s="10" t="s">
        <v>3996</v>
      </c>
      <c r="AL371" s="10" t="s">
        <v>64</v>
      </c>
      <c r="AM371" s="10" t="s">
        <v>3997</v>
      </c>
      <c r="AN371" s="10" t="s">
        <v>3998</v>
      </c>
      <c r="AO371" s="11" t="s">
        <v>50</v>
      </c>
      <c r="AP371" s="10" t="s">
        <v>50</v>
      </c>
      <c r="AQ371" s="10" t="s">
        <v>50</v>
      </c>
      <c r="AR371" s="10" t="s">
        <v>50</v>
      </c>
      <c r="AS371" s="10" t="s">
        <v>50</v>
      </c>
      <c r="AT371" s="10" t="s">
        <v>50</v>
      </c>
      <c r="AU371" s="10" t="s">
        <v>50</v>
      </c>
      <c r="AV371" s="11"/>
      <c r="AW371" s="10" t="s">
        <v>66</v>
      </c>
      <c r="AX371" s="10"/>
      <c r="AY371" s="10" t="s">
        <v>66</v>
      </c>
    </row>
    <row r="372" ht="22.5" hidden="1" customHeight="1">
      <c r="A372" s="9" t="s">
        <v>3999</v>
      </c>
      <c r="B372" s="10" t="s">
        <v>4000</v>
      </c>
      <c r="C372" s="10" t="s">
        <v>43</v>
      </c>
      <c r="D372" s="10" t="s">
        <v>290</v>
      </c>
      <c r="E372" s="10" t="s">
        <v>45</v>
      </c>
      <c r="F372" s="11">
        <v>1.0</v>
      </c>
      <c r="G372" s="11">
        <v>120.0</v>
      </c>
      <c r="H372" s="11"/>
      <c r="I372" s="11">
        <v>-20.4</v>
      </c>
      <c r="J372" s="11">
        <v>-19.95</v>
      </c>
      <c r="K372" s="11"/>
      <c r="L372" s="11">
        <v>86.85</v>
      </c>
      <c r="M372" s="10" t="s">
        <v>46</v>
      </c>
      <c r="N372" s="10" t="s">
        <v>45</v>
      </c>
      <c r="O372" s="10" t="s">
        <v>85</v>
      </c>
      <c r="P372" s="10" t="s">
        <v>86</v>
      </c>
      <c r="Q372" s="10" t="s">
        <v>87</v>
      </c>
      <c r="R372" s="10" t="s">
        <v>74</v>
      </c>
      <c r="S372" s="11">
        <v>120.0</v>
      </c>
      <c r="T372" s="11">
        <v>65.78</v>
      </c>
      <c r="U372" s="11" t="s">
        <v>51</v>
      </c>
      <c r="V372" s="10" t="s">
        <v>52</v>
      </c>
      <c r="W372" s="10" t="s">
        <v>4001</v>
      </c>
      <c r="X372" s="10" t="s">
        <v>4002</v>
      </c>
      <c r="Y372" s="10" t="s">
        <v>4003</v>
      </c>
      <c r="Z372" s="10" t="s">
        <v>50</v>
      </c>
      <c r="AA372" s="10" t="s">
        <v>50</v>
      </c>
      <c r="AB372" s="10" t="s">
        <v>4001</v>
      </c>
      <c r="AC372" s="10" t="s">
        <v>4004</v>
      </c>
      <c r="AD372" s="10" t="s">
        <v>4005</v>
      </c>
      <c r="AE372" s="10" t="s">
        <v>3019</v>
      </c>
      <c r="AF372" s="10" t="s">
        <v>58</v>
      </c>
      <c r="AG372" s="10" t="s">
        <v>4006</v>
      </c>
      <c r="AH372" s="10" t="s">
        <v>60</v>
      </c>
      <c r="AI372" s="10" t="s">
        <v>61</v>
      </c>
      <c r="AJ372" s="10" t="s">
        <v>3918</v>
      </c>
      <c r="AK372" s="10" t="s">
        <v>4007</v>
      </c>
      <c r="AL372" s="10" t="s">
        <v>64</v>
      </c>
      <c r="AM372" s="10" t="s">
        <v>4008</v>
      </c>
      <c r="AN372" s="10" t="s">
        <v>50</v>
      </c>
      <c r="AO372" s="11" t="s">
        <v>50</v>
      </c>
      <c r="AP372" s="10" t="s">
        <v>50</v>
      </c>
      <c r="AQ372" s="10" t="s">
        <v>50</v>
      </c>
      <c r="AR372" s="10" t="s">
        <v>50</v>
      </c>
      <c r="AS372" s="10" t="s">
        <v>50</v>
      </c>
      <c r="AT372" s="10" t="s">
        <v>50</v>
      </c>
      <c r="AU372" s="10" t="s">
        <v>50</v>
      </c>
      <c r="AV372" s="11"/>
      <c r="AW372" s="10" t="s">
        <v>66</v>
      </c>
      <c r="AX372" s="10"/>
      <c r="AY372" s="10" t="s">
        <v>66</v>
      </c>
    </row>
    <row r="373" ht="22.5" hidden="1" customHeight="1">
      <c r="A373" s="9" t="s">
        <v>4009</v>
      </c>
      <c r="B373" s="10" t="s">
        <v>4010</v>
      </c>
      <c r="C373" s="10" t="s">
        <v>43</v>
      </c>
      <c r="D373" s="10" t="s">
        <v>290</v>
      </c>
      <c r="E373" s="10" t="s">
        <v>66</v>
      </c>
      <c r="F373" s="11">
        <v>1.0</v>
      </c>
      <c r="G373" s="11">
        <v>120.0</v>
      </c>
      <c r="H373" s="11"/>
      <c r="I373" s="11">
        <v>-20.4</v>
      </c>
      <c r="J373" s="11">
        <v>-19.95</v>
      </c>
      <c r="K373" s="11"/>
      <c r="L373" s="11">
        <v>86.85</v>
      </c>
      <c r="M373" s="10" t="s">
        <v>46</v>
      </c>
      <c r="N373" s="10" t="s">
        <v>45</v>
      </c>
      <c r="O373" s="10" t="s">
        <v>85</v>
      </c>
      <c r="P373" s="10" t="s">
        <v>86</v>
      </c>
      <c r="Q373" s="10" t="s">
        <v>87</v>
      </c>
      <c r="R373" s="10" t="s">
        <v>74</v>
      </c>
      <c r="S373" s="11">
        <v>120.0</v>
      </c>
      <c r="T373" s="11">
        <v>65.78</v>
      </c>
      <c r="U373" s="11" t="s">
        <v>51</v>
      </c>
      <c r="V373" s="10" t="s">
        <v>52</v>
      </c>
      <c r="W373" s="10" t="s">
        <v>4011</v>
      </c>
      <c r="X373" s="10" t="s">
        <v>4012</v>
      </c>
      <c r="Y373" s="10" t="s">
        <v>4013</v>
      </c>
      <c r="Z373" s="10" t="s">
        <v>50</v>
      </c>
      <c r="AA373" s="10" t="s">
        <v>50</v>
      </c>
      <c r="AB373" s="10" t="s">
        <v>4011</v>
      </c>
      <c r="AC373" s="10" t="s">
        <v>4014</v>
      </c>
      <c r="AD373" s="10" t="s">
        <v>4015</v>
      </c>
      <c r="AE373" s="10" t="s">
        <v>4016</v>
      </c>
      <c r="AF373" s="10" t="s">
        <v>323</v>
      </c>
      <c r="AG373" s="10" t="s">
        <v>4017</v>
      </c>
      <c r="AH373" s="10" t="s">
        <v>60</v>
      </c>
      <c r="AI373" s="10" t="s">
        <v>61</v>
      </c>
      <c r="AJ373" s="10" t="s">
        <v>4018</v>
      </c>
      <c r="AK373" s="10" t="s">
        <v>4019</v>
      </c>
      <c r="AL373" s="10" t="s">
        <v>64</v>
      </c>
      <c r="AM373" s="10" t="s">
        <v>4020</v>
      </c>
      <c r="AN373" s="10" t="s">
        <v>50</v>
      </c>
      <c r="AO373" s="11" t="s">
        <v>50</v>
      </c>
      <c r="AP373" s="10" t="s">
        <v>50</v>
      </c>
      <c r="AQ373" s="10" t="s">
        <v>50</v>
      </c>
      <c r="AR373" s="10" t="s">
        <v>50</v>
      </c>
      <c r="AS373" s="10" t="s">
        <v>50</v>
      </c>
      <c r="AT373" s="10" t="s">
        <v>50</v>
      </c>
      <c r="AU373" s="10" t="s">
        <v>50</v>
      </c>
      <c r="AV373" s="11"/>
      <c r="AW373" s="10" t="s">
        <v>66</v>
      </c>
      <c r="AX373" s="10"/>
      <c r="AY373" s="10" t="s">
        <v>66</v>
      </c>
    </row>
    <row r="374" ht="22.5" hidden="1" customHeight="1">
      <c r="A374" s="9" t="s">
        <v>4021</v>
      </c>
      <c r="B374" s="10" t="s">
        <v>4022</v>
      </c>
      <c r="C374" s="10" t="s">
        <v>43</v>
      </c>
      <c r="D374" s="10" t="s">
        <v>1262</v>
      </c>
      <c r="E374" s="10" t="s">
        <v>45</v>
      </c>
      <c r="F374" s="11">
        <v>1.0</v>
      </c>
      <c r="G374" s="11">
        <v>79.2</v>
      </c>
      <c r="H374" s="11"/>
      <c r="I374" s="11">
        <v>-13.46</v>
      </c>
      <c r="J374" s="11">
        <v>-20.45</v>
      </c>
      <c r="K374" s="11"/>
      <c r="L374" s="11">
        <v>45.29</v>
      </c>
      <c r="M374" s="10" t="s">
        <v>46</v>
      </c>
      <c r="N374" s="10" t="s">
        <v>50</v>
      </c>
      <c r="O374" s="10" t="s">
        <v>892</v>
      </c>
      <c r="P374" s="10" t="s">
        <v>893</v>
      </c>
      <c r="Q374" s="10" t="s">
        <v>894</v>
      </c>
      <c r="R374" s="10" t="s">
        <v>74</v>
      </c>
      <c r="S374" s="11">
        <v>79.2</v>
      </c>
      <c r="T374" s="11">
        <v>2.97</v>
      </c>
      <c r="U374" s="11" t="s">
        <v>51</v>
      </c>
      <c r="V374" s="10" t="s">
        <v>52</v>
      </c>
      <c r="W374" s="10" t="s">
        <v>4023</v>
      </c>
      <c r="X374" s="10" t="s">
        <v>4024</v>
      </c>
      <c r="Y374" s="10" t="s">
        <v>4025</v>
      </c>
      <c r="Z374" s="10" t="s">
        <v>50</v>
      </c>
      <c r="AA374" s="10" t="s">
        <v>50</v>
      </c>
      <c r="AB374" s="10" t="s">
        <v>4023</v>
      </c>
      <c r="AC374" s="10" t="s">
        <v>4026</v>
      </c>
      <c r="AD374" s="10" t="s">
        <v>4027</v>
      </c>
      <c r="AE374" s="10" t="s">
        <v>3244</v>
      </c>
      <c r="AF374" s="10" t="s">
        <v>58</v>
      </c>
      <c r="AG374" s="10" t="s">
        <v>4028</v>
      </c>
      <c r="AH374" s="10" t="s">
        <v>60</v>
      </c>
      <c r="AI374" s="10" t="s">
        <v>61</v>
      </c>
      <c r="AJ374" s="10" t="s">
        <v>4029</v>
      </c>
      <c r="AK374" s="10" t="s">
        <v>4030</v>
      </c>
      <c r="AL374" s="10" t="s">
        <v>64</v>
      </c>
      <c r="AM374" s="10" t="s">
        <v>4031</v>
      </c>
      <c r="AN374" s="10" t="s">
        <v>4032</v>
      </c>
      <c r="AO374" s="11" t="s">
        <v>50</v>
      </c>
      <c r="AP374" s="10" t="s">
        <v>50</v>
      </c>
      <c r="AQ374" s="10" t="s">
        <v>50</v>
      </c>
      <c r="AR374" s="10" t="s">
        <v>50</v>
      </c>
      <c r="AS374" s="10" t="s">
        <v>50</v>
      </c>
      <c r="AT374" s="10" t="s">
        <v>50</v>
      </c>
      <c r="AU374" s="10" t="s">
        <v>50</v>
      </c>
      <c r="AV374" s="11"/>
      <c r="AW374" s="10" t="s">
        <v>66</v>
      </c>
      <c r="AX374" s="10"/>
      <c r="AY374" s="10" t="s">
        <v>66</v>
      </c>
    </row>
    <row r="375" ht="22.5" hidden="1" customHeight="1">
      <c r="A375" s="9" t="s">
        <v>4033</v>
      </c>
      <c r="B375" s="10" t="s">
        <v>4034</v>
      </c>
      <c r="C375" s="10" t="s">
        <v>43</v>
      </c>
      <c r="D375" s="10" t="s">
        <v>759</v>
      </c>
      <c r="E375" s="10" t="s">
        <v>66</v>
      </c>
      <c r="F375" s="11">
        <v>1.0</v>
      </c>
      <c r="G375" s="11">
        <v>120.0</v>
      </c>
      <c r="H375" s="11"/>
      <c r="I375" s="11">
        <v>-20.4</v>
      </c>
      <c r="J375" s="11">
        <v>-19.95</v>
      </c>
      <c r="K375" s="11"/>
      <c r="L375" s="11">
        <v>86.85</v>
      </c>
      <c r="M375" s="10" t="s">
        <v>46</v>
      </c>
      <c r="N375" s="10" t="s">
        <v>45</v>
      </c>
      <c r="O375" s="10" t="s">
        <v>85</v>
      </c>
      <c r="P375" s="10" t="s">
        <v>86</v>
      </c>
      <c r="Q375" s="10" t="s">
        <v>87</v>
      </c>
      <c r="R375" s="10" t="s">
        <v>74</v>
      </c>
      <c r="S375" s="11">
        <v>120.0</v>
      </c>
      <c r="T375" s="11">
        <v>65.78</v>
      </c>
      <c r="U375" s="11" t="s">
        <v>51</v>
      </c>
      <c r="V375" s="10" t="s">
        <v>52</v>
      </c>
      <c r="W375" s="10" t="s">
        <v>4035</v>
      </c>
      <c r="X375" s="10" t="s">
        <v>4036</v>
      </c>
      <c r="Y375" s="10" t="s">
        <v>4037</v>
      </c>
      <c r="Z375" s="10" t="s">
        <v>50</v>
      </c>
      <c r="AA375" s="10" t="s">
        <v>50</v>
      </c>
      <c r="AB375" s="10" t="s">
        <v>4035</v>
      </c>
      <c r="AC375" s="10" t="s">
        <v>4038</v>
      </c>
      <c r="AD375" s="10" t="s">
        <v>4039</v>
      </c>
      <c r="AE375" s="10" t="s">
        <v>4040</v>
      </c>
      <c r="AF375" s="10" t="s">
        <v>2158</v>
      </c>
      <c r="AG375" s="10" t="s">
        <v>4041</v>
      </c>
      <c r="AH375" s="10" t="s">
        <v>60</v>
      </c>
      <c r="AI375" s="10" t="s">
        <v>61</v>
      </c>
      <c r="AJ375" s="10" t="s">
        <v>4042</v>
      </c>
      <c r="AK375" s="10" t="s">
        <v>1486</v>
      </c>
      <c r="AL375" s="10" t="s">
        <v>64</v>
      </c>
      <c r="AM375" s="10" t="s">
        <v>4043</v>
      </c>
      <c r="AN375" s="10" t="s">
        <v>50</v>
      </c>
      <c r="AO375" s="11" t="s">
        <v>50</v>
      </c>
      <c r="AP375" s="10" t="s">
        <v>50</v>
      </c>
      <c r="AQ375" s="10" t="s">
        <v>50</v>
      </c>
      <c r="AR375" s="10" t="s">
        <v>50</v>
      </c>
      <c r="AS375" s="10" t="s">
        <v>50</v>
      </c>
      <c r="AT375" s="10" t="s">
        <v>50</v>
      </c>
      <c r="AU375" s="10" t="s">
        <v>50</v>
      </c>
      <c r="AV375" s="11"/>
      <c r="AW375" s="10" t="s">
        <v>66</v>
      </c>
      <c r="AX375" s="10"/>
      <c r="AY375" s="10" t="s">
        <v>66</v>
      </c>
    </row>
    <row r="376" ht="22.5" hidden="1" customHeight="1">
      <c r="A376" s="9" t="s">
        <v>4044</v>
      </c>
      <c r="B376" s="10" t="s">
        <v>4045</v>
      </c>
      <c r="C376" s="10" t="s">
        <v>43</v>
      </c>
      <c r="D376" s="10" t="s">
        <v>2326</v>
      </c>
      <c r="E376" s="10" t="s">
        <v>66</v>
      </c>
      <c r="F376" s="11">
        <v>1.0</v>
      </c>
      <c r="G376" s="11">
        <v>120.0</v>
      </c>
      <c r="H376" s="11"/>
      <c r="I376" s="11">
        <v>-20.4</v>
      </c>
      <c r="J376" s="11">
        <v>-19.95</v>
      </c>
      <c r="K376" s="11"/>
      <c r="L376" s="11">
        <v>79.65</v>
      </c>
      <c r="M376" s="10" t="s">
        <v>46</v>
      </c>
      <c r="N376" s="10" t="s">
        <v>45</v>
      </c>
      <c r="O376" s="10" t="s">
        <v>85</v>
      </c>
      <c r="P376" s="10" t="s">
        <v>86</v>
      </c>
      <c r="Q376" s="10" t="s">
        <v>87</v>
      </c>
      <c r="R376" s="10" t="s">
        <v>74</v>
      </c>
      <c r="S376" s="11">
        <v>120.0</v>
      </c>
      <c r="T376" s="11">
        <v>65.78</v>
      </c>
      <c r="U376" s="11" t="s">
        <v>51</v>
      </c>
      <c r="V376" s="10" t="s">
        <v>52</v>
      </c>
      <c r="W376" s="10" t="s">
        <v>4046</v>
      </c>
      <c r="X376" s="10" t="s">
        <v>4047</v>
      </c>
      <c r="Y376" s="10" t="s">
        <v>4048</v>
      </c>
      <c r="Z376" s="10" t="s">
        <v>50</v>
      </c>
      <c r="AA376" s="10" t="s">
        <v>50</v>
      </c>
      <c r="AB376" s="10" t="s">
        <v>4046</v>
      </c>
      <c r="AC376" s="10" t="s">
        <v>4049</v>
      </c>
      <c r="AD376" s="10" t="s">
        <v>4050</v>
      </c>
      <c r="AE376" s="10" t="s">
        <v>322</v>
      </c>
      <c r="AF376" s="10" t="s">
        <v>323</v>
      </c>
      <c r="AG376" s="10" t="s">
        <v>4051</v>
      </c>
      <c r="AH376" s="10" t="s">
        <v>60</v>
      </c>
      <c r="AI376" s="10" t="s">
        <v>61</v>
      </c>
      <c r="AJ376" s="10" t="s">
        <v>3906</v>
      </c>
      <c r="AK376" s="10" t="s">
        <v>4052</v>
      </c>
      <c r="AL376" s="10" t="s">
        <v>64</v>
      </c>
      <c r="AM376" s="10" t="s">
        <v>4053</v>
      </c>
      <c r="AN376" s="10" t="s">
        <v>50</v>
      </c>
      <c r="AO376" s="11" t="s">
        <v>50</v>
      </c>
      <c r="AP376" s="10" t="s">
        <v>50</v>
      </c>
      <c r="AQ376" s="10" t="s">
        <v>50</v>
      </c>
      <c r="AR376" s="10" t="s">
        <v>50</v>
      </c>
      <c r="AS376" s="10" t="s">
        <v>50</v>
      </c>
      <c r="AT376" s="10" t="s">
        <v>50</v>
      </c>
      <c r="AU376" s="10" t="s">
        <v>50</v>
      </c>
      <c r="AV376" s="11"/>
      <c r="AW376" s="10" t="s">
        <v>66</v>
      </c>
      <c r="AX376" s="10"/>
      <c r="AY376" s="10" t="s">
        <v>66</v>
      </c>
    </row>
    <row r="377" ht="22.5" hidden="1" customHeight="1">
      <c r="A377" s="9" t="s">
        <v>4054</v>
      </c>
      <c r="B377" s="10" t="s">
        <v>4055</v>
      </c>
      <c r="C377" s="10" t="s">
        <v>43</v>
      </c>
      <c r="D377" s="10" t="s">
        <v>1262</v>
      </c>
      <c r="E377" s="10" t="s">
        <v>66</v>
      </c>
      <c r="F377" s="11">
        <v>1.0</v>
      </c>
      <c r="G377" s="11">
        <v>120.0</v>
      </c>
      <c r="H377" s="11"/>
      <c r="I377" s="11">
        <v>-20.4</v>
      </c>
      <c r="J377" s="11">
        <v>-19.95</v>
      </c>
      <c r="K377" s="11"/>
      <c r="L377" s="11">
        <v>86.85</v>
      </c>
      <c r="M377" s="10" t="s">
        <v>46</v>
      </c>
      <c r="N377" s="10" t="s">
        <v>50</v>
      </c>
      <c r="O377" s="10" t="s">
        <v>85</v>
      </c>
      <c r="P377" s="10" t="s">
        <v>86</v>
      </c>
      <c r="Q377" s="10" t="s">
        <v>87</v>
      </c>
      <c r="R377" s="10" t="s">
        <v>74</v>
      </c>
      <c r="S377" s="11">
        <v>120.0</v>
      </c>
      <c r="T377" s="11">
        <v>65.78</v>
      </c>
      <c r="U377" s="11" t="s">
        <v>51</v>
      </c>
      <c r="V377" s="10" t="s">
        <v>52</v>
      </c>
      <c r="W377" s="10" t="s">
        <v>4056</v>
      </c>
      <c r="X377" s="10" t="s">
        <v>4057</v>
      </c>
      <c r="Y377" s="10" t="s">
        <v>4058</v>
      </c>
      <c r="Z377" s="10" t="s">
        <v>50</v>
      </c>
      <c r="AA377" s="10" t="s">
        <v>50</v>
      </c>
      <c r="AB377" s="10" t="s">
        <v>4056</v>
      </c>
      <c r="AC377" s="10" t="s">
        <v>4059</v>
      </c>
      <c r="AD377" s="10" t="s">
        <v>4060</v>
      </c>
      <c r="AE377" s="10" t="s">
        <v>1089</v>
      </c>
      <c r="AF377" s="10" t="s">
        <v>284</v>
      </c>
      <c r="AG377" s="10" t="s">
        <v>4061</v>
      </c>
      <c r="AH377" s="10" t="s">
        <v>60</v>
      </c>
      <c r="AI377" s="10" t="s">
        <v>61</v>
      </c>
      <c r="AJ377" s="10" t="s">
        <v>3964</v>
      </c>
      <c r="AK377" s="10" t="s">
        <v>4062</v>
      </c>
      <c r="AL377" s="10" t="s">
        <v>64</v>
      </c>
      <c r="AM377" s="10" t="s">
        <v>4063</v>
      </c>
      <c r="AN377" s="10" t="s">
        <v>50</v>
      </c>
      <c r="AO377" s="11" t="s">
        <v>50</v>
      </c>
      <c r="AP377" s="10" t="s">
        <v>50</v>
      </c>
      <c r="AQ377" s="10" t="s">
        <v>50</v>
      </c>
      <c r="AR377" s="10" t="s">
        <v>50</v>
      </c>
      <c r="AS377" s="10" t="s">
        <v>50</v>
      </c>
      <c r="AT377" s="10" t="s">
        <v>50</v>
      </c>
      <c r="AU377" s="10" t="s">
        <v>50</v>
      </c>
      <c r="AV377" s="11"/>
      <c r="AW377" s="10" t="s">
        <v>66</v>
      </c>
      <c r="AX377" s="10"/>
      <c r="AY377" s="10" t="s">
        <v>66</v>
      </c>
    </row>
    <row r="378" ht="22.5" hidden="1" customHeight="1">
      <c r="A378" s="9" t="s">
        <v>4064</v>
      </c>
      <c r="B378" s="10" t="s">
        <v>4065</v>
      </c>
      <c r="C378" s="10" t="s">
        <v>43</v>
      </c>
      <c r="D378" s="10" t="s">
        <v>290</v>
      </c>
      <c r="E378" s="10" t="s">
        <v>66</v>
      </c>
      <c r="F378" s="11">
        <v>1.0</v>
      </c>
      <c r="G378" s="11">
        <v>43.7</v>
      </c>
      <c r="H378" s="11">
        <v>17.0</v>
      </c>
      <c r="I378" s="11">
        <v>-13.43</v>
      </c>
      <c r="J378" s="11">
        <v>-17.0</v>
      </c>
      <c r="K378" s="11"/>
      <c r="L378" s="11">
        <v>32.89</v>
      </c>
      <c r="M378" s="10" t="s">
        <v>46</v>
      </c>
      <c r="N378" s="10" t="s">
        <v>50</v>
      </c>
      <c r="O378" s="10" t="s">
        <v>176</v>
      </c>
      <c r="P378" s="10" t="s">
        <v>177</v>
      </c>
      <c r="Q378" s="10" t="s">
        <v>178</v>
      </c>
      <c r="R378" s="10" t="s">
        <v>74</v>
      </c>
      <c r="S378" s="11">
        <v>43.7</v>
      </c>
      <c r="T378" s="11">
        <v>22.58</v>
      </c>
      <c r="U378" s="11" t="s">
        <v>51</v>
      </c>
      <c r="V378" s="10" t="s">
        <v>52</v>
      </c>
      <c r="W378" s="10" t="s">
        <v>4066</v>
      </c>
      <c r="X378" s="10" t="s">
        <v>4067</v>
      </c>
      <c r="Y378" s="10" t="s">
        <v>4068</v>
      </c>
      <c r="Z378" s="10" t="s">
        <v>50</v>
      </c>
      <c r="AA378" s="10" t="s">
        <v>50</v>
      </c>
      <c r="AB378" s="10" t="s">
        <v>4066</v>
      </c>
      <c r="AC378" s="10" t="s">
        <v>4069</v>
      </c>
      <c r="AD378" s="10" t="s">
        <v>4070</v>
      </c>
      <c r="AE378" s="10" t="s">
        <v>4071</v>
      </c>
      <c r="AF378" s="10" t="s">
        <v>323</v>
      </c>
      <c r="AG378" s="10" t="s">
        <v>4072</v>
      </c>
      <c r="AH378" s="10" t="s">
        <v>60</v>
      </c>
      <c r="AI378" s="10" t="s">
        <v>61</v>
      </c>
      <c r="AJ378" s="10" t="s">
        <v>3918</v>
      </c>
      <c r="AK378" s="10" t="s">
        <v>4073</v>
      </c>
      <c r="AL378" s="10" t="s">
        <v>64</v>
      </c>
      <c r="AM378" s="10" t="s">
        <v>4074</v>
      </c>
      <c r="AN378" s="10" t="s">
        <v>50</v>
      </c>
      <c r="AO378" s="11" t="s">
        <v>50</v>
      </c>
      <c r="AP378" s="10" t="s">
        <v>50</v>
      </c>
      <c r="AQ378" s="10" t="s">
        <v>50</v>
      </c>
      <c r="AR378" s="10" t="s">
        <v>50</v>
      </c>
      <c r="AS378" s="10" t="s">
        <v>50</v>
      </c>
      <c r="AT378" s="10" t="s">
        <v>50</v>
      </c>
      <c r="AU378" s="10" t="s">
        <v>50</v>
      </c>
      <c r="AV378" s="11"/>
      <c r="AW378" s="10" t="s">
        <v>66</v>
      </c>
      <c r="AX378" s="10"/>
      <c r="AY378" s="10" t="s">
        <v>66</v>
      </c>
    </row>
    <row r="379" ht="22.5" hidden="1" customHeight="1">
      <c r="A379" s="9" t="s">
        <v>4075</v>
      </c>
      <c r="B379" s="10" t="s">
        <v>4076</v>
      </c>
      <c r="C379" s="10" t="s">
        <v>43</v>
      </c>
      <c r="D379" s="10" t="s">
        <v>1262</v>
      </c>
      <c r="E379" s="10" t="s">
        <v>66</v>
      </c>
      <c r="F379" s="11">
        <v>1.0</v>
      </c>
      <c r="G379" s="11">
        <v>120.0</v>
      </c>
      <c r="H379" s="11">
        <v>13.45</v>
      </c>
      <c r="I379" s="11">
        <v>-20.4</v>
      </c>
      <c r="J379" s="11">
        <v>-33.4</v>
      </c>
      <c r="K379" s="11"/>
      <c r="L379" s="11">
        <v>86.85</v>
      </c>
      <c r="M379" s="10" t="s">
        <v>46</v>
      </c>
      <c r="N379" s="10" t="s">
        <v>45</v>
      </c>
      <c r="O379" s="10" t="s">
        <v>85</v>
      </c>
      <c r="P379" s="10" t="s">
        <v>86</v>
      </c>
      <c r="Q379" s="10" t="s">
        <v>87</v>
      </c>
      <c r="R379" s="10" t="s">
        <v>74</v>
      </c>
      <c r="S379" s="11">
        <v>120.0</v>
      </c>
      <c r="T379" s="11">
        <v>65.78</v>
      </c>
      <c r="U379" s="11" t="s">
        <v>51</v>
      </c>
      <c r="V379" s="10" t="s">
        <v>52</v>
      </c>
      <c r="W379" s="10" t="s">
        <v>4077</v>
      </c>
      <c r="X379" s="10" t="s">
        <v>4078</v>
      </c>
      <c r="Y379" s="10" t="s">
        <v>4079</v>
      </c>
      <c r="Z379" s="10" t="s">
        <v>50</v>
      </c>
      <c r="AA379" s="10" t="s">
        <v>50</v>
      </c>
      <c r="AB379" s="10" t="s">
        <v>4077</v>
      </c>
      <c r="AC379" s="10" t="s">
        <v>4080</v>
      </c>
      <c r="AD379" s="10" t="s">
        <v>4081</v>
      </c>
      <c r="AE379" s="10" t="s">
        <v>4082</v>
      </c>
      <c r="AF379" s="10" t="s">
        <v>2648</v>
      </c>
      <c r="AG379" s="10" t="s">
        <v>4083</v>
      </c>
      <c r="AH379" s="10" t="s">
        <v>60</v>
      </c>
      <c r="AI379" s="10" t="s">
        <v>61</v>
      </c>
      <c r="AJ379" s="10" t="s">
        <v>298</v>
      </c>
      <c r="AK379" s="10" t="s">
        <v>4084</v>
      </c>
      <c r="AL379" s="10" t="s">
        <v>64</v>
      </c>
      <c r="AM379" s="10" t="s">
        <v>4085</v>
      </c>
      <c r="AN379" s="10" t="s">
        <v>50</v>
      </c>
      <c r="AO379" s="11" t="s">
        <v>50</v>
      </c>
      <c r="AP379" s="10" t="s">
        <v>50</v>
      </c>
      <c r="AQ379" s="10" t="s">
        <v>50</v>
      </c>
      <c r="AR379" s="10" t="s">
        <v>50</v>
      </c>
      <c r="AS379" s="10" t="s">
        <v>50</v>
      </c>
      <c r="AT379" s="10" t="s">
        <v>50</v>
      </c>
      <c r="AU379" s="10" t="s">
        <v>50</v>
      </c>
      <c r="AV379" s="11"/>
      <c r="AW379" s="10" t="s">
        <v>66</v>
      </c>
      <c r="AX379" s="10"/>
      <c r="AY379" s="10" t="s">
        <v>66</v>
      </c>
    </row>
    <row r="380" ht="22.5" hidden="1" customHeight="1">
      <c r="A380" s="9" t="s">
        <v>4086</v>
      </c>
      <c r="B380" s="10" t="s">
        <v>4087</v>
      </c>
      <c r="C380" s="10" t="s">
        <v>43</v>
      </c>
      <c r="D380" s="10" t="s">
        <v>2326</v>
      </c>
      <c r="E380" s="10" t="s">
        <v>66</v>
      </c>
      <c r="F380" s="11">
        <v>1.0</v>
      </c>
      <c r="G380" s="11">
        <v>120.0</v>
      </c>
      <c r="H380" s="11"/>
      <c r="I380" s="11">
        <v>-20.4</v>
      </c>
      <c r="J380" s="11">
        <v>-19.95</v>
      </c>
      <c r="K380" s="11"/>
      <c r="L380" s="11">
        <v>86.85</v>
      </c>
      <c r="M380" s="10" t="s">
        <v>46</v>
      </c>
      <c r="N380" s="10" t="s">
        <v>50</v>
      </c>
      <c r="O380" s="10" t="s">
        <v>85</v>
      </c>
      <c r="P380" s="10" t="s">
        <v>86</v>
      </c>
      <c r="Q380" s="10" t="s">
        <v>87</v>
      </c>
      <c r="R380" s="10" t="s">
        <v>74</v>
      </c>
      <c r="S380" s="11">
        <v>120.0</v>
      </c>
      <c r="T380" s="11">
        <v>65.78</v>
      </c>
      <c r="U380" s="11" t="s">
        <v>51</v>
      </c>
      <c r="V380" s="10" t="s">
        <v>52</v>
      </c>
      <c r="W380" s="10" t="s">
        <v>4088</v>
      </c>
      <c r="X380" s="10" t="s">
        <v>4089</v>
      </c>
      <c r="Y380" s="10" t="s">
        <v>4090</v>
      </c>
      <c r="Z380" s="10" t="s">
        <v>50</v>
      </c>
      <c r="AA380" s="10" t="s">
        <v>50</v>
      </c>
      <c r="AB380" s="10" t="s">
        <v>4088</v>
      </c>
      <c r="AC380" s="10" t="s">
        <v>4091</v>
      </c>
      <c r="AD380" s="10" t="s">
        <v>4092</v>
      </c>
      <c r="AE380" s="10" t="s">
        <v>2076</v>
      </c>
      <c r="AF380" s="10" t="s">
        <v>151</v>
      </c>
      <c r="AG380" s="10" t="s">
        <v>4093</v>
      </c>
      <c r="AH380" s="10" t="s">
        <v>60</v>
      </c>
      <c r="AI380" s="10" t="s">
        <v>61</v>
      </c>
      <c r="AJ380" s="10" t="s">
        <v>4094</v>
      </c>
      <c r="AK380" s="10" t="s">
        <v>4095</v>
      </c>
      <c r="AL380" s="10" t="s">
        <v>64</v>
      </c>
      <c r="AM380" s="10" t="s">
        <v>4096</v>
      </c>
      <c r="AN380" s="10" t="s">
        <v>50</v>
      </c>
      <c r="AO380" s="11" t="s">
        <v>50</v>
      </c>
      <c r="AP380" s="10" t="s">
        <v>50</v>
      </c>
      <c r="AQ380" s="10" t="s">
        <v>50</v>
      </c>
      <c r="AR380" s="10" t="s">
        <v>50</v>
      </c>
      <c r="AS380" s="10" t="s">
        <v>50</v>
      </c>
      <c r="AT380" s="10" t="s">
        <v>50</v>
      </c>
      <c r="AU380" s="10" t="s">
        <v>50</v>
      </c>
      <c r="AV380" s="11"/>
      <c r="AW380" s="10" t="s">
        <v>66</v>
      </c>
      <c r="AX380" s="10"/>
      <c r="AY380" s="10" t="s">
        <v>66</v>
      </c>
    </row>
    <row r="381" ht="22.5" hidden="1" customHeight="1">
      <c r="A381" s="9" t="s">
        <v>4097</v>
      </c>
      <c r="B381" s="10" t="s">
        <v>4098</v>
      </c>
      <c r="C381" s="10" t="s">
        <v>43</v>
      </c>
      <c r="D381" s="10" t="s">
        <v>290</v>
      </c>
      <c r="E381" s="10" t="s">
        <v>45</v>
      </c>
      <c r="F381" s="11">
        <v>2.0</v>
      </c>
      <c r="G381" s="11">
        <v>87.4</v>
      </c>
      <c r="H381" s="11"/>
      <c r="I381" s="11">
        <v>-26.86</v>
      </c>
      <c r="J381" s="11"/>
      <c r="K381" s="11"/>
      <c r="L381" s="11">
        <v>65.78</v>
      </c>
      <c r="M381" s="10" t="s">
        <v>46</v>
      </c>
      <c r="N381" s="10" t="s">
        <v>45</v>
      </c>
      <c r="O381" s="10" t="s">
        <v>176</v>
      </c>
      <c r="P381" s="10" t="s">
        <v>177</v>
      </c>
      <c r="Q381" s="10" t="s">
        <v>178</v>
      </c>
      <c r="R381" s="10" t="s">
        <v>74</v>
      </c>
      <c r="S381" s="11">
        <v>43.7</v>
      </c>
      <c r="T381" s="11">
        <f>2*22.58</f>
        <v>45.16</v>
      </c>
      <c r="U381" s="11" t="s">
        <v>51</v>
      </c>
      <c r="V381" s="10" t="s">
        <v>52</v>
      </c>
      <c r="W381" s="10" t="s">
        <v>4099</v>
      </c>
      <c r="X381" s="10" t="s">
        <v>4100</v>
      </c>
      <c r="Y381" s="10" t="s">
        <v>4101</v>
      </c>
      <c r="Z381" s="10" t="s">
        <v>50</v>
      </c>
      <c r="AA381" s="10" t="s">
        <v>50</v>
      </c>
      <c r="AB381" s="10" t="s">
        <v>4099</v>
      </c>
      <c r="AC381" s="10" t="s">
        <v>4102</v>
      </c>
      <c r="AD381" s="10" t="s">
        <v>4103</v>
      </c>
      <c r="AE381" s="10" t="s">
        <v>833</v>
      </c>
      <c r="AF381" s="10" t="s">
        <v>58</v>
      </c>
      <c r="AG381" s="10" t="s">
        <v>4104</v>
      </c>
      <c r="AH381" s="10" t="s">
        <v>60</v>
      </c>
      <c r="AI381" s="10" t="s">
        <v>61</v>
      </c>
      <c r="AJ381" s="10" t="s">
        <v>4105</v>
      </c>
      <c r="AK381" s="10" t="s">
        <v>4106</v>
      </c>
      <c r="AL381" s="10" t="s">
        <v>64</v>
      </c>
      <c r="AM381" s="10" t="s">
        <v>4107</v>
      </c>
      <c r="AN381" s="10" t="s">
        <v>50</v>
      </c>
      <c r="AO381" s="11" t="s">
        <v>50</v>
      </c>
      <c r="AP381" s="10" t="s">
        <v>50</v>
      </c>
      <c r="AQ381" s="10" t="s">
        <v>50</v>
      </c>
      <c r="AR381" s="10" t="s">
        <v>50</v>
      </c>
      <c r="AS381" s="10" t="s">
        <v>50</v>
      </c>
      <c r="AT381" s="10" t="s">
        <v>50</v>
      </c>
      <c r="AU381" s="10" t="s">
        <v>50</v>
      </c>
      <c r="AV381" s="11"/>
      <c r="AW381" s="10" t="s">
        <v>66</v>
      </c>
      <c r="AX381" s="10"/>
      <c r="AY381" s="10" t="s">
        <v>66</v>
      </c>
    </row>
    <row r="382" ht="22.5" hidden="1" customHeight="1">
      <c r="A382" s="9" t="s">
        <v>4108</v>
      </c>
      <c r="B382" s="10" t="s">
        <v>4109</v>
      </c>
      <c r="C382" s="10" t="s">
        <v>43</v>
      </c>
      <c r="D382" s="10" t="s">
        <v>2326</v>
      </c>
      <c r="E382" s="10" t="s">
        <v>66</v>
      </c>
      <c r="F382" s="11">
        <v>1.0</v>
      </c>
      <c r="G382" s="11">
        <v>79.0</v>
      </c>
      <c r="H382" s="11"/>
      <c r="I382" s="11">
        <v>-13.43</v>
      </c>
      <c r="J382" s="11">
        <v>-19.95</v>
      </c>
      <c r="K382" s="11"/>
      <c r="L382" s="11">
        <v>45.62</v>
      </c>
      <c r="M382" s="10" t="s">
        <v>46</v>
      </c>
      <c r="N382" s="10" t="s">
        <v>45</v>
      </c>
      <c r="O382" s="10" t="s">
        <v>766</v>
      </c>
      <c r="P382" s="10" t="s">
        <v>767</v>
      </c>
      <c r="Q382" s="10" t="s">
        <v>768</v>
      </c>
      <c r="R382" s="10" t="s">
        <v>74</v>
      </c>
      <c r="S382" s="11">
        <v>79.0</v>
      </c>
      <c r="T382" s="11">
        <v>13.62</v>
      </c>
      <c r="U382" s="11" t="s">
        <v>51</v>
      </c>
      <c r="V382" s="10" t="s">
        <v>52</v>
      </c>
      <c r="W382" s="10" t="s">
        <v>4110</v>
      </c>
      <c r="X382" s="10" t="s">
        <v>4111</v>
      </c>
      <c r="Y382" s="10" t="s">
        <v>4112</v>
      </c>
      <c r="Z382" s="10" t="s">
        <v>50</v>
      </c>
      <c r="AA382" s="10" t="s">
        <v>50</v>
      </c>
      <c r="AB382" s="10" t="s">
        <v>4110</v>
      </c>
      <c r="AC382" s="10" t="s">
        <v>4113</v>
      </c>
      <c r="AD382" s="10" t="s">
        <v>4114</v>
      </c>
      <c r="AE382" s="10" t="s">
        <v>151</v>
      </c>
      <c r="AF382" s="10" t="s">
        <v>151</v>
      </c>
      <c r="AG382" s="10" t="s">
        <v>4115</v>
      </c>
      <c r="AH382" s="10" t="s">
        <v>60</v>
      </c>
      <c r="AI382" s="10" t="s">
        <v>61</v>
      </c>
      <c r="AJ382" s="10" t="s">
        <v>4116</v>
      </c>
      <c r="AK382" s="10" t="s">
        <v>4117</v>
      </c>
      <c r="AL382" s="10" t="s">
        <v>64</v>
      </c>
      <c r="AM382" s="10" t="s">
        <v>4118</v>
      </c>
      <c r="AN382" s="10" t="s">
        <v>50</v>
      </c>
      <c r="AO382" s="11" t="s">
        <v>50</v>
      </c>
      <c r="AP382" s="10" t="s">
        <v>50</v>
      </c>
      <c r="AQ382" s="10" t="s">
        <v>50</v>
      </c>
      <c r="AR382" s="10" t="s">
        <v>50</v>
      </c>
      <c r="AS382" s="10" t="s">
        <v>50</v>
      </c>
      <c r="AT382" s="10" t="s">
        <v>50</v>
      </c>
      <c r="AU382" s="10" t="s">
        <v>50</v>
      </c>
      <c r="AV382" s="11"/>
      <c r="AW382" s="10" t="s">
        <v>66</v>
      </c>
      <c r="AX382" s="10"/>
      <c r="AY382" s="10" t="s">
        <v>66</v>
      </c>
    </row>
    <row r="383" ht="22.5" hidden="1" customHeight="1">
      <c r="A383" s="9" t="s">
        <v>4119</v>
      </c>
      <c r="B383" s="10" t="s">
        <v>4120</v>
      </c>
      <c r="C383" s="10" t="s">
        <v>43</v>
      </c>
      <c r="D383" s="10" t="s">
        <v>1262</v>
      </c>
      <c r="E383" s="10" t="s">
        <v>45</v>
      </c>
      <c r="F383" s="11">
        <v>1.0</v>
      </c>
      <c r="G383" s="11">
        <v>120.0</v>
      </c>
      <c r="H383" s="11"/>
      <c r="I383" s="11">
        <v>-20.4</v>
      </c>
      <c r="J383" s="11">
        <v>-19.95</v>
      </c>
      <c r="K383" s="11"/>
      <c r="L383" s="11">
        <v>86.85</v>
      </c>
      <c r="M383" s="10" t="s">
        <v>46</v>
      </c>
      <c r="N383" s="10" t="s">
        <v>50</v>
      </c>
      <c r="O383" s="10" t="s">
        <v>85</v>
      </c>
      <c r="P383" s="10" t="s">
        <v>86</v>
      </c>
      <c r="Q383" s="10" t="s">
        <v>87</v>
      </c>
      <c r="R383" s="10" t="s">
        <v>74</v>
      </c>
      <c r="S383" s="11">
        <v>120.0</v>
      </c>
      <c r="T383" s="11">
        <v>65.78</v>
      </c>
      <c r="U383" s="11" t="s">
        <v>51</v>
      </c>
      <c r="V383" s="10" t="s">
        <v>52</v>
      </c>
      <c r="W383" s="10" t="s">
        <v>4121</v>
      </c>
      <c r="X383" s="10" t="s">
        <v>4122</v>
      </c>
      <c r="Y383" s="10" t="s">
        <v>4123</v>
      </c>
      <c r="Z383" s="10" t="s">
        <v>50</v>
      </c>
      <c r="AA383" s="10" t="s">
        <v>50</v>
      </c>
      <c r="AB383" s="10" t="s">
        <v>4121</v>
      </c>
      <c r="AC383" s="10" t="s">
        <v>4124</v>
      </c>
      <c r="AD383" s="10" t="s">
        <v>4125</v>
      </c>
      <c r="AE383" s="10" t="s">
        <v>4126</v>
      </c>
      <c r="AF383" s="10" t="s">
        <v>119</v>
      </c>
      <c r="AG383" s="10" t="s">
        <v>4127</v>
      </c>
      <c r="AH383" s="10" t="s">
        <v>60</v>
      </c>
      <c r="AI383" s="10" t="s">
        <v>61</v>
      </c>
      <c r="AJ383" s="10" t="s">
        <v>3964</v>
      </c>
      <c r="AK383" s="10" t="s">
        <v>4128</v>
      </c>
      <c r="AL383" s="10" t="s">
        <v>64</v>
      </c>
      <c r="AM383" s="10" t="s">
        <v>4129</v>
      </c>
      <c r="AN383" s="10" t="s">
        <v>50</v>
      </c>
      <c r="AO383" s="11" t="s">
        <v>50</v>
      </c>
      <c r="AP383" s="10" t="s">
        <v>50</v>
      </c>
      <c r="AQ383" s="10" t="s">
        <v>50</v>
      </c>
      <c r="AR383" s="10" t="s">
        <v>50</v>
      </c>
      <c r="AS383" s="10" t="s">
        <v>50</v>
      </c>
      <c r="AT383" s="10" t="s">
        <v>50</v>
      </c>
      <c r="AU383" s="10" t="s">
        <v>50</v>
      </c>
      <c r="AV383" s="11"/>
      <c r="AW383" s="10" t="s">
        <v>66</v>
      </c>
      <c r="AX383" s="10"/>
      <c r="AY383" s="10" t="s">
        <v>66</v>
      </c>
    </row>
    <row r="384" ht="22.5" hidden="1" customHeight="1">
      <c r="A384" s="9" t="s">
        <v>4130</v>
      </c>
      <c r="B384" s="10" t="s">
        <v>4131</v>
      </c>
      <c r="C384" s="10" t="s">
        <v>43</v>
      </c>
      <c r="D384" s="10" t="s">
        <v>290</v>
      </c>
      <c r="E384" s="10" t="s">
        <v>45</v>
      </c>
      <c r="F384" s="11">
        <v>1.0</v>
      </c>
      <c r="G384" s="11">
        <v>120.0</v>
      </c>
      <c r="H384" s="11"/>
      <c r="I384" s="11">
        <v>-20.4</v>
      </c>
      <c r="J384" s="11">
        <v>-19.95</v>
      </c>
      <c r="K384" s="11"/>
      <c r="L384" s="11">
        <v>86.85</v>
      </c>
      <c r="M384" s="10" t="s">
        <v>46</v>
      </c>
      <c r="N384" s="10" t="s">
        <v>45</v>
      </c>
      <c r="O384" s="10" t="s">
        <v>85</v>
      </c>
      <c r="P384" s="10" t="s">
        <v>86</v>
      </c>
      <c r="Q384" s="10" t="s">
        <v>87</v>
      </c>
      <c r="R384" s="10" t="s">
        <v>74</v>
      </c>
      <c r="S384" s="11">
        <v>120.0</v>
      </c>
      <c r="T384" s="11">
        <v>65.78</v>
      </c>
      <c r="U384" s="11" t="s">
        <v>51</v>
      </c>
      <c r="V384" s="10" t="s">
        <v>52</v>
      </c>
      <c r="W384" s="10" t="s">
        <v>4132</v>
      </c>
      <c r="X384" s="10" t="s">
        <v>4133</v>
      </c>
      <c r="Y384" s="10" t="s">
        <v>4134</v>
      </c>
      <c r="Z384" s="10" t="s">
        <v>50</v>
      </c>
      <c r="AA384" s="10" t="s">
        <v>50</v>
      </c>
      <c r="AB384" s="10" t="s">
        <v>4132</v>
      </c>
      <c r="AC384" s="10" t="s">
        <v>4135</v>
      </c>
      <c r="AD384" s="10" t="s">
        <v>4136</v>
      </c>
      <c r="AE384" s="10" t="s">
        <v>58</v>
      </c>
      <c r="AF384" s="10" t="s">
        <v>58</v>
      </c>
      <c r="AG384" s="10" t="s">
        <v>4137</v>
      </c>
      <c r="AH384" s="10" t="s">
        <v>60</v>
      </c>
      <c r="AI384" s="10" t="s">
        <v>61</v>
      </c>
      <c r="AJ384" s="10" t="s">
        <v>3930</v>
      </c>
      <c r="AK384" s="10" t="s">
        <v>4138</v>
      </c>
      <c r="AL384" s="10" t="s">
        <v>64</v>
      </c>
      <c r="AM384" s="10" t="s">
        <v>4139</v>
      </c>
      <c r="AN384" s="10" t="s">
        <v>50</v>
      </c>
      <c r="AO384" s="11" t="s">
        <v>50</v>
      </c>
      <c r="AP384" s="10" t="s">
        <v>50</v>
      </c>
      <c r="AQ384" s="10" t="s">
        <v>50</v>
      </c>
      <c r="AR384" s="10" t="s">
        <v>50</v>
      </c>
      <c r="AS384" s="10" t="s">
        <v>50</v>
      </c>
      <c r="AT384" s="10" t="s">
        <v>50</v>
      </c>
      <c r="AU384" s="10" t="s">
        <v>50</v>
      </c>
      <c r="AV384" s="11"/>
      <c r="AW384" s="10" t="s">
        <v>66</v>
      </c>
      <c r="AX384" s="10"/>
      <c r="AY384" s="10" t="s">
        <v>66</v>
      </c>
    </row>
    <row r="385" ht="22.5" hidden="1" customHeight="1">
      <c r="A385" s="9" t="s">
        <v>4140</v>
      </c>
      <c r="B385" s="10" t="s">
        <v>4141</v>
      </c>
      <c r="C385" s="10" t="s">
        <v>43</v>
      </c>
      <c r="D385" s="10" t="s">
        <v>290</v>
      </c>
      <c r="E385" s="10" t="s">
        <v>66</v>
      </c>
      <c r="F385" s="11">
        <v>1.0</v>
      </c>
      <c r="G385" s="11">
        <v>43.7</v>
      </c>
      <c r="H385" s="11">
        <v>14.63</v>
      </c>
      <c r="I385" s="11">
        <v>-13.43</v>
      </c>
      <c r="J385" s="11">
        <v>-14.63</v>
      </c>
      <c r="K385" s="11"/>
      <c r="L385" s="11">
        <v>32.89</v>
      </c>
      <c r="M385" s="10" t="s">
        <v>46</v>
      </c>
      <c r="N385" s="10" t="s">
        <v>45</v>
      </c>
      <c r="O385" s="10" t="s">
        <v>176</v>
      </c>
      <c r="P385" s="10" t="s">
        <v>177</v>
      </c>
      <c r="Q385" s="10" t="s">
        <v>178</v>
      </c>
      <c r="R385" s="10" t="s">
        <v>74</v>
      </c>
      <c r="S385" s="11">
        <v>43.7</v>
      </c>
      <c r="T385" s="11">
        <v>22.58</v>
      </c>
      <c r="U385" s="11" t="s">
        <v>51</v>
      </c>
      <c r="V385" s="10" t="s">
        <v>52</v>
      </c>
      <c r="W385" s="10" t="s">
        <v>4142</v>
      </c>
      <c r="X385" s="10" t="s">
        <v>4143</v>
      </c>
      <c r="Y385" s="10" t="s">
        <v>4144</v>
      </c>
      <c r="Z385" s="10" t="s">
        <v>50</v>
      </c>
      <c r="AA385" s="10" t="s">
        <v>50</v>
      </c>
      <c r="AB385" s="10" t="s">
        <v>4142</v>
      </c>
      <c r="AC385" s="10" t="s">
        <v>4145</v>
      </c>
      <c r="AD385" s="10" t="s">
        <v>4146</v>
      </c>
      <c r="AE385" s="10" t="s">
        <v>58</v>
      </c>
      <c r="AF385" s="10" t="s">
        <v>58</v>
      </c>
      <c r="AG385" s="10" t="s">
        <v>4147</v>
      </c>
      <c r="AH385" s="10" t="s">
        <v>60</v>
      </c>
      <c r="AI385" s="10" t="s">
        <v>61</v>
      </c>
      <c r="AJ385" s="10" t="s">
        <v>4029</v>
      </c>
      <c r="AK385" s="10" t="s">
        <v>4148</v>
      </c>
      <c r="AL385" s="10" t="s">
        <v>64</v>
      </c>
      <c r="AM385" s="10" t="s">
        <v>4149</v>
      </c>
      <c r="AN385" s="10" t="s">
        <v>50</v>
      </c>
      <c r="AO385" s="11" t="s">
        <v>50</v>
      </c>
      <c r="AP385" s="10" t="s">
        <v>50</v>
      </c>
      <c r="AQ385" s="10" t="s">
        <v>50</v>
      </c>
      <c r="AR385" s="10" t="s">
        <v>50</v>
      </c>
      <c r="AS385" s="10" t="s">
        <v>50</v>
      </c>
      <c r="AT385" s="10" t="s">
        <v>50</v>
      </c>
      <c r="AU385" s="10" t="s">
        <v>50</v>
      </c>
      <c r="AV385" s="11"/>
      <c r="AW385" s="10" t="s">
        <v>66</v>
      </c>
      <c r="AX385" s="10"/>
      <c r="AY385" s="10" t="s">
        <v>66</v>
      </c>
    </row>
    <row r="386" ht="22.5" hidden="1" customHeight="1">
      <c r="A386" s="9" t="s">
        <v>4150</v>
      </c>
      <c r="B386" s="10" t="s">
        <v>4151</v>
      </c>
      <c r="C386" s="10" t="s">
        <v>43</v>
      </c>
      <c r="D386" s="10" t="s">
        <v>1262</v>
      </c>
      <c r="E386" s="10" t="s">
        <v>45</v>
      </c>
      <c r="F386" s="11">
        <v>1.0</v>
      </c>
      <c r="G386" s="11">
        <v>80.0</v>
      </c>
      <c r="H386" s="11"/>
      <c r="I386" s="11">
        <v>-13.6</v>
      </c>
      <c r="J386" s="11">
        <v>-19.95</v>
      </c>
      <c r="K386" s="11"/>
      <c r="L386" s="11">
        <v>50.45</v>
      </c>
      <c r="M386" s="10" t="s">
        <v>46</v>
      </c>
      <c r="N386" s="10" t="s">
        <v>50</v>
      </c>
      <c r="O386" s="10" t="s">
        <v>143</v>
      </c>
      <c r="P386" s="10" t="s">
        <v>144</v>
      </c>
      <c r="Q386" s="10" t="s">
        <v>145</v>
      </c>
      <c r="R386" s="10" t="s">
        <v>74</v>
      </c>
      <c r="S386" s="11">
        <v>80.0</v>
      </c>
      <c r="T386" s="11">
        <v>33.38</v>
      </c>
      <c r="U386" s="11" t="s">
        <v>51</v>
      </c>
      <c r="V386" s="10" t="s">
        <v>52</v>
      </c>
      <c r="W386" s="10" t="s">
        <v>4152</v>
      </c>
      <c r="X386" s="10" t="s">
        <v>4153</v>
      </c>
      <c r="Y386" s="10" t="s">
        <v>4154</v>
      </c>
      <c r="Z386" s="10" t="s">
        <v>50</v>
      </c>
      <c r="AA386" s="10" t="s">
        <v>50</v>
      </c>
      <c r="AB386" s="10" t="s">
        <v>4152</v>
      </c>
      <c r="AC386" s="10" t="s">
        <v>4155</v>
      </c>
      <c r="AD386" s="10" t="s">
        <v>4156</v>
      </c>
      <c r="AE386" s="10" t="s">
        <v>4157</v>
      </c>
      <c r="AF386" s="10" t="s">
        <v>775</v>
      </c>
      <c r="AG386" s="10" t="s">
        <v>4158</v>
      </c>
      <c r="AH386" s="10" t="s">
        <v>60</v>
      </c>
      <c r="AI386" s="10" t="s">
        <v>61</v>
      </c>
      <c r="AJ386" s="10" t="s">
        <v>4159</v>
      </c>
      <c r="AK386" s="10" t="s">
        <v>4160</v>
      </c>
      <c r="AL386" s="10" t="s">
        <v>64</v>
      </c>
      <c r="AM386" s="10" t="s">
        <v>4161</v>
      </c>
      <c r="AN386" s="10" t="s">
        <v>50</v>
      </c>
      <c r="AO386" s="11" t="s">
        <v>50</v>
      </c>
      <c r="AP386" s="10" t="s">
        <v>50</v>
      </c>
      <c r="AQ386" s="10" t="s">
        <v>50</v>
      </c>
      <c r="AR386" s="10" t="s">
        <v>50</v>
      </c>
      <c r="AS386" s="10" t="s">
        <v>50</v>
      </c>
      <c r="AT386" s="10" t="s">
        <v>50</v>
      </c>
      <c r="AU386" s="10" t="s">
        <v>50</v>
      </c>
      <c r="AV386" s="11"/>
      <c r="AW386" s="10" t="s">
        <v>66</v>
      </c>
      <c r="AX386" s="10"/>
      <c r="AY386" s="10" t="s">
        <v>66</v>
      </c>
    </row>
    <row r="387" ht="22.5" hidden="1" customHeight="1">
      <c r="A387" s="9" t="s">
        <v>4162</v>
      </c>
      <c r="B387" s="10" t="s">
        <v>4163</v>
      </c>
      <c r="C387" s="10" t="s">
        <v>43</v>
      </c>
      <c r="D387" s="10" t="s">
        <v>290</v>
      </c>
      <c r="E387" s="10" t="s">
        <v>66</v>
      </c>
      <c r="F387" s="11">
        <v>1.0</v>
      </c>
      <c r="G387" s="11">
        <v>120.0</v>
      </c>
      <c r="H387" s="11"/>
      <c r="I387" s="11">
        <v>-20.4</v>
      </c>
      <c r="J387" s="11">
        <v>-19.95</v>
      </c>
      <c r="K387" s="11"/>
      <c r="L387" s="11">
        <v>86.85</v>
      </c>
      <c r="M387" s="10" t="s">
        <v>46</v>
      </c>
      <c r="N387" s="10" t="s">
        <v>45</v>
      </c>
      <c r="O387" s="10" t="s">
        <v>85</v>
      </c>
      <c r="P387" s="10" t="s">
        <v>86</v>
      </c>
      <c r="Q387" s="10" t="s">
        <v>87</v>
      </c>
      <c r="R387" s="10" t="s">
        <v>74</v>
      </c>
      <c r="S387" s="11">
        <v>120.0</v>
      </c>
      <c r="T387" s="11">
        <v>65.78</v>
      </c>
      <c r="U387" s="11" t="s">
        <v>51</v>
      </c>
      <c r="V387" s="10" t="s">
        <v>52</v>
      </c>
      <c r="W387" s="10" t="s">
        <v>4164</v>
      </c>
      <c r="X387" s="10" t="s">
        <v>4165</v>
      </c>
      <c r="Y387" s="10" t="s">
        <v>4166</v>
      </c>
      <c r="Z387" s="10" t="s">
        <v>50</v>
      </c>
      <c r="AA387" s="10" t="s">
        <v>50</v>
      </c>
      <c r="AB387" s="10" t="s">
        <v>4164</v>
      </c>
      <c r="AC387" s="10" t="s">
        <v>4167</v>
      </c>
      <c r="AD387" s="10" t="s">
        <v>4168</v>
      </c>
      <c r="AE387" s="10" t="s">
        <v>4169</v>
      </c>
      <c r="AF387" s="10" t="s">
        <v>136</v>
      </c>
      <c r="AG387" s="10" t="s">
        <v>4170</v>
      </c>
      <c r="AH387" s="10" t="s">
        <v>60</v>
      </c>
      <c r="AI387" s="10" t="s">
        <v>61</v>
      </c>
      <c r="AJ387" s="10" t="s">
        <v>4171</v>
      </c>
      <c r="AK387" s="10" t="s">
        <v>4172</v>
      </c>
      <c r="AL387" s="10" t="s">
        <v>64</v>
      </c>
      <c r="AM387" s="10" t="s">
        <v>4173</v>
      </c>
      <c r="AN387" s="10" t="s">
        <v>50</v>
      </c>
      <c r="AO387" s="11" t="s">
        <v>50</v>
      </c>
      <c r="AP387" s="10" t="s">
        <v>50</v>
      </c>
      <c r="AQ387" s="10" t="s">
        <v>50</v>
      </c>
      <c r="AR387" s="10" t="s">
        <v>50</v>
      </c>
      <c r="AS387" s="10" t="s">
        <v>50</v>
      </c>
      <c r="AT387" s="10" t="s">
        <v>50</v>
      </c>
      <c r="AU387" s="10" t="s">
        <v>50</v>
      </c>
      <c r="AV387" s="11"/>
      <c r="AW387" s="10" t="s">
        <v>66</v>
      </c>
      <c r="AX387" s="10"/>
      <c r="AY387" s="10" t="s">
        <v>66</v>
      </c>
    </row>
    <row r="388" ht="22.5" hidden="1" customHeight="1">
      <c r="A388" s="9" t="s">
        <v>4174</v>
      </c>
      <c r="B388" s="10" t="s">
        <v>4175</v>
      </c>
      <c r="C388" s="10" t="s">
        <v>43</v>
      </c>
      <c r="D388" s="10" t="s">
        <v>2326</v>
      </c>
      <c r="E388" s="10" t="s">
        <v>66</v>
      </c>
      <c r="F388" s="11">
        <v>1.0</v>
      </c>
      <c r="G388" s="11">
        <v>120.0</v>
      </c>
      <c r="H388" s="11"/>
      <c r="I388" s="11">
        <v>-20.4</v>
      </c>
      <c r="J388" s="11">
        <v>-19.95</v>
      </c>
      <c r="K388" s="11"/>
      <c r="L388" s="11">
        <v>86.85</v>
      </c>
      <c r="M388" s="10" t="s">
        <v>46</v>
      </c>
      <c r="N388" s="10" t="s">
        <v>45</v>
      </c>
      <c r="O388" s="10" t="s">
        <v>85</v>
      </c>
      <c r="P388" s="10" t="s">
        <v>86</v>
      </c>
      <c r="Q388" s="10" t="s">
        <v>87</v>
      </c>
      <c r="R388" s="10" t="s">
        <v>74</v>
      </c>
      <c r="S388" s="11">
        <v>120.0</v>
      </c>
      <c r="T388" s="11">
        <v>65.78</v>
      </c>
      <c r="U388" s="11" t="s">
        <v>51</v>
      </c>
      <c r="V388" s="10" t="s">
        <v>52</v>
      </c>
      <c r="W388" s="10" t="s">
        <v>4176</v>
      </c>
      <c r="X388" s="10" t="s">
        <v>4177</v>
      </c>
      <c r="Y388" s="10" t="s">
        <v>4178</v>
      </c>
      <c r="Z388" s="10" t="s">
        <v>50</v>
      </c>
      <c r="AA388" s="10" t="s">
        <v>50</v>
      </c>
      <c r="AB388" s="10" t="s">
        <v>4176</v>
      </c>
      <c r="AC388" s="10" t="s">
        <v>4179</v>
      </c>
      <c r="AD388" s="10" t="s">
        <v>4180</v>
      </c>
      <c r="AE388" s="10" t="s">
        <v>151</v>
      </c>
      <c r="AF388" s="10" t="s">
        <v>151</v>
      </c>
      <c r="AG388" s="10" t="s">
        <v>4181</v>
      </c>
      <c r="AH388" s="10" t="s">
        <v>60</v>
      </c>
      <c r="AI388" s="10" t="s">
        <v>61</v>
      </c>
      <c r="AJ388" s="10" t="s">
        <v>4182</v>
      </c>
      <c r="AK388" s="10" t="s">
        <v>4183</v>
      </c>
      <c r="AL388" s="10" t="s">
        <v>64</v>
      </c>
      <c r="AM388" s="10" t="s">
        <v>4184</v>
      </c>
      <c r="AN388" s="10" t="s">
        <v>50</v>
      </c>
      <c r="AO388" s="11" t="s">
        <v>50</v>
      </c>
      <c r="AP388" s="10" t="s">
        <v>50</v>
      </c>
      <c r="AQ388" s="10" t="s">
        <v>50</v>
      </c>
      <c r="AR388" s="10" t="s">
        <v>50</v>
      </c>
      <c r="AS388" s="10" t="s">
        <v>50</v>
      </c>
      <c r="AT388" s="10" t="s">
        <v>50</v>
      </c>
      <c r="AU388" s="10" t="s">
        <v>50</v>
      </c>
      <c r="AV388" s="11"/>
      <c r="AW388" s="10" t="s">
        <v>66</v>
      </c>
      <c r="AX388" s="10"/>
      <c r="AY388" s="10" t="s">
        <v>66</v>
      </c>
    </row>
    <row r="389" ht="22.5" hidden="1" customHeight="1">
      <c r="A389" s="9" t="s">
        <v>4185</v>
      </c>
      <c r="B389" s="10" t="s">
        <v>4186</v>
      </c>
      <c r="C389" s="10" t="s">
        <v>43</v>
      </c>
      <c r="D389" s="10" t="s">
        <v>2326</v>
      </c>
      <c r="E389" s="10" t="s">
        <v>66</v>
      </c>
      <c r="F389" s="11">
        <v>1.0</v>
      </c>
      <c r="G389" s="11">
        <v>120.0</v>
      </c>
      <c r="H389" s="11"/>
      <c r="I389" s="11">
        <v>-20.4</v>
      </c>
      <c r="J389" s="11">
        <v>-19.95</v>
      </c>
      <c r="K389" s="11"/>
      <c r="L389" s="11">
        <v>86.85</v>
      </c>
      <c r="M389" s="10" t="s">
        <v>46</v>
      </c>
      <c r="N389" s="10" t="s">
        <v>45</v>
      </c>
      <c r="O389" s="10" t="s">
        <v>85</v>
      </c>
      <c r="P389" s="10" t="s">
        <v>86</v>
      </c>
      <c r="Q389" s="10" t="s">
        <v>87</v>
      </c>
      <c r="R389" s="10" t="s">
        <v>74</v>
      </c>
      <c r="S389" s="11">
        <v>120.0</v>
      </c>
      <c r="T389" s="11">
        <v>65.78</v>
      </c>
      <c r="U389" s="11" t="s">
        <v>51</v>
      </c>
      <c r="V389" s="10" t="s">
        <v>52</v>
      </c>
      <c r="W389" s="10" t="s">
        <v>4187</v>
      </c>
      <c r="X389" s="10" t="s">
        <v>4188</v>
      </c>
      <c r="Y389" s="10" t="s">
        <v>4189</v>
      </c>
      <c r="Z389" s="10" t="s">
        <v>50</v>
      </c>
      <c r="AA389" s="10" t="s">
        <v>50</v>
      </c>
      <c r="AB389" s="10" t="s">
        <v>4187</v>
      </c>
      <c r="AC389" s="10" t="s">
        <v>4190</v>
      </c>
      <c r="AD389" s="10" t="s">
        <v>4191</v>
      </c>
      <c r="AE389" s="10" t="s">
        <v>1474</v>
      </c>
      <c r="AF389" s="10" t="s">
        <v>151</v>
      </c>
      <c r="AG389" s="10" t="s">
        <v>4192</v>
      </c>
      <c r="AH389" s="10" t="s">
        <v>60</v>
      </c>
      <c r="AI389" s="10" t="s">
        <v>61</v>
      </c>
      <c r="AJ389" s="10" t="s">
        <v>4193</v>
      </c>
      <c r="AK389" s="10" t="s">
        <v>4194</v>
      </c>
      <c r="AL389" s="10" t="s">
        <v>64</v>
      </c>
      <c r="AM389" s="10" t="s">
        <v>4195</v>
      </c>
      <c r="AN389" s="10" t="s">
        <v>50</v>
      </c>
      <c r="AO389" s="11" t="s">
        <v>50</v>
      </c>
      <c r="AP389" s="10" t="s">
        <v>50</v>
      </c>
      <c r="AQ389" s="10" t="s">
        <v>50</v>
      </c>
      <c r="AR389" s="10" t="s">
        <v>50</v>
      </c>
      <c r="AS389" s="10" t="s">
        <v>50</v>
      </c>
      <c r="AT389" s="10" t="s">
        <v>50</v>
      </c>
      <c r="AU389" s="10" t="s">
        <v>50</v>
      </c>
      <c r="AV389" s="11"/>
      <c r="AW389" s="10" t="s">
        <v>66</v>
      </c>
      <c r="AX389" s="10"/>
      <c r="AY389" s="10" t="s">
        <v>66</v>
      </c>
    </row>
    <row r="390" ht="22.5" hidden="1" customHeight="1">
      <c r="A390" s="9" t="s">
        <v>4196</v>
      </c>
      <c r="B390" s="10" t="s">
        <v>4197</v>
      </c>
      <c r="C390" s="10" t="s">
        <v>43</v>
      </c>
      <c r="D390" s="10" t="s">
        <v>1262</v>
      </c>
      <c r="E390" s="10" t="s">
        <v>66</v>
      </c>
      <c r="F390" s="11">
        <v>1.0</v>
      </c>
      <c r="G390" s="11">
        <v>84.0</v>
      </c>
      <c r="H390" s="11"/>
      <c r="I390" s="11">
        <v>-14.28</v>
      </c>
      <c r="J390" s="11">
        <v>-20.45</v>
      </c>
      <c r="K390" s="11"/>
      <c r="L390" s="11">
        <v>49.27</v>
      </c>
      <c r="M390" s="10" t="s">
        <v>46</v>
      </c>
      <c r="N390" s="10" t="s">
        <v>45</v>
      </c>
      <c r="O390" s="10" t="s">
        <v>265</v>
      </c>
      <c r="P390" s="10" t="s">
        <v>266</v>
      </c>
      <c r="Q390" s="10" t="s">
        <v>267</v>
      </c>
      <c r="R390" s="10" t="s">
        <v>74</v>
      </c>
      <c r="S390" s="11">
        <v>84.0</v>
      </c>
      <c r="T390" s="11">
        <v>26.22</v>
      </c>
      <c r="U390" s="11" t="s">
        <v>51</v>
      </c>
      <c r="V390" s="10" t="s">
        <v>52</v>
      </c>
      <c r="W390" s="10" t="s">
        <v>4198</v>
      </c>
      <c r="X390" s="10" t="s">
        <v>4199</v>
      </c>
      <c r="Y390" s="10" t="s">
        <v>4200</v>
      </c>
      <c r="Z390" s="10" t="s">
        <v>50</v>
      </c>
      <c r="AA390" s="10" t="s">
        <v>50</v>
      </c>
      <c r="AB390" s="10" t="s">
        <v>4198</v>
      </c>
      <c r="AC390" s="10" t="s">
        <v>4201</v>
      </c>
      <c r="AD390" s="10" t="s">
        <v>4202</v>
      </c>
      <c r="AE390" s="10" t="s">
        <v>4203</v>
      </c>
      <c r="AF390" s="10" t="s">
        <v>58</v>
      </c>
      <c r="AG390" s="10" t="s">
        <v>4204</v>
      </c>
      <c r="AH390" s="10" t="s">
        <v>60</v>
      </c>
      <c r="AI390" s="10" t="s">
        <v>61</v>
      </c>
      <c r="AJ390" s="10" t="s">
        <v>4029</v>
      </c>
      <c r="AK390" s="10" t="s">
        <v>4205</v>
      </c>
      <c r="AL390" s="10" t="s">
        <v>64</v>
      </c>
      <c r="AM390" s="10" t="s">
        <v>4206</v>
      </c>
      <c r="AN390" s="10" t="s">
        <v>4207</v>
      </c>
      <c r="AO390" s="11" t="s">
        <v>50</v>
      </c>
      <c r="AP390" s="10" t="s">
        <v>50</v>
      </c>
      <c r="AQ390" s="10" t="s">
        <v>50</v>
      </c>
      <c r="AR390" s="10" t="s">
        <v>50</v>
      </c>
      <c r="AS390" s="10" t="s">
        <v>50</v>
      </c>
      <c r="AT390" s="10" t="s">
        <v>50</v>
      </c>
      <c r="AU390" s="10" t="s">
        <v>50</v>
      </c>
      <c r="AV390" s="11"/>
      <c r="AW390" s="10" t="s">
        <v>66</v>
      </c>
      <c r="AX390" s="10"/>
      <c r="AY390" s="10" t="s">
        <v>66</v>
      </c>
    </row>
    <row r="391" ht="22.5" hidden="1" customHeight="1">
      <c r="A391" s="9" t="s">
        <v>4208</v>
      </c>
      <c r="B391" s="10" t="s">
        <v>4209</v>
      </c>
      <c r="C391" s="10" t="s">
        <v>43</v>
      </c>
      <c r="D391" s="10" t="s">
        <v>1262</v>
      </c>
      <c r="E391" s="10" t="s">
        <v>45</v>
      </c>
      <c r="F391" s="11">
        <v>1.0</v>
      </c>
      <c r="G391" s="11">
        <v>82.5</v>
      </c>
      <c r="H391" s="11"/>
      <c r="I391" s="11">
        <v>-14.02</v>
      </c>
      <c r="J391" s="11">
        <v>-20.45</v>
      </c>
      <c r="K391" s="11"/>
      <c r="L391" s="11">
        <v>48.03</v>
      </c>
      <c r="M391" s="10" t="s">
        <v>46</v>
      </c>
      <c r="N391" s="10" t="s">
        <v>45</v>
      </c>
      <c r="O391" s="10" t="s">
        <v>412</v>
      </c>
      <c r="P391" s="10" t="s">
        <v>413</v>
      </c>
      <c r="Q391" s="10" t="s">
        <v>414</v>
      </c>
      <c r="R391" s="10" t="s">
        <v>415</v>
      </c>
      <c r="S391" s="11">
        <v>82.5</v>
      </c>
      <c r="T391" s="11">
        <v>10.05</v>
      </c>
      <c r="U391" s="11" t="s">
        <v>51</v>
      </c>
      <c r="V391" s="10" t="s">
        <v>52</v>
      </c>
      <c r="W391" s="10" t="s">
        <v>4210</v>
      </c>
      <c r="X391" s="10" t="s">
        <v>4211</v>
      </c>
      <c r="Y391" s="10" t="s">
        <v>4212</v>
      </c>
      <c r="Z391" s="10" t="s">
        <v>50</v>
      </c>
      <c r="AA391" s="10" t="s">
        <v>50</v>
      </c>
      <c r="AB391" s="10" t="s">
        <v>4210</v>
      </c>
      <c r="AC391" s="10" t="s">
        <v>4213</v>
      </c>
      <c r="AD391" s="10" t="s">
        <v>4214</v>
      </c>
      <c r="AE391" s="10" t="s">
        <v>774</v>
      </c>
      <c r="AF391" s="10" t="s">
        <v>775</v>
      </c>
      <c r="AG391" s="10" t="s">
        <v>4215</v>
      </c>
      <c r="AH391" s="10" t="s">
        <v>60</v>
      </c>
      <c r="AI391" s="10" t="s">
        <v>61</v>
      </c>
      <c r="AJ391" s="10" t="s">
        <v>4159</v>
      </c>
      <c r="AK391" s="10" t="s">
        <v>4216</v>
      </c>
      <c r="AL391" s="10" t="s">
        <v>64</v>
      </c>
      <c r="AM391" s="10" t="s">
        <v>4217</v>
      </c>
      <c r="AN391" s="10" t="s">
        <v>50</v>
      </c>
      <c r="AO391" s="11" t="s">
        <v>50</v>
      </c>
      <c r="AP391" s="10" t="s">
        <v>50</v>
      </c>
      <c r="AQ391" s="10" t="s">
        <v>50</v>
      </c>
      <c r="AR391" s="10" t="s">
        <v>50</v>
      </c>
      <c r="AS391" s="10" t="s">
        <v>50</v>
      </c>
      <c r="AT391" s="10" t="s">
        <v>50</v>
      </c>
      <c r="AU391" s="10" t="s">
        <v>50</v>
      </c>
      <c r="AV391" s="11"/>
      <c r="AW391" s="10" t="s">
        <v>66</v>
      </c>
      <c r="AX391" s="10"/>
      <c r="AY391" s="10" t="s">
        <v>66</v>
      </c>
    </row>
    <row r="392" ht="22.5" hidden="1" customHeight="1">
      <c r="A392" s="9" t="s">
        <v>4218</v>
      </c>
      <c r="B392" s="10" t="s">
        <v>4219</v>
      </c>
      <c r="C392" s="10" t="s">
        <v>43</v>
      </c>
      <c r="D392" s="10" t="s">
        <v>191</v>
      </c>
      <c r="E392" s="10" t="s">
        <v>45</v>
      </c>
      <c r="F392" s="11">
        <v>1.0</v>
      </c>
      <c r="G392" s="11">
        <v>92.15</v>
      </c>
      <c r="H392" s="11">
        <v>18.68</v>
      </c>
      <c r="I392" s="11">
        <v>-17.51</v>
      </c>
      <c r="J392" s="11">
        <v>-39.13</v>
      </c>
      <c r="K392" s="11"/>
      <c r="L392" s="11">
        <v>59.72</v>
      </c>
      <c r="M392" s="10" t="s">
        <v>46</v>
      </c>
      <c r="N392" s="10" t="s">
        <v>45</v>
      </c>
      <c r="O392" s="10" t="s">
        <v>586</v>
      </c>
      <c r="P392" s="10" t="s">
        <v>587</v>
      </c>
      <c r="Q392" s="10" t="s">
        <v>588</v>
      </c>
      <c r="R392" s="10" t="s">
        <v>50</v>
      </c>
      <c r="S392" s="11">
        <v>92.15</v>
      </c>
      <c r="T392" s="11">
        <v>20.76</v>
      </c>
      <c r="U392" s="11" t="s">
        <v>51</v>
      </c>
      <c r="V392" s="10" t="s">
        <v>52</v>
      </c>
      <c r="W392" s="10" t="s">
        <v>4220</v>
      </c>
      <c r="X392" s="10" t="s">
        <v>4221</v>
      </c>
      <c r="Y392" s="10" t="s">
        <v>4222</v>
      </c>
      <c r="Z392" s="10" t="s">
        <v>50</v>
      </c>
      <c r="AA392" s="10" t="s">
        <v>50</v>
      </c>
      <c r="AB392" s="10" t="s">
        <v>4220</v>
      </c>
      <c r="AC392" s="10" t="s">
        <v>4223</v>
      </c>
      <c r="AD392" s="10" t="s">
        <v>4224</v>
      </c>
      <c r="AE392" s="10" t="s">
        <v>4225</v>
      </c>
      <c r="AF392" s="10" t="s">
        <v>185</v>
      </c>
      <c r="AG392" s="10" t="s">
        <v>4226</v>
      </c>
      <c r="AH392" s="10" t="s">
        <v>60</v>
      </c>
      <c r="AI392" s="10" t="s">
        <v>61</v>
      </c>
      <c r="AJ392" s="10" t="s">
        <v>4227</v>
      </c>
      <c r="AK392" s="10" t="s">
        <v>4228</v>
      </c>
      <c r="AL392" s="10" t="s">
        <v>64</v>
      </c>
      <c r="AM392" s="10" t="s">
        <v>4229</v>
      </c>
      <c r="AN392" s="10" t="s">
        <v>50</v>
      </c>
      <c r="AO392" s="11" t="s">
        <v>50</v>
      </c>
      <c r="AP392" s="10" t="s">
        <v>50</v>
      </c>
      <c r="AQ392" s="10" t="s">
        <v>50</v>
      </c>
      <c r="AR392" s="10" t="s">
        <v>50</v>
      </c>
      <c r="AS392" s="10" t="s">
        <v>50</v>
      </c>
      <c r="AT392" s="10" t="s">
        <v>50</v>
      </c>
      <c r="AU392" s="10" t="s">
        <v>50</v>
      </c>
      <c r="AV392" s="11"/>
      <c r="AW392" s="10" t="s">
        <v>66</v>
      </c>
      <c r="AX392" s="10"/>
      <c r="AY392" s="10" t="s">
        <v>66</v>
      </c>
    </row>
    <row r="393" ht="22.5" hidden="1" customHeight="1">
      <c r="A393" s="9" t="s">
        <v>4230</v>
      </c>
      <c r="B393" s="10" t="s">
        <v>4231</v>
      </c>
      <c r="C393" s="10" t="s">
        <v>43</v>
      </c>
      <c r="D393" s="10" t="s">
        <v>290</v>
      </c>
      <c r="E393" s="10" t="s">
        <v>45</v>
      </c>
      <c r="F393" s="11">
        <v>1.0</v>
      </c>
      <c r="G393" s="11">
        <v>79.2</v>
      </c>
      <c r="H393" s="11">
        <v>9.11</v>
      </c>
      <c r="I393" s="11">
        <v>-13.46</v>
      </c>
      <c r="J393" s="11">
        <v>-29.56</v>
      </c>
      <c r="K393" s="11"/>
      <c r="L393" s="11">
        <v>50.04</v>
      </c>
      <c r="M393" s="10" t="s">
        <v>46</v>
      </c>
      <c r="N393" s="10" t="s">
        <v>45</v>
      </c>
      <c r="O393" s="10" t="s">
        <v>892</v>
      </c>
      <c r="P393" s="10" t="s">
        <v>893</v>
      </c>
      <c r="Q393" s="10" t="s">
        <v>894</v>
      </c>
      <c r="R393" s="10" t="s">
        <v>74</v>
      </c>
      <c r="S393" s="11">
        <v>79.2</v>
      </c>
      <c r="T393" s="11">
        <v>2.97</v>
      </c>
      <c r="U393" s="11" t="s">
        <v>51</v>
      </c>
      <c r="V393" s="10" t="s">
        <v>52</v>
      </c>
      <c r="W393" s="10" t="s">
        <v>4232</v>
      </c>
      <c r="X393" s="10" t="s">
        <v>4233</v>
      </c>
      <c r="Y393" s="10" t="s">
        <v>4234</v>
      </c>
      <c r="Z393" s="10" t="s">
        <v>50</v>
      </c>
      <c r="AA393" s="10" t="s">
        <v>50</v>
      </c>
      <c r="AB393" s="10" t="s">
        <v>4232</v>
      </c>
      <c r="AC393" s="10" t="s">
        <v>4235</v>
      </c>
      <c r="AD393" s="10" t="s">
        <v>4236</v>
      </c>
      <c r="AE393" s="10" t="s">
        <v>2465</v>
      </c>
      <c r="AF393" s="10" t="s">
        <v>136</v>
      </c>
      <c r="AG393" s="10" t="s">
        <v>2466</v>
      </c>
      <c r="AH393" s="10" t="s">
        <v>60</v>
      </c>
      <c r="AI393" s="10" t="s">
        <v>61</v>
      </c>
      <c r="AJ393" s="10" t="s">
        <v>3930</v>
      </c>
      <c r="AK393" s="10" t="s">
        <v>4237</v>
      </c>
      <c r="AL393" s="10" t="s">
        <v>64</v>
      </c>
      <c r="AM393" s="10" t="s">
        <v>4238</v>
      </c>
      <c r="AN393" s="10" t="s">
        <v>50</v>
      </c>
      <c r="AO393" s="11" t="s">
        <v>50</v>
      </c>
      <c r="AP393" s="10" t="s">
        <v>50</v>
      </c>
      <c r="AQ393" s="10" t="s">
        <v>50</v>
      </c>
      <c r="AR393" s="10" t="s">
        <v>50</v>
      </c>
      <c r="AS393" s="10" t="s">
        <v>50</v>
      </c>
      <c r="AT393" s="10" t="s">
        <v>50</v>
      </c>
      <c r="AU393" s="10" t="s">
        <v>50</v>
      </c>
      <c r="AV393" s="11"/>
      <c r="AW393" s="10" t="s">
        <v>66</v>
      </c>
      <c r="AX393" s="10"/>
      <c r="AY393" s="10" t="s">
        <v>66</v>
      </c>
    </row>
    <row r="394" ht="22.5" hidden="1" customHeight="1">
      <c r="A394" s="9" t="s">
        <v>4239</v>
      </c>
      <c r="B394" s="10" t="s">
        <v>4240</v>
      </c>
      <c r="C394" s="10" t="s">
        <v>43</v>
      </c>
      <c r="D394" s="10" t="s">
        <v>191</v>
      </c>
      <c r="E394" s="10" t="s">
        <v>66</v>
      </c>
      <c r="F394" s="11">
        <v>1.0</v>
      </c>
      <c r="G394" s="11">
        <v>120.0</v>
      </c>
      <c r="H394" s="11">
        <v>7.55</v>
      </c>
      <c r="I394" s="11">
        <v>-20.4</v>
      </c>
      <c r="J394" s="11">
        <v>-27.5</v>
      </c>
      <c r="K394" s="11"/>
      <c r="L394" s="11">
        <v>86.85</v>
      </c>
      <c r="M394" s="10" t="s">
        <v>46</v>
      </c>
      <c r="N394" s="10" t="s">
        <v>50</v>
      </c>
      <c r="O394" s="10" t="s">
        <v>85</v>
      </c>
      <c r="P394" s="10" t="s">
        <v>86</v>
      </c>
      <c r="Q394" s="10" t="s">
        <v>87</v>
      </c>
      <c r="R394" s="10" t="s">
        <v>74</v>
      </c>
      <c r="S394" s="11">
        <v>120.0</v>
      </c>
      <c r="T394" s="11">
        <v>65.78</v>
      </c>
      <c r="U394" s="11" t="s">
        <v>51</v>
      </c>
      <c r="V394" s="10" t="s">
        <v>52</v>
      </c>
      <c r="W394" s="10" t="s">
        <v>4241</v>
      </c>
      <c r="X394" s="10" t="s">
        <v>4242</v>
      </c>
      <c r="Y394" s="10" t="s">
        <v>4243</v>
      </c>
      <c r="Z394" s="10" t="s">
        <v>50</v>
      </c>
      <c r="AA394" s="10" t="s">
        <v>50</v>
      </c>
      <c r="AB394" s="10" t="s">
        <v>4241</v>
      </c>
      <c r="AC394" s="10" t="s">
        <v>4244</v>
      </c>
      <c r="AD394" s="10" t="s">
        <v>4245</v>
      </c>
      <c r="AE394" s="10" t="s">
        <v>4246</v>
      </c>
      <c r="AF394" s="10" t="s">
        <v>408</v>
      </c>
      <c r="AG394" s="10" t="s">
        <v>4247</v>
      </c>
      <c r="AH394" s="10" t="s">
        <v>60</v>
      </c>
      <c r="AI394" s="10" t="s">
        <v>61</v>
      </c>
      <c r="AJ394" s="10" t="s">
        <v>4248</v>
      </c>
      <c r="AK394" s="10" t="s">
        <v>4249</v>
      </c>
      <c r="AL394" s="10" t="s">
        <v>64</v>
      </c>
      <c r="AM394" s="10" t="s">
        <v>4250</v>
      </c>
      <c r="AN394" s="10" t="s">
        <v>50</v>
      </c>
      <c r="AO394" s="11" t="s">
        <v>50</v>
      </c>
      <c r="AP394" s="10" t="s">
        <v>50</v>
      </c>
      <c r="AQ394" s="10" t="s">
        <v>50</v>
      </c>
      <c r="AR394" s="10" t="s">
        <v>50</v>
      </c>
      <c r="AS394" s="10" t="s">
        <v>50</v>
      </c>
      <c r="AT394" s="10" t="s">
        <v>50</v>
      </c>
      <c r="AU394" s="10" t="s">
        <v>50</v>
      </c>
      <c r="AV394" s="11"/>
      <c r="AW394" s="10" t="s">
        <v>66</v>
      </c>
      <c r="AX394" s="10"/>
      <c r="AY394" s="10" t="s">
        <v>66</v>
      </c>
    </row>
    <row r="395" ht="22.5" hidden="1" customHeight="1">
      <c r="A395" s="9" t="s">
        <v>4251</v>
      </c>
      <c r="B395" s="10" t="s">
        <v>4252</v>
      </c>
      <c r="C395" s="10" t="s">
        <v>43</v>
      </c>
      <c r="D395" s="10" t="s">
        <v>2326</v>
      </c>
      <c r="E395" s="10" t="s">
        <v>66</v>
      </c>
      <c r="F395" s="11">
        <v>1.0</v>
      </c>
      <c r="G395" s="11">
        <v>43.7</v>
      </c>
      <c r="H395" s="11">
        <v>18.9</v>
      </c>
      <c r="I395" s="11">
        <v>-13.43</v>
      </c>
      <c r="J395" s="11">
        <v>-18.9</v>
      </c>
      <c r="K395" s="11"/>
      <c r="L395" s="11">
        <v>30.27</v>
      </c>
      <c r="M395" s="10" t="s">
        <v>46</v>
      </c>
      <c r="N395" s="10" t="s">
        <v>50</v>
      </c>
      <c r="O395" s="10" t="s">
        <v>176</v>
      </c>
      <c r="P395" s="10" t="s">
        <v>177</v>
      </c>
      <c r="Q395" s="10" t="s">
        <v>178</v>
      </c>
      <c r="R395" s="10" t="s">
        <v>74</v>
      </c>
      <c r="S395" s="11">
        <v>43.7</v>
      </c>
      <c r="T395" s="11">
        <v>22.58</v>
      </c>
      <c r="U395" s="11" t="s">
        <v>51</v>
      </c>
      <c r="V395" s="10" t="s">
        <v>52</v>
      </c>
      <c r="W395" s="10" t="s">
        <v>4253</v>
      </c>
      <c r="X395" s="10" t="s">
        <v>4254</v>
      </c>
      <c r="Y395" s="10" t="s">
        <v>4255</v>
      </c>
      <c r="Z395" s="10" t="s">
        <v>50</v>
      </c>
      <c r="AA395" s="10" t="s">
        <v>50</v>
      </c>
      <c r="AB395" s="10" t="s">
        <v>4253</v>
      </c>
      <c r="AC395" s="10" t="s">
        <v>4256</v>
      </c>
      <c r="AD395" s="10" t="s">
        <v>4257</v>
      </c>
      <c r="AE395" s="10" t="s">
        <v>1474</v>
      </c>
      <c r="AF395" s="10" t="s">
        <v>151</v>
      </c>
      <c r="AG395" s="10" t="s">
        <v>4258</v>
      </c>
      <c r="AH395" s="10" t="s">
        <v>60</v>
      </c>
      <c r="AI395" s="10" t="s">
        <v>61</v>
      </c>
      <c r="AJ395" s="10" t="s">
        <v>4193</v>
      </c>
      <c r="AK395" s="10" t="s">
        <v>4259</v>
      </c>
      <c r="AL395" s="10" t="s">
        <v>64</v>
      </c>
      <c r="AM395" s="10" t="s">
        <v>4260</v>
      </c>
      <c r="AN395" s="10" t="s">
        <v>50</v>
      </c>
      <c r="AO395" s="11" t="s">
        <v>50</v>
      </c>
      <c r="AP395" s="10" t="s">
        <v>50</v>
      </c>
      <c r="AQ395" s="10" t="s">
        <v>50</v>
      </c>
      <c r="AR395" s="10" t="s">
        <v>50</v>
      </c>
      <c r="AS395" s="10" t="s">
        <v>50</v>
      </c>
      <c r="AT395" s="10" t="s">
        <v>50</v>
      </c>
      <c r="AU395" s="10" t="s">
        <v>50</v>
      </c>
      <c r="AV395" s="11"/>
      <c r="AW395" s="10" t="s">
        <v>66</v>
      </c>
      <c r="AX395" s="10"/>
      <c r="AY395" s="10" t="s">
        <v>66</v>
      </c>
    </row>
    <row r="396" ht="22.5" hidden="1" customHeight="1">
      <c r="A396" s="9" t="s">
        <v>4261</v>
      </c>
      <c r="B396" s="10" t="s">
        <v>4262</v>
      </c>
      <c r="C396" s="10" t="s">
        <v>43</v>
      </c>
      <c r="D396" s="10" t="s">
        <v>2326</v>
      </c>
      <c r="E396" s="10" t="s">
        <v>66</v>
      </c>
      <c r="F396" s="11">
        <v>1.0</v>
      </c>
      <c r="G396" s="11">
        <v>120.0</v>
      </c>
      <c r="H396" s="11"/>
      <c r="I396" s="11">
        <v>-20.4</v>
      </c>
      <c r="J396" s="11">
        <v>-19.95</v>
      </c>
      <c r="K396" s="11"/>
      <c r="L396" s="11">
        <v>86.85</v>
      </c>
      <c r="M396" s="10" t="s">
        <v>46</v>
      </c>
      <c r="N396" s="10" t="s">
        <v>50</v>
      </c>
      <c r="O396" s="10" t="s">
        <v>85</v>
      </c>
      <c r="P396" s="10" t="s">
        <v>86</v>
      </c>
      <c r="Q396" s="10" t="s">
        <v>87</v>
      </c>
      <c r="R396" s="10" t="s">
        <v>74</v>
      </c>
      <c r="S396" s="11">
        <v>120.0</v>
      </c>
      <c r="T396" s="11">
        <v>65.78</v>
      </c>
      <c r="U396" s="11" t="s">
        <v>51</v>
      </c>
      <c r="V396" s="10" t="s">
        <v>52</v>
      </c>
      <c r="W396" s="10" t="s">
        <v>4263</v>
      </c>
      <c r="X396" s="10" t="s">
        <v>4264</v>
      </c>
      <c r="Y396" s="10" t="s">
        <v>4265</v>
      </c>
      <c r="Z396" s="10" t="s">
        <v>50</v>
      </c>
      <c r="AA396" s="10" t="s">
        <v>50</v>
      </c>
      <c r="AB396" s="10" t="s">
        <v>4263</v>
      </c>
      <c r="AC396" s="10" t="s">
        <v>4266</v>
      </c>
      <c r="AD396" s="10" t="s">
        <v>4267</v>
      </c>
      <c r="AE396" s="10" t="s">
        <v>4268</v>
      </c>
      <c r="AF396" s="10" t="s">
        <v>323</v>
      </c>
      <c r="AG396" s="10" t="s">
        <v>4269</v>
      </c>
      <c r="AH396" s="10" t="s">
        <v>60</v>
      </c>
      <c r="AI396" s="10" t="s">
        <v>61</v>
      </c>
      <c r="AJ396" s="10" t="s">
        <v>4270</v>
      </c>
      <c r="AK396" s="10" t="s">
        <v>4271</v>
      </c>
      <c r="AL396" s="10" t="s">
        <v>64</v>
      </c>
      <c r="AM396" s="10" t="s">
        <v>4272</v>
      </c>
      <c r="AN396" s="10" t="s">
        <v>50</v>
      </c>
      <c r="AO396" s="11" t="s">
        <v>50</v>
      </c>
      <c r="AP396" s="10" t="s">
        <v>50</v>
      </c>
      <c r="AQ396" s="10" t="s">
        <v>50</v>
      </c>
      <c r="AR396" s="10" t="s">
        <v>50</v>
      </c>
      <c r="AS396" s="10" t="s">
        <v>50</v>
      </c>
      <c r="AT396" s="10" t="s">
        <v>50</v>
      </c>
      <c r="AU396" s="10" t="s">
        <v>50</v>
      </c>
      <c r="AV396" s="11"/>
      <c r="AW396" s="10" t="s">
        <v>66</v>
      </c>
      <c r="AX396" s="10"/>
      <c r="AY396" s="10" t="s">
        <v>66</v>
      </c>
    </row>
    <row r="397" ht="22.5" hidden="1" customHeight="1">
      <c r="A397" s="9" t="s">
        <v>4273</v>
      </c>
      <c r="B397" s="10" t="s">
        <v>4274</v>
      </c>
      <c r="C397" s="10" t="s">
        <v>43</v>
      </c>
      <c r="D397" s="10" t="s">
        <v>1398</v>
      </c>
      <c r="E397" s="10" t="s">
        <v>66</v>
      </c>
      <c r="F397" s="11">
        <v>1.0</v>
      </c>
      <c r="G397" s="11">
        <v>89.3</v>
      </c>
      <c r="H397" s="11"/>
      <c r="I397" s="11">
        <v>-15.18</v>
      </c>
      <c r="J397" s="11">
        <v>-20.45</v>
      </c>
      <c r="K397" s="11"/>
      <c r="L397" s="11">
        <v>59.03</v>
      </c>
      <c r="M397" s="10" t="s">
        <v>46</v>
      </c>
      <c r="N397" s="10" t="s">
        <v>45</v>
      </c>
      <c r="O397" s="10" t="s">
        <v>2185</v>
      </c>
      <c r="P397" s="10" t="s">
        <v>2186</v>
      </c>
      <c r="Q397" s="10" t="s">
        <v>2187</v>
      </c>
      <c r="R397" s="10" t="s">
        <v>74</v>
      </c>
      <c r="S397" s="11">
        <v>89.3</v>
      </c>
      <c r="T397" s="11">
        <v>28.26</v>
      </c>
      <c r="U397" s="11" t="s">
        <v>51</v>
      </c>
      <c r="V397" s="10" t="s">
        <v>52</v>
      </c>
      <c r="W397" s="10" t="s">
        <v>4275</v>
      </c>
      <c r="X397" s="10" t="s">
        <v>4276</v>
      </c>
      <c r="Y397" s="10" t="s">
        <v>4277</v>
      </c>
      <c r="Z397" s="10" t="s">
        <v>50</v>
      </c>
      <c r="AA397" s="10" t="s">
        <v>50</v>
      </c>
      <c r="AB397" s="10" t="s">
        <v>4275</v>
      </c>
      <c r="AC397" s="10" t="s">
        <v>4278</v>
      </c>
      <c r="AD397" s="10" t="s">
        <v>4279</v>
      </c>
      <c r="AE397" s="10" t="s">
        <v>1245</v>
      </c>
      <c r="AF397" s="10" t="s">
        <v>185</v>
      </c>
      <c r="AG397" s="10" t="s">
        <v>4280</v>
      </c>
      <c r="AH397" s="10" t="s">
        <v>60</v>
      </c>
      <c r="AI397" s="10" t="s">
        <v>61</v>
      </c>
      <c r="AJ397" s="10" t="s">
        <v>3918</v>
      </c>
      <c r="AK397" s="10" t="s">
        <v>4281</v>
      </c>
      <c r="AL397" s="10" t="s">
        <v>64</v>
      </c>
      <c r="AM397" s="10" t="s">
        <v>4282</v>
      </c>
      <c r="AN397" s="10" t="s">
        <v>50</v>
      </c>
      <c r="AO397" s="11" t="s">
        <v>50</v>
      </c>
      <c r="AP397" s="10" t="s">
        <v>50</v>
      </c>
      <c r="AQ397" s="10" t="s">
        <v>50</v>
      </c>
      <c r="AR397" s="10" t="s">
        <v>50</v>
      </c>
      <c r="AS397" s="10" t="s">
        <v>50</v>
      </c>
      <c r="AT397" s="10" t="s">
        <v>50</v>
      </c>
      <c r="AU397" s="10" t="s">
        <v>50</v>
      </c>
      <c r="AV397" s="11"/>
      <c r="AW397" s="10" t="s">
        <v>66</v>
      </c>
      <c r="AX397" s="10"/>
      <c r="AY397" s="10" t="s">
        <v>66</v>
      </c>
    </row>
    <row r="398" ht="22.5" hidden="1" customHeight="1">
      <c r="A398" s="9" t="s">
        <v>4283</v>
      </c>
      <c r="B398" s="10" t="s">
        <v>4284</v>
      </c>
      <c r="C398" s="10" t="s">
        <v>43</v>
      </c>
      <c r="D398" s="10" t="s">
        <v>290</v>
      </c>
      <c r="E398" s="10" t="s">
        <v>45</v>
      </c>
      <c r="F398" s="11">
        <v>3.0</v>
      </c>
      <c r="G398" s="11">
        <v>131.1</v>
      </c>
      <c r="H398" s="11">
        <v>10.41</v>
      </c>
      <c r="I398" s="11">
        <v>-40.29</v>
      </c>
      <c r="J398" s="11">
        <v>-10.41</v>
      </c>
      <c r="K398" s="11"/>
      <c r="L398" s="11">
        <v>98.67</v>
      </c>
      <c r="M398" s="10" t="s">
        <v>46</v>
      </c>
      <c r="N398" s="10" t="s">
        <v>50</v>
      </c>
      <c r="O398" s="10" t="s">
        <v>176</v>
      </c>
      <c r="P398" s="10" t="s">
        <v>177</v>
      </c>
      <c r="Q398" s="10" t="s">
        <v>178</v>
      </c>
      <c r="R398" s="10" t="s">
        <v>74</v>
      </c>
      <c r="S398" s="11">
        <v>43.7</v>
      </c>
      <c r="T398" s="11">
        <f>3*22.58</f>
        <v>67.74</v>
      </c>
      <c r="U398" s="11" t="s">
        <v>51</v>
      </c>
      <c r="V398" s="10" t="s">
        <v>52</v>
      </c>
      <c r="W398" s="10" t="s">
        <v>4285</v>
      </c>
      <c r="X398" s="10" t="s">
        <v>4286</v>
      </c>
      <c r="Y398" s="10" t="s">
        <v>4287</v>
      </c>
      <c r="Z398" s="10" t="s">
        <v>50</v>
      </c>
      <c r="AA398" s="10" t="s">
        <v>50</v>
      </c>
      <c r="AB398" s="10" t="s">
        <v>4285</v>
      </c>
      <c r="AC398" s="10" t="s">
        <v>4288</v>
      </c>
      <c r="AD398" s="10" t="s">
        <v>4289</v>
      </c>
      <c r="AE398" s="10" t="s">
        <v>4290</v>
      </c>
      <c r="AF398" s="10" t="s">
        <v>136</v>
      </c>
      <c r="AG398" s="10" t="s">
        <v>4291</v>
      </c>
      <c r="AH398" s="10" t="s">
        <v>60</v>
      </c>
      <c r="AI398" s="10" t="s">
        <v>61</v>
      </c>
      <c r="AJ398" s="10" t="s">
        <v>4171</v>
      </c>
      <c r="AK398" s="10" t="s">
        <v>4292</v>
      </c>
      <c r="AL398" s="10" t="s">
        <v>64</v>
      </c>
      <c r="AM398" s="10" t="s">
        <v>4293</v>
      </c>
      <c r="AN398" s="10" t="s">
        <v>50</v>
      </c>
      <c r="AO398" s="11" t="s">
        <v>50</v>
      </c>
      <c r="AP398" s="10" t="s">
        <v>50</v>
      </c>
      <c r="AQ398" s="10" t="s">
        <v>50</v>
      </c>
      <c r="AR398" s="10" t="s">
        <v>50</v>
      </c>
      <c r="AS398" s="10" t="s">
        <v>50</v>
      </c>
      <c r="AT398" s="10" t="s">
        <v>50</v>
      </c>
      <c r="AU398" s="10" t="s">
        <v>50</v>
      </c>
      <c r="AV398" s="11"/>
      <c r="AW398" s="10" t="s">
        <v>66</v>
      </c>
      <c r="AX398" s="10"/>
      <c r="AY398" s="10" t="s">
        <v>66</v>
      </c>
    </row>
    <row r="399" ht="22.5" hidden="1" customHeight="1">
      <c r="A399" s="9" t="s">
        <v>4294</v>
      </c>
      <c r="B399" s="10" t="s">
        <v>4295</v>
      </c>
      <c r="C399" s="10" t="s">
        <v>43</v>
      </c>
      <c r="D399" s="10" t="s">
        <v>290</v>
      </c>
      <c r="E399" s="10" t="s">
        <v>45</v>
      </c>
      <c r="F399" s="11">
        <v>1.0</v>
      </c>
      <c r="G399" s="11">
        <v>79.0</v>
      </c>
      <c r="H399" s="11"/>
      <c r="I399" s="11">
        <v>-13.43</v>
      </c>
      <c r="J399" s="11">
        <v>-20.45</v>
      </c>
      <c r="K399" s="11"/>
      <c r="L399" s="11">
        <v>45.12</v>
      </c>
      <c r="M399" s="10" t="s">
        <v>46</v>
      </c>
      <c r="N399" s="10" t="s">
        <v>45</v>
      </c>
      <c r="O399" s="10" t="s">
        <v>160</v>
      </c>
      <c r="P399" s="10" t="s">
        <v>161</v>
      </c>
      <c r="Q399" s="10" t="s">
        <v>162</v>
      </c>
      <c r="R399" s="10" t="s">
        <v>74</v>
      </c>
      <c r="S399" s="11">
        <v>79.0</v>
      </c>
      <c r="T399" s="11">
        <v>2.49</v>
      </c>
      <c r="U399" s="11" t="s">
        <v>51</v>
      </c>
      <c r="V399" s="10" t="s">
        <v>52</v>
      </c>
      <c r="W399" s="10" t="s">
        <v>4296</v>
      </c>
      <c r="X399" s="10" t="s">
        <v>4297</v>
      </c>
      <c r="Y399" s="10" t="s">
        <v>4298</v>
      </c>
      <c r="Z399" s="10" t="s">
        <v>50</v>
      </c>
      <c r="AA399" s="10" t="s">
        <v>50</v>
      </c>
      <c r="AB399" s="10" t="s">
        <v>4296</v>
      </c>
      <c r="AC399" s="10" t="s">
        <v>4299</v>
      </c>
      <c r="AD399" s="10" t="s">
        <v>4300</v>
      </c>
      <c r="AE399" s="10" t="s">
        <v>4301</v>
      </c>
      <c r="AF399" s="10" t="s">
        <v>323</v>
      </c>
      <c r="AG399" s="10" t="s">
        <v>4302</v>
      </c>
      <c r="AH399" s="10" t="s">
        <v>60</v>
      </c>
      <c r="AI399" s="10" t="s">
        <v>61</v>
      </c>
      <c r="AJ399" s="10" t="s">
        <v>4018</v>
      </c>
      <c r="AK399" s="10" t="s">
        <v>4303</v>
      </c>
      <c r="AL399" s="10" t="s">
        <v>64</v>
      </c>
      <c r="AM399" s="10" t="s">
        <v>4304</v>
      </c>
      <c r="AN399" s="10" t="s">
        <v>50</v>
      </c>
      <c r="AO399" s="11" t="s">
        <v>50</v>
      </c>
      <c r="AP399" s="10" t="s">
        <v>50</v>
      </c>
      <c r="AQ399" s="10" t="s">
        <v>50</v>
      </c>
      <c r="AR399" s="10" t="s">
        <v>50</v>
      </c>
      <c r="AS399" s="10" t="s">
        <v>50</v>
      </c>
      <c r="AT399" s="10" t="s">
        <v>50</v>
      </c>
      <c r="AU399" s="10" t="s">
        <v>50</v>
      </c>
      <c r="AV399" s="11"/>
      <c r="AW399" s="10" t="s">
        <v>66</v>
      </c>
      <c r="AX399" s="10"/>
      <c r="AY399" s="10" t="s">
        <v>66</v>
      </c>
    </row>
    <row r="400" ht="22.5" hidden="1" customHeight="1">
      <c r="A400" s="9" t="s">
        <v>4305</v>
      </c>
      <c r="B400" s="10" t="s">
        <v>4306</v>
      </c>
      <c r="C400" s="10" t="s">
        <v>43</v>
      </c>
      <c r="D400" s="10" t="s">
        <v>1262</v>
      </c>
      <c r="E400" s="10" t="s">
        <v>66</v>
      </c>
      <c r="F400" s="11">
        <v>1.0</v>
      </c>
      <c r="G400" s="11">
        <v>40.7</v>
      </c>
      <c r="H400" s="11">
        <v>24.03</v>
      </c>
      <c r="I400" s="11">
        <v>-13.73</v>
      </c>
      <c r="J400" s="11">
        <v>-24.03</v>
      </c>
      <c r="K400" s="11"/>
      <c r="L400" s="11">
        <v>26.97</v>
      </c>
      <c r="M400" s="10" t="s">
        <v>46</v>
      </c>
      <c r="N400" s="10" t="s">
        <v>45</v>
      </c>
      <c r="O400" s="10" t="s">
        <v>863</v>
      </c>
      <c r="P400" s="10" t="s">
        <v>864</v>
      </c>
      <c r="Q400" s="10" t="s">
        <v>865</v>
      </c>
      <c r="R400" s="10" t="s">
        <v>50</v>
      </c>
      <c r="S400" s="11">
        <v>40.7</v>
      </c>
      <c r="T400" s="11">
        <v>4.15</v>
      </c>
      <c r="U400" s="11" t="s">
        <v>51</v>
      </c>
      <c r="V400" s="10" t="s">
        <v>52</v>
      </c>
      <c r="W400" s="10" t="s">
        <v>4307</v>
      </c>
      <c r="X400" s="10" t="s">
        <v>4308</v>
      </c>
      <c r="Y400" s="10" t="s">
        <v>4309</v>
      </c>
      <c r="Z400" s="10" t="s">
        <v>50</v>
      </c>
      <c r="AA400" s="10" t="s">
        <v>50</v>
      </c>
      <c r="AB400" s="10" t="s">
        <v>4307</v>
      </c>
      <c r="AC400" s="10" t="s">
        <v>4310</v>
      </c>
      <c r="AD400" s="10" t="s">
        <v>4311</v>
      </c>
      <c r="AE400" s="10" t="s">
        <v>4312</v>
      </c>
      <c r="AF400" s="10" t="s">
        <v>284</v>
      </c>
      <c r="AG400" s="10" t="s">
        <v>4313</v>
      </c>
      <c r="AH400" s="10" t="s">
        <v>60</v>
      </c>
      <c r="AI400" s="10" t="s">
        <v>61</v>
      </c>
      <c r="AJ400" s="10" t="s">
        <v>4314</v>
      </c>
      <c r="AK400" s="10" t="s">
        <v>4315</v>
      </c>
      <c r="AL400" s="10" t="s">
        <v>64</v>
      </c>
      <c r="AM400" s="10" t="s">
        <v>4316</v>
      </c>
      <c r="AN400" s="10" t="s">
        <v>50</v>
      </c>
      <c r="AO400" s="11" t="s">
        <v>50</v>
      </c>
      <c r="AP400" s="10" t="s">
        <v>50</v>
      </c>
      <c r="AQ400" s="10" t="s">
        <v>50</v>
      </c>
      <c r="AR400" s="10" t="s">
        <v>50</v>
      </c>
      <c r="AS400" s="10" t="s">
        <v>50</v>
      </c>
      <c r="AT400" s="10" t="s">
        <v>50</v>
      </c>
      <c r="AU400" s="10" t="s">
        <v>50</v>
      </c>
      <c r="AV400" s="11"/>
      <c r="AW400" s="10" t="s">
        <v>66</v>
      </c>
      <c r="AX400" s="10"/>
      <c r="AY400" s="10" t="s">
        <v>66</v>
      </c>
    </row>
    <row r="401" ht="22.5" hidden="1" customHeight="1">
      <c r="A401" s="9" t="s">
        <v>4317</v>
      </c>
      <c r="B401" s="10" t="s">
        <v>4318</v>
      </c>
      <c r="C401" s="10" t="s">
        <v>43</v>
      </c>
      <c r="D401" s="10" t="s">
        <v>1262</v>
      </c>
      <c r="E401" s="10" t="s">
        <v>66</v>
      </c>
      <c r="F401" s="11">
        <v>1.0</v>
      </c>
      <c r="G401" s="11">
        <v>120.0</v>
      </c>
      <c r="H401" s="11"/>
      <c r="I401" s="11">
        <v>-20.4</v>
      </c>
      <c r="J401" s="11">
        <v>-19.95</v>
      </c>
      <c r="K401" s="11"/>
      <c r="L401" s="11">
        <v>86.85</v>
      </c>
      <c r="M401" s="10" t="s">
        <v>46</v>
      </c>
      <c r="N401" s="10" t="s">
        <v>45</v>
      </c>
      <c r="O401" s="10" t="s">
        <v>85</v>
      </c>
      <c r="P401" s="10" t="s">
        <v>86</v>
      </c>
      <c r="Q401" s="10" t="s">
        <v>87</v>
      </c>
      <c r="R401" s="10" t="s">
        <v>74</v>
      </c>
      <c r="S401" s="11">
        <v>120.0</v>
      </c>
      <c r="T401" s="11">
        <v>65.78</v>
      </c>
      <c r="U401" s="11" t="s">
        <v>51</v>
      </c>
      <c r="V401" s="10" t="s">
        <v>52</v>
      </c>
      <c r="W401" s="10" t="s">
        <v>4319</v>
      </c>
      <c r="X401" s="10" t="s">
        <v>4320</v>
      </c>
      <c r="Y401" s="10" t="s">
        <v>4321</v>
      </c>
      <c r="Z401" s="10" t="s">
        <v>50</v>
      </c>
      <c r="AA401" s="10" t="s">
        <v>50</v>
      </c>
      <c r="AB401" s="10" t="s">
        <v>4319</v>
      </c>
      <c r="AC401" s="10" t="s">
        <v>4322</v>
      </c>
      <c r="AD401" s="10" t="s">
        <v>4323</v>
      </c>
      <c r="AE401" s="10" t="s">
        <v>4324</v>
      </c>
      <c r="AF401" s="10" t="s">
        <v>119</v>
      </c>
      <c r="AG401" s="10" t="s">
        <v>4325</v>
      </c>
      <c r="AH401" s="10" t="s">
        <v>60</v>
      </c>
      <c r="AI401" s="10" t="s">
        <v>61</v>
      </c>
      <c r="AJ401" s="10" t="s">
        <v>4326</v>
      </c>
      <c r="AK401" s="10" t="s">
        <v>4327</v>
      </c>
      <c r="AL401" s="10" t="s">
        <v>64</v>
      </c>
      <c r="AM401" s="10" t="s">
        <v>4328</v>
      </c>
      <c r="AN401" s="10" t="s">
        <v>50</v>
      </c>
      <c r="AO401" s="11" t="s">
        <v>50</v>
      </c>
      <c r="AP401" s="10" t="s">
        <v>50</v>
      </c>
      <c r="AQ401" s="10" t="s">
        <v>50</v>
      </c>
      <c r="AR401" s="10" t="s">
        <v>50</v>
      </c>
      <c r="AS401" s="10" t="s">
        <v>50</v>
      </c>
      <c r="AT401" s="10" t="s">
        <v>50</v>
      </c>
      <c r="AU401" s="10" t="s">
        <v>50</v>
      </c>
      <c r="AV401" s="11"/>
      <c r="AW401" s="10" t="s">
        <v>66</v>
      </c>
      <c r="AX401" s="10"/>
      <c r="AY401" s="10" t="s">
        <v>66</v>
      </c>
    </row>
    <row r="402" ht="22.5" hidden="1" customHeight="1">
      <c r="A402" s="9" t="s">
        <v>4329</v>
      </c>
      <c r="B402" s="10" t="s">
        <v>4330</v>
      </c>
      <c r="C402" s="10" t="s">
        <v>43</v>
      </c>
      <c r="D402" s="10" t="s">
        <v>1262</v>
      </c>
      <c r="E402" s="10" t="s">
        <v>45</v>
      </c>
      <c r="F402" s="11">
        <v>1.0</v>
      </c>
      <c r="G402" s="11">
        <v>79.0</v>
      </c>
      <c r="H402" s="11"/>
      <c r="I402" s="11">
        <v>-13.43</v>
      </c>
      <c r="J402" s="11">
        <v>-20.45</v>
      </c>
      <c r="K402" s="11"/>
      <c r="L402" s="11">
        <v>45.12</v>
      </c>
      <c r="M402" s="10" t="s">
        <v>46</v>
      </c>
      <c r="N402" s="10" t="s">
        <v>45</v>
      </c>
      <c r="O402" s="10" t="s">
        <v>160</v>
      </c>
      <c r="P402" s="10" t="s">
        <v>161</v>
      </c>
      <c r="Q402" s="10" t="s">
        <v>162</v>
      </c>
      <c r="R402" s="10" t="s">
        <v>74</v>
      </c>
      <c r="S402" s="11">
        <v>79.0</v>
      </c>
      <c r="T402" s="11">
        <v>2.49</v>
      </c>
      <c r="U402" s="11" t="s">
        <v>51</v>
      </c>
      <c r="V402" s="10" t="s">
        <v>52</v>
      </c>
      <c r="W402" s="10" t="s">
        <v>4331</v>
      </c>
      <c r="X402" s="10" t="s">
        <v>4332</v>
      </c>
      <c r="Y402" s="10" t="s">
        <v>4333</v>
      </c>
      <c r="Z402" s="10" t="s">
        <v>50</v>
      </c>
      <c r="AA402" s="10" t="s">
        <v>50</v>
      </c>
      <c r="AB402" s="10" t="s">
        <v>4331</v>
      </c>
      <c r="AC402" s="10" t="s">
        <v>4334</v>
      </c>
      <c r="AD402" s="10" t="s">
        <v>4335</v>
      </c>
      <c r="AE402" s="10" t="s">
        <v>1089</v>
      </c>
      <c r="AF402" s="10" t="s">
        <v>284</v>
      </c>
      <c r="AG402" s="10" t="s">
        <v>4336</v>
      </c>
      <c r="AH402" s="10" t="s">
        <v>60</v>
      </c>
      <c r="AI402" s="10" t="s">
        <v>61</v>
      </c>
      <c r="AJ402" s="10" t="s">
        <v>3964</v>
      </c>
      <c r="AK402" s="10" t="s">
        <v>4337</v>
      </c>
      <c r="AL402" s="10" t="s">
        <v>64</v>
      </c>
      <c r="AM402" s="10" t="s">
        <v>4338</v>
      </c>
      <c r="AN402" s="10" t="s">
        <v>50</v>
      </c>
      <c r="AO402" s="11" t="s">
        <v>50</v>
      </c>
      <c r="AP402" s="10" t="s">
        <v>50</v>
      </c>
      <c r="AQ402" s="10" t="s">
        <v>50</v>
      </c>
      <c r="AR402" s="10" t="s">
        <v>50</v>
      </c>
      <c r="AS402" s="10" t="s">
        <v>50</v>
      </c>
      <c r="AT402" s="10" t="s">
        <v>50</v>
      </c>
      <c r="AU402" s="10" t="s">
        <v>50</v>
      </c>
      <c r="AV402" s="11"/>
      <c r="AW402" s="10" t="s">
        <v>66</v>
      </c>
      <c r="AX402" s="10"/>
      <c r="AY402" s="10" t="s">
        <v>66</v>
      </c>
    </row>
    <row r="403" ht="22.5" hidden="1" customHeight="1">
      <c r="A403" s="9" t="s">
        <v>4339</v>
      </c>
      <c r="B403" s="10" t="s">
        <v>4340</v>
      </c>
      <c r="C403" s="10" t="s">
        <v>43</v>
      </c>
      <c r="D403" s="10" t="s">
        <v>1262</v>
      </c>
      <c r="E403" s="10" t="s">
        <v>45</v>
      </c>
      <c r="F403" s="11">
        <v>1.0</v>
      </c>
      <c r="G403" s="11">
        <v>84.0</v>
      </c>
      <c r="H403" s="11"/>
      <c r="I403" s="11">
        <v>-14.28</v>
      </c>
      <c r="J403" s="11">
        <v>-20.45</v>
      </c>
      <c r="K403" s="11"/>
      <c r="L403" s="11">
        <v>49.27</v>
      </c>
      <c r="M403" s="10" t="s">
        <v>46</v>
      </c>
      <c r="N403" s="10" t="s">
        <v>45</v>
      </c>
      <c r="O403" s="10" t="s">
        <v>265</v>
      </c>
      <c r="P403" s="10" t="s">
        <v>266</v>
      </c>
      <c r="Q403" s="10" t="s">
        <v>267</v>
      </c>
      <c r="R403" s="10" t="s">
        <v>74</v>
      </c>
      <c r="S403" s="11">
        <v>84.0</v>
      </c>
      <c r="T403" s="11">
        <v>26.22</v>
      </c>
      <c r="U403" s="11" t="s">
        <v>51</v>
      </c>
      <c r="V403" s="10" t="s">
        <v>52</v>
      </c>
      <c r="W403" s="10" t="s">
        <v>4341</v>
      </c>
      <c r="X403" s="10" t="s">
        <v>4342</v>
      </c>
      <c r="Y403" s="10" t="s">
        <v>4343</v>
      </c>
      <c r="Z403" s="10" t="s">
        <v>50</v>
      </c>
      <c r="AA403" s="10" t="s">
        <v>50</v>
      </c>
      <c r="AB403" s="10" t="s">
        <v>4341</v>
      </c>
      <c r="AC403" s="10" t="s">
        <v>4344</v>
      </c>
      <c r="AD403" s="10" t="s">
        <v>4345</v>
      </c>
      <c r="AE403" s="10" t="s">
        <v>774</v>
      </c>
      <c r="AF403" s="10" t="s">
        <v>775</v>
      </c>
      <c r="AG403" s="10" t="s">
        <v>4346</v>
      </c>
      <c r="AH403" s="10" t="s">
        <v>60</v>
      </c>
      <c r="AI403" s="10" t="s">
        <v>61</v>
      </c>
      <c r="AJ403" s="10" t="s">
        <v>4159</v>
      </c>
      <c r="AK403" s="10" t="s">
        <v>4347</v>
      </c>
      <c r="AL403" s="10" t="s">
        <v>64</v>
      </c>
      <c r="AM403" s="10" t="s">
        <v>4348</v>
      </c>
      <c r="AN403" s="10" t="s">
        <v>50</v>
      </c>
      <c r="AO403" s="11" t="s">
        <v>50</v>
      </c>
      <c r="AP403" s="10" t="s">
        <v>50</v>
      </c>
      <c r="AQ403" s="10" t="s">
        <v>50</v>
      </c>
      <c r="AR403" s="10" t="s">
        <v>50</v>
      </c>
      <c r="AS403" s="10" t="s">
        <v>50</v>
      </c>
      <c r="AT403" s="10" t="s">
        <v>50</v>
      </c>
      <c r="AU403" s="10" t="s">
        <v>50</v>
      </c>
      <c r="AV403" s="11"/>
      <c r="AW403" s="10" t="s">
        <v>66</v>
      </c>
      <c r="AX403" s="10"/>
      <c r="AY403" s="10" t="s">
        <v>66</v>
      </c>
    </row>
    <row r="404" ht="22.5" hidden="1" customHeight="1">
      <c r="A404" s="9" t="s">
        <v>4349</v>
      </c>
      <c r="B404" s="10" t="s">
        <v>4350</v>
      </c>
      <c r="C404" s="10" t="s">
        <v>43</v>
      </c>
      <c r="D404" s="10" t="s">
        <v>1262</v>
      </c>
      <c r="E404" s="10" t="s">
        <v>66</v>
      </c>
      <c r="F404" s="11">
        <v>1.0</v>
      </c>
      <c r="G404" s="11">
        <v>80.0</v>
      </c>
      <c r="H404" s="11"/>
      <c r="I404" s="11">
        <v>-13.6</v>
      </c>
      <c r="J404" s="11">
        <v>-19.95</v>
      </c>
      <c r="K404" s="11"/>
      <c r="L404" s="11">
        <v>50.45</v>
      </c>
      <c r="M404" s="10" t="s">
        <v>46</v>
      </c>
      <c r="N404" s="10" t="s">
        <v>50</v>
      </c>
      <c r="O404" s="10" t="s">
        <v>143</v>
      </c>
      <c r="P404" s="10" t="s">
        <v>144</v>
      </c>
      <c r="Q404" s="10" t="s">
        <v>145</v>
      </c>
      <c r="R404" s="10" t="s">
        <v>74</v>
      </c>
      <c r="S404" s="11">
        <v>80.0</v>
      </c>
      <c r="T404" s="11">
        <v>33.38</v>
      </c>
      <c r="U404" s="11" t="s">
        <v>51</v>
      </c>
      <c r="V404" s="10" t="s">
        <v>52</v>
      </c>
      <c r="W404" s="10" t="s">
        <v>4351</v>
      </c>
      <c r="X404" s="10" t="s">
        <v>4352</v>
      </c>
      <c r="Y404" s="10" t="s">
        <v>4353</v>
      </c>
      <c r="Z404" s="10" t="s">
        <v>50</v>
      </c>
      <c r="AA404" s="10" t="s">
        <v>50</v>
      </c>
      <c r="AB404" s="10" t="s">
        <v>4351</v>
      </c>
      <c r="AC404" s="10" t="s">
        <v>4354</v>
      </c>
      <c r="AD404" s="10" t="s">
        <v>4355</v>
      </c>
      <c r="AE404" s="10" t="s">
        <v>2277</v>
      </c>
      <c r="AF404" s="10" t="s">
        <v>775</v>
      </c>
      <c r="AG404" s="10" t="s">
        <v>4356</v>
      </c>
      <c r="AH404" s="10" t="s">
        <v>60</v>
      </c>
      <c r="AI404" s="10" t="s">
        <v>61</v>
      </c>
      <c r="AJ404" s="10" t="s">
        <v>4159</v>
      </c>
      <c r="AK404" s="10" t="s">
        <v>4357</v>
      </c>
      <c r="AL404" s="10" t="s">
        <v>64</v>
      </c>
      <c r="AM404" s="10" t="s">
        <v>4358</v>
      </c>
      <c r="AN404" s="10" t="s">
        <v>50</v>
      </c>
      <c r="AO404" s="11" t="s">
        <v>50</v>
      </c>
      <c r="AP404" s="10" t="s">
        <v>50</v>
      </c>
      <c r="AQ404" s="10" t="s">
        <v>50</v>
      </c>
      <c r="AR404" s="10" t="s">
        <v>50</v>
      </c>
      <c r="AS404" s="10" t="s">
        <v>50</v>
      </c>
      <c r="AT404" s="10" t="s">
        <v>50</v>
      </c>
      <c r="AU404" s="10" t="s">
        <v>50</v>
      </c>
      <c r="AV404" s="11"/>
      <c r="AW404" s="10" t="s">
        <v>66</v>
      </c>
      <c r="AX404" s="10"/>
      <c r="AY404" s="10" t="s">
        <v>66</v>
      </c>
    </row>
    <row r="405" ht="22.5" hidden="1" customHeight="1">
      <c r="A405" s="9" t="s">
        <v>4359</v>
      </c>
      <c r="B405" s="10" t="s">
        <v>4360</v>
      </c>
      <c r="C405" s="10" t="s">
        <v>43</v>
      </c>
      <c r="D405" s="10" t="s">
        <v>290</v>
      </c>
      <c r="E405" s="10" t="s">
        <v>45</v>
      </c>
      <c r="F405" s="11">
        <v>2.0</v>
      </c>
      <c r="G405" s="11">
        <v>87.4</v>
      </c>
      <c r="H405" s="11">
        <v>1.05</v>
      </c>
      <c r="I405" s="11">
        <v>-26.86</v>
      </c>
      <c r="J405" s="11">
        <v>-1.05</v>
      </c>
      <c r="K405" s="11"/>
      <c r="L405" s="11">
        <v>65.78</v>
      </c>
      <c r="M405" s="10" t="s">
        <v>46</v>
      </c>
      <c r="N405" s="10" t="s">
        <v>50</v>
      </c>
      <c r="O405" s="10" t="s">
        <v>176</v>
      </c>
      <c r="P405" s="10" t="s">
        <v>177</v>
      </c>
      <c r="Q405" s="10" t="s">
        <v>178</v>
      </c>
      <c r="R405" s="10" t="s">
        <v>74</v>
      </c>
      <c r="S405" s="11">
        <v>43.7</v>
      </c>
      <c r="T405" s="11">
        <f>2*22.58</f>
        <v>45.16</v>
      </c>
      <c r="U405" s="11" t="s">
        <v>51</v>
      </c>
      <c r="V405" s="10" t="s">
        <v>52</v>
      </c>
      <c r="W405" s="10" t="s">
        <v>4361</v>
      </c>
      <c r="X405" s="10" t="s">
        <v>4362</v>
      </c>
      <c r="Y405" s="10" t="s">
        <v>4363</v>
      </c>
      <c r="Z405" s="10" t="s">
        <v>50</v>
      </c>
      <c r="AA405" s="10" t="s">
        <v>50</v>
      </c>
      <c r="AB405" s="10" t="s">
        <v>4361</v>
      </c>
      <c r="AC405" s="10" t="s">
        <v>4364</v>
      </c>
      <c r="AD405" s="10" t="s">
        <v>4365</v>
      </c>
      <c r="AE405" s="10" t="s">
        <v>4366</v>
      </c>
      <c r="AF405" s="10" t="s">
        <v>323</v>
      </c>
      <c r="AG405" s="10" t="s">
        <v>4367</v>
      </c>
      <c r="AH405" s="10" t="s">
        <v>60</v>
      </c>
      <c r="AI405" s="10" t="s">
        <v>61</v>
      </c>
      <c r="AJ405" s="10" t="s">
        <v>4018</v>
      </c>
      <c r="AK405" s="10" t="s">
        <v>4368</v>
      </c>
      <c r="AL405" s="10" t="s">
        <v>64</v>
      </c>
      <c r="AM405" s="10" t="s">
        <v>4369</v>
      </c>
      <c r="AN405" s="10" t="s">
        <v>50</v>
      </c>
      <c r="AO405" s="11" t="s">
        <v>50</v>
      </c>
      <c r="AP405" s="10" t="s">
        <v>50</v>
      </c>
      <c r="AQ405" s="10" t="s">
        <v>50</v>
      </c>
      <c r="AR405" s="10" t="s">
        <v>50</v>
      </c>
      <c r="AS405" s="10" t="s">
        <v>50</v>
      </c>
      <c r="AT405" s="10" t="s">
        <v>50</v>
      </c>
      <c r="AU405" s="10" t="s">
        <v>50</v>
      </c>
      <c r="AV405" s="11"/>
      <c r="AW405" s="10" t="s">
        <v>66</v>
      </c>
      <c r="AX405" s="10"/>
      <c r="AY405" s="10" t="s">
        <v>66</v>
      </c>
    </row>
    <row r="406" ht="22.5" hidden="1" customHeight="1">
      <c r="A406" s="9" t="s">
        <v>4370</v>
      </c>
      <c r="B406" s="10" t="s">
        <v>4371</v>
      </c>
      <c r="C406" s="10" t="s">
        <v>43</v>
      </c>
      <c r="D406" s="10" t="s">
        <v>1262</v>
      </c>
      <c r="E406" s="10" t="s">
        <v>45</v>
      </c>
      <c r="F406" s="11">
        <v>2.0</v>
      </c>
      <c r="G406" s="11">
        <v>158.0</v>
      </c>
      <c r="H406" s="11"/>
      <c r="I406" s="11">
        <v>-26.86</v>
      </c>
      <c r="J406" s="11">
        <v>-40.9</v>
      </c>
      <c r="K406" s="11"/>
      <c r="L406" s="11">
        <v>90.24</v>
      </c>
      <c r="M406" s="10" t="s">
        <v>46</v>
      </c>
      <c r="N406" s="10" t="s">
        <v>50</v>
      </c>
      <c r="O406" s="10" t="s">
        <v>461</v>
      </c>
      <c r="P406" s="10" t="s">
        <v>462</v>
      </c>
      <c r="Q406" s="10" t="s">
        <v>463</v>
      </c>
      <c r="R406" s="10" t="s">
        <v>74</v>
      </c>
      <c r="S406" s="11">
        <v>79.0</v>
      </c>
      <c r="T406" s="11">
        <v>10.09</v>
      </c>
      <c r="U406" s="11" t="s">
        <v>51</v>
      </c>
      <c r="V406" s="10" t="s">
        <v>52</v>
      </c>
      <c r="W406" s="10" t="s">
        <v>4372</v>
      </c>
      <c r="X406" s="10" t="s">
        <v>4373</v>
      </c>
      <c r="Y406" s="10" t="s">
        <v>4374</v>
      </c>
      <c r="Z406" s="10" t="s">
        <v>50</v>
      </c>
      <c r="AA406" s="10" t="s">
        <v>50</v>
      </c>
      <c r="AB406" s="10" t="s">
        <v>4372</v>
      </c>
      <c r="AC406" s="10" t="s">
        <v>4375</v>
      </c>
      <c r="AD406" s="10" t="s">
        <v>4376</v>
      </c>
      <c r="AE406" s="10" t="s">
        <v>322</v>
      </c>
      <c r="AF406" s="10" t="s">
        <v>323</v>
      </c>
      <c r="AG406" s="10" t="s">
        <v>4377</v>
      </c>
      <c r="AH406" s="10" t="s">
        <v>60</v>
      </c>
      <c r="AI406" s="10" t="s">
        <v>61</v>
      </c>
      <c r="AJ406" s="10" t="s">
        <v>3941</v>
      </c>
      <c r="AK406" s="10" t="s">
        <v>4378</v>
      </c>
      <c r="AL406" s="10" t="s">
        <v>64</v>
      </c>
      <c r="AM406" s="10" t="s">
        <v>4379</v>
      </c>
      <c r="AN406" s="10" t="s">
        <v>50</v>
      </c>
      <c r="AO406" s="11" t="s">
        <v>50</v>
      </c>
      <c r="AP406" s="10" t="s">
        <v>50</v>
      </c>
      <c r="AQ406" s="10" t="s">
        <v>50</v>
      </c>
      <c r="AR406" s="10" t="s">
        <v>50</v>
      </c>
      <c r="AS406" s="10" t="s">
        <v>50</v>
      </c>
      <c r="AT406" s="10" t="s">
        <v>50</v>
      </c>
      <c r="AU406" s="10" t="s">
        <v>50</v>
      </c>
      <c r="AV406" s="11"/>
      <c r="AW406" s="10" t="s">
        <v>66</v>
      </c>
      <c r="AX406" s="10"/>
      <c r="AY406" s="10" t="s">
        <v>66</v>
      </c>
    </row>
    <row r="407" ht="22.5" hidden="1" customHeight="1">
      <c r="A407" s="9" t="s">
        <v>4380</v>
      </c>
      <c r="B407" s="10" t="s">
        <v>4381</v>
      </c>
      <c r="C407" s="10" t="s">
        <v>43</v>
      </c>
      <c r="D407" s="10" t="s">
        <v>290</v>
      </c>
      <c r="E407" s="10" t="s">
        <v>66</v>
      </c>
      <c r="F407" s="11">
        <v>1.0</v>
      </c>
      <c r="G407" s="11">
        <v>80.0</v>
      </c>
      <c r="H407" s="11"/>
      <c r="I407" s="11">
        <v>-13.6</v>
      </c>
      <c r="J407" s="11">
        <v>-19.95</v>
      </c>
      <c r="K407" s="11"/>
      <c r="L407" s="11">
        <v>50.45</v>
      </c>
      <c r="M407" s="10" t="s">
        <v>46</v>
      </c>
      <c r="N407" s="10" t="s">
        <v>50</v>
      </c>
      <c r="O407" s="10" t="s">
        <v>143</v>
      </c>
      <c r="P407" s="10" t="s">
        <v>144</v>
      </c>
      <c r="Q407" s="10" t="s">
        <v>145</v>
      </c>
      <c r="R407" s="10" t="s">
        <v>74</v>
      </c>
      <c r="S407" s="11">
        <v>80.0</v>
      </c>
      <c r="T407" s="11">
        <v>33.38</v>
      </c>
      <c r="U407" s="11" t="s">
        <v>51</v>
      </c>
      <c r="V407" s="10" t="s">
        <v>52</v>
      </c>
      <c r="W407" s="10" t="s">
        <v>4382</v>
      </c>
      <c r="X407" s="10" t="s">
        <v>4383</v>
      </c>
      <c r="Y407" s="10" t="s">
        <v>4384</v>
      </c>
      <c r="Z407" s="10" t="s">
        <v>50</v>
      </c>
      <c r="AA407" s="10" t="s">
        <v>50</v>
      </c>
      <c r="AB407" s="10" t="s">
        <v>4382</v>
      </c>
      <c r="AC407" s="10" t="s">
        <v>4385</v>
      </c>
      <c r="AD407" s="10" t="s">
        <v>4386</v>
      </c>
      <c r="AE407" s="10" t="s">
        <v>1676</v>
      </c>
      <c r="AF407" s="10" t="s">
        <v>58</v>
      </c>
      <c r="AG407" s="10" t="s">
        <v>4387</v>
      </c>
      <c r="AH407" s="10" t="s">
        <v>60</v>
      </c>
      <c r="AI407" s="10" t="s">
        <v>61</v>
      </c>
      <c r="AJ407" s="10" t="s">
        <v>4388</v>
      </c>
      <c r="AK407" s="10" t="s">
        <v>4389</v>
      </c>
      <c r="AL407" s="10" t="s">
        <v>64</v>
      </c>
      <c r="AM407" s="10" t="s">
        <v>4390</v>
      </c>
      <c r="AN407" s="10" t="s">
        <v>50</v>
      </c>
      <c r="AO407" s="11" t="s">
        <v>50</v>
      </c>
      <c r="AP407" s="10" t="s">
        <v>50</v>
      </c>
      <c r="AQ407" s="10" t="s">
        <v>50</v>
      </c>
      <c r="AR407" s="10" t="s">
        <v>50</v>
      </c>
      <c r="AS407" s="10" t="s">
        <v>50</v>
      </c>
      <c r="AT407" s="10" t="s">
        <v>50</v>
      </c>
      <c r="AU407" s="10" t="s">
        <v>50</v>
      </c>
      <c r="AV407" s="11"/>
      <c r="AW407" s="10" t="s">
        <v>66</v>
      </c>
      <c r="AX407" s="10"/>
      <c r="AY407" s="10" t="s">
        <v>66</v>
      </c>
    </row>
    <row r="408" ht="22.5" hidden="1" customHeight="1">
      <c r="A408" s="9" t="s">
        <v>4391</v>
      </c>
      <c r="B408" s="10" t="s">
        <v>4392</v>
      </c>
      <c r="C408" s="10" t="s">
        <v>43</v>
      </c>
      <c r="D408" s="10" t="s">
        <v>191</v>
      </c>
      <c r="E408" s="10" t="s">
        <v>45</v>
      </c>
      <c r="F408" s="11">
        <v>1.0</v>
      </c>
      <c r="G408" s="11">
        <v>82.5</v>
      </c>
      <c r="H408" s="11">
        <v>19.45</v>
      </c>
      <c r="I408" s="11">
        <v>-14.02</v>
      </c>
      <c r="J408" s="11">
        <v>-39.9</v>
      </c>
      <c r="K408" s="11"/>
      <c r="L408" s="11">
        <v>48.03</v>
      </c>
      <c r="M408" s="10" t="s">
        <v>46</v>
      </c>
      <c r="N408" s="10" t="s">
        <v>45</v>
      </c>
      <c r="O408" s="10" t="s">
        <v>412</v>
      </c>
      <c r="P408" s="10" t="s">
        <v>413</v>
      </c>
      <c r="Q408" s="10" t="s">
        <v>414</v>
      </c>
      <c r="R408" s="10" t="s">
        <v>415</v>
      </c>
      <c r="S408" s="11">
        <v>82.5</v>
      </c>
      <c r="T408" s="11">
        <v>10.05</v>
      </c>
      <c r="U408" s="11" t="s">
        <v>51</v>
      </c>
      <c r="V408" s="10" t="s">
        <v>52</v>
      </c>
      <c r="W408" s="10" t="s">
        <v>4393</v>
      </c>
      <c r="X408" s="10" t="s">
        <v>4394</v>
      </c>
      <c r="Y408" s="10" t="s">
        <v>4395</v>
      </c>
      <c r="Z408" s="10" t="s">
        <v>50</v>
      </c>
      <c r="AA408" s="10" t="s">
        <v>50</v>
      </c>
      <c r="AB408" s="10" t="s">
        <v>4393</v>
      </c>
      <c r="AC408" s="10" t="s">
        <v>4396</v>
      </c>
      <c r="AD408" s="10" t="s">
        <v>4397</v>
      </c>
      <c r="AE408" s="10" t="s">
        <v>4398</v>
      </c>
      <c r="AF408" s="10" t="s">
        <v>561</v>
      </c>
      <c r="AG408" s="10" t="s">
        <v>4399</v>
      </c>
      <c r="AH408" s="10" t="s">
        <v>60</v>
      </c>
      <c r="AI408" s="10" t="s">
        <v>61</v>
      </c>
      <c r="AJ408" s="10" t="s">
        <v>3918</v>
      </c>
      <c r="AK408" s="10" t="s">
        <v>4400</v>
      </c>
      <c r="AL408" s="10" t="s">
        <v>64</v>
      </c>
      <c r="AM408" s="10" t="s">
        <v>4401</v>
      </c>
      <c r="AN408" s="10" t="s">
        <v>50</v>
      </c>
      <c r="AO408" s="11" t="s">
        <v>50</v>
      </c>
      <c r="AP408" s="10" t="s">
        <v>50</v>
      </c>
      <c r="AQ408" s="10" t="s">
        <v>50</v>
      </c>
      <c r="AR408" s="10" t="s">
        <v>50</v>
      </c>
      <c r="AS408" s="10" t="s">
        <v>50</v>
      </c>
      <c r="AT408" s="10" t="s">
        <v>50</v>
      </c>
      <c r="AU408" s="10" t="s">
        <v>50</v>
      </c>
      <c r="AV408" s="11"/>
      <c r="AW408" s="10" t="s">
        <v>66</v>
      </c>
      <c r="AX408" s="10"/>
      <c r="AY408" s="10" t="s">
        <v>66</v>
      </c>
    </row>
    <row r="409" ht="22.5" hidden="1" customHeight="1">
      <c r="A409" s="12" t="s">
        <v>4402</v>
      </c>
      <c r="B409" s="13" t="s">
        <v>4403</v>
      </c>
      <c r="C409" s="13" t="s">
        <v>747</v>
      </c>
      <c r="D409" s="13" t="s">
        <v>50</v>
      </c>
      <c r="E409" s="13" t="s">
        <v>50</v>
      </c>
      <c r="F409" s="14"/>
      <c r="G409" s="14">
        <v>163.0</v>
      </c>
      <c r="H409" s="14"/>
      <c r="I409" s="14">
        <v>-29.32</v>
      </c>
      <c r="J409" s="14">
        <v>-40.4</v>
      </c>
      <c r="K409" s="14"/>
      <c r="L409" s="14">
        <v>93.28</v>
      </c>
      <c r="M409" s="13" t="s">
        <v>46</v>
      </c>
      <c r="N409" s="13" t="s">
        <v>50</v>
      </c>
      <c r="O409" s="13" t="s">
        <v>50</v>
      </c>
      <c r="P409" s="13" t="s">
        <v>50</v>
      </c>
      <c r="Q409" s="13" t="s">
        <v>50</v>
      </c>
      <c r="R409" s="13" t="s">
        <v>50</v>
      </c>
      <c r="S409" s="14"/>
      <c r="T409" s="14"/>
      <c r="U409" s="14" t="s">
        <v>50</v>
      </c>
      <c r="V409" s="13" t="s">
        <v>52</v>
      </c>
      <c r="W409" s="13" t="s">
        <v>4404</v>
      </c>
      <c r="X409" s="13" t="s">
        <v>4405</v>
      </c>
      <c r="Y409" s="13" t="s">
        <v>4406</v>
      </c>
      <c r="Z409" s="13" t="s">
        <v>50</v>
      </c>
      <c r="AA409" s="13" t="s">
        <v>50</v>
      </c>
      <c r="AB409" s="13" t="s">
        <v>4404</v>
      </c>
      <c r="AC409" s="13" t="s">
        <v>4407</v>
      </c>
      <c r="AD409" s="13" t="s">
        <v>4408</v>
      </c>
      <c r="AE409" s="13" t="s">
        <v>4409</v>
      </c>
      <c r="AF409" s="13" t="s">
        <v>58</v>
      </c>
      <c r="AG409" s="13" t="s">
        <v>4410</v>
      </c>
      <c r="AH409" s="13" t="s">
        <v>60</v>
      </c>
      <c r="AI409" s="13" t="s">
        <v>61</v>
      </c>
      <c r="AJ409" s="13" t="s">
        <v>298</v>
      </c>
      <c r="AK409" s="13" t="s">
        <v>4411</v>
      </c>
      <c r="AL409" s="13" t="s">
        <v>64</v>
      </c>
      <c r="AM409" s="13" t="s">
        <v>4412</v>
      </c>
      <c r="AN409" s="13" t="s">
        <v>4413</v>
      </c>
      <c r="AO409" s="15" t="s">
        <v>50</v>
      </c>
      <c r="AP409" s="13" t="s">
        <v>50</v>
      </c>
      <c r="AQ409" s="13" t="s">
        <v>50</v>
      </c>
      <c r="AR409" s="13" t="s">
        <v>50</v>
      </c>
      <c r="AS409" s="13" t="s">
        <v>50</v>
      </c>
      <c r="AT409" s="13" t="s">
        <v>50</v>
      </c>
      <c r="AU409" s="13" t="s">
        <v>50</v>
      </c>
      <c r="AV409" s="15"/>
      <c r="AW409" s="13" t="s">
        <v>50</v>
      </c>
      <c r="AX409" s="13"/>
      <c r="AY409" s="13" t="s">
        <v>50</v>
      </c>
    </row>
    <row r="410" ht="22.5" hidden="1" customHeight="1">
      <c r="A410" s="16" t="s">
        <v>4414</v>
      </c>
      <c r="B410" s="17" t="s">
        <v>4403</v>
      </c>
      <c r="C410" s="17" t="s">
        <v>43</v>
      </c>
      <c r="D410" s="17" t="s">
        <v>290</v>
      </c>
      <c r="E410" s="17" t="s">
        <v>45</v>
      </c>
      <c r="F410" s="18">
        <v>1.0</v>
      </c>
      <c r="G410" s="18"/>
      <c r="H410" s="18"/>
      <c r="I410" s="18"/>
      <c r="J410" s="18"/>
      <c r="K410" s="18"/>
      <c r="L410" s="18"/>
      <c r="M410" s="17" t="s">
        <v>50</v>
      </c>
      <c r="N410" s="17" t="s">
        <v>45</v>
      </c>
      <c r="O410" s="17" t="s">
        <v>47</v>
      </c>
      <c r="P410" s="17" t="s">
        <v>48</v>
      </c>
      <c r="Q410" s="17" t="s">
        <v>49</v>
      </c>
      <c r="R410" s="17" t="s">
        <v>50</v>
      </c>
      <c r="S410" s="18">
        <v>80.5</v>
      </c>
      <c r="T410" s="18">
        <v>12.45</v>
      </c>
      <c r="U410" s="18" t="s">
        <v>51</v>
      </c>
      <c r="V410" s="17" t="s">
        <v>50</v>
      </c>
      <c r="W410" s="17" t="s">
        <v>50</v>
      </c>
      <c r="X410" s="17" t="s">
        <v>50</v>
      </c>
      <c r="Y410" s="17" t="s">
        <v>50</v>
      </c>
      <c r="Z410" s="17" t="s">
        <v>50</v>
      </c>
      <c r="AA410" s="17" t="s">
        <v>50</v>
      </c>
      <c r="AB410" s="17" t="s">
        <v>50</v>
      </c>
      <c r="AC410" s="17" t="s">
        <v>50</v>
      </c>
      <c r="AD410" s="17" t="s">
        <v>50</v>
      </c>
      <c r="AE410" s="17" t="s">
        <v>50</v>
      </c>
      <c r="AF410" s="17" t="s">
        <v>50</v>
      </c>
      <c r="AG410" s="17" t="s">
        <v>50</v>
      </c>
      <c r="AH410" s="17" t="s">
        <v>50</v>
      </c>
      <c r="AI410" s="17" t="s">
        <v>50</v>
      </c>
      <c r="AJ410" s="17" t="s">
        <v>50</v>
      </c>
      <c r="AK410" s="17" t="s">
        <v>50</v>
      </c>
      <c r="AL410" s="17" t="s">
        <v>50</v>
      </c>
      <c r="AM410" s="17" t="s">
        <v>50</v>
      </c>
      <c r="AN410" s="17" t="s">
        <v>50</v>
      </c>
      <c r="AO410" s="18" t="s">
        <v>50</v>
      </c>
      <c r="AP410" s="17" t="s">
        <v>50</v>
      </c>
      <c r="AQ410" s="17" t="s">
        <v>50</v>
      </c>
      <c r="AR410" s="17" t="s">
        <v>50</v>
      </c>
      <c r="AS410" s="17" t="s">
        <v>50</v>
      </c>
      <c r="AT410" s="17" t="s">
        <v>50</v>
      </c>
      <c r="AU410" s="17" t="s">
        <v>50</v>
      </c>
      <c r="AV410" s="18"/>
      <c r="AW410" s="17" t="s">
        <v>66</v>
      </c>
      <c r="AX410" s="17"/>
      <c r="AY410" s="17" t="s">
        <v>66</v>
      </c>
    </row>
    <row r="411" ht="22.5" hidden="1" customHeight="1">
      <c r="A411" s="16" t="s">
        <v>4415</v>
      </c>
      <c r="B411" s="17" t="s">
        <v>4403</v>
      </c>
      <c r="C411" s="17" t="s">
        <v>43</v>
      </c>
      <c r="D411" s="17" t="s">
        <v>290</v>
      </c>
      <c r="E411" s="17" t="s">
        <v>45</v>
      </c>
      <c r="F411" s="18">
        <v>1.0</v>
      </c>
      <c r="G411" s="18"/>
      <c r="H411" s="18"/>
      <c r="I411" s="18"/>
      <c r="J411" s="18"/>
      <c r="K411" s="18"/>
      <c r="L411" s="18"/>
      <c r="M411" s="17" t="s">
        <v>50</v>
      </c>
      <c r="N411" s="17" t="s">
        <v>45</v>
      </c>
      <c r="O411" s="17" t="s">
        <v>412</v>
      </c>
      <c r="P411" s="17" t="s">
        <v>413</v>
      </c>
      <c r="Q411" s="17" t="s">
        <v>414</v>
      </c>
      <c r="R411" s="17" t="s">
        <v>415</v>
      </c>
      <c r="S411" s="18">
        <v>82.5</v>
      </c>
      <c r="T411" s="18">
        <v>10.05</v>
      </c>
      <c r="U411" s="18" t="s">
        <v>51</v>
      </c>
      <c r="V411" s="17" t="s">
        <v>50</v>
      </c>
      <c r="W411" s="17" t="s">
        <v>50</v>
      </c>
      <c r="X411" s="17" t="s">
        <v>50</v>
      </c>
      <c r="Y411" s="17" t="s">
        <v>50</v>
      </c>
      <c r="Z411" s="17" t="s">
        <v>50</v>
      </c>
      <c r="AA411" s="17" t="s">
        <v>50</v>
      </c>
      <c r="AB411" s="17" t="s">
        <v>50</v>
      </c>
      <c r="AC411" s="17" t="s">
        <v>50</v>
      </c>
      <c r="AD411" s="17" t="s">
        <v>50</v>
      </c>
      <c r="AE411" s="17" t="s">
        <v>50</v>
      </c>
      <c r="AF411" s="17" t="s">
        <v>50</v>
      </c>
      <c r="AG411" s="17" t="s">
        <v>50</v>
      </c>
      <c r="AH411" s="17" t="s">
        <v>50</v>
      </c>
      <c r="AI411" s="17" t="s">
        <v>50</v>
      </c>
      <c r="AJ411" s="17" t="s">
        <v>50</v>
      </c>
      <c r="AK411" s="17" t="s">
        <v>50</v>
      </c>
      <c r="AL411" s="17" t="s">
        <v>50</v>
      </c>
      <c r="AM411" s="17" t="s">
        <v>50</v>
      </c>
      <c r="AN411" s="17" t="s">
        <v>50</v>
      </c>
      <c r="AO411" s="18" t="s">
        <v>50</v>
      </c>
      <c r="AP411" s="17" t="s">
        <v>50</v>
      </c>
      <c r="AQ411" s="17" t="s">
        <v>50</v>
      </c>
      <c r="AR411" s="17" t="s">
        <v>50</v>
      </c>
      <c r="AS411" s="17" t="s">
        <v>50</v>
      </c>
      <c r="AT411" s="17" t="s">
        <v>50</v>
      </c>
      <c r="AU411" s="17" t="s">
        <v>50</v>
      </c>
      <c r="AV411" s="18"/>
      <c r="AW411" s="17" t="s">
        <v>66</v>
      </c>
      <c r="AX411" s="17"/>
      <c r="AY411" s="17" t="s">
        <v>66</v>
      </c>
    </row>
    <row r="412" ht="22.5" hidden="1" customHeight="1">
      <c r="A412" s="9" t="s">
        <v>4416</v>
      </c>
      <c r="B412" s="10" t="s">
        <v>4417</v>
      </c>
      <c r="C412" s="10" t="s">
        <v>43</v>
      </c>
      <c r="D412" s="10" t="s">
        <v>2326</v>
      </c>
      <c r="E412" s="10" t="s">
        <v>66</v>
      </c>
      <c r="F412" s="11">
        <v>1.0</v>
      </c>
      <c r="G412" s="11">
        <v>43.7</v>
      </c>
      <c r="H412" s="11">
        <v>13.77</v>
      </c>
      <c r="I412" s="11">
        <v>-13.43</v>
      </c>
      <c r="J412" s="11">
        <v>-13.77</v>
      </c>
      <c r="K412" s="11"/>
      <c r="L412" s="11">
        <v>32.89</v>
      </c>
      <c r="M412" s="10" t="s">
        <v>46</v>
      </c>
      <c r="N412" s="10" t="s">
        <v>50</v>
      </c>
      <c r="O412" s="10" t="s">
        <v>176</v>
      </c>
      <c r="P412" s="10" t="s">
        <v>177</v>
      </c>
      <c r="Q412" s="10" t="s">
        <v>178</v>
      </c>
      <c r="R412" s="10" t="s">
        <v>74</v>
      </c>
      <c r="S412" s="11">
        <v>43.7</v>
      </c>
      <c r="T412" s="11">
        <v>22.58</v>
      </c>
      <c r="U412" s="11" t="s">
        <v>51</v>
      </c>
      <c r="V412" s="10" t="s">
        <v>52</v>
      </c>
      <c r="W412" s="10" t="s">
        <v>4418</v>
      </c>
      <c r="X412" s="10" t="s">
        <v>4419</v>
      </c>
      <c r="Y412" s="10" t="s">
        <v>4420</v>
      </c>
      <c r="Z412" s="10" t="s">
        <v>3736</v>
      </c>
      <c r="AA412" s="10" t="s">
        <v>4421</v>
      </c>
      <c r="AB412" s="10" t="s">
        <v>4418</v>
      </c>
      <c r="AC412" s="10" t="s">
        <v>4422</v>
      </c>
      <c r="AD412" s="10" t="s">
        <v>4423</v>
      </c>
      <c r="AE412" s="10" t="s">
        <v>322</v>
      </c>
      <c r="AF412" s="10" t="s">
        <v>323</v>
      </c>
      <c r="AG412" s="10" t="s">
        <v>4424</v>
      </c>
      <c r="AH412" s="10" t="s">
        <v>60</v>
      </c>
      <c r="AI412" s="10" t="s">
        <v>61</v>
      </c>
      <c r="AJ412" s="10" t="s">
        <v>4018</v>
      </c>
      <c r="AK412" s="10" t="s">
        <v>4425</v>
      </c>
      <c r="AL412" s="10" t="s">
        <v>64</v>
      </c>
      <c r="AM412" s="10" t="s">
        <v>4426</v>
      </c>
      <c r="AN412" s="10" t="s">
        <v>50</v>
      </c>
      <c r="AO412" s="11" t="s">
        <v>50</v>
      </c>
      <c r="AP412" s="10" t="s">
        <v>50</v>
      </c>
      <c r="AQ412" s="10" t="s">
        <v>50</v>
      </c>
      <c r="AR412" s="10" t="s">
        <v>50</v>
      </c>
      <c r="AS412" s="10" t="s">
        <v>50</v>
      </c>
      <c r="AT412" s="10" t="s">
        <v>50</v>
      </c>
      <c r="AU412" s="10" t="s">
        <v>50</v>
      </c>
      <c r="AV412" s="11"/>
      <c r="AW412" s="10" t="s">
        <v>66</v>
      </c>
      <c r="AX412" s="10"/>
      <c r="AY412" s="10" t="s">
        <v>66</v>
      </c>
    </row>
    <row r="413" ht="22.5" hidden="1" customHeight="1">
      <c r="A413" s="9" t="s">
        <v>4427</v>
      </c>
      <c r="B413" s="10" t="s">
        <v>4428</v>
      </c>
      <c r="C413" s="10" t="s">
        <v>43</v>
      </c>
      <c r="D413" s="10" t="s">
        <v>290</v>
      </c>
      <c r="E413" s="10" t="s">
        <v>45</v>
      </c>
      <c r="F413" s="11">
        <v>1.0</v>
      </c>
      <c r="G413" s="11">
        <v>80.0</v>
      </c>
      <c r="H413" s="11"/>
      <c r="I413" s="11">
        <v>-13.6</v>
      </c>
      <c r="J413" s="11">
        <v>-19.95</v>
      </c>
      <c r="K413" s="11"/>
      <c r="L413" s="11">
        <v>50.45</v>
      </c>
      <c r="M413" s="10" t="s">
        <v>46</v>
      </c>
      <c r="N413" s="10" t="s">
        <v>50</v>
      </c>
      <c r="O413" s="10" t="s">
        <v>143</v>
      </c>
      <c r="P413" s="10" t="s">
        <v>144</v>
      </c>
      <c r="Q413" s="10" t="s">
        <v>145</v>
      </c>
      <c r="R413" s="10" t="s">
        <v>74</v>
      </c>
      <c r="S413" s="11">
        <v>80.0</v>
      </c>
      <c r="T413" s="11">
        <v>33.38</v>
      </c>
      <c r="U413" s="11" t="s">
        <v>51</v>
      </c>
      <c r="V413" s="10" t="s">
        <v>52</v>
      </c>
      <c r="W413" s="10" t="s">
        <v>4429</v>
      </c>
      <c r="X413" s="10" t="s">
        <v>4430</v>
      </c>
      <c r="Y413" s="10" t="s">
        <v>4431</v>
      </c>
      <c r="Z413" s="10" t="s">
        <v>50</v>
      </c>
      <c r="AA413" s="10" t="s">
        <v>50</v>
      </c>
      <c r="AB413" s="10" t="s">
        <v>4429</v>
      </c>
      <c r="AC413" s="10" t="s">
        <v>4432</v>
      </c>
      <c r="AD413" s="10" t="s">
        <v>4433</v>
      </c>
      <c r="AE413" s="10" t="s">
        <v>4434</v>
      </c>
      <c r="AF413" s="10" t="s">
        <v>185</v>
      </c>
      <c r="AG413" s="10" t="s">
        <v>4435</v>
      </c>
      <c r="AH413" s="10" t="s">
        <v>60</v>
      </c>
      <c r="AI413" s="10" t="s">
        <v>61</v>
      </c>
      <c r="AJ413" s="10" t="s">
        <v>4159</v>
      </c>
      <c r="AK413" s="10" t="s">
        <v>4436</v>
      </c>
      <c r="AL413" s="10" t="s">
        <v>64</v>
      </c>
      <c r="AM413" s="10" t="s">
        <v>4437</v>
      </c>
      <c r="AN413" s="10" t="s">
        <v>50</v>
      </c>
      <c r="AO413" s="11" t="s">
        <v>50</v>
      </c>
      <c r="AP413" s="10" t="s">
        <v>50</v>
      </c>
      <c r="AQ413" s="10" t="s">
        <v>50</v>
      </c>
      <c r="AR413" s="10" t="s">
        <v>50</v>
      </c>
      <c r="AS413" s="10" t="s">
        <v>50</v>
      </c>
      <c r="AT413" s="10" t="s">
        <v>50</v>
      </c>
      <c r="AU413" s="10" t="s">
        <v>50</v>
      </c>
      <c r="AV413" s="11"/>
      <c r="AW413" s="10" t="s">
        <v>66</v>
      </c>
      <c r="AX413" s="10"/>
      <c r="AY413" s="10" t="s">
        <v>66</v>
      </c>
    </row>
    <row r="414" ht="22.5" hidden="1" customHeight="1">
      <c r="A414" s="9" t="s">
        <v>4438</v>
      </c>
      <c r="B414" s="10" t="s">
        <v>4439</v>
      </c>
      <c r="C414" s="10" t="s">
        <v>43</v>
      </c>
      <c r="D414" s="10" t="s">
        <v>290</v>
      </c>
      <c r="E414" s="10" t="s">
        <v>66</v>
      </c>
      <c r="F414" s="11">
        <v>1.0</v>
      </c>
      <c r="G414" s="11">
        <v>80.0</v>
      </c>
      <c r="H414" s="11"/>
      <c r="I414" s="11">
        <v>-13.6</v>
      </c>
      <c r="J414" s="11">
        <v>-19.95</v>
      </c>
      <c r="K414" s="11"/>
      <c r="L414" s="11">
        <v>50.45</v>
      </c>
      <c r="M414" s="10" t="s">
        <v>46</v>
      </c>
      <c r="N414" s="10" t="s">
        <v>45</v>
      </c>
      <c r="O414" s="10" t="s">
        <v>143</v>
      </c>
      <c r="P414" s="10" t="s">
        <v>144</v>
      </c>
      <c r="Q414" s="10" t="s">
        <v>145</v>
      </c>
      <c r="R414" s="10" t="s">
        <v>74</v>
      </c>
      <c r="S414" s="11">
        <v>80.0</v>
      </c>
      <c r="T414" s="11">
        <v>33.38</v>
      </c>
      <c r="U414" s="11" t="s">
        <v>51</v>
      </c>
      <c r="V414" s="10" t="s">
        <v>52</v>
      </c>
      <c r="W414" s="10" t="s">
        <v>4440</v>
      </c>
      <c r="X414" s="10" t="s">
        <v>4441</v>
      </c>
      <c r="Y414" s="10" t="s">
        <v>4442</v>
      </c>
      <c r="Z414" s="10" t="s">
        <v>50</v>
      </c>
      <c r="AA414" s="10" t="s">
        <v>50</v>
      </c>
      <c r="AB414" s="10" t="s">
        <v>4440</v>
      </c>
      <c r="AC414" s="10" t="s">
        <v>4443</v>
      </c>
      <c r="AD414" s="10" t="s">
        <v>4444</v>
      </c>
      <c r="AE414" s="10" t="s">
        <v>4445</v>
      </c>
      <c r="AF414" s="10" t="s">
        <v>58</v>
      </c>
      <c r="AG414" s="10" t="s">
        <v>4446</v>
      </c>
      <c r="AH414" s="10" t="s">
        <v>60</v>
      </c>
      <c r="AI414" s="10" t="s">
        <v>61</v>
      </c>
      <c r="AJ414" s="10" t="s">
        <v>4105</v>
      </c>
      <c r="AK414" s="10" t="s">
        <v>4447</v>
      </c>
      <c r="AL414" s="10" t="s">
        <v>64</v>
      </c>
      <c r="AM414" s="10" t="s">
        <v>4448</v>
      </c>
      <c r="AN414" s="10" t="s">
        <v>50</v>
      </c>
      <c r="AO414" s="11" t="s">
        <v>50</v>
      </c>
      <c r="AP414" s="10" t="s">
        <v>50</v>
      </c>
      <c r="AQ414" s="10" t="s">
        <v>50</v>
      </c>
      <c r="AR414" s="10" t="s">
        <v>50</v>
      </c>
      <c r="AS414" s="10" t="s">
        <v>50</v>
      </c>
      <c r="AT414" s="10" t="s">
        <v>50</v>
      </c>
      <c r="AU414" s="10" t="s">
        <v>50</v>
      </c>
      <c r="AV414" s="11"/>
      <c r="AW414" s="10" t="s">
        <v>66</v>
      </c>
      <c r="AX414" s="10"/>
      <c r="AY414" s="10" t="s">
        <v>66</v>
      </c>
    </row>
    <row r="415" ht="22.5" hidden="1" customHeight="1">
      <c r="A415" s="9" t="s">
        <v>4449</v>
      </c>
      <c r="B415" s="10" t="s">
        <v>4450</v>
      </c>
      <c r="C415" s="10" t="s">
        <v>43</v>
      </c>
      <c r="D415" s="10" t="s">
        <v>290</v>
      </c>
      <c r="E415" s="10" t="s">
        <v>66</v>
      </c>
      <c r="F415" s="11">
        <v>1.0</v>
      </c>
      <c r="G415" s="11">
        <v>43.7</v>
      </c>
      <c r="H415" s="11">
        <v>22.32</v>
      </c>
      <c r="I415" s="11">
        <v>-13.43</v>
      </c>
      <c r="J415" s="11">
        <v>-22.32</v>
      </c>
      <c r="K415" s="11"/>
      <c r="L415" s="11">
        <v>32.89</v>
      </c>
      <c r="M415" s="10" t="s">
        <v>46</v>
      </c>
      <c r="N415" s="10" t="s">
        <v>45</v>
      </c>
      <c r="O415" s="10" t="s">
        <v>176</v>
      </c>
      <c r="P415" s="10" t="s">
        <v>177</v>
      </c>
      <c r="Q415" s="10" t="s">
        <v>178</v>
      </c>
      <c r="R415" s="10" t="s">
        <v>74</v>
      </c>
      <c r="S415" s="11">
        <v>43.7</v>
      </c>
      <c r="T415" s="11">
        <v>22.58</v>
      </c>
      <c r="U415" s="11" t="s">
        <v>51</v>
      </c>
      <c r="V415" s="10" t="s">
        <v>52</v>
      </c>
      <c r="W415" s="10" t="s">
        <v>4451</v>
      </c>
      <c r="X415" s="10" t="s">
        <v>4452</v>
      </c>
      <c r="Y415" s="10" t="s">
        <v>4453</v>
      </c>
      <c r="Z415" s="10" t="s">
        <v>50</v>
      </c>
      <c r="AA415" s="10" t="s">
        <v>50</v>
      </c>
      <c r="AB415" s="10" t="s">
        <v>4451</v>
      </c>
      <c r="AC415" s="10" t="s">
        <v>4454</v>
      </c>
      <c r="AD415" s="10" t="s">
        <v>4455</v>
      </c>
      <c r="AE415" s="10" t="s">
        <v>940</v>
      </c>
      <c r="AF415" s="10" t="s">
        <v>323</v>
      </c>
      <c r="AG415" s="10" t="s">
        <v>4456</v>
      </c>
      <c r="AH415" s="10" t="s">
        <v>60</v>
      </c>
      <c r="AI415" s="10" t="s">
        <v>61</v>
      </c>
      <c r="AJ415" s="10" t="s">
        <v>4457</v>
      </c>
      <c r="AK415" s="10" t="s">
        <v>4458</v>
      </c>
      <c r="AL415" s="10" t="s">
        <v>64</v>
      </c>
      <c r="AM415" s="10" t="s">
        <v>4459</v>
      </c>
      <c r="AN415" s="10" t="s">
        <v>50</v>
      </c>
      <c r="AO415" s="11" t="s">
        <v>50</v>
      </c>
      <c r="AP415" s="10" t="s">
        <v>50</v>
      </c>
      <c r="AQ415" s="10" t="s">
        <v>50</v>
      </c>
      <c r="AR415" s="10" t="s">
        <v>50</v>
      </c>
      <c r="AS415" s="10" t="s">
        <v>50</v>
      </c>
      <c r="AT415" s="10" t="s">
        <v>50</v>
      </c>
      <c r="AU415" s="10" t="s">
        <v>50</v>
      </c>
      <c r="AV415" s="11"/>
      <c r="AW415" s="10" t="s">
        <v>66</v>
      </c>
      <c r="AX415" s="10"/>
      <c r="AY415" s="10" t="s">
        <v>66</v>
      </c>
    </row>
    <row r="416" ht="22.5" hidden="1" customHeight="1">
      <c r="A416" s="9" t="s">
        <v>4460</v>
      </c>
      <c r="B416" s="10" t="s">
        <v>4461</v>
      </c>
      <c r="C416" s="10" t="s">
        <v>43</v>
      </c>
      <c r="D416" s="10" t="s">
        <v>1398</v>
      </c>
      <c r="E416" s="10" t="s">
        <v>66</v>
      </c>
      <c r="F416" s="11">
        <v>1.0</v>
      </c>
      <c r="G416" s="11">
        <v>120.0</v>
      </c>
      <c r="H416" s="11"/>
      <c r="I416" s="11">
        <v>-20.4</v>
      </c>
      <c r="J416" s="11">
        <v>-19.95</v>
      </c>
      <c r="K416" s="11"/>
      <c r="L416" s="11">
        <v>86.85</v>
      </c>
      <c r="M416" s="10" t="s">
        <v>46</v>
      </c>
      <c r="N416" s="10" t="s">
        <v>45</v>
      </c>
      <c r="O416" s="10" t="s">
        <v>85</v>
      </c>
      <c r="P416" s="10" t="s">
        <v>86</v>
      </c>
      <c r="Q416" s="10" t="s">
        <v>87</v>
      </c>
      <c r="R416" s="10" t="s">
        <v>74</v>
      </c>
      <c r="S416" s="11">
        <v>120.0</v>
      </c>
      <c r="T416" s="11">
        <v>65.78</v>
      </c>
      <c r="U416" s="11" t="s">
        <v>51</v>
      </c>
      <c r="V416" s="10" t="s">
        <v>52</v>
      </c>
      <c r="W416" s="10" t="s">
        <v>4462</v>
      </c>
      <c r="X416" s="10" t="s">
        <v>4463</v>
      </c>
      <c r="Y416" s="10" t="s">
        <v>4464</v>
      </c>
      <c r="Z416" s="10" t="s">
        <v>50</v>
      </c>
      <c r="AA416" s="10" t="s">
        <v>50</v>
      </c>
      <c r="AB416" s="10" t="s">
        <v>4462</v>
      </c>
      <c r="AC416" s="10" t="s">
        <v>4465</v>
      </c>
      <c r="AD416" s="10" t="s">
        <v>4466</v>
      </c>
      <c r="AE416" s="10" t="s">
        <v>4467</v>
      </c>
      <c r="AF416" s="10" t="s">
        <v>185</v>
      </c>
      <c r="AG416" s="10" t="s">
        <v>4468</v>
      </c>
      <c r="AH416" s="10" t="s">
        <v>60</v>
      </c>
      <c r="AI416" s="10" t="s">
        <v>61</v>
      </c>
      <c r="AJ416" s="10" t="s">
        <v>4227</v>
      </c>
      <c r="AK416" s="10" t="s">
        <v>4469</v>
      </c>
      <c r="AL416" s="10" t="s">
        <v>64</v>
      </c>
      <c r="AM416" s="10" t="s">
        <v>4470</v>
      </c>
      <c r="AN416" s="10" t="s">
        <v>50</v>
      </c>
      <c r="AO416" s="11" t="s">
        <v>50</v>
      </c>
      <c r="AP416" s="10" t="s">
        <v>50</v>
      </c>
      <c r="AQ416" s="10" t="s">
        <v>50</v>
      </c>
      <c r="AR416" s="10" t="s">
        <v>50</v>
      </c>
      <c r="AS416" s="10" t="s">
        <v>50</v>
      </c>
      <c r="AT416" s="10" t="s">
        <v>50</v>
      </c>
      <c r="AU416" s="10" t="s">
        <v>50</v>
      </c>
      <c r="AV416" s="11"/>
      <c r="AW416" s="10" t="s">
        <v>66</v>
      </c>
      <c r="AX416" s="10"/>
      <c r="AY416" s="10" t="s">
        <v>66</v>
      </c>
    </row>
    <row r="417" ht="22.5" hidden="1" customHeight="1">
      <c r="A417" s="9" t="s">
        <v>4471</v>
      </c>
      <c r="B417" s="10" t="s">
        <v>4472</v>
      </c>
      <c r="C417" s="10" t="s">
        <v>43</v>
      </c>
      <c r="D417" s="10" t="s">
        <v>290</v>
      </c>
      <c r="E417" s="10" t="s">
        <v>66</v>
      </c>
      <c r="F417" s="11">
        <v>1.0</v>
      </c>
      <c r="G417" s="11">
        <v>43.7</v>
      </c>
      <c r="H417" s="11">
        <v>11.11</v>
      </c>
      <c r="I417" s="11">
        <v>-13.43</v>
      </c>
      <c r="J417" s="11">
        <v>-11.11</v>
      </c>
      <c r="K417" s="11"/>
      <c r="L417" s="11">
        <v>32.89</v>
      </c>
      <c r="M417" s="10" t="s">
        <v>46</v>
      </c>
      <c r="N417" s="10" t="s">
        <v>45</v>
      </c>
      <c r="O417" s="10" t="s">
        <v>176</v>
      </c>
      <c r="P417" s="10" t="s">
        <v>177</v>
      </c>
      <c r="Q417" s="10" t="s">
        <v>178</v>
      </c>
      <c r="R417" s="10" t="s">
        <v>74</v>
      </c>
      <c r="S417" s="11">
        <v>43.7</v>
      </c>
      <c r="T417" s="11">
        <v>22.58</v>
      </c>
      <c r="U417" s="11" t="s">
        <v>51</v>
      </c>
      <c r="V417" s="10" t="s">
        <v>52</v>
      </c>
      <c r="W417" s="10" t="s">
        <v>4473</v>
      </c>
      <c r="X417" s="10" t="s">
        <v>4474</v>
      </c>
      <c r="Y417" s="10" t="s">
        <v>4475</v>
      </c>
      <c r="Z417" s="10" t="s">
        <v>50</v>
      </c>
      <c r="AA417" s="10" t="s">
        <v>50</v>
      </c>
      <c r="AB417" s="10" t="s">
        <v>4473</v>
      </c>
      <c r="AC417" s="10" t="s">
        <v>4476</v>
      </c>
      <c r="AD417" s="10" t="s">
        <v>4477</v>
      </c>
      <c r="AE417" s="10" t="s">
        <v>296</v>
      </c>
      <c r="AF417" s="10" t="s">
        <v>58</v>
      </c>
      <c r="AG417" s="10" t="s">
        <v>4478</v>
      </c>
      <c r="AH417" s="10" t="s">
        <v>60</v>
      </c>
      <c r="AI417" s="10" t="s">
        <v>61</v>
      </c>
      <c r="AJ417" s="10" t="s">
        <v>4479</v>
      </c>
      <c r="AK417" s="10" t="s">
        <v>4480</v>
      </c>
      <c r="AL417" s="10" t="s">
        <v>64</v>
      </c>
      <c r="AM417" s="10" t="s">
        <v>4481</v>
      </c>
      <c r="AN417" s="10" t="s">
        <v>50</v>
      </c>
      <c r="AO417" s="11" t="s">
        <v>50</v>
      </c>
      <c r="AP417" s="10" t="s">
        <v>50</v>
      </c>
      <c r="AQ417" s="10" t="s">
        <v>50</v>
      </c>
      <c r="AR417" s="10" t="s">
        <v>50</v>
      </c>
      <c r="AS417" s="10" t="s">
        <v>50</v>
      </c>
      <c r="AT417" s="10" t="s">
        <v>50</v>
      </c>
      <c r="AU417" s="10" t="s">
        <v>50</v>
      </c>
      <c r="AV417" s="11"/>
      <c r="AW417" s="10" t="s">
        <v>66</v>
      </c>
      <c r="AX417" s="10"/>
      <c r="AY417" s="10" t="s">
        <v>66</v>
      </c>
    </row>
    <row r="418" ht="22.5" hidden="1" customHeight="1">
      <c r="A418" s="9" t="s">
        <v>4482</v>
      </c>
      <c r="B418" s="10" t="s">
        <v>4483</v>
      </c>
      <c r="C418" s="10" t="s">
        <v>43</v>
      </c>
      <c r="D418" s="10" t="s">
        <v>1262</v>
      </c>
      <c r="E418" s="10" t="s">
        <v>66</v>
      </c>
      <c r="F418" s="11">
        <v>1.0</v>
      </c>
      <c r="G418" s="11">
        <v>120.0</v>
      </c>
      <c r="H418" s="11">
        <v>7.55</v>
      </c>
      <c r="I418" s="11">
        <v>-20.4</v>
      </c>
      <c r="J418" s="11">
        <v>-27.5</v>
      </c>
      <c r="K418" s="11"/>
      <c r="L418" s="11">
        <v>86.85</v>
      </c>
      <c r="M418" s="10" t="s">
        <v>46</v>
      </c>
      <c r="N418" s="10" t="s">
        <v>45</v>
      </c>
      <c r="O418" s="10" t="s">
        <v>85</v>
      </c>
      <c r="P418" s="10" t="s">
        <v>86</v>
      </c>
      <c r="Q418" s="10" t="s">
        <v>87</v>
      </c>
      <c r="R418" s="10" t="s">
        <v>74</v>
      </c>
      <c r="S418" s="11">
        <v>120.0</v>
      </c>
      <c r="T418" s="11">
        <v>65.78</v>
      </c>
      <c r="U418" s="11" t="s">
        <v>51</v>
      </c>
      <c r="V418" s="10" t="s">
        <v>52</v>
      </c>
      <c r="W418" s="10" t="s">
        <v>4484</v>
      </c>
      <c r="X418" s="10" t="s">
        <v>4485</v>
      </c>
      <c r="Y418" s="10" t="s">
        <v>4486</v>
      </c>
      <c r="Z418" s="10" t="s">
        <v>50</v>
      </c>
      <c r="AA418" s="10" t="s">
        <v>50</v>
      </c>
      <c r="AB418" s="10" t="s">
        <v>4484</v>
      </c>
      <c r="AC418" s="10" t="s">
        <v>4487</v>
      </c>
      <c r="AD418" s="10" t="s">
        <v>4488</v>
      </c>
      <c r="AE418" s="10" t="s">
        <v>4489</v>
      </c>
      <c r="AF418" s="10" t="s">
        <v>1417</v>
      </c>
      <c r="AG418" s="10" t="s">
        <v>4490</v>
      </c>
      <c r="AH418" s="10" t="s">
        <v>60</v>
      </c>
      <c r="AI418" s="10" t="s">
        <v>61</v>
      </c>
      <c r="AJ418" s="10" t="s">
        <v>298</v>
      </c>
      <c r="AK418" s="10" t="s">
        <v>4491</v>
      </c>
      <c r="AL418" s="10" t="s">
        <v>64</v>
      </c>
      <c r="AM418" s="10" t="s">
        <v>4492</v>
      </c>
      <c r="AN418" s="10" t="s">
        <v>50</v>
      </c>
      <c r="AO418" s="11" t="s">
        <v>50</v>
      </c>
      <c r="AP418" s="10" t="s">
        <v>50</v>
      </c>
      <c r="AQ418" s="10" t="s">
        <v>50</v>
      </c>
      <c r="AR418" s="10" t="s">
        <v>50</v>
      </c>
      <c r="AS418" s="10" t="s">
        <v>50</v>
      </c>
      <c r="AT418" s="10" t="s">
        <v>50</v>
      </c>
      <c r="AU418" s="10" t="s">
        <v>50</v>
      </c>
      <c r="AV418" s="11"/>
      <c r="AW418" s="10" t="s">
        <v>66</v>
      </c>
      <c r="AX418" s="10"/>
      <c r="AY418" s="10" t="s">
        <v>66</v>
      </c>
    </row>
    <row r="419" ht="22.5" hidden="1" customHeight="1">
      <c r="A419" s="9" t="s">
        <v>4493</v>
      </c>
      <c r="B419" s="10" t="s">
        <v>4494</v>
      </c>
      <c r="C419" s="10" t="s">
        <v>43</v>
      </c>
      <c r="D419" s="10" t="s">
        <v>290</v>
      </c>
      <c r="E419" s="10" t="s">
        <v>66</v>
      </c>
      <c r="F419" s="11">
        <v>1.0</v>
      </c>
      <c r="G419" s="11">
        <v>80.0</v>
      </c>
      <c r="H419" s="11"/>
      <c r="I419" s="11">
        <v>-13.6</v>
      </c>
      <c r="J419" s="11">
        <v>-19.95</v>
      </c>
      <c r="K419" s="11"/>
      <c r="L419" s="11">
        <v>50.45</v>
      </c>
      <c r="M419" s="10" t="s">
        <v>46</v>
      </c>
      <c r="N419" s="10" t="s">
        <v>50</v>
      </c>
      <c r="O419" s="10" t="s">
        <v>143</v>
      </c>
      <c r="P419" s="10" t="s">
        <v>144</v>
      </c>
      <c r="Q419" s="10" t="s">
        <v>145</v>
      </c>
      <c r="R419" s="10" t="s">
        <v>74</v>
      </c>
      <c r="S419" s="11">
        <v>80.0</v>
      </c>
      <c r="T419" s="11">
        <v>33.38</v>
      </c>
      <c r="U419" s="11" t="s">
        <v>51</v>
      </c>
      <c r="V419" s="10" t="s">
        <v>52</v>
      </c>
      <c r="W419" s="10" t="s">
        <v>4495</v>
      </c>
      <c r="X419" s="10" t="s">
        <v>4496</v>
      </c>
      <c r="Y419" s="10" t="s">
        <v>4497</v>
      </c>
      <c r="Z419" s="10" t="s">
        <v>50</v>
      </c>
      <c r="AA419" s="10" t="s">
        <v>50</v>
      </c>
      <c r="AB419" s="10" t="s">
        <v>4495</v>
      </c>
      <c r="AC419" s="10" t="s">
        <v>4498</v>
      </c>
      <c r="AD419" s="10" t="s">
        <v>4499</v>
      </c>
      <c r="AE419" s="10" t="s">
        <v>4500</v>
      </c>
      <c r="AF419" s="10" t="s">
        <v>58</v>
      </c>
      <c r="AG419" s="10" t="s">
        <v>4501</v>
      </c>
      <c r="AH419" s="10" t="s">
        <v>60</v>
      </c>
      <c r="AI419" s="10" t="s">
        <v>61</v>
      </c>
      <c r="AJ419" s="10" t="s">
        <v>3918</v>
      </c>
      <c r="AK419" s="10" t="s">
        <v>4502</v>
      </c>
      <c r="AL419" s="10" t="s">
        <v>64</v>
      </c>
      <c r="AM419" s="10" t="s">
        <v>4503</v>
      </c>
      <c r="AN419" s="10" t="s">
        <v>50</v>
      </c>
      <c r="AO419" s="11" t="s">
        <v>50</v>
      </c>
      <c r="AP419" s="10" t="s">
        <v>50</v>
      </c>
      <c r="AQ419" s="10" t="s">
        <v>50</v>
      </c>
      <c r="AR419" s="10" t="s">
        <v>50</v>
      </c>
      <c r="AS419" s="10" t="s">
        <v>50</v>
      </c>
      <c r="AT419" s="10" t="s">
        <v>50</v>
      </c>
      <c r="AU419" s="10" t="s">
        <v>50</v>
      </c>
      <c r="AV419" s="11"/>
      <c r="AW419" s="10" t="s">
        <v>66</v>
      </c>
      <c r="AX419" s="10"/>
      <c r="AY419" s="10" t="s">
        <v>66</v>
      </c>
    </row>
    <row r="420" ht="22.5" hidden="1" customHeight="1">
      <c r="A420" s="9" t="s">
        <v>4504</v>
      </c>
      <c r="B420" s="10" t="s">
        <v>4505</v>
      </c>
      <c r="C420" s="10" t="s">
        <v>43</v>
      </c>
      <c r="D420" s="10" t="s">
        <v>4506</v>
      </c>
      <c r="E420" s="10" t="s">
        <v>66</v>
      </c>
      <c r="F420" s="11">
        <v>1.0</v>
      </c>
      <c r="G420" s="11">
        <v>79.0</v>
      </c>
      <c r="H420" s="11"/>
      <c r="I420" s="11">
        <v>-13.43</v>
      </c>
      <c r="J420" s="11">
        <v>-20.45</v>
      </c>
      <c r="K420" s="11"/>
      <c r="L420" s="11">
        <v>45.12</v>
      </c>
      <c r="M420" s="10" t="s">
        <v>46</v>
      </c>
      <c r="N420" s="10" t="s">
        <v>50</v>
      </c>
      <c r="O420" s="10" t="s">
        <v>461</v>
      </c>
      <c r="P420" s="10" t="s">
        <v>462</v>
      </c>
      <c r="Q420" s="10" t="s">
        <v>463</v>
      </c>
      <c r="R420" s="10" t="s">
        <v>74</v>
      </c>
      <c r="S420" s="11">
        <v>79.0</v>
      </c>
      <c r="T420" s="11">
        <v>10.09</v>
      </c>
      <c r="U420" s="11" t="s">
        <v>51</v>
      </c>
      <c r="V420" s="10" t="s">
        <v>52</v>
      </c>
      <c r="W420" s="10" t="s">
        <v>4507</v>
      </c>
      <c r="X420" s="10" t="s">
        <v>4508</v>
      </c>
      <c r="Y420" s="10" t="s">
        <v>4509</v>
      </c>
      <c r="Z420" s="10" t="s">
        <v>50</v>
      </c>
      <c r="AA420" s="10" t="s">
        <v>50</v>
      </c>
      <c r="AB420" s="10" t="s">
        <v>4507</v>
      </c>
      <c r="AC420" s="10" t="s">
        <v>4510</v>
      </c>
      <c r="AD420" s="10" t="s">
        <v>4511</v>
      </c>
      <c r="AE420" s="10" t="s">
        <v>1379</v>
      </c>
      <c r="AF420" s="10" t="s">
        <v>58</v>
      </c>
      <c r="AG420" s="10" t="s">
        <v>4512</v>
      </c>
      <c r="AH420" s="10" t="s">
        <v>60</v>
      </c>
      <c r="AI420" s="10" t="s">
        <v>61</v>
      </c>
      <c r="AJ420" s="10" t="s">
        <v>4513</v>
      </c>
      <c r="AK420" s="10" t="s">
        <v>4514</v>
      </c>
      <c r="AL420" s="10" t="s">
        <v>64</v>
      </c>
      <c r="AM420" s="10" t="s">
        <v>4515</v>
      </c>
      <c r="AN420" s="10" t="s">
        <v>50</v>
      </c>
      <c r="AO420" s="11" t="s">
        <v>50</v>
      </c>
      <c r="AP420" s="10" t="s">
        <v>50</v>
      </c>
      <c r="AQ420" s="10" t="s">
        <v>50</v>
      </c>
      <c r="AR420" s="10" t="s">
        <v>50</v>
      </c>
      <c r="AS420" s="10" t="s">
        <v>50</v>
      </c>
      <c r="AT420" s="10" t="s">
        <v>50</v>
      </c>
      <c r="AU420" s="10" t="s">
        <v>50</v>
      </c>
      <c r="AV420" s="11"/>
      <c r="AW420" s="10" t="s">
        <v>66</v>
      </c>
      <c r="AX420" s="10"/>
      <c r="AY420" s="10" t="s">
        <v>66</v>
      </c>
    </row>
    <row r="421" ht="22.5" hidden="1" customHeight="1">
      <c r="A421" s="9" t="s">
        <v>4516</v>
      </c>
      <c r="B421" s="10" t="s">
        <v>4517</v>
      </c>
      <c r="C421" s="10" t="s">
        <v>43</v>
      </c>
      <c r="D421" s="10" t="s">
        <v>290</v>
      </c>
      <c r="E421" s="10" t="s">
        <v>66</v>
      </c>
      <c r="F421" s="11">
        <v>1.0</v>
      </c>
      <c r="G421" s="11">
        <v>80.0</v>
      </c>
      <c r="H421" s="11"/>
      <c r="I421" s="11">
        <v>-13.6</v>
      </c>
      <c r="J421" s="11">
        <v>-19.95</v>
      </c>
      <c r="K421" s="11"/>
      <c r="L421" s="11">
        <v>50.45</v>
      </c>
      <c r="M421" s="10" t="s">
        <v>46</v>
      </c>
      <c r="N421" s="10" t="s">
        <v>45</v>
      </c>
      <c r="O421" s="10" t="s">
        <v>143</v>
      </c>
      <c r="P421" s="10" t="s">
        <v>144</v>
      </c>
      <c r="Q421" s="10" t="s">
        <v>145</v>
      </c>
      <c r="R421" s="10" t="s">
        <v>74</v>
      </c>
      <c r="S421" s="11">
        <v>80.0</v>
      </c>
      <c r="T421" s="11">
        <v>33.38</v>
      </c>
      <c r="U421" s="11" t="s">
        <v>51</v>
      </c>
      <c r="V421" s="10" t="s">
        <v>52</v>
      </c>
      <c r="W421" s="10" t="s">
        <v>4518</v>
      </c>
      <c r="X421" s="10" t="s">
        <v>4519</v>
      </c>
      <c r="Y421" s="10" t="s">
        <v>4520</v>
      </c>
      <c r="Z421" s="10" t="s">
        <v>50</v>
      </c>
      <c r="AA421" s="10" t="s">
        <v>50</v>
      </c>
      <c r="AB421" s="10" t="s">
        <v>4518</v>
      </c>
      <c r="AC421" s="10" t="s">
        <v>4521</v>
      </c>
      <c r="AD421" s="10" t="s">
        <v>4522</v>
      </c>
      <c r="AE421" s="10" t="s">
        <v>4523</v>
      </c>
      <c r="AF421" s="10" t="s">
        <v>214</v>
      </c>
      <c r="AG421" s="10" t="s">
        <v>4524</v>
      </c>
      <c r="AH421" s="10" t="s">
        <v>60</v>
      </c>
      <c r="AI421" s="10" t="s">
        <v>61</v>
      </c>
      <c r="AJ421" s="10" t="s">
        <v>4525</v>
      </c>
      <c r="AK421" s="10" t="s">
        <v>4526</v>
      </c>
      <c r="AL421" s="10" t="s">
        <v>64</v>
      </c>
      <c r="AM421" s="10" t="s">
        <v>4527</v>
      </c>
      <c r="AN421" s="10" t="s">
        <v>50</v>
      </c>
      <c r="AO421" s="11" t="s">
        <v>50</v>
      </c>
      <c r="AP421" s="10" t="s">
        <v>50</v>
      </c>
      <c r="AQ421" s="10" t="s">
        <v>50</v>
      </c>
      <c r="AR421" s="10" t="s">
        <v>50</v>
      </c>
      <c r="AS421" s="10" t="s">
        <v>50</v>
      </c>
      <c r="AT421" s="10" t="s">
        <v>50</v>
      </c>
      <c r="AU421" s="10" t="s">
        <v>50</v>
      </c>
      <c r="AV421" s="11"/>
      <c r="AW421" s="10" t="s">
        <v>66</v>
      </c>
      <c r="AX421" s="10"/>
      <c r="AY421" s="10" t="s">
        <v>66</v>
      </c>
    </row>
    <row r="422" ht="22.5" hidden="1" customHeight="1">
      <c r="A422" s="9" t="s">
        <v>4528</v>
      </c>
      <c r="B422" s="10" t="s">
        <v>4529</v>
      </c>
      <c r="C422" s="10" t="s">
        <v>43</v>
      </c>
      <c r="D422" s="10" t="s">
        <v>2481</v>
      </c>
      <c r="E422" s="10" t="s">
        <v>45</v>
      </c>
      <c r="F422" s="11">
        <v>2.0</v>
      </c>
      <c r="G422" s="11">
        <v>158.4</v>
      </c>
      <c r="H422" s="11"/>
      <c r="I422" s="11">
        <v>-26.92</v>
      </c>
      <c r="J422" s="11">
        <v>-40.9</v>
      </c>
      <c r="K422" s="11"/>
      <c r="L422" s="11">
        <v>90.58</v>
      </c>
      <c r="M422" s="10" t="s">
        <v>46</v>
      </c>
      <c r="N422" s="10" t="s">
        <v>45</v>
      </c>
      <c r="O422" s="10" t="s">
        <v>127</v>
      </c>
      <c r="P422" s="10" t="s">
        <v>128</v>
      </c>
      <c r="Q422" s="10" t="s">
        <v>129</v>
      </c>
      <c r="R422" s="10" t="s">
        <v>74</v>
      </c>
      <c r="S422" s="11">
        <v>79.2</v>
      </c>
      <c r="T422" s="11">
        <v>17.68</v>
      </c>
      <c r="U422" s="11" t="s">
        <v>51</v>
      </c>
      <c r="V422" s="10" t="s">
        <v>52</v>
      </c>
      <c r="W422" s="10" t="s">
        <v>4530</v>
      </c>
      <c r="X422" s="10" t="s">
        <v>4531</v>
      </c>
      <c r="Y422" s="10" t="s">
        <v>4532</v>
      </c>
      <c r="Z422" s="10" t="s">
        <v>50</v>
      </c>
      <c r="AA422" s="10" t="s">
        <v>50</v>
      </c>
      <c r="AB422" s="10" t="s">
        <v>4530</v>
      </c>
      <c r="AC422" s="10" t="s">
        <v>4533</v>
      </c>
      <c r="AD422" s="10" t="s">
        <v>4534</v>
      </c>
      <c r="AE422" s="10" t="s">
        <v>4535</v>
      </c>
      <c r="AF422" s="10" t="s">
        <v>151</v>
      </c>
      <c r="AG422" s="10" t="s">
        <v>4536</v>
      </c>
      <c r="AH422" s="10" t="s">
        <v>60</v>
      </c>
      <c r="AI422" s="10" t="s">
        <v>61</v>
      </c>
      <c r="AJ422" s="10" t="s">
        <v>4537</v>
      </c>
      <c r="AK422" s="10" t="s">
        <v>4538</v>
      </c>
      <c r="AL422" s="10" t="s">
        <v>64</v>
      </c>
      <c r="AM422" s="10" t="s">
        <v>4539</v>
      </c>
      <c r="AN422" s="10" t="s">
        <v>50</v>
      </c>
      <c r="AO422" s="11" t="s">
        <v>50</v>
      </c>
      <c r="AP422" s="10" t="s">
        <v>50</v>
      </c>
      <c r="AQ422" s="10" t="s">
        <v>50</v>
      </c>
      <c r="AR422" s="10" t="s">
        <v>50</v>
      </c>
      <c r="AS422" s="10" t="s">
        <v>50</v>
      </c>
      <c r="AT422" s="10" t="s">
        <v>50</v>
      </c>
      <c r="AU422" s="10" t="s">
        <v>50</v>
      </c>
      <c r="AV422" s="11"/>
      <c r="AW422" s="10" t="s">
        <v>66</v>
      </c>
      <c r="AX422" s="10"/>
      <c r="AY422" s="10" t="s">
        <v>66</v>
      </c>
    </row>
    <row r="423" ht="22.5" hidden="1" customHeight="1">
      <c r="A423" s="12" t="s">
        <v>4540</v>
      </c>
      <c r="B423" s="13" t="s">
        <v>4541</v>
      </c>
      <c r="C423" s="13" t="s">
        <v>747</v>
      </c>
      <c r="D423" s="13" t="s">
        <v>50</v>
      </c>
      <c r="E423" s="13" t="s">
        <v>50</v>
      </c>
      <c r="F423" s="14"/>
      <c r="G423" s="14">
        <v>158.4</v>
      </c>
      <c r="H423" s="14"/>
      <c r="I423" s="14">
        <v>-28.51</v>
      </c>
      <c r="J423" s="14">
        <v>-40.4</v>
      </c>
      <c r="K423" s="14"/>
      <c r="L423" s="14">
        <v>94.24</v>
      </c>
      <c r="M423" s="13" t="s">
        <v>46</v>
      </c>
      <c r="N423" s="13" t="s">
        <v>50</v>
      </c>
      <c r="O423" s="13" t="s">
        <v>50</v>
      </c>
      <c r="P423" s="13" t="s">
        <v>50</v>
      </c>
      <c r="Q423" s="13" t="s">
        <v>50</v>
      </c>
      <c r="R423" s="13" t="s">
        <v>50</v>
      </c>
      <c r="S423" s="14"/>
      <c r="T423" s="14"/>
      <c r="U423" s="14" t="s">
        <v>50</v>
      </c>
      <c r="V423" s="13" t="s">
        <v>52</v>
      </c>
      <c r="W423" s="13" t="s">
        <v>4542</v>
      </c>
      <c r="X423" s="13" t="s">
        <v>4543</v>
      </c>
      <c r="Y423" s="13" t="s">
        <v>4544</v>
      </c>
      <c r="Z423" s="13" t="s">
        <v>50</v>
      </c>
      <c r="AA423" s="13" t="s">
        <v>50</v>
      </c>
      <c r="AB423" s="13" t="s">
        <v>4542</v>
      </c>
      <c r="AC423" s="13" t="s">
        <v>4545</v>
      </c>
      <c r="AD423" s="13" t="s">
        <v>4546</v>
      </c>
      <c r="AE423" s="13" t="s">
        <v>4547</v>
      </c>
      <c r="AF423" s="13" t="s">
        <v>2648</v>
      </c>
      <c r="AG423" s="13" t="s">
        <v>4548</v>
      </c>
      <c r="AH423" s="13" t="s">
        <v>60</v>
      </c>
      <c r="AI423" s="13" t="s">
        <v>61</v>
      </c>
      <c r="AJ423" s="13" t="s">
        <v>4549</v>
      </c>
      <c r="AK423" s="13" t="s">
        <v>4550</v>
      </c>
      <c r="AL423" s="13" t="s">
        <v>64</v>
      </c>
      <c r="AM423" s="13" t="s">
        <v>4551</v>
      </c>
      <c r="AN423" s="13" t="s">
        <v>50</v>
      </c>
      <c r="AO423" s="15" t="s">
        <v>50</v>
      </c>
      <c r="AP423" s="13" t="s">
        <v>50</v>
      </c>
      <c r="AQ423" s="13" t="s">
        <v>50</v>
      </c>
      <c r="AR423" s="13" t="s">
        <v>50</v>
      </c>
      <c r="AS423" s="13" t="s">
        <v>50</v>
      </c>
      <c r="AT423" s="13" t="s">
        <v>50</v>
      </c>
      <c r="AU423" s="13" t="s">
        <v>50</v>
      </c>
      <c r="AV423" s="15"/>
      <c r="AW423" s="13" t="s">
        <v>50</v>
      </c>
      <c r="AX423" s="13"/>
      <c r="AY423" s="13" t="s">
        <v>50</v>
      </c>
    </row>
    <row r="424" ht="22.5" hidden="1" customHeight="1">
      <c r="A424" s="16" t="s">
        <v>4552</v>
      </c>
      <c r="B424" s="17" t="s">
        <v>4541</v>
      </c>
      <c r="C424" s="17" t="s">
        <v>43</v>
      </c>
      <c r="D424" s="17" t="s">
        <v>290</v>
      </c>
      <c r="E424" s="17" t="s">
        <v>45</v>
      </c>
      <c r="F424" s="18">
        <v>1.0</v>
      </c>
      <c r="G424" s="18"/>
      <c r="H424" s="18"/>
      <c r="I424" s="18"/>
      <c r="J424" s="18"/>
      <c r="K424" s="18"/>
      <c r="L424" s="18"/>
      <c r="M424" s="17" t="s">
        <v>50</v>
      </c>
      <c r="N424" s="17" t="s">
        <v>50</v>
      </c>
      <c r="O424" s="17" t="s">
        <v>892</v>
      </c>
      <c r="P424" s="17" t="s">
        <v>893</v>
      </c>
      <c r="Q424" s="17" t="s">
        <v>894</v>
      </c>
      <c r="R424" s="17" t="s">
        <v>74</v>
      </c>
      <c r="S424" s="18">
        <v>79.2</v>
      </c>
      <c r="T424" s="18">
        <v>2.97</v>
      </c>
      <c r="U424" s="18" t="s">
        <v>51</v>
      </c>
      <c r="V424" s="17" t="s">
        <v>50</v>
      </c>
      <c r="W424" s="17" t="s">
        <v>50</v>
      </c>
      <c r="X424" s="17" t="s">
        <v>50</v>
      </c>
      <c r="Y424" s="17" t="s">
        <v>50</v>
      </c>
      <c r="Z424" s="17" t="s">
        <v>50</v>
      </c>
      <c r="AA424" s="17" t="s">
        <v>50</v>
      </c>
      <c r="AB424" s="17" t="s">
        <v>50</v>
      </c>
      <c r="AC424" s="17" t="s">
        <v>50</v>
      </c>
      <c r="AD424" s="17" t="s">
        <v>50</v>
      </c>
      <c r="AE424" s="17" t="s">
        <v>50</v>
      </c>
      <c r="AF424" s="17" t="s">
        <v>50</v>
      </c>
      <c r="AG424" s="17" t="s">
        <v>50</v>
      </c>
      <c r="AH424" s="17" t="s">
        <v>50</v>
      </c>
      <c r="AI424" s="17" t="s">
        <v>50</v>
      </c>
      <c r="AJ424" s="17" t="s">
        <v>50</v>
      </c>
      <c r="AK424" s="17" t="s">
        <v>50</v>
      </c>
      <c r="AL424" s="17" t="s">
        <v>50</v>
      </c>
      <c r="AM424" s="17" t="s">
        <v>50</v>
      </c>
      <c r="AN424" s="17" t="s">
        <v>50</v>
      </c>
      <c r="AO424" s="18" t="s">
        <v>50</v>
      </c>
      <c r="AP424" s="17" t="s">
        <v>50</v>
      </c>
      <c r="AQ424" s="17" t="s">
        <v>50</v>
      </c>
      <c r="AR424" s="17" t="s">
        <v>50</v>
      </c>
      <c r="AS424" s="17" t="s">
        <v>50</v>
      </c>
      <c r="AT424" s="17" t="s">
        <v>50</v>
      </c>
      <c r="AU424" s="17" t="s">
        <v>50</v>
      </c>
      <c r="AV424" s="18"/>
      <c r="AW424" s="17" t="s">
        <v>66</v>
      </c>
      <c r="AX424" s="17"/>
      <c r="AY424" s="17" t="s">
        <v>66</v>
      </c>
    </row>
    <row r="425" ht="22.5" hidden="1" customHeight="1">
      <c r="A425" s="16" t="s">
        <v>4553</v>
      </c>
      <c r="B425" s="17" t="s">
        <v>4541</v>
      </c>
      <c r="C425" s="17" t="s">
        <v>43</v>
      </c>
      <c r="D425" s="17" t="s">
        <v>290</v>
      </c>
      <c r="E425" s="17" t="s">
        <v>45</v>
      </c>
      <c r="F425" s="18">
        <v>1.0</v>
      </c>
      <c r="G425" s="18"/>
      <c r="H425" s="18"/>
      <c r="I425" s="18"/>
      <c r="J425" s="18"/>
      <c r="K425" s="18"/>
      <c r="L425" s="18"/>
      <c r="M425" s="17" t="s">
        <v>50</v>
      </c>
      <c r="N425" s="17" t="s">
        <v>50</v>
      </c>
      <c r="O425" s="17" t="s">
        <v>586</v>
      </c>
      <c r="P425" s="17" t="s">
        <v>1467</v>
      </c>
      <c r="Q425" s="17" t="s">
        <v>1468</v>
      </c>
      <c r="R425" s="17" t="s">
        <v>50</v>
      </c>
      <c r="S425" s="18">
        <v>79.2</v>
      </c>
      <c r="T425" s="18">
        <v>9.89</v>
      </c>
      <c r="U425" s="18" t="s">
        <v>51</v>
      </c>
      <c r="V425" s="17" t="s">
        <v>50</v>
      </c>
      <c r="W425" s="17" t="s">
        <v>50</v>
      </c>
      <c r="X425" s="17" t="s">
        <v>50</v>
      </c>
      <c r="Y425" s="17" t="s">
        <v>50</v>
      </c>
      <c r="Z425" s="17" t="s">
        <v>50</v>
      </c>
      <c r="AA425" s="17" t="s">
        <v>50</v>
      </c>
      <c r="AB425" s="17" t="s">
        <v>50</v>
      </c>
      <c r="AC425" s="17" t="s">
        <v>50</v>
      </c>
      <c r="AD425" s="17" t="s">
        <v>50</v>
      </c>
      <c r="AE425" s="17" t="s">
        <v>50</v>
      </c>
      <c r="AF425" s="17" t="s">
        <v>50</v>
      </c>
      <c r="AG425" s="17" t="s">
        <v>50</v>
      </c>
      <c r="AH425" s="17" t="s">
        <v>50</v>
      </c>
      <c r="AI425" s="17" t="s">
        <v>50</v>
      </c>
      <c r="AJ425" s="17" t="s">
        <v>50</v>
      </c>
      <c r="AK425" s="17" t="s">
        <v>50</v>
      </c>
      <c r="AL425" s="17" t="s">
        <v>50</v>
      </c>
      <c r="AM425" s="17" t="s">
        <v>50</v>
      </c>
      <c r="AN425" s="17" t="s">
        <v>50</v>
      </c>
      <c r="AO425" s="18" t="s">
        <v>50</v>
      </c>
      <c r="AP425" s="17" t="s">
        <v>50</v>
      </c>
      <c r="AQ425" s="17" t="s">
        <v>50</v>
      </c>
      <c r="AR425" s="17" t="s">
        <v>50</v>
      </c>
      <c r="AS425" s="17" t="s">
        <v>50</v>
      </c>
      <c r="AT425" s="17" t="s">
        <v>50</v>
      </c>
      <c r="AU425" s="17" t="s">
        <v>50</v>
      </c>
      <c r="AV425" s="18"/>
      <c r="AW425" s="17" t="s">
        <v>66</v>
      </c>
      <c r="AX425" s="17"/>
      <c r="AY425" s="17" t="s">
        <v>66</v>
      </c>
    </row>
    <row r="426" ht="22.5" hidden="1" customHeight="1">
      <c r="A426" s="9" t="s">
        <v>4554</v>
      </c>
      <c r="B426" s="10" t="s">
        <v>4555</v>
      </c>
      <c r="C426" s="10" t="s">
        <v>43</v>
      </c>
      <c r="D426" s="10" t="s">
        <v>4506</v>
      </c>
      <c r="E426" s="10" t="s">
        <v>66</v>
      </c>
      <c r="F426" s="11">
        <v>1.0</v>
      </c>
      <c r="G426" s="11">
        <v>43.2</v>
      </c>
      <c r="H426" s="11">
        <v>14.63</v>
      </c>
      <c r="I426" s="11">
        <v>-13.34</v>
      </c>
      <c r="J426" s="11">
        <v>-14.63</v>
      </c>
      <c r="K426" s="11"/>
      <c r="L426" s="11">
        <v>29.86</v>
      </c>
      <c r="M426" s="10" t="s">
        <v>46</v>
      </c>
      <c r="N426" s="10" t="s">
        <v>50</v>
      </c>
      <c r="O426" s="10" t="s">
        <v>4556</v>
      </c>
      <c r="P426" s="10" t="s">
        <v>4557</v>
      </c>
      <c r="Q426" s="10" t="s">
        <v>4558</v>
      </c>
      <c r="R426" s="10" t="s">
        <v>74</v>
      </c>
      <c r="S426" s="11">
        <v>43.2</v>
      </c>
      <c r="T426" s="11">
        <v>8.73</v>
      </c>
      <c r="U426" s="11" t="s">
        <v>51</v>
      </c>
      <c r="V426" s="10" t="s">
        <v>52</v>
      </c>
      <c r="W426" s="10" t="s">
        <v>4559</v>
      </c>
      <c r="X426" s="10" t="s">
        <v>4560</v>
      </c>
      <c r="Y426" s="10" t="s">
        <v>4561</v>
      </c>
      <c r="Z426" s="10" t="s">
        <v>50</v>
      </c>
      <c r="AA426" s="10" t="s">
        <v>50</v>
      </c>
      <c r="AB426" s="10" t="s">
        <v>4559</v>
      </c>
      <c r="AC426" s="10" t="s">
        <v>4562</v>
      </c>
      <c r="AD426" s="10" t="s">
        <v>4563</v>
      </c>
      <c r="AE426" s="10" t="s">
        <v>1192</v>
      </c>
      <c r="AF426" s="10" t="s">
        <v>58</v>
      </c>
      <c r="AG426" s="10" t="s">
        <v>4564</v>
      </c>
      <c r="AH426" s="10" t="s">
        <v>60</v>
      </c>
      <c r="AI426" s="10" t="s">
        <v>61</v>
      </c>
      <c r="AJ426" s="10" t="s">
        <v>4565</v>
      </c>
      <c r="AK426" s="10" t="s">
        <v>4566</v>
      </c>
      <c r="AL426" s="10" t="s">
        <v>64</v>
      </c>
      <c r="AM426" s="10" t="s">
        <v>4567</v>
      </c>
      <c r="AN426" s="10" t="s">
        <v>50</v>
      </c>
      <c r="AO426" s="11" t="s">
        <v>50</v>
      </c>
      <c r="AP426" s="10" t="s">
        <v>50</v>
      </c>
      <c r="AQ426" s="10" t="s">
        <v>50</v>
      </c>
      <c r="AR426" s="10" t="s">
        <v>50</v>
      </c>
      <c r="AS426" s="10" t="s">
        <v>50</v>
      </c>
      <c r="AT426" s="10" t="s">
        <v>50</v>
      </c>
      <c r="AU426" s="10" t="s">
        <v>50</v>
      </c>
      <c r="AV426" s="11"/>
      <c r="AW426" s="10" t="s">
        <v>66</v>
      </c>
      <c r="AX426" s="10"/>
      <c r="AY426" s="10" t="s">
        <v>66</v>
      </c>
    </row>
    <row r="427" ht="22.5" hidden="1" customHeight="1">
      <c r="A427" s="9" t="s">
        <v>4568</v>
      </c>
      <c r="B427" s="10" t="s">
        <v>4569</v>
      </c>
      <c r="C427" s="10" t="s">
        <v>43</v>
      </c>
      <c r="D427" s="10" t="s">
        <v>290</v>
      </c>
      <c r="E427" s="10" t="s">
        <v>45</v>
      </c>
      <c r="F427" s="11">
        <v>1.0</v>
      </c>
      <c r="G427" s="11">
        <v>80.5</v>
      </c>
      <c r="H427" s="11">
        <v>10.71</v>
      </c>
      <c r="I427" s="11">
        <v>-15.3</v>
      </c>
      <c r="J427" s="11">
        <v>-30.66</v>
      </c>
      <c r="K427" s="11"/>
      <c r="L427" s="11">
        <v>45.25</v>
      </c>
      <c r="M427" s="10" t="s">
        <v>46</v>
      </c>
      <c r="N427" s="10" t="s">
        <v>50</v>
      </c>
      <c r="O427" s="10" t="s">
        <v>47</v>
      </c>
      <c r="P427" s="10" t="s">
        <v>48</v>
      </c>
      <c r="Q427" s="10" t="s">
        <v>49</v>
      </c>
      <c r="R427" s="10" t="s">
        <v>50</v>
      </c>
      <c r="S427" s="11">
        <v>80.5</v>
      </c>
      <c r="T427" s="11">
        <v>12.45</v>
      </c>
      <c r="U427" s="11" t="s">
        <v>51</v>
      </c>
      <c r="V427" s="10" t="s">
        <v>52</v>
      </c>
      <c r="W427" s="10" t="s">
        <v>4570</v>
      </c>
      <c r="X427" s="10" t="s">
        <v>4571</v>
      </c>
      <c r="Y427" s="10" t="s">
        <v>4572</v>
      </c>
      <c r="Z427" s="10" t="s">
        <v>50</v>
      </c>
      <c r="AA427" s="10" t="s">
        <v>50</v>
      </c>
      <c r="AB427" s="10" t="s">
        <v>4570</v>
      </c>
      <c r="AC427" s="10" t="s">
        <v>4573</v>
      </c>
      <c r="AD427" s="10" t="s">
        <v>4574</v>
      </c>
      <c r="AE427" s="10" t="s">
        <v>4575</v>
      </c>
      <c r="AF427" s="10" t="s">
        <v>1417</v>
      </c>
      <c r="AG427" s="10" t="s">
        <v>4576</v>
      </c>
      <c r="AH427" s="10" t="s">
        <v>60</v>
      </c>
      <c r="AI427" s="10" t="s">
        <v>61</v>
      </c>
      <c r="AJ427" s="10" t="s">
        <v>4513</v>
      </c>
      <c r="AK427" s="10" t="s">
        <v>4577</v>
      </c>
      <c r="AL427" s="10" t="s">
        <v>64</v>
      </c>
      <c r="AM427" s="10" t="s">
        <v>4578</v>
      </c>
      <c r="AN427" s="10" t="s">
        <v>50</v>
      </c>
      <c r="AO427" s="11" t="s">
        <v>50</v>
      </c>
      <c r="AP427" s="10" t="s">
        <v>50</v>
      </c>
      <c r="AQ427" s="10" t="s">
        <v>50</v>
      </c>
      <c r="AR427" s="10" t="s">
        <v>50</v>
      </c>
      <c r="AS427" s="10" t="s">
        <v>50</v>
      </c>
      <c r="AT427" s="10" t="s">
        <v>50</v>
      </c>
      <c r="AU427" s="10" t="s">
        <v>50</v>
      </c>
      <c r="AV427" s="11"/>
      <c r="AW427" s="10" t="s">
        <v>66</v>
      </c>
      <c r="AX427" s="10"/>
      <c r="AY427" s="10" t="s">
        <v>66</v>
      </c>
    </row>
    <row r="428" ht="22.5" hidden="1" customHeight="1">
      <c r="A428" s="9" t="s">
        <v>4579</v>
      </c>
      <c r="B428" s="10" t="s">
        <v>4580</v>
      </c>
      <c r="C428" s="10" t="s">
        <v>43</v>
      </c>
      <c r="D428" s="10" t="s">
        <v>1262</v>
      </c>
      <c r="E428" s="10" t="s">
        <v>66</v>
      </c>
      <c r="F428" s="11">
        <v>1.0</v>
      </c>
      <c r="G428" s="11">
        <v>43.7</v>
      </c>
      <c r="H428" s="11">
        <v>17.86</v>
      </c>
      <c r="I428" s="11">
        <v>-13.43</v>
      </c>
      <c r="J428" s="11">
        <v>-17.86</v>
      </c>
      <c r="K428" s="11"/>
      <c r="L428" s="11">
        <v>32.89</v>
      </c>
      <c r="M428" s="10" t="s">
        <v>46</v>
      </c>
      <c r="N428" s="10" t="s">
        <v>50</v>
      </c>
      <c r="O428" s="10" t="s">
        <v>176</v>
      </c>
      <c r="P428" s="10" t="s">
        <v>177</v>
      </c>
      <c r="Q428" s="10" t="s">
        <v>178</v>
      </c>
      <c r="R428" s="10" t="s">
        <v>74</v>
      </c>
      <c r="S428" s="11">
        <v>43.7</v>
      </c>
      <c r="T428" s="11">
        <v>22.58</v>
      </c>
      <c r="U428" s="11" t="s">
        <v>51</v>
      </c>
      <c r="V428" s="10" t="s">
        <v>52</v>
      </c>
      <c r="W428" s="10" t="s">
        <v>4581</v>
      </c>
      <c r="X428" s="10" t="s">
        <v>4582</v>
      </c>
      <c r="Y428" s="10" t="s">
        <v>4583</v>
      </c>
      <c r="Z428" s="10" t="s">
        <v>50</v>
      </c>
      <c r="AA428" s="10" t="s">
        <v>50</v>
      </c>
      <c r="AB428" s="10" t="s">
        <v>4581</v>
      </c>
      <c r="AC428" s="10" t="s">
        <v>4584</v>
      </c>
      <c r="AD428" s="10" t="s">
        <v>4585</v>
      </c>
      <c r="AE428" s="10" t="s">
        <v>4586</v>
      </c>
      <c r="AF428" s="10" t="s">
        <v>214</v>
      </c>
      <c r="AG428" s="10" t="s">
        <v>4587</v>
      </c>
      <c r="AH428" s="10" t="s">
        <v>60</v>
      </c>
      <c r="AI428" s="10" t="s">
        <v>61</v>
      </c>
      <c r="AJ428" s="10" t="s">
        <v>4525</v>
      </c>
      <c r="AK428" s="10" t="s">
        <v>4588</v>
      </c>
      <c r="AL428" s="10" t="s">
        <v>64</v>
      </c>
      <c r="AM428" s="10" t="s">
        <v>4589</v>
      </c>
      <c r="AN428" s="10" t="s">
        <v>50</v>
      </c>
      <c r="AO428" s="11" t="s">
        <v>50</v>
      </c>
      <c r="AP428" s="10" t="s">
        <v>50</v>
      </c>
      <c r="AQ428" s="10" t="s">
        <v>50</v>
      </c>
      <c r="AR428" s="10" t="s">
        <v>50</v>
      </c>
      <c r="AS428" s="10" t="s">
        <v>50</v>
      </c>
      <c r="AT428" s="10" t="s">
        <v>50</v>
      </c>
      <c r="AU428" s="10" t="s">
        <v>50</v>
      </c>
      <c r="AV428" s="11"/>
      <c r="AW428" s="10" t="s">
        <v>66</v>
      </c>
      <c r="AX428" s="10"/>
      <c r="AY428" s="10" t="s">
        <v>66</v>
      </c>
    </row>
    <row r="429" ht="22.5" hidden="1" customHeight="1">
      <c r="A429" s="9" t="s">
        <v>4590</v>
      </c>
      <c r="B429" s="10" t="s">
        <v>4591</v>
      </c>
      <c r="C429" s="10" t="s">
        <v>43</v>
      </c>
      <c r="D429" s="10" t="s">
        <v>4592</v>
      </c>
      <c r="E429" s="10" t="s">
        <v>45</v>
      </c>
      <c r="F429" s="11">
        <v>1.0</v>
      </c>
      <c r="G429" s="11">
        <v>79.2</v>
      </c>
      <c r="H429" s="11">
        <v>19.71</v>
      </c>
      <c r="I429" s="11">
        <v>-13.46</v>
      </c>
      <c r="J429" s="11">
        <v>-40.16</v>
      </c>
      <c r="K429" s="11"/>
      <c r="L429" s="11">
        <v>50.04</v>
      </c>
      <c r="M429" s="10" t="s">
        <v>46</v>
      </c>
      <c r="N429" s="10" t="s">
        <v>45</v>
      </c>
      <c r="O429" s="10" t="s">
        <v>892</v>
      </c>
      <c r="P429" s="10" t="s">
        <v>893</v>
      </c>
      <c r="Q429" s="10" t="s">
        <v>894</v>
      </c>
      <c r="R429" s="10" t="s">
        <v>74</v>
      </c>
      <c r="S429" s="11">
        <v>79.2</v>
      </c>
      <c r="T429" s="11">
        <v>2.97</v>
      </c>
      <c r="U429" s="11" t="s">
        <v>51</v>
      </c>
      <c r="V429" s="10" t="s">
        <v>52</v>
      </c>
      <c r="W429" s="10" t="s">
        <v>4593</v>
      </c>
      <c r="X429" s="10" t="s">
        <v>4594</v>
      </c>
      <c r="Y429" s="10" t="s">
        <v>4595</v>
      </c>
      <c r="Z429" s="10" t="s">
        <v>50</v>
      </c>
      <c r="AA429" s="10" t="s">
        <v>50</v>
      </c>
      <c r="AB429" s="10" t="s">
        <v>4593</v>
      </c>
      <c r="AC429" s="10" t="s">
        <v>4596</v>
      </c>
      <c r="AD429" s="10" t="s">
        <v>4597</v>
      </c>
      <c r="AE429" s="10" t="s">
        <v>4598</v>
      </c>
      <c r="AF429" s="10" t="s">
        <v>408</v>
      </c>
      <c r="AG429" s="10" t="s">
        <v>4599</v>
      </c>
      <c r="AH429" s="10" t="s">
        <v>60</v>
      </c>
      <c r="AI429" s="10" t="s">
        <v>61</v>
      </c>
      <c r="AJ429" s="10" t="s">
        <v>4600</v>
      </c>
      <c r="AK429" s="10" t="s">
        <v>4601</v>
      </c>
      <c r="AL429" s="10" t="s">
        <v>64</v>
      </c>
      <c r="AM429" s="10" t="s">
        <v>4602</v>
      </c>
      <c r="AN429" s="10" t="s">
        <v>50</v>
      </c>
      <c r="AO429" s="11" t="s">
        <v>50</v>
      </c>
      <c r="AP429" s="10" t="s">
        <v>50</v>
      </c>
      <c r="AQ429" s="10" t="s">
        <v>50</v>
      </c>
      <c r="AR429" s="10" t="s">
        <v>50</v>
      </c>
      <c r="AS429" s="10" t="s">
        <v>50</v>
      </c>
      <c r="AT429" s="10" t="s">
        <v>50</v>
      </c>
      <c r="AU429" s="10" t="s">
        <v>50</v>
      </c>
      <c r="AV429" s="11"/>
      <c r="AW429" s="10" t="s">
        <v>66</v>
      </c>
      <c r="AX429" s="10"/>
      <c r="AY429" s="10" t="s">
        <v>66</v>
      </c>
    </row>
    <row r="430" ht="22.5" hidden="1" customHeight="1">
      <c r="A430" s="9" t="s">
        <v>4603</v>
      </c>
      <c r="B430" s="10" t="s">
        <v>4604</v>
      </c>
      <c r="C430" s="10" t="s">
        <v>43</v>
      </c>
      <c r="D430" s="10" t="s">
        <v>4506</v>
      </c>
      <c r="E430" s="10" t="s">
        <v>66</v>
      </c>
      <c r="F430" s="11">
        <v>1.0</v>
      </c>
      <c r="G430" s="11">
        <v>43.7</v>
      </c>
      <c r="H430" s="11">
        <v>14.15</v>
      </c>
      <c r="I430" s="11">
        <v>-13.43</v>
      </c>
      <c r="J430" s="11">
        <v>-14.15</v>
      </c>
      <c r="K430" s="11"/>
      <c r="L430" s="11">
        <v>32.89</v>
      </c>
      <c r="M430" s="10" t="s">
        <v>46</v>
      </c>
      <c r="N430" s="10" t="s">
        <v>50</v>
      </c>
      <c r="O430" s="10" t="s">
        <v>176</v>
      </c>
      <c r="P430" s="10" t="s">
        <v>177</v>
      </c>
      <c r="Q430" s="10" t="s">
        <v>178</v>
      </c>
      <c r="R430" s="10" t="s">
        <v>74</v>
      </c>
      <c r="S430" s="11">
        <v>43.7</v>
      </c>
      <c r="T430" s="11">
        <v>22.58</v>
      </c>
      <c r="U430" s="11" t="s">
        <v>51</v>
      </c>
      <c r="V430" s="10" t="s">
        <v>52</v>
      </c>
      <c r="W430" s="10" t="s">
        <v>4605</v>
      </c>
      <c r="X430" s="10" t="s">
        <v>4606</v>
      </c>
      <c r="Y430" s="10" t="s">
        <v>4607</v>
      </c>
      <c r="Z430" s="10" t="s">
        <v>50</v>
      </c>
      <c r="AA430" s="10" t="s">
        <v>50</v>
      </c>
      <c r="AB430" s="10" t="s">
        <v>4605</v>
      </c>
      <c r="AC430" s="10" t="s">
        <v>4608</v>
      </c>
      <c r="AD430" s="10" t="s">
        <v>4609</v>
      </c>
      <c r="AE430" s="10" t="s">
        <v>4610</v>
      </c>
      <c r="AF430" s="10" t="s">
        <v>58</v>
      </c>
      <c r="AG430" s="10" t="s">
        <v>4611</v>
      </c>
      <c r="AH430" s="10" t="s">
        <v>60</v>
      </c>
      <c r="AI430" s="10" t="s">
        <v>61</v>
      </c>
      <c r="AJ430" s="10" t="s">
        <v>4600</v>
      </c>
      <c r="AK430" s="10" t="s">
        <v>4612</v>
      </c>
      <c r="AL430" s="10" t="s">
        <v>64</v>
      </c>
      <c r="AM430" s="10" t="s">
        <v>4613</v>
      </c>
      <c r="AN430" s="10" t="s">
        <v>50</v>
      </c>
      <c r="AO430" s="11" t="s">
        <v>50</v>
      </c>
      <c r="AP430" s="10" t="s">
        <v>50</v>
      </c>
      <c r="AQ430" s="10" t="s">
        <v>50</v>
      </c>
      <c r="AR430" s="10" t="s">
        <v>50</v>
      </c>
      <c r="AS430" s="10" t="s">
        <v>50</v>
      </c>
      <c r="AT430" s="10" t="s">
        <v>50</v>
      </c>
      <c r="AU430" s="10" t="s">
        <v>50</v>
      </c>
      <c r="AV430" s="11"/>
      <c r="AW430" s="10" t="s">
        <v>66</v>
      </c>
      <c r="AX430" s="10"/>
      <c r="AY430" s="10" t="s">
        <v>66</v>
      </c>
    </row>
    <row r="431" ht="22.5" hidden="1" customHeight="1">
      <c r="A431" s="9" t="s">
        <v>4614</v>
      </c>
      <c r="B431" s="10" t="s">
        <v>4615</v>
      </c>
      <c r="C431" s="10" t="s">
        <v>43</v>
      </c>
      <c r="D431" s="10" t="s">
        <v>4592</v>
      </c>
      <c r="E431" s="10" t="s">
        <v>45</v>
      </c>
      <c r="F431" s="11">
        <v>2.0</v>
      </c>
      <c r="G431" s="11">
        <v>184.3</v>
      </c>
      <c r="H431" s="11"/>
      <c r="I431" s="11">
        <v>-35.02</v>
      </c>
      <c r="J431" s="11">
        <v>-40.9</v>
      </c>
      <c r="K431" s="11"/>
      <c r="L431" s="11">
        <v>119.44</v>
      </c>
      <c r="M431" s="10" t="s">
        <v>46</v>
      </c>
      <c r="N431" s="10" t="s">
        <v>45</v>
      </c>
      <c r="O431" s="10" t="s">
        <v>586</v>
      </c>
      <c r="P431" s="10" t="s">
        <v>587</v>
      </c>
      <c r="Q431" s="10" t="s">
        <v>588</v>
      </c>
      <c r="R431" s="10" t="s">
        <v>50</v>
      </c>
      <c r="S431" s="11">
        <v>92.15</v>
      </c>
      <c r="T431" s="11">
        <v>20.76</v>
      </c>
      <c r="U431" s="11" t="s">
        <v>51</v>
      </c>
      <c r="V431" s="10" t="s">
        <v>52</v>
      </c>
      <c r="W431" s="10" t="s">
        <v>4616</v>
      </c>
      <c r="X431" s="10" t="s">
        <v>4617</v>
      </c>
      <c r="Y431" s="10" t="s">
        <v>4618</v>
      </c>
      <c r="Z431" s="10" t="s">
        <v>50</v>
      </c>
      <c r="AA431" s="10" t="s">
        <v>50</v>
      </c>
      <c r="AB431" s="10" t="s">
        <v>4616</v>
      </c>
      <c r="AC431" s="10" t="s">
        <v>4619</v>
      </c>
      <c r="AD431" s="10" t="s">
        <v>4620</v>
      </c>
      <c r="AE431" s="10" t="s">
        <v>4621</v>
      </c>
      <c r="AF431" s="10" t="s">
        <v>214</v>
      </c>
      <c r="AG431" s="10" t="s">
        <v>4622</v>
      </c>
      <c r="AH431" s="10" t="s">
        <v>60</v>
      </c>
      <c r="AI431" s="10" t="s">
        <v>61</v>
      </c>
      <c r="AJ431" s="10" t="s">
        <v>4623</v>
      </c>
      <c r="AK431" s="10" t="s">
        <v>4624</v>
      </c>
      <c r="AL431" s="10" t="s">
        <v>64</v>
      </c>
      <c r="AM431" s="10" t="s">
        <v>4625</v>
      </c>
      <c r="AN431" s="10" t="s">
        <v>50</v>
      </c>
      <c r="AO431" s="11" t="s">
        <v>50</v>
      </c>
      <c r="AP431" s="10" t="s">
        <v>50</v>
      </c>
      <c r="AQ431" s="10" t="s">
        <v>50</v>
      </c>
      <c r="AR431" s="10" t="s">
        <v>50</v>
      </c>
      <c r="AS431" s="10" t="s">
        <v>50</v>
      </c>
      <c r="AT431" s="10" t="s">
        <v>50</v>
      </c>
      <c r="AU431" s="10" t="s">
        <v>50</v>
      </c>
      <c r="AV431" s="11"/>
      <c r="AW431" s="10" t="s">
        <v>66</v>
      </c>
      <c r="AX431" s="10"/>
      <c r="AY431" s="10" t="s">
        <v>66</v>
      </c>
    </row>
    <row r="432" ht="22.5" hidden="1" customHeight="1">
      <c r="A432" s="9" t="s">
        <v>4626</v>
      </c>
      <c r="B432" s="10" t="s">
        <v>4627</v>
      </c>
      <c r="C432" s="10" t="s">
        <v>43</v>
      </c>
      <c r="D432" s="10" t="s">
        <v>4506</v>
      </c>
      <c r="E432" s="10" t="s">
        <v>66</v>
      </c>
      <c r="F432" s="11">
        <v>1.0</v>
      </c>
      <c r="G432" s="11">
        <v>120.0</v>
      </c>
      <c r="H432" s="11"/>
      <c r="I432" s="11">
        <v>-20.4</v>
      </c>
      <c r="J432" s="11">
        <v>-19.95</v>
      </c>
      <c r="K432" s="11"/>
      <c r="L432" s="11">
        <v>86.85</v>
      </c>
      <c r="M432" s="10" t="s">
        <v>46</v>
      </c>
      <c r="N432" s="10" t="s">
        <v>45</v>
      </c>
      <c r="O432" s="10" t="s">
        <v>85</v>
      </c>
      <c r="P432" s="10" t="s">
        <v>86</v>
      </c>
      <c r="Q432" s="10" t="s">
        <v>87</v>
      </c>
      <c r="R432" s="10" t="s">
        <v>74</v>
      </c>
      <c r="S432" s="11">
        <v>120.0</v>
      </c>
      <c r="T432" s="11">
        <v>65.78</v>
      </c>
      <c r="U432" s="11" t="s">
        <v>51</v>
      </c>
      <c r="V432" s="10" t="s">
        <v>52</v>
      </c>
      <c r="W432" s="10" t="s">
        <v>4628</v>
      </c>
      <c r="X432" s="10" t="s">
        <v>4629</v>
      </c>
      <c r="Y432" s="10" t="s">
        <v>4630</v>
      </c>
      <c r="Z432" s="10" t="s">
        <v>50</v>
      </c>
      <c r="AA432" s="10" t="s">
        <v>50</v>
      </c>
      <c r="AB432" s="10" t="s">
        <v>4628</v>
      </c>
      <c r="AC432" s="10" t="s">
        <v>4631</v>
      </c>
      <c r="AD432" s="10" t="s">
        <v>4632</v>
      </c>
      <c r="AE432" s="10" t="s">
        <v>4633</v>
      </c>
      <c r="AF432" s="10" t="s">
        <v>58</v>
      </c>
      <c r="AG432" s="10" t="s">
        <v>4634</v>
      </c>
      <c r="AH432" s="10" t="s">
        <v>60</v>
      </c>
      <c r="AI432" s="10" t="s">
        <v>61</v>
      </c>
      <c r="AJ432" s="10" t="s">
        <v>4565</v>
      </c>
      <c r="AK432" s="10" t="s">
        <v>4635</v>
      </c>
      <c r="AL432" s="10" t="s">
        <v>64</v>
      </c>
      <c r="AM432" s="10" t="s">
        <v>4636</v>
      </c>
      <c r="AN432" s="10" t="s">
        <v>50</v>
      </c>
      <c r="AO432" s="11" t="s">
        <v>50</v>
      </c>
      <c r="AP432" s="10" t="s">
        <v>50</v>
      </c>
      <c r="AQ432" s="10" t="s">
        <v>50</v>
      </c>
      <c r="AR432" s="10" t="s">
        <v>50</v>
      </c>
      <c r="AS432" s="10" t="s">
        <v>50</v>
      </c>
      <c r="AT432" s="10" t="s">
        <v>50</v>
      </c>
      <c r="AU432" s="10" t="s">
        <v>50</v>
      </c>
      <c r="AV432" s="11"/>
      <c r="AW432" s="10" t="s">
        <v>66</v>
      </c>
      <c r="AX432" s="10"/>
      <c r="AY432" s="10" t="s">
        <v>66</v>
      </c>
    </row>
    <row r="433" ht="22.5" hidden="1" customHeight="1">
      <c r="A433" s="9" t="s">
        <v>4637</v>
      </c>
      <c r="B433" s="10" t="s">
        <v>4638</v>
      </c>
      <c r="C433" s="10" t="s">
        <v>43</v>
      </c>
      <c r="D433" s="10" t="s">
        <v>290</v>
      </c>
      <c r="E433" s="10" t="s">
        <v>66</v>
      </c>
      <c r="F433" s="11">
        <v>1.0</v>
      </c>
      <c r="G433" s="11">
        <v>84.0</v>
      </c>
      <c r="H433" s="11"/>
      <c r="I433" s="11">
        <v>-14.28</v>
      </c>
      <c r="J433" s="11">
        <v>-20.45</v>
      </c>
      <c r="K433" s="11"/>
      <c r="L433" s="11">
        <v>49.27</v>
      </c>
      <c r="M433" s="10" t="s">
        <v>46</v>
      </c>
      <c r="N433" s="10" t="s">
        <v>45</v>
      </c>
      <c r="O433" s="10" t="s">
        <v>265</v>
      </c>
      <c r="P433" s="10" t="s">
        <v>266</v>
      </c>
      <c r="Q433" s="10" t="s">
        <v>267</v>
      </c>
      <c r="R433" s="10" t="s">
        <v>74</v>
      </c>
      <c r="S433" s="11">
        <v>84.0</v>
      </c>
      <c r="T433" s="11">
        <v>26.22</v>
      </c>
      <c r="U433" s="11" t="s">
        <v>51</v>
      </c>
      <c r="V433" s="10" t="s">
        <v>52</v>
      </c>
      <c r="W433" s="10" t="s">
        <v>4639</v>
      </c>
      <c r="X433" s="10" t="s">
        <v>4640</v>
      </c>
      <c r="Y433" s="10" t="s">
        <v>4641</v>
      </c>
      <c r="Z433" s="10" t="s">
        <v>50</v>
      </c>
      <c r="AA433" s="10" t="s">
        <v>50</v>
      </c>
      <c r="AB433" s="10" t="s">
        <v>4639</v>
      </c>
      <c r="AC433" s="10" t="s">
        <v>4642</v>
      </c>
      <c r="AD433" s="10" t="s">
        <v>4643</v>
      </c>
      <c r="AE433" s="10" t="s">
        <v>80</v>
      </c>
      <c r="AF433" s="10" t="s">
        <v>119</v>
      </c>
      <c r="AG433" s="10" t="s">
        <v>4644</v>
      </c>
      <c r="AH433" s="10" t="s">
        <v>60</v>
      </c>
      <c r="AI433" s="10" t="s">
        <v>61</v>
      </c>
      <c r="AJ433" s="10" t="s">
        <v>4623</v>
      </c>
      <c r="AK433" s="10" t="s">
        <v>4645</v>
      </c>
      <c r="AL433" s="10" t="s">
        <v>64</v>
      </c>
      <c r="AM433" s="10" t="s">
        <v>4646</v>
      </c>
      <c r="AN433" s="10" t="s">
        <v>4647</v>
      </c>
      <c r="AO433" s="11" t="s">
        <v>50</v>
      </c>
      <c r="AP433" s="10" t="s">
        <v>50</v>
      </c>
      <c r="AQ433" s="10" t="s">
        <v>50</v>
      </c>
      <c r="AR433" s="10" t="s">
        <v>50</v>
      </c>
      <c r="AS433" s="10" t="s">
        <v>50</v>
      </c>
      <c r="AT433" s="10" t="s">
        <v>50</v>
      </c>
      <c r="AU433" s="10" t="s">
        <v>50</v>
      </c>
      <c r="AV433" s="11"/>
      <c r="AW433" s="10" t="s">
        <v>66</v>
      </c>
      <c r="AX433" s="10"/>
      <c r="AY433" s="10" t="s">
        <v>66</v>
      </c>
    </row>
    <row r="434" ht="22.5" hidden="1" customHeight="1">
      <c r="A434" s="9" t="s">
        <v>4648</v>
      </c>
      <c r="B434" s="10" t="s">
        <v>4649</v>
      </c>
      <c r="C434" s="10" t="s">
        <v>43</v>
      </c>
      <c r="D434" s="10" t="s">
        <v>4592</v>
      </c>
      <c r="E434" s="10" t="s">
        <v>66</v>
      </c>
      <c r="F434" s="11">
        <v>1.0</v>
      </c>
      <c r="G434" s="11">
        <v>80.0</v>
      </c>
      <c r="H434" s="11"/>
      <c r="I434" s="11">
        <v>-13.6</v>
      </c>
      <c r="J434" s="11">
        <v>-19.95</v>
      </c>
      <c r="K434" s="11"/>
      <c r="L434" s="11">
        <v>50.45</v>
      </c>
      <c r="M434" s="10" t="s">
        <v>46</v>
      </c>
      <c r="N434" s="10" t="s">
        <v>45</v>
      </c>
      <c r="O434" s="10" t="s">
        <v>143</v>
      </c>
      <c r="P434" s="10" t="s">
        <v>144</v>
      </c>
      <c r="Q434" s="10" t="s">
        <v>145</v>
      </c>
      <c r="R434" s="10" t="s">
        <v>74</v>
      </c>
      <c r="S434" s="11">
        <v>80.0</v>
      </c>
      <c r="T434" s="11">
        <v>33.38</v>
      </c>
      <c r="U434" s="11" t="s">
        <v>51</v>
      </c>
      <c r="V434" s="10" t="s">
        <v>52</v>
      </c>
      <c r="W434" s="10" t="s">
        <v>4650</v>
      </c>
      <c r="X434" s="10" t="s">
        <v>4651</v>
      </c>
      <c r="Y434" s="10" t="s">
        <v>4652</v>
      </c>
      <c r="Z434" s="10" t="s">
        <v>50</v>
      </c>
      <c r="AA434" s="10" t="s">
        <v>50</v>
      </c>
      <c r="AB434" s="10" t="s">
        <v>4650</v>
      </c>
      <c r="AC434" s="10" t="s">
        <v>4653</v>
      </c>
      <c r="AD434" s="10" t="s">
        <v>4654</v>
      </c>
      <c r="AE434" s="10" t="s">
        <v>58</v>
      </c>
      <c r="AF434" s="10" t="s">
        <v>58</v>
      </c>
      <c r="AG434" s="10" t="s">
        <v>4655</v>
      </c>
      <c r="AH434" s="10" t="s">
        <v>60</v>
      </c>
      <c r="AI434" s="10" t="s">
        <v>61</v>
      </c>
      <c r="AJ434" s="10" t="s">
        <v>4600</v>
      </c>
      <c r="AK434" s="10" t="s">
        <v>4656</v>
      </c>
      <c r="AL434" s="10" t="s">
        <v>64</v>
      </c>
      <c r="AM434" s="10" t="s">
        <v>4657</v>
      </c>
      <c r="AN434" s="10" t="s">
        <v>50</v>
      </c>
      <c r="AO434" s="11" t="s">
        <v>50</v>
      </c>
      <c r="AP434" s="10" t="s">
        <v>50</v>
      </c>
      <c r="AQ434" s="10" t="s">
        <v>50</v>
      </c>
      <c r="AR434" s="10" t="s">
        <v>50</v>
      </c>
      <c r="AS434" s="10" t="s">
        <v>50</v>
      </c>
      <c r="AT434" s="10" t="s">
        <v>50</v>
      </c>
      <c r="AU434" s="10" t="s">
        <v>50</v>
      </c>
      <c r="AV434" s="11"/>
      <c r="AW434" s="10" t="s">
        <v>66</v>
      </c>
      <c r="AX434" s="10"/>
      <c r="AY434" s="10" t="s">
        <v>66</v>
      </c>
    </row>
    <row r="435" ht="22.5" hidden="1" customHeight="1">
      <c r="A435" s="9" t="s">
        <v>4658</v>
      </c>
      <c r="B435" s="10" t="s">
        <v>4659</v>
      </c>
      <c r="C435" s="10" t="s">
        <v>43</v>
      </c>
      <c r="D435" s="10" t="s">
        <v>4592</v>
      </c>
      <c r="E435" s="10" t="s">
        <v>66</v>
      </c>
      <c r="F435" s="11">
        <v>1.0</v>
      </c>
      <c r="G435" s="11">
        <v>84.0</v>
      </c>
      <c r="H435" s="11"/>
      <c r="I435" s="11">
        <v>-14.28</v>
      </c>
      <c r="J435" s="11">
        <v>-20.45</v>
      </c>
      <c r="K435" s="11"/>
      <c r="L435" s="11">
        <v>49.27</v>
      </c>
      <c r="M435" s="10" t="s">
        <v>46</v>
      </c>
      <c r="N435" s="10" t="s">
        <v>45</v>
      </c>
      <c r="O435" s="10" t="s">
        <v>265</v>
      </c>
      <c r="P435" s="10" t="s">
        <v>266</v>
      </c>
      <c r="Q435" s="10" t="s">
        <v>267</v>
      </c>
      <c r="R435" s="10" t="s">
        <v>74</v>
      </c>
      <c r="S435" s="11">
        <v>84.0</v>
      </c>
      <c r="T435" s="11">
        <v>26.22</v>
      </c>
      <c r="U435" s="11" t="s">
        <v>51</v>
      </c>
      <c r="V435" s="10" t="s">
        <v>52</v>
      </c>
      <c r="W435" s="10" t="s">
        <v>4660</v>
      </c>
      <c r="X435" s="10" t="s">
        <v>4661</v>
      </c>
      <c r="Y435" s="10" t="s">
        <v>4662</v>
      </c>
      <c r="Z435" s="10" t="s">
        <v>50</v>
      </c>
      <c r="AA435" s="10" t="s">
        <v>50</v>
      </c>
      <c r="AB435" s="10" t="s">
        <v>4660</v>
      </c>
      <c r="AC435" s="10" t="s">
        <v>4663</v>
      </c>
      <c r="AD435" s="10" t="s">
        <v>4664</v>
      </c>
      <c r="AE435" s="10" t="s">
        <v>4665</v>
      </c>
      <c r="AF435" s="10" t="s">
        <v>214</v>
      </c>
      <c r="AG435" s="10" t="s">
        <v>4666</v>
      </c>
      <c r="AH435" s="10" t="s">
        <v>60</v>
      </c>
      <c r="AI435" s="10" t="s">
        <v>61</v>
      </c>
      <c r="AJ435" s="10" t="s">
        <v>4623</v>
      </c>
      <c r="AK435" s="10" t="s">
        <v>4667</v>
      </c>
      <c r="AL435" s="10" t="s">
        <v>64</v>
      </c>
      <c r="AM435" s="10" t="s">
        <v>4668</v>
      </c>
      <c r="AN435" s="10" t="s">
        <v>50</v>
      </c>
      <c r="AO435" s="11" t="s">
        <v>50</v>
      </c>
      <c r="AP435" s="10" t="s">
        <v>50</v>
      </c>
      <c r="AQ435" s="10" t="s">
        <v>50</v>
      </c>
      <c r="AR435" s="10" t="s">
        <v>50</v>
      </c>
      <c r="AS435" s="10" t="s">
        <v>50</v>
      </c>
      <c r="AT435" s="10" t="s">
        <v>50</v>
      </c>
      <c r="AU435" s="10" t="s">
        <v>50</v>
      </c>
      <c r="AV435" s="11"/>
      <c r="AW435" s="10" t="s">
        <v>66</v>
      </c>
      <c r="AX435" s="10"/>
      <c r="AY435" s="10" t="s">
        <v>66</v>
      </c>
    </row>
    <row r="436" ht="22.5" hidden="1" customHeight="1">
      <c r="A436" s="9" t="s">
        <v>4669</v>
      </c>
      <c r="B436" s="10" t="s">
        <v>4670</v>
      </c>
      <c r="C436" s="10" t="s">
        <v>43</v>
      </c>
      <c r="D436" s="10" t="s">
        <v>4506</v>
      </c>
      <c r="E436" s="10" t="s">
        <v>45</v>
      </c>
      <c r="F436" s="11">
        <v>1.0</v>
      </c>
      <c r="G436" s="11">
        <v>79.0</v>
      </c>
      <c r="H436" s="11"/>
      <c r="I436" s="11">
        <v>-13.43</v>
      </c>
      <c r="J436" s="11">
        <v>-19.95</v>
      </c>
      <c r="K436" s="11"/>
      <c r="L436" s="11">
        <v>45.62</v>
      </c>
      <c r="M436" s="10" t="s">
        <v>46</v>
      </c>
      <c r="N436" s="10" t="s">
        <v>45</v>
      </c>
      <c r="O436" s="10" t="s">
        <v>766</v>
      </c>
      <c r="P436" s="10" t="s">
        <v>767</v>
      </c>
      <c r="Q436" s="10" t="s">
        <v>768</v>
      </c>
      <c r="R436" s="10" t="s">
        <v>74</v>
      </c>
      <c r="S436" s="11">
        <v>79.0</v>
      </c>
      <c r="T436" s="11">
        <v>13.62</v>
      </c>
      <c r="U436" s="11" t="s">
        <v>51</v>
      </c>
      <c r="V436" s="10" t="s">
        <v>52</v>
      </c>
      <c r="W436" s="10" t="s">
        <v>4671</v>
      </c>
      <c r="X436" s="10" t="s">
        <v>4672</v>
      </c>
      <c r="Y436" s="10" t="s">
        <v>4673</v>
      </c>
      <c r="Z436" s="10" t="s">
        <v>50</v>
      </c>
      <c r="AA436" s="10" t="s">
        <v>50</v>
      </c>
      <c r="AB436" s="10" t="s">
        <v>4671</v>
      </c>
      <c r="AC436" s="10" t="s">
        <v>4674</v>
      </c>
      <c r="AD436" s="10" t="s">
        <v>4675</v>
      </c>
      <c r="AE436" s="10" t="s">
        <v>58</v>
      </c>
      <c r="AF436" s="10" t="s">
        <v>58</v>
      </c>
      <c r="AG436" s="10" t="s">
        <v>4676</v>
      </c>
      <c r="AH436" s="10" t="s">
        <v>60</v>
      </c>
      <c r="AI436" s="10" t="s">
        <v>61</v>
      </c>
      <c r="AJ436" s="10" t="s">
        <v>4513</v>
      </c>
      <c r="AK436" s="10" t="s">
        <v>4677</v>
      </c>
      <c r="AL436" s="10" t="s">
        <v>64</v>
      </c>
      <c r="AM436" s="10" t="s">
        <v>4678</v>
      </c>
      <c r="AN436" s="10" t="s">
        <v>50</v>
      </c>
      <c r="AO436" s="11" t="s">
        <v>50</v>
      </c>
      <c r="AP436" s="10" t="s">
        <v>50</v>
      </c>
      <c r="AQ436" s="10" t="s">
        <v>50</v>
      </c>
      <c r="AR436" s="10" t="s">
        <v>50</v>
      </c>
      <c r="AS436" s="10" t="s">
        <v>50</v>
      </c>
      <c r="AT436" s="10" t="s">
        <v>50</v>
      </c>
      <c r="AU436" s="10" t="s">
        <v>50</v>
      </c>
      <c r="AV436" s="11"/>
      <c r="AW436" s="10" t="s">
        <v>66</v>
      </c>
      <c r="AX436" s="10"/>
      <c r="AY436" s="10" t="s">
        <v>66</v>
      </c>
    </row>
    <row r="437" ht="22.5" hidden="1" customHeight="1">
      <c r="A437" s="9" t="s">
        <v>4679</v>
      </c>
      <c r="B437" s="10" t="s">
        <v>4680</v>
      </c>
      <c r="C437" s="10" t="s">
        <v>43</v>
      </c>
      <c r="D437" s="10" t="s">
        <v>2481</v>
      </c>
      <c r="E437" s="10" t="s">
        <v>66</v>
      </c>
      <c r="F437" s="11">
        <v>1.0</v>
      </c>
      <c r="G437" s="11">
        <v>80.0</v>
      </c>
      <c r="H437" s="11"/>
      <c r="I437" s="11">
        <v>-13.6</v>
      </c>
      <c r="J437" s="11">
        <v>-19.95</v>
      </c>
      <c r="K437" s="11"/>
      <c r="L437" s="11">
        <v>50.45</v>
      </c>
      <c r="M437" s="10" t="s">
        <v>46</v>
      </c>
      <c r="N437" s="10" t="s">
        <v>45</v>
      </c>
      <c r="O437" s="10" t="s">
        <v>143</v>
      </c>
      <c r="P437" s="10" t="s">
        <v>144</v>
      </c>
      <c r="Q437" s="10" t="s">
        <v>145</v>
      </c>
      <c r="R437" s="10" t="s">
        <v>74</v>
      </c>
      <c r="S437" s="11">
        <v>80.0</v>
      </c>
      <c r="T437" s="11">
        <v>33.38</v>
      </c>
      <c r="U437" s="11" t="s">
        <v>51</v>
      </c>
      <c r="V437" s="10" t="s">
        <v>52</v>
      </c>
      <c r="W437" s="10" t="s">
        <v>4681</v>
      </c>
      <c r="X437" s="10" t="s">
        <v>4682</v>
      </c>
      <c r="Y437" s="10" t="s">
        <v>4683</v>
      </c>
      <c r="Z437" s="10" t="s">
        <v>50</v>
      </c>
      <c r="AA437" s="10" t="s">
        <v>50</v>
      </c>
      <c r="AB437" s="10" t="s">
        <v>4681</v>
      </c>
      <c r="AC437" s="10" t="s">
        <v>4684</v>
      </c>
      <c r="AD437" s="10" t="s">
        <v>4685</v>
      </c>
      <c r="AE437" s="10" t="s">
        <v>4686</v>
      </c>
      <c r="AF437" s="10" t="s">
        <v>151</v>
      </c>
      <c r="AG437" s="10" t="s">
        <v>4687</v>
      </c>
      <c r="AH437" s="10" t="s">
        <v>60</v>
      </c>
      <c r="AI437" s="10" t="s">
        <v>61</v>
      </c>
      <c r="AJ437" s="10" t="s">
        <v>4688</v>
      </c>
      <c r="AK437" s="10" t="s">
        <v>4689</v>
      </c>
      <c r="AL437" s="10" t="s">
        <v>64</v>
      </c>
      <c r="AM437" s="10" t="s">
        <v>4690</v>
      </c>
      <c r="AN437" s="10" t="s">
        <v>50</v>
      </c>
      <c r="AO437" s="11" t="s">
        <v>50</v>
      </c>
      <c r="AP437" s="10" t="s">
        <v>50</v>
      </c>
      <c r="AQ437" s="10" t="s">
        <v>50</v>
      </c>
      <c r="AR437" s="10" t="s">
        <v>50</v>
      </c>
      <c r="AS437" s="10" t="s">
        <v>50</v>
      </c>
      <c r="AT437" s="10" t="s">
        <v>50</v>
      </c>
      <c r="AU437" s="10" t="s">
        <v>50</v>
      </c>
      <c r="AV437" s="11"/>
      <c r="AW437" s="10" t="s">
        <v>66</v>
      </c>
      <c r="AX437" s="10"/>
      <c r="AY437" s="10" t="s">
        <v>66</v>
      </c>
    </row>
    <row r="438" ht="22.5" hidden="1" customHeight="1">
      <c r="A438" s="9" t="s">
        <v>4691</v>
      </c>
      <c r="B438" s="10" t="s">
        <v>4692</v>
      </c>
      <c r="C438" s="10" t="s">
        <v>43</v>
      </c>
      <c r="D438" s="10" t="s">
        <v>1262</v>
      </c>
      <c r="E438" s="10" t="s">
        <v>66</v>
      </c>
      <c r="F438" s="11">
        <v>1.0</v>
      </c>
      <c r="G438" s="11">
        <v>80.0</v>
      </c>
      <c r="H438" s="11"/>
      <c r="I438" s="11">
        <v>-13.6</v>
      </c>
      <c r="J438" s="11">
        <v>-19.95</v>
      </c>
      <c r="K438" s="11"/>
      <c r="L438" s="11">
        <v>50.45</v>
      </c>
      <c r="M438" s="10" t="s">
        <v>46</v>
      </c>
      <c r="N438" s="10" t="s">
        <v>45</v>
      </c>
      <c r="O438" s="10" t="s">
        <v>143</v>
      </c>
      <c r="P438" s="10" t="s">
        <v>144</v>
      </c>
      <c r="Q438" s="10" t="s">
        <v>145</v>
      </c>
      <c r="R438" s="10" t="s">
        <v>74</v>
      </c>
      <c r="S438" s="11">
        <v>80.0</v>
      </c>
      <c r="T438" s="11">
        <v>33.38</v>
      </c>
      <c r="U438" s="11" t="s">
        <v>51</v>
      </c>
      <c r="V438" s="10" t="s">
        <v>52</v>
      </c>
      <c r="W438" s="10" t="s">
        <v>4693</v>
      </c>
      <c r="X438" s="10" t="s">
        <v>4694</v>
      </c>
      <c r="Y438" s="10" t="s">
        <v>4695</v>
      </c>
      <c r="Z438" s="10" t="s">
        <v>50</v>
      </c>
      <c r="AA438" s="10" t="s">
        <v>50</v>
      </c>
      <c r="AB438" s="10" t="s">
        <v>4693</v>
      </c>
      <c r="AC438" s="10" t="s">
        <v>4696</v>
      </c>
      <c r="AD438" s="10" t="s">
        <v>4697</v>
      </c>
      <c r="AE438" s="10" t="s">
        <v>4698</v>
      </c>
      <c r="AF438" s="10" t="s">
        <v>119</v>
      </c>
      <c r="AG438" s="10" t="s">
        <v>4699</v>
      </c>
      <c r="AH438" s="10" t="s">
        <v>60</v>
      </c>
      <c r="AI438" s="10" t="s">
        <v>61</v>
      </c>
      <c r="AJ438" s="10" t="s">
        <v>4623</v>
      </c>
      <c r="AK438" s="10" t="s">
        <v>4700</v>
      </c>
      <c r="AL438" s="10" t="s">
        <v>64</v>
      </c>
      <c r="AM438" s="10" t="s">
        <v>4701</v>
      </c>
      <c r="AN438" s="10" t="s">
        <v>4702</v>
      </c>
      <c r="AO438" s="11" t="s">
        <v>50</v>
      </c>
      <c r="AP438" s="10" t="s">
        <v>50</v>
      </c>
      <c r="AQ438" s="10" t="s">
        <v>50</v>
      </c>
      <c r="AR438" s="10" t="s">
        <v>50</v>
      </c>
      <c r="AS438" s="10" t="s">
        <v>50</v>
      </c>
      <c r="AT438" s="10" t="s">
        <v>50</v>
      </c>
      <c r="AU438" s="10" t="s">
        <v>50</v>
      </c>
      <c r="AV438" s="11"/>
      <c r="AW438" s="10" t="s">
        <v>66</v>
      </c>
      <c r="AX438" s="10"/>
      <c r="AY438" s="10" t="s">
        <v>66</v>
      </c>
    </row>
    <row r="439" ht="22.5" hidden="1" customHeight="1">
      <c r="A439" s="9" t="s">
        <v>4703</v>
      </c>
      <c r="B439" s="10" t="s">
        <v>4704</v>
      </c>
      <c r="C439" s="10" t="s">
        <v>43</v>
      </c>
      <c r="D439" s="10" t="s">
        <v>1262</v>
      </c>
      <c r="E439" s="10" t="s">
        <v>45</v>
      </c>
      <c r="F439" s="11">
        <v>1.0</v>
      </c>
      <c r="G439" s="11">
        <v>82.5</v>
      </c>
      <c r="H439" s="11"/>
      <c r="I439" s="11">
        <v>-14.02</v>
      </c>
      <c r="J439" s="11">
        <v>-20.45</v>
      </c>
      <c r="K439" s="11"/>
      <c r="L439" s="11">
        <v>48.03</v>
      </c>
      <c r="M439" s="10" t="s">
        <v>46</v>
      </c>
      <c r="N439" s="10" t="s">
        <v>45</v>
      </c>
      <c r="O439" s="10" t="s">
        <v>412</v>
      </c>
      <c r="P439" s="10" t="s">
        <v>413</v>
      </c>
      <c r="Q439" s="10" t="s">
        <v>414</v>
      </c>
      <c r="R439" s="10" t="s">
        <v>415</v>
      </c>
      <c r="S439" s="11">
        <v>82.5</v>
      </c>
      <c r="T439" s="11">
        <v>10.05</v>
      </c>
      <c r="U439" s="11" t="s">
        <v>51</v>
      </c>
      <c r="V439" s="10" t="s">
        <v>52</v>
      </c>
      <c r="W439" s="10" t="s">
        <v>4705</v>
      </c>
      <c r="X439" s="10" t="s">
        <v>4706</v>
      </c>
      <c r="Y439" s="10" t="s">
        <v>4707</v>
      </c>
      <c r="Z439" s="10" t="s">
        <v>50</v>
      </c>
      <c r="AA439" s="10" t="s">
        <v>50</v>
      </c>
      <c r="AB439" s="10" t="s">
        <v>4705</v>
      </c>
      <c r="AC439" s="10" t="s">
        <v>4708</v>
      </c>
      <c r="AD439" s="10" t="s">
        <v>4709</v>
      </c>
      <c r="AE439" s="10" t="s">
        <v>1089</v>
      </c>
      <c r="AF439" s="10" t="s">
        <v>284</v>
      </c>
      <c r="AG439" s="10" t="s">
        <v>4710</v>
      </c>
      <c r="AH439" s="10" t="s">
        <v>60</v>
      </c>
      <c r="AI439" s="10" t="s">
        <v>61</v>
      </c>
      <c r="AJ439" s="10" t="s">
        <v>3964</v>
      </c>
      <c r="AK439" s="10" t="s">
        <v>4711</v>
      </c>
      <c r="AL439" s="10" t="s">
        <v>64</v>
      </c>
      <c r="AM439" s="10" t="s">
        <v>4712</v>
      </c>
      <c r="AN439" s="10" t="s">
        <v>50</v>
      </c>
      <c r="AO439" s="11" t="s">
        <v>50</v>
      </c>
      <c r="AP439" s="10" t="s">
        <v>50</v>
      </c>
      <c r="AQ439" s="10" t="s">
        <v>50</v>
      </c>
      <c r="AR439" s="10" t="s">
        <v>50</v>
      </c>
      <c r="AS439" s="10" t="s">
        <v>50</v>
      </c>
      <c r="AT439" s="10" t="s">
        <v>50</v>
      </c>
      <c r="AU439" s="10" t="s">
        <v>50</v>
      </c>
      <c r="AV439" s="11"/>
      <c r="AW439" s="10" t="s">
        <v>66</v>
      </c>
      <c r="AX439" s="10"/>
      <c r="AY439" s="10" t="s">
        <v>66</v>
      </c>
    </row>
    <row r="440" ht="22.5" hidden="1" customHeight="1">
      <c r="A440" s="9" t="s">
        <v>4713</v>
      </c>
      <c r="B440" s="10" t="s">
        <v>4714</v>
      </c>
      <c r="C440" s="10" t="s">
        <v>43</v>
      </c>
      <c r="D440" s="10" t="s">
        <v>2481</v>
      </c>
      <c r="E440" s="10" t="s">
        <v>66</v>
      </c>
      <c r="F440" s="11">
        <v>1.0</v>
      </c>
      <c r="G440" s="11">
        <v>79.2</v>
      </c>
      <c r="H440" s="11"/>
      <c r="I440" s="11">
        <v>-13.46</v>
      </c>
      <c r="J440" s="11">
        <v>-20.45</v>
      </c>
      <c r="K440" s="11"/>
      <c r="L440" s="11">
        <v>45.29</v>
      </c>
      <c r="M440" s="10" t="s">
        <v>46</v>
      </c>
      <c r="N440" s="10" t="s">
        <v>45</v>
      </c>
      <c r="O440" s="10" t="s">
        <v>127</v>
      </c>
      <c r="P440" s="10" t="s">
        <v>128</v>
      </c>
      <c r="Q440" s="10" t="s">
        <v>129</v>
      </c>
      <c r="R440" s="10" t="s">
        <v>74</v>
      </c>
      <c r="S440" s="11">
        <v>79.2</v>
      </c>
      <c r="T440" s="11">
        <v>17.68</v>
      </c>
      <c r="U440" s="11" t="s">
        <v>51</v>
      </c>
      <c r="V440" s="10" t="s">
        <v>52</v>
      </c>
      <c r="W440" s="10" t="s">
        <v>4715</v>
      </c>
      <c r="X440" s="10" t="s">
        <v>4716</v>
      </c>
      <c r="Y440" s="10" t="s">
        <v>4717</v>
      </c>
      <c r="Z440" s="10" t="s">
        <v>50</v>
      </c>
      <c r="AA440" s="10" t="s">
        <v>50</v>
      </c>
      <c r="AB440" s="10" t="s">
        <v>4715</v>
      </c>
      <c r="AC440" s="10" t="s">
        <v>4718</v>
      </c>
      <c r="AD440" s="10" t="s">
        <v>4719</v>
      </c>
      <c r="AE440" s="10" t="s">
        <v>322</v>
      </c>
      <c r="AF440" s="10" t="s">
        <v>323</v>
      </c>
      <c r="AG440" s="10" t="s">
        <v>4720</v>
      </c>
      <c r="AH440" s="10" t="s">
        <v>60</v>
      </c>
      <c r="AI440" s="10" t="s">
        <v>61</v>
      </c>
      <c r="AJ440" s="10" t="s">
        <v>4721</v>
      </c>
      <c r="AK440" s="10" t="s">
        <v>4722</v>
      </c>
      <c r="AL440" s="10" t="s">
        <v>64</v>
      </c>
      <c r="AM440" s="10" t="s">
        <v>4723</v>
      </c>
      <c r="AN440" s="10" t="s">
        <v>50</v>
      </c>
      <c r="AO440" s="11" t="s">
        <v>50</v>
      </c>
      <c r="AP440" s="10" t="s">
        <v>50</v>
      </c>
      <c r="AQ440" s="10" t="s">
        <v>50</v>
      </c>
      <c r="AR440" s="10" t="s">
        <v>50</v>
      </c>
      <c r="AS440" s="10" t="s">
        <v>50</v>
      </c>
      <c r="AT440" s="10" t="s">
        <v>50</v>
      </c>
      <c r="AU440" s="10" t="s">
        <v>50</v>
      </c>
      <c r="AV440" s="11"/>
      <c r="AW440" s="10" t="s">
        <v>66</v>
      </c>
      <c r="AX440" s="10"/>
      <c r="AY440" s="10" t="s">
        <v>66</v>
      </c>
    </row>
    <row r="441" ht="22.5" hidden="1" customHeight="1">
      <c r="A441" s="9" t="s">
        <v>4724</v>
      </c>
      <c r="B441" s="10" t="s">
        <v>4725</v>
      </c>
      <c r="C441" s="10" t="s">
        <v>43</v>
      </c>
      <c r="D441" s="10" t="s">
        <v>2481</v>
      </c>
      <c r="E441" s="10" t="s">
        <v>66</v>
      </c>
      <c r="F441" s="11">
        <v>1.0</v>
      </c>
      <c r="G441" s="11">
        <v>79.2</v>
      </c>
      <c r="H441" s="11"/>
      <c r="I441" s="11">
        <v>-13.46</v>
      </c>
      <c r="J441" s="11">
        <v>-20.45</v>
      </c>
      <c r="K441" s="11"/>
      <c r="L441" s="11">
        <v>50.04</v>
      </c>
      <c r="M441" s="10" t="s">
        <v>46</v>
      </c>
      <c r="N441" s="10" t="s">
        <v>45</v>
      </c>
      <c r="O441" s="10" t="s">
        <v>892</v>
      </c>
      <c r="P441" s="10" t="s">
        <v>893</v>
      </c>
      <c r="Q441" s="10" t="s">
        <v>894</v>
      </c>
      <c r="R441" s="10" t="s">
        <v>74</v>
      </c>
      <c r="S441" s="11">
        <v>79.2</v>
      </c>
      <c r="T441" s="11">
        <v>2.97</v>
      </c>
      <c r="U441" s="11" t="s">
        <v>51</v>
      </c>
      <c r="V441" s="10" t="s">
        <v>52</v>
      </c>
      <c r="W441" s="10" t="s">
        <v>4726</v>
      </c>
      <c r="X441" s="10" t="s">
        <v>4727</v>
      </c>
      <c r="Y441" s="10" t="s">
        <v>4728</v>
      </c>
      <c r="Z441" s="10" t="s">
        <v>50</v>
      </c>
      <c r="AA441" s="10" t="s">
        <v>50</v>
      </c>
      <c r="AB441" s="10" t="s">
        <v>4726</v>
      </c>
      <c r="AC441" s="10" t="s">
        <v>4729</v>
      </c>
      <c r="AD441" s="10" t="s">
        <v>4730</v>
      </c>
      <c r="AE441" s="10" t="s">
        <v>4731</v>
      </c>
      <c r="AF441" s="10" t="s">
        <v>323</v>
      </c>
      <c r="AG441" s="10" t="s">
        <v>4732</v>
      </c>
      <c r="AH441" s="10" t="s">
        <v>60</v>
      </c>
      <c r="AI441" s="10" t="s">
        <v>61</v>
      </c>
      <c r="AJ441" s="10" t="s">
        <v>4733</v>
      </c>
      <c r="AK441" s="10" t="s">
        <v>4734</v>
      </c>
      <c r="AL441" s="10" t="s">
        <v>64</v>
      </c>
      <c r="AM441" s="10" t="s">
        <v>4735</v>
      </c>
      <c r="AN441" s="10" t="s">
        <v>50</v>
      </c>
      <c r="AO441" s="11" t="s">
        <v>50</v>
      </c>
      <c r="AP441" s="10" t="s">
        <v>50</v>
      </c>
      <c r="AQ441" s="10" t="s">
        <v>50</v>
      </c>
      <c r="AR441" s="10" t="s">
        <v>50</v>
      </c>
      <c r="AS441" s="10" t="s">
        <v>50</v>
      </c>
      <c r="AT441" s="10" t="s">
        <v>50</v>
      </c>
      <c r="AU441" s="10" t="s">
        <v>50</v>
      </c>
      <c r="AV441" s="11"/>
      <c r="AW441" s="10" t="s">
        <v>66</v>
      </c>
      <c r="AX441" s="10"/>
      <c r="AY441" s="10" t="s">
        <v>66</v>
      </c>
    </row>
    <row r="442" ht="22.5" hidden="1" customHeight="1">
      <c r="A442" s="9" t="s">
        <v>4736</v>
      </c>
      <c r="B442" s="10" t="s">
        <v>4737</v>
      </c>
      <c r="C442" s="10" t="s">
        <v>43</v>
      </c>
      <c r="D442" s="10" t="s">
        <v>4592</v>
      </c>
      <c r="E442" s="10" t="s">
        <v>45</v>
      </c>
      <c r="F442" s="11">
        <v>3.0</v>
      </c>
      <c r="G442" s="11">
        <v>131.1</v>
      </c>
      <c r="H442" s="11"/>
      <c r="I442" s="11">
        <v>-40.29</v>
      </c>
      <c r="J442" s="11"/>
      <c r="K442" s="11"/>
      <c r="L442" s="11">
        <v>98.67</v>
      </c>
      <c r="M442" s="10" t="s">
        <v>46</v>
      </c>
      <c r="N442" s="10" t="s">
        <v>50</v>
      </c>
      <c r="O442" s="10" t="s">
        <v>176</v>
      </c>
      <c r="P442" s="10" t="s">
        <v>177</v>
      </c>
      <c r="Q442" s="10" t="s">
        <v>178</v>
      </c>
      <c r="R442" s="10" t="s">
        <v>74</v>
      </c>
      <c r="S442" s="11">
        <v>43.7</v>
      </c>
      <c r="T442" s="11">
        <f>3*22.58</f>
        <v>67.74</v>
      </c>
      <c r="U442" s="11" t="s">
        <v>51</v>
      </c>
      <c r="V442" s="10" t="s">
        <v>52</v>
      </c>
      <c r="W442" s="10" t="s">
        <v>4738</v>
      </c>
      <c r="X442" s="10" t="s">
        <v>4739</v>
      </c>
      <c r="Y442" s="10" t="s">
        <v>4740</v>
      </c>
      <c r="Z442" s="10" t="s">
        <v>50</v>
      </c>
      <c r="AA442" s="10" t="s">
        <v>50</v>
      </c>
      <c r="AB442" s="10" t="s">
        <v>4738</v>
      </c>
      <c r="AC442" s="10" t="s">
        <v>4741</v>
      </c>
      <c r="AD442" s="10" t="s">
        <v>4742</v>
      </c>
      <c r="AE442" s="10" t="s">
        <v>373</v>
      </c>
      <c r="AF442" s="10" t="s">
        <v>58</v>
      </c>
      <c r="AG442" s="10" t="s">
        <v>4743</v>
      </c>
      <c r="AH442" s="10" t="s">
        <v>60</v>
      </c>
      <c r="AI442" s="10" t="s">
        <v>61</v>
      </c>
      <c r="AJ442" s="10" t="s">
        <v>4744</v>
      </c>
      <c r="AK442" s="10" t="s">
        <v>4745</v>
      </c>
      <c r="AL442" s="10" t="s">
        <v>64</v>
      </c>
      <c r="AM442" s="10" t="s">
        <v>4746</v>
      </c>
      <c r="AN442" s="10" t="s">
        <v>50</v>
      </c>
      <c r="AO442" s="11" t="s">
        <v>50</v>
      </c>
      <c r="AP442" s="10" t="s">
        <v>50</v>
      </c>
      <c r="AQ442" s="10" t="s">
        <v>50</v>
      </c>
      <c r="AR442" s="10" t="s">
        <v>50</v>
      </c>
      <c r="AS442" s="10" t="s">
        <v>50</v>
      </c>
      <c r="AT442" s="10" t="s">
        <v>50</v>
      </c>
      <c r="AU442" s="10" t="s">
        <v>50</v>
      </c>
      <c r="AV442" s="11"/>
      <c r="AW442" s="10" t="s">
        <v>66</v>
      </c>
      <c r="AX442" s="10"/>
      <c r="AY442" s="10" t="s">
        <v>66</v>
      </c>
    </row>
    <row r="443" ht="22.5" hidden="1" customHeight="1">
      <c r="A443" s="9" t="s">
        <v>4747</v>
      </c>
      <c r="B443" s="10" t="s">
        <v>4748</v>
      </c>
      <c r="C443" s="10" t="s">
        <v>43</v>
      </c>
      <c r="D443" s="10" t="s">
        <v>4506</v>
      </c>
      <c r="E443" s="10" t="s">
        <v>45</v>
      </c>
      <c r="F443" s="11">
        <v>2.0</v>
      </c>
      <c r="G443" s="11">
        <v>87.4</v>
      </c>
      <c r="H443" s="11"/>
      <c r="I443" s="11">
        <v>-26.86</v>
      </c>
      <c r="J443" s="11"/>
      <c r="K443" s="11"/>
      <c r="L443" s="11">
        <v>65.78</v>
      </c>
      <c r="M443" s="10" t="s">
        <v>46</v>
      </c>
      <c r="N443" s="10" t="s">
        <v>50</v>
      </c>
      <c r="O443" s="10" t="s">
        <v>176</v>
      </c>
      <c r="P443" s="10" t="s">
        <v>177</v>
      </c>
      <c r="Q443" s="10" t="s">
        <v>178</v>
      </c>
      <c r="R443" s="10" t="s">
        <v>74</v>
      </c>
      <c r="S443" s="11">
        <v>43.7</v>
      </c>
      <c r="T443" s="11">
        <f>2*22.58</f>
        <v>45.16</v>
      </c>
      <c r="U443" s="11" t="s">
        <v>51</v>
      </c>
      <c r="V443" s="10" t="s">
        <v>52</v>
      </c>
      <c r="W443" s="10" t="s">
        <v>4749</v>
      </c>
      <c r="X443" s="10" t="s">
        <v>4750</v>
      </c>
      <c r="Y443" s="10" t="s">
        <v>4751</v>
      </c>
      <c r="Z443" s="10" t="s">
        <v>50</v>
      </c>
      <c r="AA443" s="10" t="s">
        <v>50</v>
      </c>
      <c r="AB443" s="10" t="s">
        <v>4749</v>
      </c>
      <c r="AC443" s="10" t="s">
        <v>4752</v>
      </c>
      <c r="AD443" s="10" t="s">
        <v>4753</v>
      </c>
      <c r="AE443" s="10" t="s">
        <v>4754</v>
      </c>
      <c r="AF443" s="10" t="s">
        <v>58</v>
      </c>
      <c r="AG443" s="10" t="s">
        <v>4755</v>
      </c>
      <c r="AH443" s="10" t="s">
        <v>60</v>
      </c>
      <c r="AI443" s="10" t="s">
        <v>61</v>
      </c>
      <c r="AJ443" s="10" t="s">
        <v>4513</v>
      </c>
      <c r="AK443" s="10" t="s">
        <v>4756</v>
      </c>
      <c r="AL443" s="10" t="s">
        <v>64</v>
      </c>
      <c r="AM443" s="10" t="s">
        <v>4757</v>
      </c>
      <c r="AN443" s="10" t="s">
        <v>50</v>
      </c>
      <c r="AO443" s="11" t="s">
        <v>50</v>
      </c>
      <c r="AP443" s="10" t="s">
        <v>50</v>
      </c>
      <c r="AQ443" s="10" t="s">
        <v>50</v>
      </c>
      <c r="AR443" s="10" t="s">
        <v>50</v>
      </c>
      <c r="AS443" s="10" t="s">
        <v>50</v>
      </c>
      <c r="AT443" s="10" t="s">
        <v>50</v>
      </c>
      <c r="AU443" s="10" t="s">
        <v>50</v>
      </c>
      <c r="AV443" s="11"/>
      <c r="AW443" s="10" t="s">
        <v>66</v>
      </c>
      <c r="AX443" s="10"/>
      <c r="AY443" s="10" t="s">
        <v>66</v>
      </c>
    </row>
    <row r="444" ht="22.5" hidden="1" customHeight="1">
      <c r="A444" s="9" t="s">
        <v>4758</v>
      </c>
      <c r="B444" s="10" t="s">
        <v>4759</v>
      </c>
      <c r="C444" s="10" t="s">
        <v>43</v>
      </c>
      <c r="D444" s="10" t="s">
        <v>2481</v>
      </c>
      <c r="E444" s="10" t="s">
        <v>66</v>
      </c>
      <c r="F444" s="11">
        <v>1.0</v>
      </c>
      <c r="G444" s="11">
        <v>43.7</v>
      </c>
      <c r="H444" s="11">
        <v>15.22</v>
      </c>
      <c r="I444" s="11">
        <v>-13.43</v>
      </c>
      <c r="J444" s="11">
        <v>-15.22</v>
      </c>
      <c r="K444" s="11"/>
      <c r="L444" s="11">
        <v>32.89</v>
      </c>
      <c r="M444" s="10" t="s">
        <v>46</v>
      </c>
      <c r="N444" s="10" t="s">
        <v>50</v>
      </c>
      <c r="O444" s="10" t="s">
        <v>176</v>
      </c>
      <c r="P444" s="10" t="s">
        <v>177</v>
      </c>
      <c r="Q444" s="10" t="s">
        <v>178</v>
      </c>
      <c r="R444" s="10" t="s">
        <v>74</v>
      </c>
      <c r="S444" s="11">
        <v>43.7</v>
      </c>
      <c r="T444" s="11">
        <v>22.58</v>
      </c>
      <c r="U444" s="11" t="s">
        <v>51</v>
      </c>
      <c r="V444" s="10" t="s">
        <v>52</v>
      </c>
      <c r="W444" s="10" t="s">
        <v>4760</v>
      </c>
      <c r="X444" s="10" t="s">
        <v>4761</v>
      </c>
      <c r="Y444" s="10" t="s">
        <v>4762</v>
      </c>
      <c r="Z444" s="10" t="s">
        <v>50</v>
      </c>
      <c r="AA444" s="10" t="s">
        <v>50</v>
      </c>
      <c r="AB444" s="10" t="s">
        <v>4760</v>
      </c>
      <c r="AC444" s="10" t="s">
        <v>4763</v>
      </c>
      <c r="AD444" s="10" t="s">
        <v>4764</v>
      </c>
      <c r="AE444" s="10" t="s">
        <v>4765</v>
      </c>
      <c r="AF444" s="10" t="s">
        <v>323</v>
      </c>
      <c r="AG444" s="10" t="s">
        <v>4766</v>
      </c>
      <c r="AH444" s="10" t="s">
        <v>60</v>
      </c>
      <c r="AI444" s="10" t="s">
        <v>61</v>
      </c>
      <c r="AJ444" s="10" t="s">
        <v>4733</v>
      </c>
      <c r="AK444" s="10" t="s">
        <v>4767</v>
      </c>
      <c r="AL444" s="10" t="s">
        <v>64</v>
      </c>
      <c r="AM444" s="10" t="s">
        <v>4768</v>
      </c>
      <c r="AN444" s="10" t="s">
        <v>50</v>
      </c>
      <c r="AO444" s="11" t="s">
        <v>50</v>
      </c>
      <c r="AP444" s="10" t="s">
        <v>50</v>
      </c>
      <c r="AQ444" s="10" t="s">
        <v>50</v>
      </c>
      <c r="AR444" s="10" t="s">
        <v>50</v>
      </c>
      <c r="AS444" s="10" t="s">
        <v>50</v>
      </c>
      <c r="AT444" s="10" t="s">
        <v>50</v>
      </c>
      <c r="AU444" s="10" t="s">
        <v>50</v>
      </c>
      <c r="AV444" s="11"/>
      <c r="AW444" s="10" t="s">
        <v>66</v>
      </c>
      <c r="AX444" s="10"/>
      <c r="AY444" s="10" t="s">
        <v>66</v>
      </c>
    </row>
    <row r="445" ht="22.5" hidden="1" customHeight="1">
      <c r="A445" s="9" t="s">
        <v>4769</v>
      </c>
      <c r="B445" s="10" t="s">
        <v>4759</v>
      </c>
      <c r="C445" s="10" t="s">
        <v>43</v>
      </c>
      <c r="D445" s="10" t="s">
        <v>290</v>
      </c>
      <c r="E445" s="10" t="s">
        <v>66</v>
      </c>
      <c r="F445" s="11">
        <v>1.0</v>
      </c>
      <c r="G445" s="11">
        <v>79.0</v>
      </c>
      <c r="H445" s="11"/>
      <c r="I445" s="11">
        <v>-13.43</v>
      </c>
      <c r="J445" s="11">
        <v>-20.45</v>
      </c>
      <c r="K445" s="11"/>
      <c r="L445" s="11">
        <v>45.12</v>
      </c>
      <c r="M445" s="10" t="s">
        <v>46</v>
      </c>
      <c r="N445" s="10" t="s">
        <v>45</v>
      </c>
      <c r="O445" s="10" t="s">
        <v>160</v>
      </c>
      <c r="P445" s="10" t="s">
        <v>161</v>
      </c>
      <c r="Q445" s="10" t="s">
        <v>162</v>
      </c>
      <c r="R445" s="10" t="s">
        <v>74</v>
      </c>
      <c r="S445" s="11">
        <v>79.0</v>
      </c>
      <c r="T445" s="11">
        <v>2.49</v>
      </c>
      <c r="U445" s="11" t="s">
        <v>51</v>
      </c>
      <c r="V445" s="10" t="s">
        <v>52</v>
      </c>
      <c r="W445" s="10" t="s">
        <v>4770</v>
      </c>
      <c r="X445" s="10" t="s">
        <v>4771</v>
      </c>
      <c r="Y445" s="10" t="s">
        <v>4772</v>
      </c>
      <c r="Z445" s="10" t="s">
        <v>50</v>
      </c>
      <c r="AA445" s="10" t="s">
        <v>50</v>
      </c>
      <c r="AB445" s="10" t="s">
        <v>4770</v>
      </c>
      <c r="AC445" s="10" t="s">
        <v>4773</v>
      </c>
      <c r="AD445" s="10" t="s">
        <v>4774</v>
      </c>
      <c r="AE445" s="10" t="s">
        <v>4126</v>
      </c>
      <c r="AF445" s="10" t="s">
        <v>119</v>
      </c>
      <c r="AG445" s="10" t="s">
        <v>4127</v>
      </c>
      <c r="AH445" s="10" t="s">
        <v>60</v>
      </c>
      <c r="AI445" s="10" t="s">
        <v>61</v>
      </c>
      <c r="AJ445" s="10" t="s">
        <v>4623</v>
      </c>
      <c r="AK445" s="10" t="s">
        <v>4775</v>
      </c>
      <c r="AL445" s="10" t="s">
        <v>64</v>
      </c>
      <c r="AM445" s="10" t="s">
        <v>4776</v>
      </c>
      <c r="AN445" s="10" t="s">
        <v>50</v>
      </c>
      <c r="AO445" s="11" t="s">
        <v>50</v>
      </c>
      <c r="AP445" s="10" t="s">
        <v>50</v>
      </c>
      <c r="AQ445" s="10" t="s">
        <v>50</v>
      </c>
      <c r="AR445" s="10" t="s">
        <v>50</v>
      </c>
      <c r="AS445" s="10" t="s">
        <v>50</v>
      </c>
      <c r="AT445" s="10" t="s">
        <v>50</v>
      </c>
      <c r="AU445" s="10" t="s">
        <v>50</v>
      </c>
      <c r="AV445" s="11"/>
      <c r="AW445" s="10" t="s">
        <v>66</v>
      </c>
      <c r="AX445" s="10"/>
      <c r="AY445" s="10" t="s">
        <v>66</v>
      </c>
    </row>
    <row r="446" ht="22.5" hidden="1" customHeight="1">
      <c r="A446" s="9" t="s">
        <v>4777</v>
      </c>
      <c r="B446" s="10" t="s">
        <v>4778</v>
      </c>
      <c r="C446" s="10" t="s">
        <v>43</v>
      </c>
      <c r="D446" s="10" t="s">
        <v>4506</v>
      </c>
      <c r="E446" s="10" t="s">
        <v>66</v>
      </c>
      <c r="F446" s="11">
        <v>1.0</v>
      </c>
      <c r="G446" s="11">
        <v>79.0</v>
      </c>
      <c r="H446" s="11"/>
      <c r="I446" s="11">
        <v>-13.43</v>
      </c>
      <c r="J446" s="11">
        <v>-20.45</v>
      </c>
      <c r="K446" s="11"/>
      <c r="L446" s="11">
        <v>45.12</v>
      </c>
      <c r="M446" s="10" t="s">
        <v>46</v>
      </c>
      <c r="N446" s="10" t="s">
        <v>45</v>
      </c>
      <c r="O446" s="10" t="s">
        <v>461</v>
      </c>
      <c r="P446" s="10" t="s">
        <v>462</v>
      </c>
      <c r="Q446" s="10" t="s">
        <v>463</v>
      </c>
      <c r="R446" s="10" t="s">
        <v>74</v>
      </c>
      <c r="S446" s="11">
        <v>79.0</v>
      </c>
      <c r="T446" s="11">
        <v>10.09</v>
      </c>
      <c r="U446" s="11" t="s">
        <v>51</v>
      </c>
      <c r="V446" s="10" t="s">
        <v>52</v>
      </c>
      <c r="W446" s="10" t="s">
        <v>4779</v>
      </c>
      <c r="X446" s="10" t="s">
        <v>4780</v>
      </c>
      <c r="Y446" s="10" t="s">
        <v>4781</v>
      </c>
      <c r="Z446" s="10" t="s">
        <v>50</v>
      </c>
      <c r="AA446" s="10" t="s">
        <v>50</v>
      </c>
      <c r="AB446" s="10" t="s">
        <v>4779</v>
      </c>
      <c r="AC446" s="10" t="s">
        <v>4782</v>
      </c>
      <c r="AD446" s="10" t="s">
        <v>4783</v>
      </c>
      <c r="AE446" s="10" t="s">
        <v>4784</v>
      </c>
      <c r="AF446" s="10" t="s">
        <v>58</v>
      </c>
      <c r="AG446" s="10" t="s">
        <v>4785</v>
      </c>
      <c r="AH446" s="10" t="s">
        <v>60</v>
      </c>
      <c r="AI446" s="10" t="s">
        <v>61</v>
      </c>
      <c r="AJ446" s="10" t="s">
        <v>4565</v>
      </c>
      <c r="AK446" s="10" t="s">
        <v>4786</v>
      </c>
      <c r="AL446" s="10" t="s">
        <v>64</v>
      </c>
      <c r="AM446" s="10" t="s">
        <v>4787</v>
      </c>
      <c r="AN446" s="10" t="s">
        <v>50</v>
      </c>
      <c r="AO446" s="11" t="s">
        <v>50</v>
      </c>
      <c r="AP446" s="10" t="s">
        <v>50</v>
      </c>
      <c r="AQ446" s="10" t="s">
        <v>50</v>
      </c>
      <c r="AR446" s="10" t="s">
        <v>50</v>
      </c>
      <c r="AS446" s="10" t="s">
        <v>50</v>
      </c>
      <c r="AT446" s="10" t="s">
        <v>50</v>
      </c>
      <c r="AU446" s="10" t="s">
        <v>50</v>
      </c>
      <c r="AV446" s="11"/>
      <c r="AW446" s="10" t="s">
        <v>66</v>
      </c>
      <c r="AX446" s="10"/>
      <c r="AY446" s="10" t="s">
        <v>66</v>
      </c>
    </row>
    <row r="447" ht="22.5" hidden="1" customHeight="1">
      <c r="A447" s="9" t="s">
        <v>4788</v>
      </c>
      <c r="B447" s="10" t="s">
        <v>4789</v>
      </c>
      <c r="C447" s="10" t="s">
        <v>43</v>
      </c>
      <c r="D447" s="10" t="s">
        <v>2481</v>
      </c>
      <c r="E447" s="10" t="s">
        <v>66</v>
      </c>
      <c r="F447" s="11">
        <v>1.0</v>
      </c>
      <c r="G447" s="11">
        <v>81.25</v>
      </c>
      <c r="H447" s="11"/>
      <c r="I447" s="11">
        <v>-13.81</v>
      </c>
      <c r="J447" s="11">
        <v>-19.95</v>
      </c>
      <c r="K447" s="11"/>
      <c r="L447" s="11">
        <v>47.49</v>
      </c>
      <c r="M447" s="10" t="s">
        <v>46</v>
      </c>
      <c r="N447" s="10" t="s">
        <v>50</v>
      </c>
      <c r="O447" s="10" t="s">
        <v>920</v>
      </c>
      <c r="P447" s="10" t="s">
        <v>921</v>
      </c>
      <c r="Q447" s="10" t="s">
        <v>922</v>
      </c>
      <c r="R447" s="10" t="s">
        <v>74</v>
      </c>
      <c r="S447" s="11">
        <v>81.25</v>
      </c>
      <c r="T447" s="11">
        <v>26.22</v>
      </c>
      <c r="U447" s="11" t="s">
        <v>51</v>
      </c>
      <c r="V447" s="10" t="s">
        <v>52</v>
      </c>
      <c r="W447" s="10" t="s">
        <v>4790</v>
      </c>
      <c r="X447" s="10" t="s">
        <v>4791</v>
      </c>
      <c r="Y447" s="10" t="s">
        <v>4792</v>
      </c>
      <c r="Z447" s="10" t="s">
        <v>50</v>
      </c>
      <c r="AA447" s="10" t="s">
        <v>50</v>
      </c>
      <c r="AB447" s="10" t="s">
        <v>4790</v>
      </c>
      <c r="AC447" s="10" t="s">
        <v>4793</v>
      </c>
      <c r="AD447" s="10" t="s">
        <v>4794</v>
      </c>
      <c r="AE447" s="10" t="s">
        <v>322</v>
      </c>
      <c r="AF447" s="10" t="s">
        <v>323</v>
      </c>
      <c r="AG447" s="10" t="s">
        <v>4795</v>
      </c>
      <c r="AH447" s="10" t="s">
        <v>60</v>
      </c>
      <c r="AI447" s="10" t="s">
        <v>61</v>
      </c>
      <c r="AJ447" s="10" t="s">
        <v>4796</v>
      </c>
      <c r="AK447" s="10" t="s">
        <v>4797</v>
      </c>
      <c r="AL447" s="10" t="s">
        <v>64</v>
      </c>
      <c r="AM447" s="10" t="s">
        <v>4798</v>
      </c>
      <c r="AN447" s="10" t="s">
        <v>50</v>
      </c>
      <c r="AO447" s="11" t="s">
        <v>50</v>
      </c>
      <c r="AP447" s="10" t="s">
        <v>50</v>
      </c>
      <c r="AQ447" s="10" t="s">
        <v>50</v>
      </c>
      <c r="AR447" s="10" t="s">
        <v>50</v>
      </c>
      <c r="AS447" s="10" t="s">
        <v>50</v>
      </c>
      <c r="AT447" s="10" t="s">
        <v>50</v>
      </c>
      <c r="AU447" s="10" t="s">
        <v>50</v>
      </c>
      <c r="AV447" s="11"/>
      <c r="AW447" s="10" t="s">
        <v>66</v>
      </c>
      <c r="AX447" s="10"/>
      <c r="AY447" s="10" t="s">
        <v>66</v>
      </c>
    </row>
    <row r="448" ht="22.5" hidden="1" customHeight="1">
      <c r="A448" s="9" t="s">
        <v>4799</v>
      </c>
      <c r="B448" s="10" t="s">
        <v>4800</v>
      </c>
      <c r="C448" s="10" t="s">
        <v>43</v>
      </c>
      <c r="D448" s="10" t="s">
        <v>191</v>
      </c>
      <c r="E448" s="10" t="s">
        <v>45</v>
      </c>
      <c r="F448" s="11">
        <v>1.0</v>
      </c>
      <c r="G448" s="11">
        <v>79.2</v>
      </c>
      <c r="H448" s="11">
        <v>9.11</v>
      </c>
      <c r="I448" s="11">
        <v>-13.46</v>
      </c>
      <c r="J448" s="11">
        <v>-29.56</v>
      </c>
      <c r="K448" s="11"/>
      <c r="L448" s="11">
        <v>50.04</v>
      </c>
      <c r="M448" s="10" t="s">
        <v>46</v>
      </c>
      <c r="N448" s="10" t="s">
        <v>45</v>
      </c>
      <c r="O448" s="10" t="s">
        <v>892</v>
      </c>
      <c r="P448" s="10" t="s">
        <v>893</v>
      </c>
      <c r="Q448" s="10" t="s">
        <v>894</v>
      </c>
      <c r="R448" s="10" t="s">
        <v>74</v>
      </c>
      <c r="S448" s="11">
        <v>79.2</v>
      </c>
      <c r="T448" s="11">
        <v>2.97</v>
      </c>
      <c r="U448" s="11" t="s">
        <v>51</v>
      </c>
      <c r="V448" s="10" t="s">
        <v>52</v>
      </c>
      <c r="W448" s="10" t="s">
        <v>4801</v>
      </c>
      <c r="X448" s="10" t="s">
        <v>4802</v>
      </c>
      <c r="Y448" s="10" t="s">
        <v>4803</v>
      </c>
      <c r="Z448" s="10" t="s">
        <v>50</v>
      </c>
      <c r="AA448" s="10" t="s">
        <v>50</v>
      </c>
      <c r="AB448" s="10" t="s">
        <v>4801</v>
      </c>
      <c r="AC448" s="10" t="s">
        <v>4804</v>
      </c>
      <c r="AD448" s="10" t="s">
        <v>4805</v>
      </c>
      <c r="AE448" s="10" t="s">
        <v>2493</v>
      </c>
      <c r="AF448" s="10" t="s">
        <v>1593</v>
      </c>
      <c r="AG448" s="10" t="s">
        <v>2494</v>
      </c>
      <c r="AH448" s="10" t="s">
        <v>60</v>
      </c>
      <c r="AI448" s="10" t="s">
        <v>61</v>
      </c>
      <c r="AJ448" s="10" t="s">
        <v>4806</v>
      </c>
      <c r="AK448" s="10" t="s">
        <v>4807</v>
      </c>
      <c r="AL448" s="10" t="s">
        <v>64</v>
      </c>
      <c r="AM448" s="10" t="s">
        <v>4808</v>
      </c>
      <c r="AN448" s="10" t="s">
        <v>50</v>
      </c>
      <c r="AO448" s="11" t="s">
        <v>50</v>
      </c>
      <c r="AP448" s="10" t="s">
        <v>50</v>
      </c>
      <c r="AQ448" s="10" t="s">
        <v>50</v>
      </c>
      <c r="AR448" s="10" t="s">
        <v>50</v>
      </c>
      <c r="AS448" s="10" t="s">
        <v>50</v>
      </c>
      <c r="AT448" s="10" t="s">
        <v>50</v>
      </c>
      <c r="AU448" s="10" t="s">
        <v>50</v>
      </c>
      <c r="AV448" s="11"/>
      <c r="AW448" s="10" t="s">
        <v>66</v>
      </c>
      <c r="AX448" s="10"/>
      <c r="AY448" s="10" t="s">
        <v>66</v>
      </c>
    </row>
    <row r="449" ht="22.5" hidden="1" customHeight="1">
      <c r="A449" s="9" t="s">
        <v>4809</v>
      </c>
      <c r="B449" s="10" t="s">
        <v>4810</v>
      </c>
      <c r="C449" s="10" t="s">
        <v>43</v>
      </c>
      <c r="D449" s="10" t="s">
        <v>4506</v>
      </c>
      <c r="E449" s="10" t="s">
        <v>45</v>
      </c>
      <c r="F449" s="11">
        <v>2.0</v>
      </c>
      <c r="G449" s="11">
        <v>87.4</v>
      </c>
      <c r="H449" s="11"/>
      <c r="I449" s="11">
        <v>-26.86</v>
      </c>
      <c r="J449" s="11"/>
      <c r="K449" s="11"/>
      <c r="L449" s="11">
        <v>65.78</v>
      </c>
      <c r="M449" s="10" t="s">
        <v>46</v>
      </c>
      <c r="N449" s="10" t="s">
        <v>50</v>
      </c>
      <c r="O449" s="10" t="s">
        <v>176</v>
      </c>
      <c r="P449" s="10" t="s">
        <v>177</v>
      </c>
      <c r="Q449" s="10" t="s">
        <v>178</v>
      </c>
      <c r="R449" s="10" t="s">
        <v>74</v>
      </c>
      <c r="S449" s="11">
        <v>43.7</v>
      </c>
      <c r="T449" s="11">
        <f>2*22.58</f>
        <v>45.16</v>
      </c>
      <c r="U449" s="11" t="s">
        <v>51</v>
      </c>
      <c r="V449" s="10" t="s">
        <v>52</v>
      </c>
      <c r="W449" s="10" t="s">
        <v>4811</v>
      </c>
      <c r="X449" s="10" t="s">
        <v>4812</v>
      </c>
      <c r="Y449" s="10" t="s">
        <v>4813</v>
      </c>
      <c r="Z449" s="10" t="s">
        <v>50</v>
      </c>
      <c r="AA449" s="10" t="s">
        <v>50</v>
      </c>
      <c r="AB449" s="10" t="s">
        <v>4811</v>
      </c>
      <c r="AC449" s="10" t="s">
        <v>4814</v>
      </c>
      <c r="AD449" s="10" t="s">
        <v>4815</v>
      </c>
      <c r="AE449" s="10" t="s">
        <v>4816</v>
      </c>
      <c r="AF449" s="10" t="s">
        <v>58</v>
      </c>
      <c r="AG449" s="10" t="s">
        <v>4817</v>
      </c>
      <c r="AH449" s="10" t="s">
        <v>60</v>
      </c>
      <c r="AI449" s="10" t="s">
        <v>61</v>
      </c>
      <c r="AJ449" s="10" t="s">
        <v>4806</v>
      </c>
      <c r="AK449" s="10" t="s">
        <v>4818</v>
      </c>
      <c r="AL449" s="10" t="s">
        <v>64</v>
      </c>
      <c r="AM449" s="10" t="s">
        <v>4819</v>
      </c>
      <c r="AN449" s="10" t="s">
        <v>50</v>
      </c>
      <c r="AO449" s="11" t="s">
        <v>50</v>
      </c>
      <c r="AP449" s="10" t="s">
        <v>50</v>
      </c>
      <c r="AQ449" s="10" t="s">
        <v>50</v>
      </c>
      <c r="AR449" s="10" t="s">
        <v>50</v>
      </c>
      <c r="AS449" s="10" t="s">
        <v>50</v>
      </c>
      <c r="AT449" s="10" t="s">
        <v>50</v>
      </c>
      <c r="AU449" s="10" t="s">
        <v>50</v>
      </c>
      <c r="AV449" s="11"/>
      <c r="AW449" s="10" t="s">
        <v>66</v>
      </c>
      <c r="AX449" s="10"/>
      <c r="AY449" s="10" t="s">
        <v>66</v>
      </c>
    </row>
    <row r="450" ht="22.5" hidden="1" customHeight="1">
      <c r="A450" s="12" t="s">
        <v>4820</v>
      </c>
      <c r="B450" s="13" t="s">
        <v>4821</v>
      </c>
      <c r="C450" s="13" t="s">
        <v>1976</v>
      </c>
      <c r="D450" s="13" t="s">
        <v>50</v>
      </c>
      <c r="E450" s="13" t="s">
        <v>50</v>
      </c>
      <c r="F450" s="14"/>
      <c r="G450" s="14">
        <v>239.0</v>
      </c>
      <c r="H450" s="14"/>
      <c r="I450" s="14">
        <v>-42.24</v>
      </c>
      <c r="J450" s="14">
        <v>-60.35</v>
      </c>
      <c r="K450" s="14"/>
      <c r="L450" s="14">
        <v>141.16</v>
      </c>
      <c r="M450" s="13" t="s">
        <v>46</v>
      </c>
      <c r="N450" s="13" t="s">
        <v>50</v>
      </c>
      <c r="O450" s="13" t="s">
        <v>50</v>
      </c>
      <c r="P450" s="13" t="s">
        <v>50</v>
      </c>
      <c r="Q450" s="13" t="s">
        <v>50</v>
      </c>
      <c r="R450" s="13" t="s">
        <v>50</v>
      </c>
      <c r="S450" s="14"/>
      <c r="T450" s="14"/>
      <c r="U450" s="14" t="s">
        <v>50</v>
      </c>
      <c r="V450" s="13" t="s">
        <v>52</v>
      </c>
      <c r="W450" s="13" t="s">
        <v>4822</v>
      </c>
      <c r="X450" s="13" t="s">
        <v>4823</v>
      </c>
      <c r="Y450" s="13" t="s">
        <v>4824</v>
      </c>
      <c r="Z450" s="13" t="s">
        <v>50</v>
      </c>
      <c r="AA450" s="13" t="s">
        <v>50</v>
      </c>
      <c r="AB450" s="13" t="s">
        <v>4822</v>
      </c>
      <c r="AC450" s="13" t="s">
        <v>4825</v>
      </c>
      <c r="AD450" s="13" t="s">
        <v>4826</v>
      </c>
      <c r="AE450" s="13" t="s">
        <v>4827</v>
      </c>
      <c r="AF450" s="13" t="s">
        <v>151</v>
      </c>
      <c r="AG450" s="13" t="s">
        <v>4828</v>
      </c>
      <c r="AH450" s="13" t="s">
        <v>60</v>
      </c>
      <c r="AI450" s="13" t="s">
        <v>61</v>
      </c>
      <c r="AJ450" s="13" t="s">
        <v>4537</v>
      </c>
      <c r="AK450" s="13" t="s">
        <v>4829</v>
      </c>
      <c r="AL450" s="13" t="s">
        <v>64</v>
      </c>
      <c r="AM450" s="13" t="s">
        <v>4830</v>
      </c>
      <c r="AN450" s="13" t="s">
        <v>50</v>
      </c>
      <c r="AO450" s="15" t="s">
        <v>50</v>
      </c>
      <c r="AP450" s="13" t="s">
        <v>50</v>
      </c>
      <c r="AQ450" s="13" t="s">
        <v>50</v>
      </c>
      <c r="AR450" s="13" t="s">
        <v>50</v>
      </c>
      <c r="AS450" s="13" t="s">
        <v>50</v>
      </c>
      <c r="AT450" s="13" t="s">
        <v>50</v>
      </c>
      <c r="AU450" s="13" t="s">
        <v>50</v>
      </c>
      <c r="AV450" s="15"/>
      <c r="AW450" s="13" t="s">
        <v>50</v>
      </c>
      <c r="AX450" s="13"/>
      <c r="AY450" s="13" t="s">
        <v>50</v>
      </c>
    </row>
    <row r="451" ht="22.5" hidden="1" customHeight="1">
      <c r="A451" s="16" t="s">
        <v>4831</v>
      </c>
      <c r="B451" s="17" t="s">
        <v>4821</v>
      </c>
      <c r="C451" s="17" t="s">
        <v>43</v>
      </c>
      <c r="D451" s="17" t="s">
        <v>4506</v>
      </c>
      <c r="E451" s="17" t="s">
        <v>45</v>
      </c>
      <c r="F451" s="18">
        <v>1.0</v>
      </c>
      <c r="G451" s="18"/>
      <c r="H451" s="18"/>
      <c r="I451" s="18"/>
      <c r="J451" s="18"/>
      <c r="K451" s="18"/>
      <c r="L451" s="18"/>
      <c r="M451" s="17" t="s">
        <v>50</v>
      </c>
      <c r="N451" s="17" t="s">
        <v>45</v>
      </c>
      <c r="O451" s="17" t="s">
        <v>47</v>
      </c>
      <c r="P451" s="17" t="s">
        <v>48</v>
      </c>
      <c r="Q451" s="17" t="s">
        <v>49</v>
      </c>
      <c r="R451" s="17" t="s">
        <v>50</v>
      </c>
      <c r="S451" s="18">
        <v>80.5</v>
      </c>
      <c r="T451" s="18">
        <v>12.45</v>
      </c>
      <c r="U451" s="18" t="s">
        <v>51</v>
      </c>
      <c r="V451" s="17" t="s">
        <v>50</v>
      </c>
      <c r="W451" s="17" t="s">
        <v>50</v>
      </c>
      <c r="X451" s="17" t="s">
        <v>50</v>
      </c>
      <c r="Y451" s="17" t="s">
        <v>50</v>
      </c>
      <c r="Z451" s="17" t="s">
        <v>50</v>
      </c>
      <c r="AA451" s="17" t="s">
        <v>50</v>
      </c>
      <c r="AB451" s="17" t="s">
        <v>50</v>
      </c>
      <c r="AC451" s="17" t="s">
        <v>50</v>
      </c>
      <c r="AD451" s="17" t="s">
        <v>50</v>
      </c>
      <c r="AE451" s="17" t="s">
        <v>50</v>
      </c>
      <c r="AF451" s="17" t="s">
        <v>50</v>
      </c>
      <c r="AG451" s="17" t="s">
        <v>50</v>
      </c>
      <c r="AH451" s="17" t="s">
        <v>50</v>
      </c>
      <c r="AI451" s="17" t="s">
        <v>50</v>
      </c>
      <c r="AJ451" s="17" t="s">
        <v>50</v>
      </c>
      <c r="AK451" s="17" t="s">
        <v>50</v>
      </c>
      <c r="AL451" s="17" t="s">
        <v>50</v>
      </c>
      <c r="AM451" s="17" t="s">
        <v>50</v>
      </c>
      <c r="AN451" s="17" t="s">
        <v>50</v>
      </c>
      <c r="AO451" s="18" t="s">
        <v>50</v>
      </c>
      <c r="AP451" s="17" t="s">
        <v>50</v>
      </c>
      <c r="AQ451" s="17" t="s">
        <v>50</v>
      </c>
      <c r="AR451" s="17" t="s">
        <v>50</v>
      </c>
      <c r="AS451" s="17" t="s">
        <v>50</v>
      </c>
      <c r="AT451" s="17" t="s">
        <v>50</v>
      </c>
      <c r="AU451" s="17" t="s">
        <v>50</v>
      </c>
      <c r="AV451" s="18"/>
      <c r="AW451" s="17" t="s">
        <v>66</v>
      </c>
      <c r="AX451" s="17"/>
      <c r="AY451" s="17" t="s">
        <v>66</v>
      </c>
    </row>
    <row r="452" ht="22.5" hidden="1" customHeight="1">
      <c r="A452" s="16" t="s">
        <v>4832</v>
      </c>
      <c r="B452" s="17" t="s">
        <v>4821</v>
      </c>
      <c r="C452" s="17" t="s">
        <v>43</v>
      </c>
      <c r="D452" s="17" t="s">
        <v>4506</v>
      </c>
      <c r="E452" s="17" t="s">
        <v>45</v>
      </c>
      <c r="F452" s="18">
        <v>1.0</v>
      </c>
      <c r="G452" s="18"/>
      <c r="H452" s="18"/>
      <c r="I452" s="18"/>
      <c r="J452" s="18"/>
      <c r="K452" s="18"/>
      <c r="L452" s="18"/>
      <c r="M452" s="17" t="s">
        <v>50</v>
      </c>
      <c r="N452" s="17" t="s">
        <v>45</v>
      </c>
      <c r="O452" s="17" t="s">
        <v>314</v>
      </c>
      <c r="P452" s="17" t="s">
        <v>315</v>
      </c>
      <c r="Q452" s="17" t="s">
        <v>316</v>
      </c>
      <c r="R452" s="17" t="s">
        <v>74</v>
      </c>
      <c r="S452" s="18">
        <v>79.3</v>
      </c>
      <c r="T452" s="18">
        <v>6.66</v>
      </c>
      <c r="U452" s="18" t="s">
        <v>51</v>
      </c>
      <c r="V452" s="17" t="s">
        <v>50</v>
      </c>
      <c r="W452" s="17" t="s">
        <v>50</v>
      </c>
      <c r="X452" s="17" t="s">
        <v>50</v>
      </c>
      <c r="Y452" s="17" t="s">
        <v>50</v>
      </c>
      <c r="Z452" s="17" t="s">
        <v>50</v>
      </c>
      <c r="AA452" s="17" t="s">
        <v>50</v>
      </c>
      <c r="AB452" s="17" t="s">
        <v>50</v>
      </c>
      <c r="AC452" s="17" t="s">
        <v>50</v>
      </c>
      <c r="AD452" s="17" t="s">
        <v>50</v>
      </c>
      <c r="AE452" s="17" t="s">
        <v>50</v>
      </c>
      <c r="AF452" s="17" t="s">
        <v>50</v>
      </c>
      <c r="AG452" s="17" t="s">
        <v>50</v>
      </c>
      <c r="AH452" s="17" t="s">
        <v>50</v>
      </c>
      <c r="AI452" s="17" t="s">
        <v>50</v>
      </c>
      <c r="AJ452" s="17" t="s">
        <v>50</v>
      </c>
      <c r="AK452" s="17" t="s">
        <v>50</v>
      </c>
      <c r="AL452" s="17" t="s">
        <v>50</v>
      </c>
      <c r="AM452" s="17" t="s">
        <v>50</v>
      </c>
      <c r="AN452" s="17" t="s">
        <v>50</v>
      </c>
      <c r="AO452" s="18" t="s">
        <v>50</v>
      </c>
      <c r="AP452" s="17" t="s">
        <v>50</v>
      </c>
      <c r="AQ452" s="17" t="s">
        <v>50</v>
      </c>
      <c r="AR452" s="17" t="s">
        <v>50</v>
      </c>
      <c r="AS452" s="17" t="s">
        <v>50</v>
      </c>
      <c r="AT452" s="17" t="s">
        <v>50</v>
      </c>
      <c r="AU452" s="17" t="s">
        <v>50</v>
      </c>
      <c r="AV452" s="18"/>
      <c r="AW452" s="17" t="s">
        <v>66</v>
      </c>
      <c r="AX452" s="17"/>
      <c r="AY452" s="17" t="s">
        <v>66</v>
      </c>
    </row>
    <row r="453" ht="22.5" hidden="1" customHeight="1">
      <c r="A453" s="16" t="s">
        <v>4833</v>
      </c>
      <c r="B453" s="17" t="s">
        <v>4821</v>
      </c>
      <c r="C453" s="17" t="s">
        <v>43</v>
      </c>
      <c r="D453" s="17" t="s">
        <v>4506</v>
      </c>
      <c r="E453" s="17" t="s">
        <v>45</v>
      </c>
      <c r="F453" s="18">
        <v>1.0</v>
      </c>
      <c r="G453" s="18"/>
      <c r="H453" s="18"/>
      <c r="I453" s="18"/>
      <c r="J453" s="18"/>
      <c r="K453" s="18"/>
      <c r="L453" s="18"/>
      <c r="M453" s="17" t="s">
        <v>50</v>
      </c>
      <c r="N453" s="17" t="s">
        <v>45</v>
      </c>
      <c r="O453" s="17" t="s">
        <v>892</v>
      </c>
      <c r="P453" s="17" t="s">
        <v>893</v>
      </c>
      <c r="Q453" s="17" t="s">
        <v>894</v>
      </c>
      <c r="R453" s="17" t="s">
        <v>74</v>
      </c>
      <c r="S453" s="18">
        <v>79.2</v>
      </c>
      <c r="T453" s="18">
        <v>2.97</v>
      </c>
      <c r="U453" s="18" t="s">
        <v>51</v>
      </c>
      <c r="V453" s="17" t="s">
        <v>50</v>
      </c>
      <c r="W453" s="17" t="s">
        <v>50</v>
      </c>
      <c r="X453" s="17" t="s">
        <v>50</v>
      </c>
      <c r="Y453" s="17" t="s">
        <v>50</v>
      </c>
      <c r="Z453" s="17" t="s">
        <v>50</v>
      </c>
      <c r="AA453" s="17" t="s">
        <v>50</v>
      </c>
      <c r="AB453" s="17" t="s">
        <v>50</v>
      </c>
      <c r="AC453" s="17" t="s">
        <v>50</v>
      </c>
      <c r="AD453" s="17" t="s">
        <v>50</v>
      </c>
      <c r="AE453" s="17" t="s">
        <v>50</v>
      </c>
      <c r="AF453" s="17" t="s">
        <v>50</v>
      </c>
      <c r="AG453" s="17" t="s">
        <v>50</v>
      </c>
      <c r="AH453" s="17" t="s">
        <v>50</v>
      </c>
      <c r="AI453" s="17" t="s">
        <v>50</v>
      </c>
      <c r="AJ453" s="17" t="s">
        <v>50</v>
      </c>
      <c r="AK453" s="17" t="s">
        <v>50</v>
      </c>
      <c r="AL453" s="17" t="s">
        <v>50</v>
      </c>
      <c r="AM453" s="17" t="s">
        <v>50</v>
      </c>
      <c r="AN453" s="17" t="s">
        <v>50</v>
      </c>
      <c r="AO453" s="18" t="s">
        <v>50</v>
      </c>
      <c r="AP453" s="17" t="s">
        <v>50</v>
      </c>
      <c r="AQ453" s="17" t="s">
        <v>50</v>
      </c>
      <c r="AR453" s="17" t="s">
        <v>50</v>
      </c>
      <c r="AS453" s="17" t="s">
        <v>50</v>
      </c>
      <c r="AT453" s="17" t="s">
        <v>50</v>
      </c>
      <c r="AU453" s="17" t="s">
        <v>50</v>
      </c>
      <c r="AV453" s="18"/>
      <c r="AW453" s="17" t="s">
        <v>66</v>
      </c>
      <c r="AX453" s="17"/>
      <c r="AY453" s="17" t="s">
        <v>66</v>
      </c>
    </row>
    <row r="454" ht="22.5" hidden="1" customHeight="1">
      <c r="A454" s="9" t="s">
        <v>4834</v>
      </c>
      <c r="B454" s="10" t="s">
        <v>4835</v>
      </c>
      <c r="C454" s="10" t="s">
        <v>43</v>
      </c>
      <c r="D454" s="10" t="s">
        <v>4506</v>
      </c>
      <c r="E454" s="10" t="s">
        <v>66</v>
      </c>
      <c r="F454" s="11">
        <v>1.0</v>
      </c>
      <c r="G454" s="11">
        <v>80.0</v>
      </c>
      <c r="H454" s="11"/>
      <c r="I454" s="11">
        <v>-13.6</v>
      </c>
      <c r="J454" s="11">
        <v>-19.95</v>
      </c>
      <c r="K454" s="11"/>
      <c r="L454" s="11">
        <v>50.45</v>
      </c>
      <c r="M454" s="10" t="s">
        <v>46</v>
      </c>
      <c r="N454" s="10" t="s">
        <v>50</v>
      </c>
      <c r="O454" s="10" t="s">
        <v>143</v>
      </c>
      <c r="P454" s="10" t="s">
        <v>144</v>
      </c>
      <c r="Q454" s="10" t="s">
        <v>145</v>
      </c>
      <c r="R454" s="10" t="s">
        <v>74</v>
      </c>
      <c r="S454" s="11">
        <v>80.0</v>
      </c>
      <c r="T454" s="11">
        <v>33.38</v>
      </c>
      <c r="U454" s="11" t="s">
        <v>51</v>
      </c>
      <c r="V454" s="10" t="s">
        <v>52</v>
      </c>
      <c r="W454" s="10" t="s">
        <v>4836</v>
      </c>
      <c r="X454" s="10" t="s">
        <v>4837</v>
      </c>
      <c r="Y454" s="10" t="s">
        <v>4838</v>
      </c>
      <c r="Z454" s="10" t="s">
        <v>50</v>
      </c>
      <c r="AA454" s="10" t="s">
        <v>50</v>
      </c>
      <c r="AB454" s="10" t="s">
        <v>4836</v>
      </c>
      <c r="AC454" s="10" t="s">
        <v>4839</v>
      </c>
      <c r="AD454" s="10" t="s">
        <v>4840</v>
      </c>
      <c r="AE454" s="10" t="s">
        <v>4841</v>
      </c>
      <c r="AF454" s="10" t="s">
        <v>58</v>
      </c>
      <c r="AG454" s="10" t="s">
        <v>4842</v>
      </c>
      <c r="AH454" s="10" t="s">
        <v>60</v>
      </c>
      <c r="AI454" s="10" t="s">
        <v>61</v>
      </c>
      <c r="AJ454" s="10" t="s">
        <v>4744</v>
      </c>
      <c r="AK454" s="10" t="s">
        <v>4843</v>
      </c>
      <c r="AL454" s="10" t="s">
        <v>64</v>
      </c>
      <c r="AM454" s="10" t="s">
        <v>4844</v>
      </c>
      <c r="AN454" s="10" t="s">
        <v>50</v>
      </c>
      <c r="AO454" s="11" t="s">
        <v>50</v>
      </c>
      <c r="AP454" s="10" t="s">
        <v>50</v>
      </c>
      <c r="AQ454" s="10" t="s">
        <v>50</v>
      </c>
      <c r="AR454" s="10" t="s">
        <v>50</v>
      </c>
      <c r="AS454" s="10" t="s">
        <v>50</v>
      </c>
      <c r="AT454" s="10" t="s">
        <v>50</v>
      </c>
      <c r="AU454" s="10" t="s">
        <v>50</v>
      </c>
      <c r="AV454" s="11"/>
      <c r="AW454" s="10" t="s">
        <v>66</v>
      </c>
      <c r="AX454" s="10"/>
      <c r="AY454" s="10" t="s">
        <v>66</v>
      </c>
    </row>
    <row r="455" ht="22.5" hidden="1" customHeight="1">
      <c r="A455" s="9" t="s">
        <v>4845</v>
      </c>
      <c r="B455" s="10" t="s">
        <v>4846</v>
      </c>
      <c r="C455" s="10" t="s">
        <v>43</v>
      </c>
      <c r="D455" s="10" t="s">
        <v>2326</v>
      </c>
      <c r="E455" s="10" t="s">
        <v>66</v>
      </c>
      <c r="F455" s="11">
        <v>1.0</v>
      </c>
      <c r="G455" s="11">
        <v>43.7</v>
      </c>
      <c r="H455" s="11">
        <v>16.15</v>
      </c>
      <c r="I455" s="11">
        <v>-13.43</v>
      </c>
      <c r="J455" s="11">
        <v>-16.15</v>
      </c>
      <c r="K455" s="11"/>
      <c r="L455" s="11">
        <v>32.89</v>
      </c>
      <c r="M455" s="10" t="s">
        <v>46</v>
      </c>
      <c r="N455" s="10" t="s">
        <v>50</v>
      </c>
      <c r="O455" s="10" t="s">
        <v>176</v>
      </c>
      <c r="P455" s="10" t="s">
        <v>177</v>
      </c>
      <c r="Q455" s="10" t="s">
        <v>178</v>
      </c>
      <c r="R455" s="10" t="s">
        <v>74</v>
      </c>
      <c r="S455" s="11">
        <v>43.7</v>
      </c>
      <c r="T455" s="11">
        <v>22.58</v>
      </c>
      <c r="U455" s="11" t="s">
        <v>51</v>
      </c>
      <c r="V455" s="10" t="s">
        <v>52</v>
      </c>
      <c r="W455" s="10" t="s">
        <v>4847</v>
      </c>
      <c r="X455" s="10" t="s">
        <v>4848</v>
      </c>
      <c r="Y455" s="10" t="s">
        <v>4849</v>
      </c>
      <c r="Z455" s="10" t="s">
        <v>50</v>
      </c>
      <c r="AA455" s="10" t="s">
        <v>50</v>
      </c>
      <c r="AB455" s="10" t="s">
        <v>4847</v>
      </c>
      <c r="AC455" s="10" t="s">
        <v>4850</v>
      </c>
      <c r="AD455" s="10" t="s">
        <v>4851</v>
      </c>
      <c r="AE455" s="10" t="s">
        <v>4852</v>
      </c>
      <c r="AF455" s="10" t="s">
        <v>58</v>
      </c>
      <c r="AG455" s="10" t="s">
        <v>4853</v>
      </c>
      <c r="AH455" s="10" t="s">
        <v>60</v>
      </c>
      <c r="AI455" s="10" t="s">
        <v>61</v>
      </c>
      <c r="AJ455" s="10" t="s">
        <v>4513</v>
      </c>
      <c r="AK455" s="10" t="s">
        <v>4854</v>
      </c>
      <c r="AL455" s="10" t="s">
        <v>64</v>
      </c>
      <c r="AM455" s="10" t="s">
        <v>4855</v>
      </c>
      <c r="AN455" s="10" t="s">
        <v>4856</v>
      </c>
      <c r="AO455" s="11" t="s">
        <v>50</v>
      </c>
      <c r="AP455" s="10" t="s">
        <v>50</v>
      </c>
      <c r="AQ455" s="10" t="s">
        <v>50</v>
      </c>
      <c r="AR455" s="10" t="s">
        <v>50</v>
      </c>
      <c r="AS455" s="10" t="s">
        <v>50</v>
      </c>
      <c r="AT455" s="10" t="s">
        <v>50</v>
      </c>
      <c r="AU455" s="10" t="s">
        <v>50</v>
      </c>
      <c r="AV455" s="11"/>
      <c r="AW455" s="10" t="s">
        <v>66</v>
      </c>
      <c r="AX455" s="10"/>
      <c r="AY455" s="10" t="s">
        <v>66</v>
      </c>
    </row>
    <row r="456" ht="22.5" hidden="1" customHeight="1">
      <c r="A456" s="9" t="s">
        <v>4857</v>
      </c>
      <c r="B456" s="10" t="s">
        <v>4858</v>
      </c>
      <c r="C456" s="10" t="s">
        <v>43</v>
      </c>
      <c r="D456" s="10" t="s">
        <v>4506</v>
      </c>
      <c r="E456" s="10" t="s">
        <v>45</v>
      </c>
      <c r="F456" s="11">
        <v>2.0</v>
      </c>
      <c r="G456" s="11">
        <v>87.4</v>
      </c>
      <c r="H456" s="11"/>
      <c r="I456" s="11">
        <v>-26.86</v>
      </c>
      <c r="J456" s="11"/>
      <c r="K456" s="11"/>
      <c r="L456" s="11">
        <v>65.78</v>
      </c>
      <c r="M456" s="10" t="s">
        <v>46</v>
      </c>
      <c r="N456" s="10" t="s">
        <v>50</v>
      </c>
      <c r="O456" s="10" t="s">
        <v>176</v>
      </c>
      <c r="P456" s="10" t="s">
        <v>177</v>
      </c>
      <c r="Q456" s="10" t="s">
        <v>178</v>
      </c>
      <c r="R456" s="10" t="s">
        <v>74</v>
      </c>
      <c r="S456" s="11">
        <v>43.7</v>
      </c>
      <c r="T456" s="11">
        <f>2*22.58</f>
        <v>45.16</v>
      </c>
      <c r="U456" s="11" t="s">
        <v>51</v>
      </c>
      <c r="V456" s="10" t="s">
        <v>52</v>
      </c>
      <c r="W456" s="10" t="s">
        <v>4859</v>
      </c>
      <c r="X456" s="10" t="s">
        <v>4860</v>
      </c>
      <c r="Y456" s="10" t="s">
        <v>4861</v>
      </c>
      <c r="Z456" s="10" t="s">
        <v>50</v>
      </c>
      <c r="AA456" s="10" t="s">
        <v>50</v>
      </c>
      <c r="AB456" s="10" t="s">
        <v>4859</v>
      </c>
      <c r="AC456" s="10" t="s">
        <v>4862</v>
      </c>
      <c r="AD456" s="10" t="s">
        <v>4863</v>
      </c>
      <c r="AE456" s="10" t="s">
        <v>2098</v>
      </c>
      <c r="AF456" s="10" t="s">
        <v>58</v>
      </c>
      <c r="AG456" s="10" t="s">
        <v>4864</v>
      </c>
      <c r="AH456" s="10" t="s">
        <v>60</v>
      </c>
      <c r="AI456" s="10" t="s">
        <v>61</v>
      </c>
      <c r="AJ456" s="10" t="s">
        <v>4565</v>
      </c>
      <c r="AK456" s="10" t="s">
        <v>4865</v>
      </c>
      <c r="AL456" s="10" t="s">
        <v>64</v>
      </c>
      <c r="AM456" s="10" t="s">
        <v>4866</v>
      </c>
      <c r="AN456" s="10" t="s">
        <v>50</v>
      </c>
      <c r="AO456" s="11" t="s">
        <v>50</v>
      </c>
      <c r="AP456" s="10" t="s">
        <v>50</v>
      </c>
      <c r="AQ456" s="10" t="s">
        <v>50</v>
      </c>
      <c r="AR456" s="10" t="s">
        <v>50</v>
      </c>
      <c r="AS456" s="10" t="s">
        <v>50</v>
      </c>
      <c r="AT456" s="10" t="s">
        <v>50</v>
      </c>
      <c r="AU456" s="10" t="s">
        <v>50</v>
      </c>
      <c r="AV456" s="11"/>
      <c r="AW456" s="10" t="s">
        <v>66</v>
      </c>
      <c r="AX456" s="10"/>
      <c r="AY456" s="10" t="s">
        <v>66</v>
      </c>
    </row>
    <row r="457" ht="22.5" hidden="1" customHeight="1">
      <c r="A457" s="9" t="s">
        <v>4867</v>
      </c>
      <c r="B457" s="10" t="s">
        <v>4868</v>
      </c>
      <c r="C457" s="10" t="s">
        <v>43</v>
      </c>
      <c r="D457" s="10" t="s">
        <v>4592</v>
      </c>
      <c r="E457" s="10" t="s">
        <v>66</v>
      </c>
      <c r="F457" s="11">
        <v>1.0</v>
      </c>
      <c r="G457" s="11">
        <v>80.0</v>
      </c>
      <c r="H457" s="11"/>
      <c r="I457" s="11">
        <v>-13.6</v>
      </c>
      <c r="J457" s="11">
        <v>-19.95</v>
      </c>
      <c r="K457" s="11"/>
      <c r="L457" s="11">
        <v>50.45</v>
      </c>
      <c r="M457" s="10" t="s">
        <v>46</v>
      </c>
      <c r="N457" s="10" t="s">
        <v>50</v>
      </c>
      <c r="O457" s="10" t="s">
        <v>143</v>
      </c>
      <c r="P457" s="10" t="s">
        <v>144</v>
      </c>
      <c r="Q457" s="10" t="s">
        <v>145</v>
      </c>
      <c r="R457" s="10" t="s">
        <v>74</v>
      </c>
      <c r="S457" s="11">
        <v>80.0</v>
      </c>
      <c r="T457" s="11">
        <v>33.38</v>
      </c>
      <c r="U457" s="11" t="s">
        <v>51</v>
      </c>
      <c r="V457" s="10" t="s">
        <v>52</v>
      </c>
      <c r="W457" s="10" t="s">
        <v>4869</v>
      </c>
      <c r="X457" s="10" t="s">
        <v>4870</v>
      </c>
      <c r="Y457" s="10" t="s">
        <v>4871</v>
      </c>
      <c r="Z457" s="10" t="s">
        <v>50</v>
      </c>
      <c r="AA457" s="10" t="s">
        <v>50</v>
      </c>
      <c r="AB457" s="10" t="s">
        <v>4869</v>
      </c>
      <c r="AC457" s="10" t="s">
        <v>4872</v>
      </c>
      <c r="AD457" s="10" t="s">
        <v>4873</v>
      </c>
      <c r="AE457" s="10" t="s">
        <v>308</v>
      </c>
      <c r="AF457" s="10" t="s">
        <v>136</v>
      </c>
      <c r="AG457" s="10" t="s">
        <v>4874</v>
      </c>
      <c r="AH457" s="10" t="s">
        <v>60</v>
      </c>
      <c r="AI457" s="10" t="s">
        <v>61</v>
      </c>
      <c r="AJ457" s="10" t="s">
        <v>4875</v>
      </c>
      <c r="AK457" s="10" t="s">
        <v>4876</v>
      </c>
      <c r="AL457" s="10" t="s">
        <v>64</v>
      </c>
      <c r="AM457" s="10" t="s">
        <v>4877</v>
      </c>
      <c r="AN457" s="10" t="s">
        <v>50</v>
      </c>
      <c r="AO457" s="11" t="s">
        <v>50</v>
      </c>
      <c r="AP457" s="10" t="s">
        <v>50</v>
      </c>
      <c r="AQ457" s="10" t="s">
        <v>50</v>
      </c>
      <c r="AR457" s="10" t="s">
        <v>50</v>
      </c>
      <c r="AS457" s="10" t="s">
        <v>50</v>
      </c>
      <c r="AT457" s="10" t="s">
        <v>50</v>
      </c>
      <c r="AU457" s="10" t="s">
        <v>50</v>
      </c>
      <c r="AV457" s="11"/>
      <c r="AW457" s="10" t="s">
        <v>66</v>
      </c>
      <c r="AX457" s="10"/>
      <c r="AY457" s="10" t="s">
        <v>66</v>
      </c>
    </row>
    <row r="458" ht="22.5" hidden="1" customHeight="1">
      <c r="A458" s="9" t="s">
        <v>4878</v>
      </c>
      <c r="B458" s="10" t="s">
        <v>4879</v>
      </c>
      <c r="C458" s="10" t="s">
        <v>43</v>
      </c>
      <c r="D458" s="10" t="s">
        <v>2326</v>
      </c>
      <c r="E458" s="10" t="s">
        <v>66</v>
      </c>
      <c r="F458" s="11">
        <v>1.0</v>
      </c>
      <c r="G458" s="11">
        <v>80.0</v>
      </c>
      <c r="H458" s="11"/>
      <c r="I458" s="11">
        <v>-13.6</v>
      </c>
      <c r="J458" s="11">
        <v>-19.95</v>
      </c>
      <c r="K458" s="11"/>
      <c r="L458" s="11">
        <v>50.45</v>
      </c>
      <c r="M458" s="10" t="s">
        <v>46</v>
      </c>
      <c r="N458" s="10" t="s">
        <v>50</v>
      </c>
      <c r="O458" s="10" t="s">
        <v>143</v>
      </c>
      <c r="P458" s="10" t="s">
        <v>144</v>
      </c>
      <c r="Q458" s="10" t="s">
        <v>145</v>
      </c>
      <c r="R458" s="10" t="s">
        <v>74</v>
      </c>
      <c r="S458" s="11">
        <v>80.0</v>
      </c>
      <c r="T458" s="11">
        <v>33.38</v>
      </c>
      <c r="U458" s="11" t="s">
        <v>51</v>
      </c>
      <c r="V458" s="10" t="s">
        <v>52</v>
      </c>
      <c r="W458" s="10" t="s">
        <v>4880</v>
      </c>
      <c r="X458" s="10" t="s">
        <v>4881</v>
      </c>
      <c r="Y458" s="10" t="s">
        <v>4882</v>
      </c>
      <c r="Z458" s="10" t="s">
        <v>50</v>
      </c>
      <c r="AA458" s="10" t="s">
        <v>50</v>
      </c>
      <c r="AB458" s="10" t="s">
        <v>4880</v>
      </c>
      <c r="AC458" s="10" t="s">
        <v>4883</v>
      </c>
      <c r="AD458" s="10" t="s">
        <v>4884</v>
      </c>
      <c r="AE458" s="10" t="s">
        <v>349</v>
      </c>
      <c r="AF458" s="10" t="s">
        <v>119</v>
      </c>
      <c r="AG458" s="10" t="s">
        <v>350</v>
      </c>
      <c r="AH458" s="10" t="s">
        <v>60</v>
      </c>
      <c r="AI458" s="10" t="s">
        <v>61</v>
      </c>
      <c r="AJ458" s="10" t="s">
        <v>4623</v>
      </c>
      <c r="AK458" s="10" t="s">
        <v>4885</v>
      </c>
      <c r="AL458" s="10" t="s">
        <v>64</v>
      </c>
      <c r="AM458" s="10" t="s">
        <v>4886</v>
      </c>
      <c r="AN458" s="10" t="s">
        <v>50</v>
      </c>
      <c r="AO458" s="11" t="s">
        <v>50</v>
      </c>
      <c r="AP458" s="10" t="s">
        <v>50</v>
      </c>
      <c r="AQ458" s="10" t="s">
        <v>50</v>
      </c>
      <c r="AR458" s="10" t="s">
        <v>50</v>
      </c>
      <c r="AS458" s="10" t="s">
        <v>50</v>
      </c>
      <c r="AT458" s="10" t="s">
        <v>50</v>
      </c>
      <c r="AU458" s="10" t="s">
        <v>50</v>
      </c>
      <c r="AV458" s="11"/>
      <c r="AW458" s="10" t="s">
        <v>66</v>
      </c>
      <c r="AX458" s="10"/>
      <c r="AY458" s="10" t="s">
        <v>66</v>
      </c>
    </row>
    <row r="459" ht="22.5" hidden="1" customHeight="1">
      <c r="A459" s="9" t="s">
        <v>4887</v>
      </c>
      <c r="B459" s="10" t="s">
        <v>4888</v>
      </c>
      <c r="C459" s="10" t="s">
        <v>43</v>
      </c>
      <c r="D459" s="10" t="s">
        <v>4506</v>
      </c>
      <c r="E459" s="10" t="s">
        <v>45</v>
      </c>
      <c r="F459" s="11">
        <v>2.0</v>
      </c>
      <c r="G459" s="11">
        <v>87.4</v>
      </c>
      <c r="H459" s="11"/>
      <c r="I459" s="11">
        <v>-26.86</v>
      </c>
      <c r="J459" s="11"/>
      <c r="K459" s="11"/>
      <c r="L459" s="11">
        <v>65.78</v>
      </c>
      <c r="M459" s="10" t="s">
        <v>46</v>
      </c>
      <c r="N459" s="10" t="s">
        <v>50</v>
      </c>
      <c r="O459" s="10" t="s">
        <v>176</v>
      </c>
      <c r="P459" s="10" t="s">
        <v>177</v>
      </c>
      <c r="Q459" s="10" t="s">
        <v>178</v>
      </c>
      <c r="R459" s="10" t="s">
        <v>74</v>
      </c>
      <c r="S459" s="11">
        <v>43.7</v>
      </c>
      <c r="T459" s="11">
        <f>2*22.58</f>
        <v>45.16</v>
      </c>
      <c r="U459" s="11" t="s">
        <v>51</v>
      </c>
      <c r="V459" s="10" t="s">
        <v>52</v>
      </c>
      <c r="W459" s="10" t="s">
        <v>4889</v>
      </c>
      <c r="X459" s="10" t="s">
        <v>4890</v>
      </c>
      <c r="Y459" s="10" t="s">
        <v>4891</v>
      </c>
      <c r="Z459" s="10" t="s">
        <v>50</v>
      </c>
      <c r="AA459" s="10" t="s">
        <v>50</v>
      </c>
      <c r="AB459" s="10" t="s">
        <v>4889</v>
      </c>
      <c r="AC459" s="10" t="s">
        <v>4892</v>
      </c>
      <c r="AD459" s="10" t="s">
        <v>4893</v>
      </c>
      <c r="AE459" s="10" t="s">
        <v>4894</v>
      </c>
      <c r="AF459" s="10" t="s">
        <v>214</v>
      </c>
      <c r="AG459" s="10" t="s">
        <v>4895</v>
      </c>
      <c r="AH459" s="10" t="s">
        <v>60</v>
      </c>
      <c r="AI459" s="10" t="s">
        <v>61</v>
      </c>
      <c r="AJ459" s="10" t="s">
        <v>4525</v>
      </c>
      <c r="AK459" s="10" t="s">
        <v>4896</v>
      </c>
      <c r="AL459" s="10" t="s">
        <v>64</v>
      </c>
      <c r="AM459" s="10" t="s">
        <v>4897</v>
      </c>
      <c r="AN459" s="10" t="s">
        <v>50</v>
      </c>
      <c r="AO459" s="11" t="s">
        <v>50</v>
      </c>
      <c r="AP459" s="10" t="s">
        <v>50</v>
      </c>
      <c r="AQ459" s="10" t="s">
        <v>50</v>
      </c>
      <c r="AR459" s="10" t="s">
        <v>50</v>
      </c>
      <c r="AS459" s="10" t="s">
        <v>50</v>
      </c>
      <c r="AT459" s="10" t="s">
        <v>50</v>
      </c>
      <c r="AU459" s="10" t="s">
        <v>50</v>
      </c>
      <c r="AV459" s="11"/>
      <c r="AW459" s="10" t="s">
        <v>66</v>
      </c>
      <c r="AX459" s="10"/>
      <c r="AY459" s="10" t="s">
        <v>66</v>
      </c>
    </row>
    <row r="460" ht="22.5" hidden="1" customHeight="1">
      <c r="A460" s="9" t="s">
        <v>4898</v>
      </c>
      <c r="B460" s="10" t="s">
        <v>4899</v>
      </c>
      <c r="C460" s="10" t="s">
        <v>43</v>
      </c>
      <c r="D460" s="10" t="s">
        <v>2481</v>
      </c>
      <c r="E460" s="10" t="s">
        <v>66</v>
      </c>
      <c r="F460" s="11">
        <v>1.0</v>
      </c>
      <c r="G460" s="11">
        <v>120.0</v>
      </c>
      <c r="H460" s="11"/>
      <c r="I460" s="11">
        <v>-20.4</v>
      </c>
      <c r="J460" s="11">
        <v>-19.95</v>
      </c>
      <c r="K460" s="11"/>
      <c r="L460" s="11">
        <v>86.85</v>
      </c>
      <c r="M460" s="10" t="s">
        <v>46</v>
      </c>
      <c r="N460" s="10" t="s">
        <v>50</v>
      </c>
      <c r="O460" s="10" t="s">
        <v>85</v>
      </c>
      <c r="P460" s="10" t="s">
        <v>86</v>
      </c>
      <c r="Q460" s="10" t="s">
        <v>87</v>
      </c>
      <c r="R460" s="10" t="s">
        <v>74</v>
      </c>
      <c r="S460" s="11">
        <v>120.0</v>
      </c>
      <c r="T460" s="11">
        <v>65.78</v>
      </c>
      <c r="U460" s="11" t="s">
        <v>51</v>
      </c>
      <c r="V460" s="10" t="s">
        <v>52</v>
      </c>
      <c r="W460" s="10" t="s">
        <v>4900</v>
      </c>
      <c r="X460" s="10" t="s">
        <v>4901</v>
      </c>
      <c r="Y460" s="10" t="s">
        <v>4902</v>
      </c>
      <c r="Z460" s="10" t="s">
        <v>50</v>
      </c>
      <c r="AA460" s="10" t="s">
        <v>50</v>
      </c>
      <c r="AB460" s="10" t="s">
        <v>4900</v>
      </c>
      <c r="AC460" s="10" t="s">
        <v>4903</v>
      </c>
      <c r="AD460" s="10" t="s">
        <v>4904</v>
      </c>
      <c r="AE460" s="10" t="s">
        <v>4905</v>
      </c>
      <c r="AF460" s="10" t="s">
        <v>151</v>
      </c>
      <c r="AG460" s="10" t="s">
        <v>4906</v>
      </c>
      <c r="AH460" s="10" t="s">
        <v>60</v>
      </c>
      <c r="AI460" s="10" t="s">
        <v>61</v>
      </c>
      <c r="AJ460" s="10" t="s">
        <v>4688</v>
      </c>
      <c r="AK460" s="10" t="s">
        <v>4907</v>
      </c>
      <c r="AL460" s="10" t="s">
        <v>64</v>
      </c>
      <c r="AM460" s="10" t="s">
        <v>4908</v>
      </c>
      <c r="AN460" s="10" t="s">
        <v>50</v>
      </c>
      <c r="AO460" s="11" t="s">
        <v>50</v>
      </c>
      <c r="AP460" s="10" t="s">
        <v>50</v>
      </c>
      <c r="AQ460" s="10" t="s">
        <v>50</v>
      </c>
      <c r="AR460" s="10" t="s">
        <v>50</v>
      </c>
      <c r="AS460" s="10" t="s">
        <v>50</v>
      </c>
      <c r="AT460" s="10" t="s">
        <v>50</v>
      </c>
      <c r="AU460" s="10" t="s">
        <v>50</v>
      </c>
      <c r="AV460" s="11"/>
      <c r="AW460" s="10" t="s">
        <v>66</v>
      </c>
      <c r="AX460" s="10"/>
      <c r="AY460" s="10" t="s">
        <v>66</v>
      </c>
    </row>
    <row r="461" ht="22.5" hidden="1" customHeight="1">
      <c r="A461" s="9" t="s">
        <v>4909</v>
      </c>
      <c r="B461" s="10" t="s">
        <v>4910</v>
      </c>
      <c r="C461" s="10" t="s">
        <v>43</v>
      </c>
      <c r="D461" s="10" t="s">
        <v>4592</v>
      </c>
      <c r="E461" s="10" t="s">
        <v>66</v>
      </c>
      <c r="F461" s="11">
        <v>1.0</v>
      </c>
      <c r="G461" s="11">
        <v>43.7</v>
      </c>
      <c r="H461" s="11">
        <v>13.87</v>
      </c>
      <c r="I461" s="11">
        <v>-13.43</v>
      </c>
      <c r="J461" s="11">
        <v>-13.87</v>
      </c>
      <c r="K461" s="11"/>
      <c r="L461" s="11">
        <v>32.89</v>
      </c>
      <c r="M461" s="10" t="s">
        <v>46</v>
      </c>
      <c r="N461" s="10" t="s">
        <v>50</v>
      </c>
      <c r="O461" s="10" t="s">
        <v>176</v>
      </c>
      <c r="P461" s="10" t="s">
        <v>177</v>
      </c>
      <c r="Q461" s="10" t="s">
        <v>178</v>
      </c>
      <c r="R461" s="10" t="s">
        <v>74</v>
      </c>
      <c r="S461" s="11">
        <v>43.7</v>
      </c>
      <c r="T461" s="11">
        <v>22.58</v>
      </c>
      <c r="U461" s="11" t="s">
        <v>51</v>
      </c>
      <c r="V461" s="10" t="s">
        <v>52</v>
      </c>
      <c r="W461" s="10" t="s">
        <v>4911</v>
      </c>
      <c r="X461" s="10" t="s">
        <v>4912</v>
      </c>
      <c r="Y461" s="10" t="s">
        <v>4913</v>
      </c>
      <c r="Z461" s="10" t="s">
        <v>50</v>
      </c>
      <c r="AA461" s="10" t="s">
        <v>50</v>
      </c>
      <c r="AB461" s="10" t="s">
        <v>4911</v>
      </c>
      <c r="AC461" s="10" t="s">
        <v>4914</v>
      </c>
      <c r="AD461" s="10" t="s">
        <v>4915</v>
      </c>
      <c r="AE461" s="10" t="s">
        <v>58</v>
      </c>
      <c r="AF461" s="10" t="s">
        <v>58</v>
      </c>
      <c r="AG461" s="10" t="s">
        <v>4916</v>
      </c>
      <c r="AH461" s="10" t="s">
        <v>60</v>
      </c>
      <c r="AI461" s="10" t="s">
        <v>61</v>
      </c>
      <c r="AJ461" s="10" t="s">
        <v>4513</v>
      </c>
      <c r="AK461" s="10" t="s">
        <v>4917</v>
      </c>
      <c r="AL461" s="10" t="s">
        <v>64</v>
      </c>
      <c r="AM461" s="10" t="s">
        <v>4918</v>
      </c>
      <c r="AN461" s="10" t="s">
        <v>4919</v>
      </c>
      <c r="AO461" s="11" t="s">
        <v>50</v>
      </c>
      <c r="AP461" s="10" t="s">
        <v>50</v>
      </c>
      <c r="AQ461" s="10" t="s">
        <v>50</v>
      </c>
      <c r="AR461" s="10" t="s">
        <v>50</v>
      </c>
      <c r="AS461" s="10" t="s">
        <v>50</v>
      </c>
      <c r="AT461" s="10" t="s">
        <v>50</v>
      </c>
      <c r="AU461" s="10" t="s">
        <v>50</v>
      </c>
      <c r="AV461" s="11"/>
      <c r="AW461" s="10" t="s">
        <v>66</v>
      </c>
      <c r="AX461" s="10"/>
      <c r="AY461" s="10" t="s">
        <v>66</v>
      </c>
    </row>
    <row r="462" ht="22.5" hidden="1" customHeight="1">
      <c r="A462" s="9" t="s">
        <v>4920</v>
      </c>
      <c r="B462" s="10" t="s">
        <v>4921</v>
      </c>
      <c r="C462" s="10" t="s">
        <v>43</v>
      </c>
      <c r="D462" s="10" t="s">
        <v>4592</v>
      </c>
      <c r="E462" s="10" t="s">
        <v>45</v>
      </c>
      <c r="F462" s="11">
        <v>2.0</v>
      </c>
      <c r="G462" s="11">
        <v>87.4</v>
      </c>
      <c r="H462" s="11"/>
      <c r="I462" s="11">
        <v>-26.86</v>
      </c>
      <c r="J462" s="11"/>
      <c r="K462" s="11"/>
      <c r="L462" s="11">
        <v>65.78</v>
      </c>
      <c r="M462" s="10" t="s">
        <v>46</v>
      </c>
      <c r="N462" s="10" t="s">
        <v>50</v>
      </c>
      <c r="O462" s="10" t="s">
        <v>176</v>
      </c>
      <c r="P462" s="10" t="s">
        <v>177</v>
      </c>
      <c r="Q462" s="10" t="s">
        <v>178</v>
      </c>
      <c r="R462" s="10" t="s">
        <v>74</v>
      </c>
      <c r="S462" s="11">
        <v>43.7</v>
      </c>
      <c r="T462" s="11">
        <f>2*22.58</f>
        <v>45.16</v>
      </c>
      <c r="U462" s="11" t="s">
        <v>51</v>
      </c>
      <c r="V462" s="10" t="s">
        <v>52</v>
      </c>
      <c r="W462" s="10" t="s">
        <v>4922</v>
      </c>
      <c r="X462" s="10" t="s">
        <v>4923</v>
      </c>
      <c r="Y462" s="10" t="s">
        <v>4924</v>
      </c>
      <c r="Z462" s="10" t="s">
        <v>50</v>
      </c>
      <c r="AA462" s="10" t="s">
        <v>50</v>
      </c>
      <c r="AB462" s="10" t="s">
        <v>4922</v>
      </c>
      <c r="AC462" s="10" t="s">
        <v>4925</v>
      </c>
      <c r="AD462" s="10" t="s">
        <v>4926</v>
      </c>
      <c r="AE462" s="10" t="s">
        <v>58</v>
      </c>
      <c r="AF462" s="10" t="s">
        <v>58</v>
      </c>
      <c r="AG462" s="10" t="s">
        <v>4927</v>
      </c>
      <c r="AH462" s="10" t="s">
        <v>60</v>
      </c>
      <c r="AI462" s="10" t="s">
        <v>61</v>
      </c>
      <c r="AJ462" s="10" t="s">
        <v>4744</v>
      </c>
      <c r="AK462" s="10" t="s">
        <v>4928</v>
      </c>
      <c r="AL462" s="10" t="s">
        <v>64</v>
      </c>
      <c r="AM462" s="10" t="s">
        <v>4929</v>
      </c>
      <c r="AN462" s="10" t="s">
        <v>4930</v>
      </c>
      <c r="AO462" s="11" t="s">
        <v>50</v>
      </c>
      <c r="AP462" s="10" t="s">
        <v>50</v>
      </c>
      <c r="AQ462" s="10" t="s">
        <v>50</v>
      </c>
      <c r="AR462" s="10" t="s">
        <v>50</v>
      </c>
      <c r="AS462" s="10" t="s">
        <v>50</v>
      </c>
      <c r="AT462" s="10" t="s">
        <v>50</v>
      </c>
      <c r="AU462" s="10" t="s">
        <v>50</v>
      </c>
      <c r="AV462" s="11"/>
      <c r="AW462" s="10" t="s">
        <v>66</v>
      </c>
      <c r="AX462" s="10"/>
      <c r="AY462" s="10" t="s">
        <v>66</v>
      </c>
    </row>
    <row r="463" ht="22.5" hidden="1" customHeight="1">
      <c r="A463" s="9" t="s">
        <v>4931</v>
      </c>
      <c r="B463" s="10" t="s">
        <v>4932</v>
      </c>
      <c r="C463" s="10" t="s">
        <v>43</v>
      </c>
      <c r="D463" s="10" t="s">
        <v>2481</v>
      </c>
      <c r="E463" s="10" t="s">
        <v>66</v>
      </c>
      <c r="F463" s="11">
        <v>1.0</v>
      </c>
      <c r="G463" s="11">
        <v>80.0</v>
      </c>
      <c r="H463" s="11"/>
      <c r="I463" s="11">
        <v>-13.6</v>
      </c>
      <c r="J463" s="11">
        <v>-19.95</v>
      </c>
      <c r="K463" s="11"/>
      <c r="L463" s="11">
        <v>50.45</v>
      </c>
      <c r="M463" s="10" t="s">
        <v>46</v>
      </c>
      <c r="N463" s="10" t="s">
        <v>50</v>
      </c>
      <c r="O463" s="10" t="s">
        <v>143</v>
      </c>
      <c r="P463" s="10" t="s">
        <v>144</v>
      </c>
      <c r="Q463" s="10" t="s">
        <v>145</v>
      </c>
      <c r="R463" s="10" t="s">
        <v>74</v>
      </c>
      <c r="S463" s="11">
        <v>80.0</v>
      </c>
      <c r="T463" s="11">
        <v>33.38</v>
      </c>
      <c r="U463" s="11" t="s">
        <v>51</v>
      </c>
      <c r="V463" s="10" t="s">
        <v>52</v>
      </c>
      <c r="W463" s="10" t="s">
        <v>4933</v>
      </c>
      <c r="X463" s="10" t="s">
        <v>4934</v>
      </c>
      <c r="Y463" s="10" t="s">
        <v>4935</v>
      </c>
      <c r="Z463" s="10" t="s">
        <v>50</v>
      </c>
      <c r="AA463" s="10" t="s">
        <v>50</v>
      </c>
      <c r="AB463" s="10" t="s">
        <v>4933</v>
      </c>
      <c r="AC463" s="10" t="s">
        <v>4936</v>
      </c>
      <c r="AD463" s="10" t="s">
        <v>4937</v>
      </c>
      <c r="AE463" s="10" t="s">
        <v>454</v>
      </c>
      <c r="AF463" s="10" t="s">
        <v>323</v>
      </c>
      <c r="AG463" s="10" t="s">
        <v>4938</v>
      </c>
      <c r="AH463" s="10" t="s">
        <v>60</v>
      </c>
      <c r="AI463" s="10" t="s">
        <v>61</v>
      </c>
      <c r="AJ463" s="10" t="s">
        <v>4796</v>
      </c>
      <c r="AK463" s="10" t="s">
        <v>4939</v>
      </c>
      <c r="AL463" s="10" t="s">
        <v>64</v>
      </c>
      <c r="AM463" s="10" t="s">
        <v>4940</v>
      </c>
      <c r="AN463" s="10" t="s">
        <v>50</v>
      </c>
      <c r="AO463" s="11" t="s">
        <v>50</v>
      </c>
      <c r="AP463" s="10" t="s">
        <v>50</v>
      </c>
      <c r="AQ463" s="10" t="s">
        <v>50</v>
      </c>
      <c r="AR463" s="10" t="s">
        <v>50</v>
      </c>
      <c r="AS463" s="10" t="s">
        <v>50</v>
      </c>
      <c r="AT463" s="10" t="s">
        <v>50</v>
      </c>
      <c r="AU463" s="10" t="s">
        <v>50</v>
      </c>
      <c r="AV463" s="11"/>
      <c r="AW463" s="10" t="s">
        <v>66</v>
      </c>
      <c r="AX463" s="10"/>
      <c r="AY463" s="10" t="s">
        <v>66</v>
      </c>
    </row>
    <row r="464" ht="22.5" hidden="1" customHeight="1">
      <c r="A464" s="9" t="s">
        <v>4941</v>
      </c>
      <c r="B464" s="10" t="s">
        <v>4942</v>
      </c>
      <c r="C464" s="10" t="s">
        <v>43</v>
      </c>
      <c r="D464" s="10" t="s">
        <v>4592</v>
      </c>
      <c r="E464" s="10" t="s">
        <v>66</v>
      </c>
      <c r="F464" s="11">
        <v>1.0</v>
      </c>
      <c r="G464" s="11">
        <v>79.2</v>
      </c>
      <c r="H464" s="11"/>
      <c r="I464" s="11">
        <v>-13.46</v>
      </c>
      <c r="J464" s="11">
        <v>-20.45</v>
      </c>
      <c r="K464" s="11"/>
      <c r="L464" s="11">
        <v>50.04</v>
      </c>
      <c r="M464" s="10" t="s">
        <v>46</v>
      </c>
      <c r="N464" s="10" t="s">
        <v>50</v>
      </c>
      <c r="O464" s="10" t="s">
        <v>892</v>
      </c>
      <c r="P464" s="10" t="s">
        <v>893</v>
      </c>
      <c r="Q464" s="10" t="s">
        <v>894</v>
      </c>
      <c r="R464" s="10" t="s">
        <v>74</v>
      </c>
      <c r="S464" s="11">
        <v>79.2</v>
      </c>
      <c r="T464" s="11">
        <v>2.97</v>
      </c>
      <c r="U464" s="11" t="s">
        <v>51</v>
      </c>
      <c r="V464" s="10" t="s">
        <v>52</v>
      </c>
      <c r="W464" s="10" t="s">
        <v>4943</v>
      </c>
      <c r="X464" s="10" t="s">
        <v>4944</v>
      </c>
      <c r="Y464" s="10" t="s">
        <v>4945</v>
      </c>
      <c r="Z464" s="10" t="s">
        <v>50</v>
      </c>
      <c r="AA464" s="10" t="s">
        <v>50</v>
      </c>
      <c r="AB464" s="10" t="s">
        <v>4943</v>
      </c>
      <c r="AC464" s="10" t="s">
        <v>4946</v>
      </c>
      <c r="AD464" s="10" t="s">
        <v>4947</v>
      </c>
      <c r="AE464" s="10" t="s">
        <v>4948</v>
      </c>
      <c r="AF464" s="10" t="s">
        <v>323</v>
      </c>
      <c r="AG464" s="10" t="s">
        <v>4949</v>
      </c>
      <c r="AH464" s="10" t="s">
        <v>60</v>
      </c>
      <c r="AI464" s="10" t="s">
        <v>61</v>
      </c>
      <c r="AJ464" s="10" t="s">
        <v>4950</v>
      </c>
      <c r="AK464" s="10" t="s">
        <v>4951</v>
      </c>
      <c r="AL464" s="10" t="s">
        <v>64</v>
      </c>
      <c r="AM464" s="10" t="s">
        <v>4952</v>
      </c>
      <c r="AN464" s="10" t="s">
        <v>50</v>
      </c>
      <c r="AO464" s="11" t="s">
        <v>50</v>
      </c>
      <c r="AP464" s="10" t="s">
        <v>50</v>
      </c>
      <c r="AQ464" s="10" t="s">
        <v>50</v>
      </c>
      <c r="AR464" s="10" t="s">
        <v>50</v>
      </c>
      <c r="AS464" s="10" t="s">
        <v>50</v>
      </c>
      <c r="AT464" s="10" t="s">
        <v>50</v>
      </c>
      <c r="AU464" s="10" t="s">
        <v>50</v>
      </c>
      <c r="AV464" s="11"/>
      <c r="AW464" s="10" t="s">
        <v>66</v>
      </c>
      <c r="AX464" s="10"/>
      <c r="AY464" s="10" t="s">
        <v>66</v>
      </c>
    </row>
    <row r="465" ht="22.5" hidden="1" customHeight="1">
      <c r="A465" s="9" t="s">
        <v>4953</v>
      </c>
      <c r="B465" s="10" t="s">
        <v>4954</v>
      </c>
      <c r="C465" s="10" t="s">
        <v>43</v>
      </c>
      <c r="D465" s="10" t="s">
        <v>4592</v>
      </c>
      <c r="E465" s="10" t="s">
        <v>45</v>
      </c>
      <c r="F465" s="11">
        <v>1.0</v>
      </c>
      <c r="G465" s="11">
        <v>120.0</v>
      </c>
      <c r="H465" s="11"/>
      <c r="I465" s="11">
        <v>-20.4</v>
      </c>
      <c r="J465" s="11">
        <v>-19.95</v>
      </c>
      <c r="K465" s="11"/>
      <c r="L465" s="11">
        <v>86.85</v>
      </c>
      <c r="M465" s="10" t="s">
        <v>46</v>
      </c>
      <c r="N465" s="10" t="s">
        <v>50</v>
      </c>
      <c r="O465" s="10" t="s">
        <v>85</v>
      </c>
      <c r="P465" s="10" t="s">
        <v>86</v>
      </c>
      <c r="Q465" s="10" t="s">
        <v>87</v>
      </c>
      <c r="R465" s="10" t="s">
        <v>74</v>
      </c>
      <c r="S465" s="11">
        <v>120.0</v>
      </c>
      <c r="T465" s="11">
        <v>65.78</v>
      </c>
      <c r="U465" s="11" t="s">
        <v>51</v>
      </c>
      <c r="V465" s="10" t="s">
        <v>52</v>
      </c>
      <c r="W465" s="10" t="s">
        <v>4955</v>
      </c>
      <c r="X465" s="10" t="s">
        <v>4956</v>
      </c>
      <c r="Y465" s="10" t="s">
        <v>4957</v>
      </c>
      <c r="Z465" s="10" t="s">
        <v>50</v>
      </c>
      <c r="AA465" s="10" t="s">
        <v>50</v>
      </c>
      <c r="AB465" s="10" t="s">
        <v>4955</v>
      </c>
      <c r="AC465" s="10" t="s">
        <v>4958</v>
      </c>
      <c r="AD465" s="10" t="s">
        <v>4959</v>
      </c>
      <c r="AE465" s="10" t="s">
        <v>4960</v>
      </c>
      <c r="AF465" s="10" t="s">
        <v>323</v>
      </c>
      <c r="AG465" s="10" t="s">
        <v>4961</v>
      </c>
      <c r="AH465" s="10" t="s">
        <v>60</v>
      </c>
      <c r="AI465" s="10" t="s">
        <v>61</v>
      </c>
      <c r="AJ465" s="10" t="s">
        <v>4733</v>
      </c>
      <c r="AK465" s="10" t="s">
        <v>4962</v>
      </c>
      <c r="AL465" s="10" t="s">
        <v>64</v>
      </c>
      <c r="AM465" s="10" t="s">
        <v>4963</v>
      </c>
      <c r="AN465" s="10" t="s">
        <v>50</v>
      </c>
      <c r="AO465" s="11" t="s">
        <v>50</v>
      </c>
      <c r="AP465" s="10" t="s">
        <v>50</v>
      </c>
      <c r="AQ465" s="10" t="s">
        <v>50</v>
      </c>
      <c r="AR465" s="10" t="s">
        <v>50</v>
      </c>
      <c r="AS465" s="10" t="s">
        <v>50</v>
      </c>
      <c r="AT465" s="10" t="s">
        <v>50</v>
      </c>
      <c r="AU465" s="10" t="s">
        <v>50</v>
      </c>
      <c r="AV465" s="11"/>
      <c r="AW465" s="10" t="s">
        <v>66</v>
      </c>
      <c r="AX465" s="10"/>
      <c r="AY465" s="10" t="s">
        <v>66</v>
      </c>
    </row>
    <row r="466" ht="22.5" hidden="1" customHeight="1">
      <c r="A466" s="9" t="s">
        <v>4964</v>
      </c>
      <c r="B466" s="10" t="s">
        <v>4965</v>
      </c>
      <c r="C466" s="10" t="s">
        <v>43</v>
      </c>
      <c r="D466" s="10" t="s">
        <v>2326</v>
      </c>
      <c r="E466" s="10" t="s">
        <v>66</v>
      </c>
      <c r="F466" s="11">
        <v>1.0</v>
      </c>
      <c r="G466" s="11">
        <v>120.0</v>
      </c>
      <c r="H466" s="11"/>
      <c r="I466" s="11">
        <v>-20.4</v>
      </c>
      <c r="J466" s="11">
        <v>-19.95</v>
      </c>
      <c r="K466" s="11"/>
      <c r="L466" s="11">
        <v>86.85</v>
      </c>
      <c r="M466" s="10" t="s">
        <v>46</v>
      </c>
      <c r="N466" s="10" t="s">
        <v>50</v>
      </c>
      <c r="O466" s="10" t="s">
        <v>85</v>
      </c>
      <c r="P466" s="10" t="s">
        <v>86</v>
      </c>
      <c r="Q466" s="10" t="s">
        <v>87</v>
      </c>
      <c r="R466" s="10" t="s">
        <v>74</v>
      </c>
      <c r="S466" s="11">
        <v>120.0</v>
      </c>
      <c r="T466" s="11">
        <v>65.78</v>
      </c>
      <c r="U466" s="11" t="s">
        <v>51</v>
      </c>
      <c r="V466" s="10" t="s">
        <v>52</v>
      </c>
      <c r="W466" s="10" t="s">
        <v>4966</v>
      </c>
      <c r="X466" s="10" t="s">
        <v>4967</v>
      </c>
      <c r="Y466" s="10" t="s">
        <v>4968</v>
      </c>
      <c r="Z466" s="10" t="s">
        <v>50</v>
      </c>
      <c r="AA466" s="10" t="s">
        <v>50</v>
      </c>
      <c r="AB466" s="10" t="s">
        <v>4966</v>
      </c>
      <c r="AC466" s="10" t="s">
        <v>4969</v>
      </c>
      <c r="AD466" s="10" t="s">
        <v>4970</v>
      </c>
      <c r="AE466" s="10" t="s">
        <v>3359</v>
      </c>
      <c r="AF466" s="10" t="s">
        <v>185</v>
      </c>
      <c r="AG466" s="10" t="s">
        <v>4971</v>
      </c>
      <c r="AH466" s="10" t="s">
        <v>60</v>
      </c>
      <c r="AI466" s="10" t="s">
        <v>61</v>
      </c>
      <c r="AJ466" s="10" t="s">
        <v>4806</v>
      </c>
      <c r="AK466" s="10" t="s">
        <v>4972</v>
      </c>
      <c r="AL466" s="10" t="s">
        <v>64</v>
      </c>
      <c r="AM466" s="10" t="s">
        <v>4973</v>
      </c>
      <c r="AN466" s="10" t="s">
        <v>50</v>
      </c>
      <c r="AO466" s="11" t="s">
        <v>50</v>
      </c>
      <c r="AP466" s="10" t="s">
        <v>50</v>
      </c>
      <c r="AQ466" s="10" t="s">
        <v>50</v>
      </c>
      <c r="AR466" s="10" t="s">
        <v>50</v>
      </c>
      <c r="AS466" s="10" t="s">
        <v>50</v>
      </c>
      <c r="AT466" s="10" t="s">
        <v>50</v>
      </c>
      <c r="AU466" s="10" t="s">
        <v>50</v>
      </c>
      <c r="AV466" s="11"/>
      <c r="AW466" s="10" t="s">
        <v>66</v>
      </c>
      <c r="AX466" s="10"/>
      <c r="AY466" s="10" t="s">
        <v>66</v>
      </c>
    </row>
    <row r="467" ht="22.5" hidden="1" customHeight="1">
      <c r="A467" s="9" t="s">
        <v>4974</v>
      </c>
      <c r="B467" s="10" t="s">
        <v>4975</v>
      </c>
      <c r="C467" s="10" t="s">
        <v>43</v>
      </c>
      <c r="D467" s="10" t="s">
        <v>4506</v>
      </c>
      <c r="E467" s="10" t="s">
        <v>66</v>
      </c>
      <c r="F467" s="11">
        <v>1.0</v>
      </c>
      <c r="G467" s="11">
        <v>36.8</v>
      </c>
      <c r="H467" s="11">
        <v>14.15</v>
      </c>
      <c r="I467" s="11">
        <v>-12.26</v>
      </c>
      <c r="J467" s="11">
        <v>-14.15</v>
      </c>
      <c r="K467" s="11"/>
      <c r="L467" s="11">
        <v>26.38</v>
      </c>
      <c r="M467" s="10" t="s">
        <v>46</v>
      </c>
      <c r="N467" s="10" t="s">
        <v>45</v>
      </c>
      <c r="O467" s="10" t="s">
        <v>71</v>
      </c>
      <c r="P467" s="10" t="s">
        <v>72</v>
      </c>
      <c r="Q467" s="10" t="s">
        <v>73</v>
      </c>
      <c r="R467" s="10" t="s">
        <v>74</v>
      </c>
      <c r="S467" s="11">
        <v>36.8</v>
      </c>
      <c r="T467" s="11">
        <v>4.58</v>
      </c>
      <c r="U467" s="11" t="s">
        <v>51</v>
      </c>
      <c r="V467" s="10" t="s">
        <v>52</v>
      </c>
      <c r="W467" s="10" t="s">
        <v>4976</v>
      </c>
      <c r="X467" s="10" t="s">
        <v>4977</v>
      </c>
      <c r="Y467" s="10" t="s">
        <v>4978</v>
      </c>
      <c r="Z467" s="10" t="s">
        <v>50</v>
      </c>
      <c r="AA467" s="10" t="s">
        <v>50</v>
      </c>
      <c r="AB467" s="10" t="s">
        <v>4976</v>
      </c>
      <c r="AC467" s="10" t="s">
        <v>4979</v>
      </c>
      <c r="AD467" s="10" t="s">
        <v>4980</v>
      </c>
      <c r="AE467" s="10" t="s">
        <v>4981</v>
      </c>
      <c r="AF467" s="10" t="s">
        <v>119</v>
      </c>
      <c r="AG467" s="10" t="s">
        <v>4982</v>
      </c>
      <c r="AH467" s="10" t="s">
        <v>60</v>
      </c>
      <c r="AI467" s="10" t="s">
        <v>61</v>
      </c>
      <c r="AJ467" s="10" t="s">
        <v>4525</v>
      </c>
      <c r="AK467" s="10" t="s">
        <v>4983</v>
      </c>
      <c r="AL467" s="10" t="s">
        <v>64</v>
      </c>
      <c r="AM467" s="10" t="s">
        <v>4984</v>
      </c>
      <c r="AN467" s="10" t="s">
        <v>50</v>
      </c>
      <c r="AO467" s="11" t="s">
        <v>50</v>
      </c>
      <c r="AP467" s="10" t="s">
        <v>50</v>
      </c>
      <c r="AQ467" s="10" t="s">
        <v>50</v>
      </c>
      <c r="AR467" s="10" t="s">
        <v>50</v>
      </c>
      <c r="AS467" s="10" t="s">
        <v>50</v>
      </c>
      <c r="AT467" s="10" t="s">
        <v>50</v>
      </c>
      <c r="AU467" s="10" t="s">
        <v>50</v>
      </c>
      <c r="AV467" s="11"/>
      <c r="AW467" s="10" t="s">
        <v>66</v>
      </c>
      <c r="AX467" s="10"/>
      <c r="AY467" s="10" t="s">
        <v>66</v>
      </c>
    </row>
    <row r="468" ht="22.5" hidden="1" customHeight="1">
      <c r="A468" s="9" t="s">
        <v>4985</v>
      </c>
      <c r="B468" s="10" t="s">
        <v>4986</v>
      </c>
      <c r="C468" s="10" t="s">
        <v>43</v>
      </c>
      <c r="D468" s="10" t="s">
        <v>2326</v>
      </c>
      <c r="E468" s="10" t="s">
        <v>66</v>
      </c>
      <c r="F468" s="11">
        <v>1.0</v>
      </c>
      <c r="G468" s="11">
        <v>120.0</v>
      </c>
      <c r="H468" s="11"/>
      <c r="I468" s="11">
        <v>-20.4</v>
      </c>
      <c r="J468" s="11">
        <v>-19.95</v>
      </c>
      <c r="K468" s="11"/>
      <c r="L468" s="11">
        <v>86.85</v>
      </c>
      <c r="M468" s="10" t="s">
        <v>46</v>
      </c>
      <c r="N468" s="10" t="s">
        <v>45</v>
      </c>
      <c r="O468" s="10" t="s">
        <v>85</v>
      </c>
      <c r="P468" s="10" t="s">
        <v>86</v>
      </c>
      <c r="Q468" s="10" t="s">
        <v>87</v>
      </c>
      <c r="R468" s="10" t="s">
        <v>74</v>
      </c>
      <c r="S468" s="11">
        <v>120.0</v>
      </c>
      <c r="T468" s="11">
        <v>65.78</v>
      </c>
      <c r="U468" s="11" t="s">
        <v>51</v>
      </c>
      <c r="V468" s="10" t="s">
        <v>52</v>
      </c>
      <c r="W468" s="10" t="s">
        <v>4987</v>
      </c>
      <c r="X468" s="10" t="s">
        <v>4988</v>
      </c>
      <c r="Y468" s="10" t="s">
        <v>4989</v>
      </c>
      <c r="Z468" s="10" t="s">
        <v>50</v>
      </c>
      <c r="AA468" s="10" t="s">
        <v>50</v>
      </c>
      <c r="AB468" s="10" t="s">
        <v>4987</v>
      </c>
      <c r="AC468" s="10" t="s">
        <v>4990</v>
      </c>
      <c r="AD468" s="10" t="s">
        <v>4991</v>
      </c>
      <c r="AE468" s="10" t="s">
        <v>4992</v>
      </c>
      <c r="AF468" s="10" t="s">
        <v>284</v>
      </c>
      <c r="AG468" s="10" t="s">
        <v>4993</v>
      </c>
      <c r="AH468" s="10" t="s">
        <v>60</v>
      </c>
      <c r="AI468" s="10" t="s">
        <v>61</v>
      </c>
      <c r="AJ468" s="10" t="s">
        <v>4623</v>
      </c>
      <c r="AK468" s="10" t="s">
        <v>4885</v>
      </c>
      <c r="AL468" s="10" t="s">
        <v>64</v>
      </c>
      <c r="AM468" s="10" t="s">
        <v>4994</v>
      </c>
      <c r="AN468" s="10" t="s">
        <v>50</v>
      </c>
      <c r="AO468" s="11" t="s">
        <v>50</v>
      </c>
      <c r="AP468" s="10" t="s">
        <v>50</v>
      </c>
      <c r="AQ468" s="10" t="s">
        <v>50</v>
      </c>
      <c r="AR468" s="10" t="s">
        <v>50</v>
      </c>
      <c r="AS468" s="10" t="s">
        <v>50</v>
      </c>
      <c r="AT468" s="10" t="s">
        <v>50</v>
      </c>
      <c r="AU468" s="10" t="s">
        <v>50</v>
      </c>
      <c r="AV468" s="11"/>
      <c r="AW468" s="10" t="s">
        <v>66</v>
      </c>
      <c r="AX468" s="10"/>
      <c r="AY468" s="10" t="s">
        <v>66</v>
      </c>
    </row>
    <row r="469" ht="22.5" hidden="1" customHeight="1">
      <c r="A469" s="9" t="s">
        <v>4995</v>
      </c>
      <c r="B469" s="10" t="s">
        <v>4996</v>
      </c>
      <c r="C469" s="10" t="s">
        <v>43</v>
      </c>
      <c r="D469" s="10" t="s">
        <v>2326</v>
      </c>
      <c r="E469" s="10" t="s">
        <v>66</v>
      </c>
      <c r="F469" s="11">
        <v>1.0</v>
      </c>
      <c r="G469" s="11">
        <v>80.0</v>
      </c>
      <c r="H469" s="11"/>
      <c r="I469" s="11">
        <v>-13.6</v>
      </c>
      <c r="J469" s="11">
        <v>-19.95</v>
      </c>
      <c r="K469" s="11"/>
      <c r="L469" s="11">
        <v>50.45</v>
      </c>
      <c r="M469" s="10" t="s">
        <v>46</v>
      </c>
      <c r="N469" s="10" t="s">
        <v>45</v>
      </c>
      <c r="O469" s="10" t="s">
        <v>143</v>
      </c>
      <c r="P469" s="10" t="s">
        <v>144</v>
      </c>
      <c r="Q469" s="10" t="s">
        <v>145</v>
      </c>
      <c r="R469" s="10" t="s">
        <v>74</v>
      </c>
      <c r="S469" s="11">
        <v>80.0</v>
      </c>
      <c r="T469" s="11">
        <v>33.38</v>
      </c>
      <c r="U469" s="11" t="s">
        <v>51</v>
      </c>
      <c r="V469" s="10" t="s">
        <v>52</v>
      </c>
      <c r="W469" s="10" t="s">
        <v>4997</v>
      </c>
      <c r="X469" s="10" t="s">
        <v>4998</v>
      </c>
      <c r="Y469" s="10" t="s">
        <v>4999</v>
      </c>
      <c r="Z469" s="10" t="s">
        <v>50</v>
      </c>
      <c r="AA469" s="10" t="s">
        <v>50</v>
      </c>
      <c r="AB469" s="10" t="s">
        <v>4997</v>
      </c>
      <c r="AC469" s="10" t="s">
        <v>5000</v>
      </c>
      <c r="AD469" s="10" t="s">
        <v>5001</v>
      </c>
      <c r="AE469" s="10" t="s">
        <v>5002</v>
      </c>
      <c r="AF469" s="10" t="s">
        <v>201</v>
      </c>
      <c r="AG469" s="10" t="s">
        <v>5003</v>
      </c>
      <c r="AH469" s="10" t="s">
        <v>60</v>
      </c>
      <c r="AI469" s="10" t="s">
        <v>61</v>
      </c>
      <c r="AJ469" s="10" t="s">
        <v>4744</v>
      </c>
      <c r="AK469" s="10" t="s">
        <v>5004</v>
      </c>
      <c r="AL469" s="10" t="s">
        <v>64</v>
      </c>
      <c r="AM469" s="10" t="s">
        <v>5005</v>
      </c>
      <c r="AN469" s="10" t="s">
        <v>50</v>
      </c>
      <c r="AO469" s="11" t="s">
        <v>50</v>
      </c>
      <c r="AP469" s="10" t="s">
        <v>50</v>
      </c>
      <c r="AQ469" s="10" t="s">
        <v>50</v>
      </c>
      <c r="AR469" s="10" t="s">
        <v>50</v>
      </c>
      <c r="AS469" s="10" t="s">
        <v>50</v>
      </c>
      <c r="AT469" s="10" t="s">
        <v>50</v>
      </c>
      <c r="AU469" s="10" t="s">
        <v>50</v>
      </c>
      <c r="AV469" s="11"/>
      <c r="AW469" s="10" t="s">
        <v>66</v>
      </c>
      <c r="AX469" s="10"/>
      <c r="AY469" s="10" t="s">
        <v>66</v>
      </c>
    </row>
    <row r="470" ht="22.5" hidden="1" customHeight="1">
      <c r="A470" s="9" t="s">
        <v>5006</v>
      </c>
      <c r="B470" s="10" t="s">
        <v>5007</v>
      </c>
      <c r="C470" s="10" t="s">
        <v>43</v>
      </c>
      <c r="D470" s="10" t="s">
        <v>2481</v>
      </c>
      <c r="E470" s="10" t="s">
        <v>45</v>
      </c>
      <c r="F470" s="11">
        <v>1.0</v>
      </c>
      <c r="G470" s="11">
        <v>120.0</v>
      </c>
      <c r="H470" s="11"/>
      <c r="I470" s="11">
        <v>-20.4</v>
      </c>
      <c r="J470" s="11">
        <v>-19.95</v>
      </c>
      <c r="K470" s="11"/>
      <c r="L470" s="11">
        <v>86.85</v>
      </c>
      <c r="M470" s="10" t="s">
        <v>46</v>
      </c>
      <c r="N470" s="10" t="s">
        <v>50</v>
      </c>
      <c r="O470" s="10" t="s">
        <v>85</v>
      </c>
      <c r="P470" s="10" t="s">
        <v>86</v>
      </c>
      <c r="Q470" s="10" t="s">
        <v>87</v>
      </c>
      <c r="R470" s="10" t="s">
        <v>74</v>
      </c>
      <c r="S470" s="11">
        <v>120.0</v>
      </c>
      <c r="T470" s="11">
        <v>65.78</v>
      </c>
      <c r="U470" s="11" t="s">
        <v>51</v>
      </c>
      <c r="V470" s="10" t="s">
        <v>52</v>
      </c>
      <c r="W470" s="10" t="s">
        <v>5008</v>
      </c>
      <c r="X470" s="10" t="s">
        <v>5009</v>
      </c>
      <c r="Y470" s="10" t="s">
        <v>5010</v>
      </c>
      <c r="Z470" s="10" t="s">
        <v>50</v>
      </c>
      <c r="AA470" s="10" t="s">
        <v>50</v>
      </c>
      <c r="AB470" s="10" t="s">
        <v>5008</v>
      </c>
      <c r="AC470" s="10" t="s">
        <v>5011</v>
      </c>
      <c r="AD470" s="10" t="s">
        <v>5012</v>
      </c>
      <c r="AE470" s="10" t="s">
        <v>151</v>
      </c>
      <c r="AF470" s="10" t="s">
        <v>151</v>
      </c>
      <c r="AG470" s="10" t="s">
        <v>5013</v>
      </c>
      <c r="AH470" s="10" t="s">
        <v>60</v>
      </c>
      <c r="AI470" s="10" t="s">
        <v>61</v>
      </c>
      <c r="AJ470" s="10" t="s">
        <v>5014</v>
      </c>
      <c r="AK470" s="10" t="s">
        <v>5015</v>
      </c>
      <c r="AL470" s="10" t="s">
        <v>64</v>
      </c>
      <c r="AM470" s="10" t="s">
        <v>5016</v>
      </c>
      <c r="AN470" s="10" t="s">
        <v>50</v>
      </c>
      <c r="AO470" s="11" t="s">
        <v>50</v>
      </c>
      <c r="AP470" s="10" t="s">
        <v>50</v>
      </c>
      <c r="AQ470" s="10" t="s">
        <v>50</v>
      </c>
      <c r="AR470" s="10" t="s">
        <v>50</v>
      </c>
      <c r="AS470" s="10" t="s">
        <v>50</v>
      </c>
      <c r="AT470" s="10" t="s">
        <v>50</v>
      </c>
      <c r="AU470" s="10" t="s">
        <v>50</v>
      </c>
      <c r="AV470" s="11"/>
      <c r="AW470" s="10" t="s">
        <v>66</v>
      </c>
      <c r="AX470" s="10"/>
      <c r="AY470" s="10" t="s">
        <v>66</v>
      </c>
    </row>
    <row r="471" ht="22.5" hidden="1" customHeight="1">
      <c r="A471" s="9" t="s">
        <v>5017</v>
      </c>
      <c r="B471" s="10" t="s">
        <v>5018</v>
      </c>
      <c r="C471" s="10" t="s">
        <v>43</v>
      </c>
      <c r="D471" s="10" t="s">
        <v>2481</v>
      </c>
      <c r="E471" s="10" t="s">
        <v>66</v>
      </c>
      <c r="F471" s="11">
        <v>1.0</v>
      </c>
      <c r="G471" s="11">
        <v>43.7</v>
      </c>
      <c r="H471" s="11">
        <v>13.77</v>
      </c>
      <c r="I471" s="11">
        <v>-13.43</v>
      </c>
      <c r="J471" s="11">
        <v>-13.77</v>
      </c>
      <c r="K471" s="11"/>
      <c r="L471" s="11">
        <v>32.89</v>
      </c>
      <c r="M471" s="10" t="s">
        <v>46</v>
      </c>
      <c r="N471" s="10" t="s">
        <v>50</v>
      </c>
      <c r="O471" s="10" t="s">
        <v>176</v>
      </c>
      <c r="P471" s="10" t="s">
        <v>177</v>
      </c>
      <c r="Q471" s="10" t="s">
        <v>178</v>
      </c>
      <c r="R471" s="10" t="s">
        <v>74</v>
      </c>
      <c r="S471" s="11">
        <v>43.7</v>
      </c>
      <c r="T471" s="11">
        <v>22.58</v>
      </c>
      <c r="U471" s="11" t="s">
        <v>51</v>
      </c>
      <c r="V471" s="10" t="s">
        <v>52</v>
      </c>
      <c r="W471" s="10" t="s">
        <v>5019</v>
      </c>
      <c r="X471" s="10" t="s">
        <v>5020</v>
      </c>
      <c r="Y471" s="10" t="s">
        <v>5021</v>
      </c>
      <c r="Z471" s="10" t="s">
        <v>50</v>
      </c>
      <c r="AA471" s="10" t="s">
        <v>50</v>
      </c>
      <c r="AB471" s="10" t="s">
        <v>5019</v>
      </c>
      <c r="AC471" s="10" t="s">
        <v>5022</v>
      </c>
      <c r="AD471" s="10" t="s">
        <v>5023</v>
      </c>
      <c r="AE471" s="10" t="s">
        <v>2860</v>
      </c>
      <c r="AF471" s="10" t="s">
        <v>151</v>
      </c>
      <c r="AG471" s="10" t="s">
        <v>5024</v>
      </c>
      <c r="AH471" s="10" t="s">
        <v>60</v>
      </c>
      <c r="AI471" s="10" t="s">
        <v>61</v>
      </c>
      <c r="AJ471" s="10" t="s">
        <v>5025</v>
      </c>
      <c r="AK471" s="10" t="s">
        <v>5026</v>
      </c>
      <c r="AL471" s="10" t="s">
        <v>64</v>
      </c>
      <c r="AM471" s="10" t="s">
        <v>5027</v>
      </c>
      <c r="AN471" s="10" t="s">
        <v>50</v>
      </c>
      <c r="AO471" s="11" t="s">
        <v>50</v>
      </c>
      <c r="AP471" s="10" t="s">
        <v>50</v>
      </c>
      <c r="AQ471" s="10" t="s">
        <v>50</v>
      </c>
      <c r="AR471" s="10" t="s">
        <v>50</v>
      </c>
      <c r="AS471" s="10" t="s">
        <v>50</v>
      </c>
      <c r="AT471" s="10" t="s">
        <v>50</v>
      </c>
      <c r="AU471" s="10" t="s">
        <v>50</v>
      </c>
      <c r="AV471" s="11"/>
      <c r="AW471" s="10" t="s">
        <v>66</v>
      </c>
      <c r="AX471" s="10"/>
      <c r="AY471" s="10" t="s">
        <v>66</v>
      </c>
    </row>
    <row r="472" ht="22.5" hidden="1" customHeight="1">
      <c r="A472" s="9" t="s">
        <v>5028</v>
      </c>
      <c r="B472" s="10" t="s">
        <v>5029</v>
      </c>
      <c r="C472" s="10" t="s">
        <v>43</v>
      </c>
      <c r="D472" s="10" t="s">
        <v>2326</v>
      </c>
      <c r="E472" s="10" t="s">
        <v>45</v>
      </c>
      <c r="F472" s="11">
        <v>1.0</v>
      </c>
      <c r="G472" s="11">
        <v>84.0</v>
      </c>
      <c r="H472" s="11"/>
      <c r="I472" s="11">
        <v>-14.28</v>
      </c>
      <c r="J472" s="11">
        <v>-20.45</v>
      </c>
      <c r="K472" s="11"/>
      <c r="L472" s="11">
        <v>49.27</v>
      </c>
      <c r="M472" s="10" t="s">
        <v>46</v>
      </c>
      <c r="N472" s="10" t="s">
        <v>45</v>
      </c>
      <c r="O472" s="10" t="s">
        <v>265</v>
      </c>
      <c r="P472" s="10" t="s">
        <v>266</v>
      </c>
      <c r="Q472" s="10" t="s">
        <v>267</v>
      </c>
      <c r="R472" s="10" t="s">
        <v>74</v>
      </c>
      <c r="S472" s="11">
        <v>84.0</v>
      </c>
      <c r="T472" s="11">
        <v>26.22</v>
      </c>
      <c r="U472" s="11" t="s">
        <v>51</v>
      </c>
      <c r="V472" s="10" t="s">
        <v>52</v>
      </c>
      <c r="W472" s="10" t="s">
        <v>5030</v>
      </c>
      <c r="X472" s="10" t="s">
        <v>5031</v>
      </c>
      <c r="Y472" s="10" t="s">
        <v>5032</v>
      </c>
      <c r="Z472" s="10" t="s">
        <v>50</v>
      </c>
      <c r="AA472" s="10" t="s">
        <v>50</v>
      </c>
      <c r="AB472" s="10" t="s">
        <v>5030</v>
      </c>
      <c r="AC472" s="10" t="s">
        <v>5033</v>
      </c>
      <c r="AD472" s="10" t="s">
        <v>5034</v>
      </c>
      <c r="AE472" s="10" t="s">
        <v>4203</v>
      </c>
      <c r="AF472" s="10" t="s">
        <v>58</v>
      </c>
      <c r="AG472" s="10" t="s">
        <v>5035</v>
      </c>
      <c r="AH472" s="10" t="s">
        <v>60</v>
      </c>
      <c r="AI472" s="10" t="s">
        <v>61</v>
      </c>
      <c r="AJ472" s="10" t="s">
        <v>4513</v>
      </c>
      <c r="AK472" s="10" t="s">
        <v>5036</v>
      </c>
      <c r="AL472" s="10" t="s">
        <v>64</v>
      </c>
      <c r="AM472" s="10" t="s">
        <v>5037</v>
      </c>
      <c r="AN472" s="10" t="s">
        <v>5038</v>
      </c>
      <c r="AO472" s="11" t="s">
        <v>50</v>
      </c>
      <c r="AP472" s="10" t="s">
        <v>50</v>
      </c>
      <c r="AQ472" s="10" t="s">
        <v>50</v>
      </c>
      <c r="AR472" s="10" t="s">
        <v>50</v>
      </c>
      <c r="AS472" s="10" t="s">
        <v>50</v>
      </c>
      <c r="AT472" s="10" t="s">
        <v>50</v>
      </c>
      <c r="AU472" s="10" t="s">
        <v>50</v>
      </c>
      <c r="AV472" s="11"/>
      <c r="AW472" s="10" t="s">
        <v>66</v>
      </c>
      <c r="AX472" s="10"/>
      <c r="AY472" s="10" t="s">
        <v>66</v>
      </c>
    </row>
    <row r="473" ht="22.5" hidden="1" customHeight="1">
      <c r="A473" s="9" t="s">
        <v>5039</v>
      </c>
      <c r="B473" s="10" t="s">
        <v>5040</v>
      </c>
      <c r="C473" s="10" t="s">
        <v>43</v>
      </c>
      <c r="D473" s="10" t="s">
        <v>4506</v>
      </c>
      <c r="E473" s="10" t="s">
        <v>45</v>
      </c>
      <c r="F473" s="11">
        <v>4.0</v>
      </c>
      <c r="G473" s="11">
        <v>174.8</v>
      </c>
      <c r="H473" s="11"/>
      <c r="I473" s="11">
        <v>-53.72</v>
      </c>
      <c r="J473" s="11"/>
      <c r="K473" s="11"/>
      <c r="L473" s="11">
        <v>131.56</v>
      </c>
      <c r="M473" s="10" t="s">
        <v>46</v>
      </c>
      <c r="N473" s="10" t="s">
        <v>50</v>
      </c>
      <c r="O473" s="10" t="s">
        <v>176</v>
      </c>
      <c r="P473" s="10" t="s">
        <v>177</v>
      </c>
      <c r="Q473" s="10" t="s">
        <v>178</v>
      </c>
      <c r="R473" s="10" t="s">
        <v>74</v>
      </c>
      <c r="S473" s="11">
        <v>43.7</v>
      </c>
      <c r="T473" s="11">
        <f>4*22.58</f>
        <v>90.32</v>
      </c>
      <c r="U473" s="11" t="s">
        <v>51</v>
      </c>
      <c r="V473" s="10" t="s">
        <v>52</v>
      </c>
      <c r="W473" s="10" t="s">
        <v>5041</v>
      </c>
      <c r="X473" s="10" t="s">
        <v>5042</v>
      </c>
      <c r="Y473" s="10" t="s">
        <v>5043</v>
      </c>
      <c r="Z473" s="10" t="s">
        <v>50</v>
      </c>
      <c r="AA473" s="10" t="s">
        <v>50</v>
      </c>
      <c r="AB473" s="10" t="s">
        <v>5041</v>
      </c>
      <c r="AC473" s="10" t="s">
        <v>5044</v>
      </c>
      <c r="AD473" s="10" t="s">
        <v>5045</v>
      </c>
      <c r="AE473" s="10" t="s">
        <v>373</v>
      </c>
      <c r="AF473" s="10" t="s">
        <v>58</v>
      </c>
      <c r="AG473" s="10" t="s">
        <v>5046</v>
      </c>
      <c r="AH473" s="10" t="s">
        <v>60</v>
      </c>
      <c r="AI473" s="10" t="s">
        <v>61</v>
      </c>
      <c r="AJ473" s="10" t="s">
        <v>4744</v>
      </c>
      <c r="AK473" s="10" t="s">
        <v>5047</v>
      </c>
      <c r="AL473" s="10" t="s">
        <v>64</v>
      </c>
      <c r="AM473" s="10" t="s">
        <v>5048</v>
      </c>
      <c r="AN473" s="10" t="s">
        <v>50</v>
      </c>
      <c r="AO473" s="11" t="s">
        <v>50</v>
      </c>
      <c r="AP473" s="10" t="s">
        <v>50</v>
      </c>
      <c r="AQ473" s="10" t="s">
        <v>50</v>
      </c>
      <c r="AR473" s="10" t="s">
        <v>50</v>
      </c>
      <c r="AS473" s="10" t="s">
        <v>50</v>
      </c>
      <c r="AT473" s="10" t="s">
        <v>50</v>
      </c>
      <c r="AU473" s="10" t="s">
        <v>50</v>
      </c>
      <c r="AV473" s="11"/>
      <c r="AW473" s="10" t="s">
        <v>66</v>
      </c>
      <c r="AX473" s="10"/>
      <c r="AY473" s="10" t="s">
        <v>66</v>
      </c>
    </row>
    <row r="474" ht="22.5" hidden="1" customHeight="1">
      <c r="A474" s="9" t="s">
        <v>5049</v>
      </c>
      <c r="B474" s="10" t="s">
        <v>5050</v>
      </c>
      <c r="C474" s="10" t="s">
        <v>43</v>
      </c>
      <c r="D474" s="10" t="s">
        <v>4506</v>
      </c>
      <c r="E474" s="10" t="s">
        <v>45</v>
      </c>
      <c r="F474" s="11">
        <v>1.0</v>
      </c>
      <c r="G474" s="11">
        <v>80.0</v>
      </c>
      <c r="H474" s="11"/>
      <c r="I474" s="11">
        <v>-13.6</v>
      </c>
      <c r="J474" s="11">
        <v>-19.95</v>
      </c>
      <c r="K474" s="11"/>
      <c r="L474" s="11">
        <v>50.45</v>
      </c>
      <c r="M474" s="10" t="s">
        <v>46</v>
      </c>
      <c r="N474" s="10" t="s">
        <v>45</v>
      </c>
      <c r="O474" s="10" t="s">
        <v>143</v>
      </c>
      <c r="P474" s="10" t="s">
        <v>144</v>
      </c>
      <c r="Q474" s="10" t="s">
        <v>145</v>
      </c>
      <c r="R474" s="10" t="s">
        <v>74</v>
      </c>
      <c r="S474" s="11">
        <v>80.0</v>
      </c>
      <c r="T474" s="11">
        <v>33.38</v>
      </c>
      <c r="U474" s="11" t="s">
        <v>51</v>
      </c>
      <c r="V474" s="10" t="s">
        <v>52</v>
      </c>
      <c r="W474" s="10" t="s">
        <v>5051</v>
      </c>
      <c r="X474" s="10" t="s">
        <v>5052</v>
      </c>
      <c r="Y474" s="10" t="s">
        <v>5053</v>
      </c>
      <c r="Z474" s="10" t="s">
        <v>50</v>
      </c>
      <c r="AA474" s="10" t="s">
        <v>50</v>
      </c>
      <c r="AB474" s="10" t="s">
        <v>5051</v>
      </c>
      <c r="AC474" s="10" t="s">
        <v>5054</v>
      </c>
      <c r="AD474" s="10" t="s">
        <v>5055</v>
      </c>
      <c r="AE474" s="10" t="s">
        <v>5056</v>
      </c>
      <c r="AF474" s="10" t="s">
        <v>58</v>
      </c>
      <c r="AG474" s="10" t="s">
        <v>5057</v>
      </c>
      <c r="AH474" s="10" t="s">
        <v>60</v>
      </c>
      <c r="AI474" s="10" t="s">
        <v>61</v>
      </c>
      <c r="AJ474" s="10" t="s">
        <v>4600</v>
      </c>
      <c r="AK474" s="10" t="s">
        <v>5058</v>
      </c>
      <c r="AL474" s="10" t="s">
        <v>64</v>
      </c>
      <c r="AM474" s="10" t="s">
        <v>5059</v>
      </c>
      <c r="AN474" s="10" t="s">
        <v>50</v>
      </c>
      <c r="AO474" s="11" t="s">
        <v>50</v>
      </c>
      <c r="AP474" s="10" t="s">
        <v>50</v>
      </c>
      <c r="AQ474" s="10" t="s">
        <v>50</v>
      </c>
      <c r="AR474" s="10" t="s">
        <v>50</v>
      </c>
      <c r="AS474" s="10" t="s">
        <v>50</v>
      </c>
      <c r="AT474" s="10" t="s">
        <v>50</v>
      </c>
      <c r="AU474" s="10" t="s">
        <v>50</v>
      </c>
      <c r="AV474" s="11"/>
      <c r="AW474" s="10" t="s">
        <v>66</v>
      </c>
      <c r="AX474" s="10"/>
      <c r="AY474" s="10" t="s">
        <v>66</v>
      </c>
    </row>
    <row r="475" ht="22.5" hidden="1" customHeight="1">
      <c r="A475" s="9" t="s">
        <v>5060</v>
      </c>
      <c r="B475" s="10" t="s">
        <v>5061</v>
      </c>
      <c r="C475" s="10" t="s">
        <v>43</v>
      </c>
      <c r="D475" s="10" t="s">
        <v>4506</v>
      </c>
      <c r="E475" s="10" t="s">
        <v>66</v>
      </c>
      <c r="F475" s="11">
        <v>1.0</v>
      </c>
      <c r="G475" s="11">
        <v>43.7</v>
      </c>
      <c r="H475" s="11">
        <v>11.11</v>
      </c>
      <c r="I475" s="11">
        <v>-13.43</v>
      </c>
      <c r="J475" s="11">
        <v>-11.11</v>
      </c>
      <c r="K475" s="11"/>
      <c r="L475" s="11">
        <v>32.89</v>
      </c>
      <c r="M475" s="10" t="s">
        <v>46</v>
      </c>
      <c r="N475" s="10" t="s">
        <v>45</v>
      </c>
      <c r="O475" s="10" t="s">
        <v>176</v>
      </c>
      <c r="P475" s="10" t="s">
        <v>177</v>
      </c>
      <c r="Q475" s="10" t="s">
        <v>178</v>
      </c>
      <c r="R475" s="10" t="s">
        <v>74</v>
      </c>
      <c r="S475" s="11">
        <v>43.7</v>
      </c>
      <c r="T475" s="11">
        <v>22.58</v>
      </c>
      <c r="U475" s="11" t="s">
        <v>51</v>
      </c>
      <c r="V475" s="10" t="s">
        <v>52</v>
      </c>
      <c r="W475" s="10" t="s">
        <v>5062</v>
      </c>
      <c r="X475" s="10" t="s">
        <v>5063</v>
      </c>
      <c r="Y475" s="10" t="s">
        <v>5064</v>
      </c>
      <c r="Z475" s="10" t="s">
        <v>50</v>
      </c>
      <c r="AA475" s="10" t="s">
        <v>50</v>
      </c>
      <c r="AB475" s="10" t="s">
        <v>5062</v>
      </c>
      <c r="AC475" s="10" t="s">
        <v>5065</v>
      </c>
      <c r="AD475" s="10" t="s">
        <v>5066</v>
      </c>
      <c r="AE475" s="10" t="s">
        <v>5067</v>
      </c>
      <c r="AF475" s="10" t="s">
        <v>58</v>
      </c>
      <c r="AG475" s="10" t="s">
        <v>5068</v>
      </c>
      <c r="AH475" s="10" t="s">
        <v>60</v>
      </c>
      <c r="AI475" s="10" t="s">
        <v>61</v>
      </c>
      <c r="AJ475" s="10" t="s">
        <v>4600</v>
      </c>
      <c r="AK475" s="10" t="s">
        <v>5069</v>
      </c>
      <c r="AL475" s="10" t="s">
        <v>64</v>
      </c>
      <c r="AM475" s="10" t="s">
        <v>5070</v>
      </c>
      <c r="AN475" s="10" t="s">
        <v>50</v>
      </c>
      <c r="AO475" s="11" t="s">
        <v>50</v>
      </c>
      <c r="AP475" s="10" t="s">
        <v>50</v>
      </c>
      <c r="AQ475" s="10" t="s">
        <v>50</v>
      </c>
      <c r="AR475" s="10" t="s">
        <v>50</v>
      </c>
      <c r="AS475" s="10" t="s">
        <v>50</v>
      </c>
      <c r="AT475" s="10" t="s">
        <v>50</v>
      </c>
      <c r="AU475" s="10" t="s">
        <v>50</v>
      </c>
      <c r="AV475" s="11"/>
      <c r="AW475" s="10" t="s">
        <v>66</v>
      </c>
      <c r="AX475" s="10"/>
      <c r="AY475" s="10" t="s">
        <v>66</v>
      </c>
    </row>
    <row r="476" ht="22.5" hidden="1" customHeight="1">
      <c r="A476" s="9" t="s">
        <v>5071</v>
      </c>
      <c r="B476" s="10" t="s">
        <v>5072</v>
      </c>
      <c r="C476" s="10" t="s">
        <v>43</v>
      </c>
      <c r="D476" s="10" t="s">
        <v>2326</v>
      </c>
      <c r="E476" s="10" t="s">
        <v>45</v>
      </c>
      <c r="F476" s="11">
        <v>2.0</v>
      </c>
      <c r="G476" s="11">
        <v>87.4</v>
      </c>
      <c r="H476" s="11">
        <v>12.71</v>
      </c>
      <c r="I476" s="11">
        <v>-26.86</v>
      </c>
      <c r="J476" s="11">
        <v>-12.71</v>
      </c>
      <c r="K476" s="11"/>
      <c r="L476" s="11">
        <v>65.78</v>
      </c>
      <c r="M476" s="10" t="s">
        <v>46</v>
      </c>
      <c r="N476" s="10" t="s">
        <v>45</v>
      </c>
      <c r="O476" s="10" t="s">
        <v>176</v>
      </c>
      <c r="P476" s="10" t="s">
        <v>177</v>
      </c>
      <c r="Q476" s="10" t="s">
        <v>178</v>
      </c>
      <c r="R476" s="10" t="s">
        <v>74</v>
      </c>
      <c r="S476" s="11">
        <v>43.7</v>
      </c>
      <c r="T476" s="11">
        <f>2*22.58</f>
        <v>45.16</v>
      </c>
      <c r="U476" s="11" t="s">
        <v>51</v>
      </c>
      <c r="V476" s="10" t="s">
        <v>52</v>
      </c>
      <c r="W476" s="10" t="s">
        <v>5073</v>
      </c>
      <c r="X476" s="10" t="s">
        <v>5074</v>
      </c>
      <c r="Y476" s="10" t="s">
        <v>5075</v>
      </c>
      <c r="Z476" s="10" t="s">
        <v>50</v>
      </c>
      <c r="AA476" s="10" t="s">
        <v>50</v>
      </c>
      <c r="AB476" s="10" t="s">
        <v>5073</v>
      </c>
      <c r="AC476" s="10" t="s">
        <v>5076</v>
      </c>
      <c r="AD476" s="10" t="s">
        <v>5077</v>
      </c>
      <c r="AE476" s="10" t="s">
        <v>504</v>
      </c>
      <c r="AF476" s="10" t="s">
        <v>323</v>
      </c>
      <c r="AG476" s="10" t="s">
        <v>5078</v>
      </c>
      <c r="AH476" s="10" t="s">
        <v>60</v>
      </c>
      <c r="AI476" s="10" t="s">
        <v>61</v>
      </c>
      <c r="AJ476" s="10" t="s">
        <v>5079</v>
      </c>
      <c r="AK476" s="10" t="s">
        <v>5080</v>
      </c>
      <c r="AL476" s="10" t="s">
        <v>64</v>
      </c>
      <c r="AM476" s="10" t="s">
        <v>5081</v>
      </c>
      <c r="AN476" s="10" t="s">
        <v>50</v>
      </c>
      <c r="AO476" s="11" t="s">
        <v>50</v>
      </c>
      <c r="AP476" s="10" t="s">
        <v>50</v>
      </c>
      <c r="AQ476" s="10" t="s">
        <v>50</v>
      </c>
      <c r="AR476" s="10" t="s">
        <v>50</v>
      </c>
      <c r="AS476" s="10" t="s">
        <v>50</v>
      </c>
      <c r="AT476" s="10" t="s">
        <v>50</v>
      </c>
      <c r="AU476" s="10" t="s">
        <v>50</v>
      </c>
      <c r="AV476" s="11"/>
      <c r="AW476" s="10" t="s">
        <v>66</v>
      </c>
      <c r="AX476" s="10"/>
      <c r="AY476" s="10" t="s">
        <v>66</v>
      </c>
    </row>
    <row r="477" ht="22.5" hidden="1" customHeight="1">
      <c r="A477" s="9" t="s">
        <v>5082</v>
      </c>
      <c r="B477" s="10" t="s">
        <v>5083</v>
      </c>
      <c r="C477" s="10" t="s">
        <v>43</v>
      </c>
      <c r="D477" s="10" t="s">
        <v>290</v>
      </c>
      <c r="E477" s="10" t="s">
        <v>45</v>
      </c>
      <c r="F477" s="11">
        <v>1.0</v>
      </c>
      <c r="G477" s="11">
        <v>80.0</v>
      </c>
      <c r="H477" s="11"/>
      <c r="I477" s="11">
        <v>-13.6</v>
      </c>
      <c r="J477" s="11">
        <v>-19.95</v>
      </c>
      <c r="K477" s="11"/>
      <c r="L477" s="11">
        <v>50.45</v>
      </c>
      <c r="M477" s="10" t="s">
        <v>46</v>
      </c>
      <c r="N477" s="10" t="s">
        <v>50</v>
      </c>
      <c r="O477" s="10" t="s">
        <v>143</v>
      </c>
      <c r="P477" s="10" t="s">
        <v>144</v>
      </c>
      <c r="Q477" s="10" t="s">
        <v>145</v>
      </c>
      <c r="R477" s="10" t="s">
        <v>74</v>
      </c>
      <c r="S477" s="11">
        <v>80.0</v>
      </c>
      <c r="T477" s="11">
        <v>33.38</v>
      </c>
      <c r="U477" s="11" t="s">
        <v>51</v>
      </c>
      <c r="V477" s="10" t="s">
        <v>52</v>
      </c>
      <c r="W477" s="10" t="s">
        <v>5084</v>
      </c>
      <c r="X477" s="10" t="s">
        <v>5085</v>
      </c>
      <c r="Y477" s="10" t="s">
        <v>5086</v>
      </c>
      <c r="Z477" s="10" t="s">
        <v>50</v>
      </c>
      <c r="AA477" s="10" t="s">
        <v>50</v>
      </c>
      <c r="AB477" s="10" t="s">
        <v>5084</v>
      </c>
      <c r="AC477" s="10" t="s">
        <v>5087</v>
      </c>
      <c r="AD477" s="10" t="s">
        <v>5088</v>
      </c>
      <c r="AE477" s="10" t="s">
        <v>5089</v>
      </c>
      <c r="AF477" s="10" t="s">
        <v>284</v>
      </c>
      <c r="AG477" s="10" t="s">
        <v>5090</v>
      </c>
      <c r="AH477" s="10" t="s">
        <v>60</v>
      </c>
      <c r="AI477" s="10" t="s">
        <v>61</v>
      </c>
      <c r="AJ477" s="10" t="s">
        <v>4623</v>
      </c>
      <c r="AK477" s="10" t="s">
        <v>3729</v>
      </c>
      <c r="AL477" s="10" t="s">
        <v>64</v>
      </c>
      <c r="AM477" s="10" t="s">
        <v>5091</v>
      </c>
      <c r="AN477" s="10" t="s">
        <v>50</v>
      </c>
      <c r="AO477" s="11" t="s">
        <v>50</v>
      </c>
      <c r="AP477" s="10" t="s">
        <v>50</v>
      </c>
      <c r="AQ477" s="10" t="s">
        <v>50</v>
      </c>
      <c r="AR477" s="10" t="s">
        <v>50</v>
      </c>
      <c r="AS477" s="10" t="s">
        <v>50</v>
      </c>
      <c r="AT477" s="10" t="s">
        <v>50</v>
      </c>
      <c r="AU477" s="10" t="s">
        <v>50</v>
      </c>
      <c r="AV477" s="11"/>
      <c r="AW477" s="10" t="s">
        <v>66</v>
      </c>
      <c r="AX477" s="10"/>
      <c r="AY477" s="10" t="s">
        <v>66</v>
      </c>
    </row>
    <row r="478" ht="22.5" hidden="1" customHeight="1">
      <c r="A478" s="9" t="s">
        <v>5092</v>
      </c>
      <c r="B478" s="10" t="s">
        <v>5093</v>
      </c>
      <c r="C478" s="10" t="s">
        <v>43</v>
      </c>
      <c r="D478" s="10" t="s">
        <v>2481</v>
      </c>
      <c r="E478" s="10" t="s">
        <v>66</v>
      </c>
      <c r="F478" s="11">
        <v>1.0</v>
      </c>
      <c r="G478" s="11">
        <v>90.0</v>
      </c>
      <c r="H478" s="11"/>
      <c r="I478" s="11">
        <v>-15.3</v>
      </c>
      <c r="J478" s="11">
        <v>-20.45</v>
      </c>
      <c r="K478" s="11"/>
      <c r="L478" s="11">
        <v>59.65</v>
      </c>
      <c r="M478" s="10" t="s">
        <v>46</v>
      </c>
      <c r="N478" s="10" t="s">
        <v>50</v>
      </c>
      <c r="O478" s="10" t="s">
        <v>5094</v>
      </c>
      <c r="P478" s="10" t="s">
        <v>5095</v>
      </c>
      <c r="Q478" s="10" t="s">
        <v>5096</v>
      </c>
      <c r="R478" s="10" t="s">
        <v>74</v>
      </c>
      <c r="S478" s="11">
        <v>90.0</v>
      </c>
      <c r="T478" s="11">
        <v>39.99</v>
      </c>
      <c r="U478" s="11" t="s">
        <v>51</v>
      </c>
      <c r="V478" s="10" t="s">
        <v>52</v>
      </c>
      <c r="W478" s="10" t="s">
        <v>4933</v>
      </c>
      <c r="X478" s="10" t="s">
        <v>4934</v>
      </c>
      <c r="Y478" s="10" t="s">
        <v>4935</v>
      </c>
      <c r="Z478" s="10" t="s">
        <v>50</v>
      </c>
      <c r="AA478" s="10" t="s">
        <v>50</v>
      </c>
      <c r="AB478" s="10" t="s">
        <v>4933</v>
      </c>
      <c r="AC478" s="10" t="s">
        <v>4936</v>
      </c>
      <c r="AD478" s="10" t="s">
        <v>4937</v>
      </c>
      <c r="AE478" s="10" t="s">
        <v>454</v>
      </c>
      <c r="AF478" s="10" t="s">
        <v>323</v>
      </c>
      <c r="AG478" s="10" t="s">
        <v>4938</v>
      </c>
      <c r="AH478" s="10" t="s">
        <v>60</v>
      </c>
      <c r="AI478" s="10" t="s">
        <v>61</v>
      </c>
      <c r="AJ478" s="10" t="s">
        <v>4796</v>
      </c>
      <c r="AK478" s="10" t="s">
        <v>4939</v>
      </c>
      <c r="AL478" s="10" t="s">
        <v>64</v>
      </c>
      <c r="AM478" s="10" t="s">
        <v>5097</v>
      </c>
      <c r="AN478" s="10" t="s">
        <v>50</v>
      </c>
      <c r="AO478" s="11" t="s">
        <v>50</v>
      </c>
      <c r="AP478" s="10" t="s">
        <v>50</v>
      </c>
      <c r="AQ478" s="10" t="s">
        <v>50</v>
      </c>
      <c r="AR478" s="10" t="s">
        <v>50</v>
      </c>
      <c r="AS478" s="10" t="s">
        <v>50</v>
      </c>
      <c r="AT478" s="10" t="s">
        <v>50</v>
      </c>
      <c r="AU478" s="10" t="s">
        <v>50</v>
      </c>
      <c r="AV478" s="11"/>
      <c r="AW478" s="10" t="s">
        <v>66</v>
      </c>
      <c r="AX478" s="10"/>
      <c r="AY478" s="10" t="s">
        <v>66</v>
      </c>
    </row>
    <row r="479" ht="22.5" hidden="1" customHeight="1">
      <c r="A479" s="9" t="s">
        <v>5098</v>
      </c>
      <c r="B479" s="10" t="s">
        <v>5099</v>
      </c>
      <c r="C479" s="10" t="s">
        <v>43</v>
      </c>
      <c r="D479" s="10" t="s">
        <v>4592</v>
      </c>
      <c r="E479" s="10" t="s">
        <v>45</v>
      </c>
      <c r="F479" s="11">
        <v>1.0</v>
      </c>
      <c r="G479" s="11">
        <v>79.0</v>
      </c>
      <c r="H479" s="11"/>
      <c r="I479" s="11">
        <v>-13.43</v>
      </c>
      <c r="J479" s="11">
        <v>-19.95</v>
      </c>
      <c r="K479" s="11"/>
      <c r="L479" s="11">
        <v>45.62</v>
      </c>
      <c r="M479" s="10" t="s">
        <v>46</v>
      </c>
      <c r="N479" s="10" t="s">
        <v>50</v>
      </c>
      <c r="O479" s="10" t="s">
        <v>5100</v>
      </c>
      <c r="P479" s="10" t="s">
        <v>5101</v>
      </c>
      <c r="Q479" s="10" t="s">
        <v>5102</v>
      </c>
      <c r="R479" s="10" t="s">
        <v>74</v>
      </c>
      <c r="S479" s="11">
        <v>79.0</v>
      </c>
      <c r="T479" s="11">
        <v>12.9</v>
      </c>
      <c r="U479" s="11" t="s">
        <v>51</v>
      </c>
      <c r="V479" s="10" t="s">
        <v>52</v>
      </c>
      <c r="W479" s="10" t="s">
        <v>5103</v>
      </c>
      <c r="X479" s="10" t="s">
        <v>5104</v>
      </c>
      <c r="Y479" s="10" t="s">
        <v>5105</v>
      </c>
      <c r="Z479" s="10" t="s">
        <v>50</v>
      </c>
      <c r="AA479" s="10" t="s">
        <v>50</v>
      </c>
      <c r="AB479" s="10" t="s">
        <v>5103</v>
      </c>
      <c r="AC479" s="10" t="s">
        <v>5106</v>
      </c>
      <c r="AD479" s="10" t="s">
        <v>5107</v>
      </c>
      <c r="AE479" s="10" t="s">
        <v>774</v>
      </c>
      <c r="AF479" s="10" t="s">
        <v>775</v>
      </c>
      <c r="AG479" s="10" t="s">
        <v>5108</v>
      </c>
      <c r="AH479" s="10" t="s">
        <v>60</v>
      </c>
      <c r="AI479" s="10" t="s">
        <v>61</v>
      </c>
      <c r="AJ479" s="10" t="s">
        <v>4549</v>
      </c>
      <c r="AK479" s="10" t="s">
        <v>5109</v>
      </c>
      <c r="AL479" s="10" t="s">
        <v>64</v>
      </c>
      <c r="AM479" s="10" t="s">
        <v>5110</v>
      </c>
      <c r="AN479" s="10" t="s">
        <v>50</v>
      </c>
      <c r="AO479" s="11" t="s">
        <v>50</v>
      </c>
      <c r="AP479" s="10" t="s">
        <v>50</v>
      </c>
      <c r="AQ479" s="10" t="s">
        <v>50</v>
      </c>
      <c r="AR479" s="10" t="s">
        <v>50</v>
      </c>
      <c r="AS479" s="10" t="s">
        <v>50</v>
      </c>
      <c r="AT479" s="10" t="s">
        <v>50</v>
      </c>
      <c r="AU479" s="10" t="s">
        <v>50</v>
      </c>
      <c r="AV479" s="11"/>
      <c r="AW479" s="10" t="s">
        <v>66</v>
      </c>
      <c r="AX479" s="10"/>
      <c r="AY479" s="10" t="s">
        <v>66</v>
      </c>
    </row>
    <row r="480" ht="22.5" hidden="1" customHeight="1">
      <c r="A480" s="9" t="s">
        <v>5111</v>
      </c>
      <c r="B480" s="10" t="s">
        <v>5112</v>
      </c>
      <c r="C480" s="10" t="s">
        <v>43</v>
      </c>
      <c r="D480" s="10" t="s">
        <v>2402</v>
      </c>
      <c r="E480" s="10" t="s">
        <v>66</v>
      </c>
      <c r="F480" s="11">
        <v>1.0</v>
      </c>
      <c r="G480" s="11">
        <v>120.0</v>
      </c>
      <c r="H480" s="11"/>
      <c r="I480" s="11">
        <v>-20.4</v>
      </c>
      <c r="J480" s="11">
        <v>-19.95</v>
      </c>
      <c r="K480" s="11"/>
      <c r="L480" s="11">
        <v>86.85</v>
      </c>
      <c r="M480" s="10" t="s">
        <v>46</v>
      </c>
      <c r="N480" s="10" t="s">
        <v>45</v>
      </c>
      <c r="O480" s="10" t="s">
        <v>85</v>
      </c>
      <c r="P480" s="10" t="s">
        <v>86</v>
      </c>
      <c r="Q480" s="10" t="s">
        <v>87</v>
      </c>
      <c r="R480" s="10" t="s">
        <v>74</v>
      </c>
      <c r="S480" s="11">
        <v>120.0</v>
      </c>
      <c r="T480" s="11">
        <v>65.78</v>
      </c>
      <c r="U480" s="11" t="s">
        <v>51</v>
      </c>
      <c r="V480" s="10" t="s">
        <v>52</v>
      </c>
      <c r="W480" s="10" t="s">
        <v>5113</v>
      </c>
      <c r="X480" s="10" t="s">
        <v>5114</v>
      </c>
      <c r="Y480" s="10" t="s">
        <v>5115</v>
      </c>
      <c r="Z480" s="10" t="s">
        <v>50</v>
      </c>
      <c r="AA480" s="10" t="s">
        <v>50</v>
      </c>
      <c r="AB480" s="10" t="s">
        <v>5113</v>
      </c>
      <c r="AC480" s="10" t="s">
        <v>5116</v>
      </c>
      <c r="AD480" s="10" t="s">
        <v>5117</v>
      </c>
      <c r="AE480" s="10" t="s">
        <v>322</v>
      </c>
      <c r="AF480" s="10" t="s">
        <v>323</v>
      </c>
      <c r="AG480" s="10" t="s">
        <v>5118</v>
      </c>
      <c r="AH480" s="10" t="s">
        <v>60</v>
      </c>
      <c r="AI480" s="10" t="s">
        <v>61</v>
      </c>
      <c r="AJ480" s="10" t="s">
        <v>5119</v>
      </c>
      <c r="AK480" s="10" t="s">
        <v>5120</v>
      </c>
      <c r="AL480" s="10" t="s">
        <v>64</v>
      </c>
      <c r="AM480" s="10" t="s">
        <v>5121</v>
      </c>
      <c r="AN480" s="10" t="s">
        <v>50</v>
      </c>
      <c r="AO480" s="11" t="s">
        <v>50</v>
      </c>
      <c r="AP480" s="10" t="s">
        <v>50</v>
      </c>
      <c r="AQ480" s="10" t="s">
        <v>50</v>
      </c>
      <c r="AR480" s="10" t="s">
        <v>50</v>
      </c>
      <c r="AS480" s="10" t="s">
        <v>50</v>
      </c>
      <c r="AT480" s="10" t="s">
        <v>50</v>
      </c>
      <c r="AU480" s="10" t="s">
        <v>50</v>
      </c>
      <c r="AV480" s="11"/>
      <c r="AW480" s="10" t="s">
        <v>66</v>
      </c>
      <c r="AX480" s="10"/>
      <c r="AY480" s="10" t="s">
        <v>66</v>
      </c>
    </row>
    <row r="481" ht="22.5" hidden="1" customHeight="1">
      <c r="A481" s="9" t="s">
        <v>5122</v>
      </c>
      <c r="B481" s="10" t="s">
        <v>5123</v>
      </c>
      <c r="C481" s="10" t="s">
        <v>43</v>
      </c>
      <c r="D481" s="10" t="s">
        <v>2481</v>
      </c>
      <c r="E481" s="10" t="s">
        <v>66</v>
      </c>
      <c r="F481" s="11">
        <v>1.0</v>
      </c>
      <c r="G481" s="11">
        <v>79.2</v>
      </c>
      <c r="H481" s="11"/>
      <c r="I481" s="11">
        <v>-13.46</v>
      </c>
      <c r="J481" s="11">
        <v>-20.45</v>
      </c>
      <c r="K481" s="11"/>
      <c r="L481" s="11">
        <v>50.04</v>
      </c>
      <c r="M481" s="10" t="s">
        <v>46</v>
      </c>
      <c r="N481" s="10" t="s">
        <v>45</v>
      </c>
      <c r="O481" s="10" t="s">
        <v>892</v>
      </c>
      <c r="P481" s="10" t="s">
        <v>893</v>
      </c>
      <c r="Q481" s="10" t="s">
        <v>894</v>
      </c>
      <c r="R481" s="10" t="s">
        <v>74</v>
      </c>
      <c r="S481" s="11">
        <v>79.2</v>
      </c>
      <c r="T481" s="11">
        <v>2.97</v>
      </c>
      <c r="U481" s="11" t="s">
        <v>51</v>
      </c>
      <c r="V481" s="10" t="s">
        <v>52</v>
      </c>
      <c r="W481" s="10" t="s">
        <v>5124</v>
      </c>
      <c r="X481" s="10" t="s">
        <v>5125</v>
      </c>
      <c r="Y481" s="10" t="s">
        <v>5126</v>
      </c>
      <c r="Z481" s="10" t="s">
        <v>50</v>
      </c>
      <c r="AA481" s="10" t="s">
        <v>50</v>
      </c>
      <c r="AB481" s="10" t="s">
        <v>5124</v>
      </c>
      <c r="AC481" s="10" t="s">
        <v>5127</v>
      </c>
      <c r="AD481" s="10" t="s">
        <v>5128</v>
      </c>
      <c r="AE481" s="10" t="s">
        <v>58</v>
      </c>
      <c r="AF481" s="10" t="s">
        <v>58</v>
      </c>
      <c r="AG481" s="10" t="s">
        <v>5129</v>
      </c>
      <c r="AH481" s="10" t="s">
        <v>60</v>
      </c>
      <c r="AI481" s="10" t="s">
        <v>61</v>
      </c>
      <c r="AJ481" s="10" t="s">
        <v>5130</v>
      </c>
      <c r="AK481" s="10" t="s">
        <v>5131</v>
      </c>
      <c r="AL481" s="10" t="s">
        <v>64</v>
      </c>
      <c r="AM481" s="10" t="s">
        <v>5132</v>
      </c>
      <c r="AN481" s="10" t="s">
        <v>50</v>
      </c>
      <c r="AO481" s="11" t="s">
        <v>50</v>
      </c>
      <c r="AP481" s="10" t="s">
        <v>50</v>
      </c>
      <c r="AQ481" s="10" t="s">
        <v>50</v>
      </c>
      <c r="AR481" s="10" t="s">
        <v>50</v>
      </c>
      <c r="AS481" s="10" t="s">
        <v>50</v>
      </c>
      <c r="AT481" s="10" t="s">
        <v>50</v>
      </c>
      <c r="AU481" s="10" t="s">
        <v>50</v>
      </c>
      <c r="AV481" s="11"/>
      <c r="AW481" s="10" t="s">
        <v>66</v>
      </c>
      <c r="AX481" s="10"/>
      <c r="AY481" s="10" t="s">
        <v>66</v>
      </c>
    </row>
    <row r="482" ht="22.5" hidden="1" customHeight="1">
      <c r="A482" s="9" t="s">
        <v>5133</v>
      </c>
      <c r="B482" s="10" t="s">
        <v>5134</v>
      </c>
      <c r="C482" s="10" t="s">
        <v>43</v>
      </c>
      <c r="D482" s="10" t="s">
        <v>2481</v>
      </c>
      <c r="E482" s="10" t="s">
        <v>66</v>
      </c>
      <c r="F482" s="11">
        <v>1.0</v>
      </c>
      <c r="G482" s="11">
        <v>80.0</v>
      </c>
      <c r="H482" s="11"/>
      <c r="I482" s="11">
        <v>-13.6</v>
      </c>
      <c r="J482" s="11">
        <v>-19.95</v>
      </c>
      <c r="K482" s="11"/>
      <c r="L482" s="11">
        <v>50.45</v>
      </c>
      <c r="M482" s="10" t="s">
        <v>46</v>
      </c>
      <c r="N482" s="10" t="s">
        <v>45</v>
      </c>
      <c r="O482" s="10" t="s">
        <v>143</v>
      </c>
      <c r="P482" s="10" t="s">
        <v>144</v>
      </c>
      <c r="Q482" s="10" t="s">
        <v>145</v>
      </c>
      <c r="R482" s="10" t="s">
        <v>74</v>
      </c>
      <c r="S482" s="11">
        <v>80.0</v>
      </c>
      <c r="T482" s="11">
        <v>33.38</v>
      </c>
      <c r="U482" s="11" t="s">
        <v>51</v>
      </c>
      <c r="V482" s="10" t="s">
        <v>52</v>
      </c>
      <c r="W482" s="10" t="s">
        <v>5135</v>
      </c>
      <c r="X482" s="10" t="s">
        <v>5136</v>
      </c>
      <c r="Y482" s="10" t="s">
        <v>5137</v>
      </c>
      <c r="Z482" s="10" t="s">
        <v>50</v>
      </c>
      <c r="AA482" s="10" t="s">
        <v>50</v>
      </c>
      <c r="AB482" s="10" t="s">
        <v>5135</v>
      </c>
      <c r="AC482" s="10" t="s">
        <v>5138</v>
      </c>
      <c r="AD482" s="10" t="s">
        <v>5139</v>
      </c>
      <c r="AE482" s="10" t="s">
        <v>58</v>
      </c>
      <c r="AF482" s="10" t="s">
        <v>58</v>
      </c>
      <c r="AG482" s="10" t="s">
        <v>5140</v>
      </c>
      <c r="AH482" s="10" t="s">
        <v>60</v>
      </c>
      <c r="AI482" s="10" t="s">
        <v>61</v>
      </c>
      <c r="AJ482" s="10" t="s">
        <v>5130</v>
      </c>
      <c r="AK482" s="10" t="s">
        <v>5141</v>
      </c>
      <c r="AL482" s="10" t="s">
        <v>64</v>
      </c>
      <c r="AM482" s="10" t="s">
        <v>5142</v>
      </c>
      <c r="AN482" s="10" t="s">
        <v>50</v>
      </c>
      <c r="AO482" s="11" t="s">
        <v>50</v>
      </c>
      <c r="AP482" s="10" t="s">
        <v>50</v>
      </c>
      <c r="AQ482" s="10" t="s">
        <v>50</v>
      </c>
      <c r="AR482" s="10" t="s">
        <v>50</v>
      </c>
      <c r="AS482" s="10" t="s">
        <v>50</v>
      </c>
      <c r="AT482" s="10" t="s">
        <v>50</v>
      </c>
      <c r="AU482" s="10" t="s">
        <v>50</v>
      </c>
      <c r="AV482" s="11"/>
      <c r="AW482" s="10" t="s">
        <v>66</v>
      </c>
      <c r="AX482" s="10"/>
      <c r="AY482" s="10" t="s">
        <v>66</v>
      </c>
    </row>
    <row r="483" ht="22.5" hidden="1" customHeight="1">
      <c r="A483" s="9" t="s">
        <v>5143</v>
      </c>
      <c r="B483" s="10" t="s">
        <v>5144</v>
      </c>
      <c r="C483" s="10" t="s">
        <v>43</v>
      </c>
      <c r="D483" s="10" t="s">
        <v>4592</v>
      </c>
      <c r="E483" s="10" t="s">
        <v>66</v>
      </c>
      <c r="F483" s="11">
        <v>1.0</v>
      </c>
      <c r="G483" s="11">
        <v>84.0</v>
      </c>
      <c r="H483" s="11"/>
      <c r="I483" s="11">
        <v>-14.28</v>
      </c>
      <c r="J483" s="11">
        <v>-20.45</v>
      </c>
      <c r="K483" s="11"/>
      <c r="L483" s="11">
        <v>49.27</v>
      </c>
      <c r="M483" s="10" t="s">
        <v>46</v>
      </c>
      <c r="N483" s="10" t="s">
        <v>50</v>
      </c>
      <c r="O483" s="10" t="s">
        <v>265</v>
      </c>
      <c r="P483" s="10" t="s">
        <v>266</v>
      </c>
      <c r="Q483" s="10" t="s">
        <v>267</v>
      </c>
      <c r="R483" s="10" t="s">
        <v>74</v>
      </c>
      <c r="S483" s="11">
        <v>84.0</v>
      </c>
      <c r="T483" s="11">
        <v>26.22</v>
      </c>
      <c r="U483" s="11" t="s">
        <v>51</v>
      </c>
      <c r="V483" s="10" t="s">
        <v>52</v>
      </c>
      <c r="W483" s="10" t="s">
        <v>5145</v>
      </c>
      <c r="X483" s="10" t="s">
        <v>5146</v>
      </c>
      <c r="Y483" s="10" t="s">
        <v>5147</v>
      </c>
      <c r="Z483" s="10" t="s">
        <v>50</v>
      </c>
      <c r="AA483" s="10" t="s">
        <v>50</v>
      </c>
      <c r="AB483" s="10" t="s">
        <v>5145</v>
      </c>
      <c r="AC483" s="10" t="s">
        <v>5148</v>
      </c>
      <c r="AD483" s="10" t="s">
        <v>5149</v>
      </c>
      <c r="AE483" s="10" t="s">
        <v>3223</v>
      </c>
      <c r="AF483" s="10" t="s">
        <v>214</v>
      </c>
      <c r="AG483" s="10" t="s">
        <v>3224</v>
      </c>
      <c r="AH483" s="10" t="s">
        <v>60</v>
      </c>
      <c r="AI483" s="10" t="s">
        <v>61</v>
      </c>
      <c r="AJ483" s="10" t="s">
        <v>5150</v>
      </c>
      <c r="AK483" s="10" t="s">
        <v>5151</v>
      </c>
      <c r="AL483" s="10" t="s">
        <v>64</v>
      </c>
      <c r="AM483" s="10" t="s">
        <v>5152</v>
      </c>
      <c r="AN483" s="10" t="s">
        <v>50</v>
      </c>
      <c r="AO483" s="11" t="s">
        <v>50</v>
      </c>
      <c r="AP483" s="10" t="s">
        <v>50</v>
      </c>
      <c r="AQ483" s="10" t="s">
        <v>50</v>
      </c>
      <c r="AR483" s="10" t="s">
        <v>50</v>
      </c>
      <c r="AS483" s="10" t="s">
        <v>50</v>
      </c>
      <c r="AT483" s="10" t="s">
        <v>50</v>
      </c>
      <c r="AU483" s="10" t="s">
        <v>50</v>
      </c>
      <c r="AV483" s="11"/>
      <c r="AW483" s="10" t="s">
        <v>66</v>
      </c>
      <c r="AX483" s="10"/>
      <c r="AY483" s="10" t="s">
        <v>66</v>
      </c>
    </row>
    <row r="484" ht="22.5" hidden="1" customHeight="1">
      <c r="A484" s="9" t="s">
        <v>5153</v>
      </c>
      <c r="B484" s="10" t="s">
        <v>5154</v>
      </c>
      <c r="C484" s="10" t="s">
        <v>43</v>
      </c>
      <c r="D484" s="10" t="s">
        <v>2402</v>
      </c>
      <c r="E484" s="10" t="s">
        <v>66</v>
      </c>
      <c r="F484" s="11">
        <v>1.0</v>
      </c>
      <c r="G484" s="11">
        <v>79.0</v>
      </c>
      <c r="H484" s="11"/>
      <c r="I484" s="11">
        <v>-13.43</v>
      </c>
      <c r="J484" s="11">
        <v>-20.45</v>
      </c>
      <c r="K484" s="11"/>
      <c r="L484" s="11">
        <v>45.12</v>
      </c>
      <c r="M484" s="10" t="s">
        <v>46</v>
      </c>
      <c r="N484" s="10" t="s">
        <v>45</v>
      </c>
      <c r="O484" s="10" t="s">
        <v>160</v>
      </c>
      <c r="P484" s="10" t="s">
        <v>161</v>
      </c>
      <c r="Q484" s="10" t="s">
        <v>162</v>
      </c>
      <c r="R484" s="10" t="s">
        <v>74</v>
      </c>
      <c r="S484" s="11">
        <v>79.0</v>
      </c>
      <c r="T484" s="11">
        <v>2.49</v>
      </c>
      <c r="U484" s="11" t="s">
        <v>51</v>
      </c>
      <c r="V484" s="10" t="s">
        <v>52</v>
      </c>
      <c r="W484" s="10" t="s">
        <v>5155</v>
      </c>
      <c r="X484" s="10" t="s">
        <v>5156</v>
      </c>
      <c r="Y484" s="10" t="s">
        <v>5157</v>
      </c>
      <c r="Z484" s="10" t="s">
        <v>50</v>
      </c>
      <c r="AA484" s="10" t="s">
        <v>50</v>
      </c>
      <c r="AB484" s="10" t="s">
        <v>5155</v>
      </c>
      <c r="AC484" s="10" t="s">
        <v>5158</v>
      </c>
      <c r="AD484" s="10" t="s">
        <v>5159</v>
      </c>
      <c r="AE484" s="10" t="s">
        <v>5160</v>
      </c>
      <c r="AF484" s="10" t="s">
        <v>151</v>
      </c>
      <c r="AG484" s="10" t="s">
        <v>5161</v>
      </c>
      <c r="AH484" s="10" t="s">
        <v>60</v>
      </c>
      <c r="AI484" s="10" t="s">
        <v>61</v>
      </c>
      <c r="AJ484" s="10" t="s">
        <v>5162</v>
      </c>
      <c r="AK484" s="10" t="s">
        <v>5163</v>
      </c>
      <c r="AL484" s="10" t="s">
        <v>64</v>
      </c>
      <c r="AM484" s="10" t="s">
        <v>5164</v>
      </c>
      <c r="AN484" s="10" t="s">
        <v>50</v>
      </c>
      <c r="AO484" s="11" t="s">
        <v>50</v>
      </c>
      <c r="AP484" s="10" t="s">
        <v>50</v>
      </c>
      <c r="AQ484" s="10" t="s">
        <v>50</v>
      </c>
      <c r="AR484" s="10" t="s">
        <v>50</v>
      </c>
      <c r="AS484" s="10" t="s">
        <v>50</v>
      </c>
      <c r="AT484" s="10" t="s">
        <v>50</v>
      </c>
      <c r="AU484" s="10" t="s">
        <v>50</v>
      </c>
      <c r="AV484" s="11"/>
      <c r="AW484" s="10" t="s">
        <v>66</v>
      </c>
      <c r="AX484" s="10"/>
      <c r="AY484" s="10" t="s">
        <v>66</v>
      </c>
    </row>
    <row r="485" ht="22.5" hidden="1" customHeight="1">
      <c r="A485" s="9" t="s">
        <v>5165</v>
      </c>
      <c r="B485" s="10" t="s">
        <v>5166</v>
      </c>
      <c r="C485" s="10" t="s">
        <v>43</v>
      </c>
      <c r="D485" s="10" t="s">
        <v>2326</v>
      </c>
      <c r="E485" s="10" t="s">
        <v>45</v>
      </c>
      <c r="F485" s="11">
        <v>4.0</v>
      </c>
      <c r="G485" s="11">
        <v>174.8</v>
      </c>
      <c r="H485" s="11">
        <v>33.22</v>
      </c>
      <c r="I485" s="11">
        <v>-53.72</v>
      </c>
      <c r="J485" s="11">
        <v>-33.22</v>
      </c>
      <c r="K485" s="11"/>
      <c r="L485" s="11">
        <v>131.56</v>
      </c>
      <c r="M485" s="10" t="s">
        <v>46</v>
      </c>
      <c r="N485" s="10" t="s">
        <v>45</v>
      </c>
      <c r="O485" s="10" t="s">
        <v>176</v>
      </c>
      <c r="P485" s="10" t="s">
        <v>177</v>
      </c>
      <c r="Q485" s="10" t="s">
        <v>178</v>
      </c>
      <c r="R485" s="10" t="s">
        <v>74</v>
      </c>
      <c r="S485" s="11">
        <v>43.7</v>
      </c>
      <c r="T485" s="11">
        <f>4*22.58</f>
        <v>90.32</v>
      </c>
      <c r="U485" s="11" t="s">
        <v>51</v>
      </c>
      <c r="V485" s="10" t="s">
        <v>52</v>
      </c>
      <c r="W485" s="10" t="s">
        <v>5167</v>
      </c>
      <c r="X485" s="10" t="s">
        <v>5168</v>
      </c>
      <c r="Y485" s="10" t="s">
        <v>5169</v>
      </c>
      <c r="Z485" s="10" t="s">
        <v>50</v>
      </c>
      <c r="AA485" s="10" t="s">
        <v>50</v>
      </c>
      <c r="AB485" s="10" t="s">
        <v>5167</v>
      </c>
      <c r="AC485" s="10" t="s">
        <v>5170</v>
      </c>
      <c r="AD485" s="10" t="s">
        <v>5171</v>
      </c>
      <c r="AE485" s="10" t="s">
        <v>5172</v>
      </c>
      <c r="AF485" s="10" t="s">
        <v>169</v>
      </c>
      <c r="AG485" s="10" t="s">
        <v>5173</v>
      </c>
      <c r="AH485" s="10" t="s">
        <v>60</v>
      </c>
      <c r="AI485" s="10" t="s">
        <v>61</v>
      </c>
      <c r="AJ485" s="10" t="s">
        <v>2397</v>
      </c>
      <c r="AK485" s="10" t="s">
        <v>5174</v>
      </c>
      <c r="AL485" s="10" t="s">
        <v>64</v>
      </c>
      <c r="AM485" s="10" t="s">
        <v>5175</v>
      </c>
      <c r="AN485" s="10" t="s">
        <v>50</v>
      </c>
      <c r="AO485" s="11" t="s">
        <v>50</v>
      </c>
      <c r="AP485" s="10" t="s">
        <v>50</v>
      </c>
      <c r="AQ485" s="10" t="s">
        <v>50</v>
      </c>
      <c r="AR485" s="10" t="s">
        <v>50</v>
      </c>
      <c r="AS485" s="10" t="s">
        <v>50</v>
      </c>
      <c r="AT485" s="10" t="s">
        <v>50</v>
      </c>
      <c r="AU485" s="10" t="s">
        <v>50</v>
      </c>
      <c r="AV485" s="11"/>
      <c r="AW485" s="10" t="s">
        <v>66</v>
      </c>
      <c r="AX485" s="10"/>
      <c r="AY485" s="10" t="s">
        <v>66</v>
      </c>
    </row>
    <row r="486" ht="22.5" hidden="1" customHeight="1">
      <c r="A486" s="9" t="s">
        <v>5176</v>
      </c>
      <c r="B486" s="10" t="s">
        <v>5177</v>
      </c>
      <c r="C486" s="10" t="s">
        <v>43</v>
      </c>
      <c r="D486" s="10" t="s">
        <v>2481</v>
      </c>
      <c r="E486" s="10" t="s">
        <v>66</v>
      </c>
      <c r="F486" s="11">
        <v>1.0</v>
      </c>
      <c r="G486" s="11">
        <v>80.0</v>
      </c>
      <c r="H486" s="11"/>
      <c r="I486" s="11">
        <v>-13.6</v>
      </c>
      <c r="J486" s="11">
        <v>-19.95</v>
      </c>
      <c r="K486" s="11"/>
      <c r="L486" s="11">
        <v>50.45</v>
      </c>
      <c r="M486" s="10" t="s">
        <v>46</v>
      </c>
      <c r="N486" s="10" t="s">
        <v>45</v>
      </c>
      <c r="O486" s="10" t="s">
        <v>143</v>
      </c>
      <c r="P486" s="10" t="s">
        <v>144</v>
      </c>
      <c r="Q486" s="10" t="s">
        <v>145</v>
      </c>
      <c r="R486" s="10" t="s">
        <v>74</v>
      </c>
      <c r="S486" s="11">
        <v>80.0</v>
      </c>
      <c r="T486" s="11">
        <v>33.38</v>
      </c>
      <c r="U486" s="11" t="s">
        <v>51</v>
      </c>
      <c r="V486" s="10" t="s">
        <v>52</v>
      </c>
      <c r="W486" s="10" t="s">
        <v>5178</v>
      </c>
      <c r="X486" s="10" t="s">
        <v>5179</v>
      </c>
      <c r="Y486" s="10" t="s">
        <v>5180</v>
      </c>
      <c r="Z486" s="10" t="s">
        <v>50</v>
      </c>
      <c r="AA486" s="10" t="s">
        <v>50</v>
      </c>
      <c r="AB486" s="10" t="s">
        <v>5178</v>
      </c>
      <c r="AC486" s="10" t="s">
        <v>5181</v>
      </c>
      <c r="AD486" s="10" t="s">
        <v>5182</v>
      </c>
      <c r="AE486" s="10" t="s">
        <v>740</v>
      </c>
      <c r="AF486" s="10" t="s">
        <v>119</v>
      </c>
      <c r="AG486" s="10" t="s">
        <v>5183</v>
      </c>
      <c r="AH486" s="10" t="s">
        <v>60</v>
      </c>
      <c r="AI486" s="10" t="s">
        <v>61</v>
      </c>
      <c r="AJ486" s="10" t="s">
        <v>5150</v>
      </c>
      <c r="AK486" s="10" t="s">
        <v>5184</v>
      </c>
      <c r="AL486" s="10" t="s">
        <v>64</v>
      </c>
      <c r="AM486" s="10" t="s">
        <v>5185</v>
      </c>
      <c r="AN486" s="10" t="s">
        <v>50</v>
      </c>
      <c r="AO486" s="11" t="s">
        <v>50</v>
      </c>
      <c r="AP486" s="10" t="s">
        <v>50</v>
      </c>
      <c r="AQ486" s="10" t="s">
        <v>50</v>
      </c>
      <c r="AR486" s="10" t="s">
        <v>50</v>
      </c>
      <c r="AS486" s="10" t="s">
        <v>50</v>
      </c>
      <c r="AT486" s="10" t="s">
        <v>50</v>
      </c>
      <c r="AU486" s="10" t="s">
        <v>50</v>
      </c>
      <c r="AV486" s="11"/>
      <c r="AW486" s="10" t="s">
        <v>66</v>
      </c>
      <c r="AX486" s="10"/>
      <c r="AY486" s="10" t="s">
        <v>66</v>
      </c>
    </row>
    <row r="487" ht="22.5" hidden="1" customHeight="1">
      <c r="A487" s="9" t="s">
        <v>5186</v>
      </c>
      <c r="B487" s="10" t="s">
        <v>5187</v>
      </c>
      <c r="C487" s="10" t="s">
        <v>43</v>
      </c>
      <c r="D487" s="10" t="s">
        <v>2481</v>
      </c>
      <c r="E487" s="10" t="s">
        <v>66</v>
      </c>
      <c r="F487" s="11">
        <v>1.0</v>
      </c>
      <c r="G487" s="11">
        <v>84.0</v>
      </c>
      <c r="H487" s="11"/>
      <c r="I487" s="11">
        <v>-14.28</v>
      </c>
      <c r="J487" s="11">
        <v>-20.45</v>
      </c>
      <c r="K487" s="11"/>
      <c r="L487" s="11">
        <v>49.27</v>
      </c>
      <c r="M487" s="10" t="s">
        <v>46</v>
      </c>
      <c r="N487" s="10" t="s">
        <v>45</v>
      </c>
      <c r="O487" s="10" t="s">
        <v>265</v>
      </c>
      <c r="P487" s="10" t="s">
        <v>266</v>
      </c>
      <c r="Q487" s="10" t="s">
        <v>267</v>
      </c>
      <c r="R487" s="10" t="s">
        <v>74</v>
      </c>
      <c r="S487" s="11">
        <v>84.0</v>
      </c>
      <c r="T487" s="11">
        <v>26.22</v>
      </c>
      <c r="U487" s="11" t="s">
        <v>51</v>
      </c>
      <c r="V487" s="10" t="s">
        <v>52</v>
      </c>
      <c r="W487" s="10" t="s">
        <v>5188</v>
      </c>
      <c r="X487" s="10" t="s">
        <v>5189</v>
      </c>
      <c r="Y487" s="10" t="s">
        <v>5190</v>
      </c>
      <c r="Z487" s="10" t="s">
        <v>50</v>
      </c>
      <c r="AA487" s="10" t="s">
        <v>50</v>
      </c>
      <c r="AB487" s="10" t="s">
        <v>5188</v>
      </c>
      <c r="AC487" s="10" t="s">
        <v>5191</v>
      </c>
      <c r="AD487" s="10" t="s">
        <v>5192</v>
      </c>
      <c r="AE487" s="10" t="s">
        <v>5193</v>
      </c>
      <c r="AF487" s="10" t="s">
        <v>119</v>
      </c>
      <c r="AG487" s="10" t="s">
        <v>5194</v>
      </c>
      <c r="AH487" s="10" t="s">
        <v>60</v>
      </c>
      <c r="AI487" s="10" t="s">
        <v>61</v>
      </c>
      <c r="AJ487" s="10" t="s">
        <v>5195</v>
      </c>
      <c r="AK487" s="10" t="s">
        <v>5196</v>
      </c>
      <c r="AL487" s="10" t="s">
        <v>64</v>
      </c>
      <c r="AM487" s="10" t="s">
        <v>5197</v>
      </c>
      <c r="AN487" s="10" t="s">
        <v>50</v>
      </c>
      <c r="AO487" s="11" t="s">
        <v>50</v>
      </c>
      <c r="AP487" s="10" t="s">
        <v>50</v>
      </c>
      <c r="AQ487" s="10" t="s">
        <v>50</v>
      </c>
      <c r="AR487" s="10" t="s">
        <v>50</v>
      </c>
      <c r="AS487" s="10" t="s">
        <v>50</v>
      </c>
      <c r="AT487" s="10" t="s">
        <v>50</v>
      </c>
      <c r="AU487" s="10" t="s">
        <v>50</v>
      </c>
      <c r="AV487" s="11"/>
      <c r="AW487" s="10" t="s">
        <v>66</v>
      </c>
      <c r="AX487" s="10"/>
      <c r="AY487" s="10" t="s">
        <v>66</v>
      </c>
    </row>
    <row r="488" ht="22.5" hidden="1" customHeight="1">
      <c r="A488" s="9" t="s">
        <v>5198</v>
      </c>
      <c r="B488" s="10" t="s">
        <v>5199</v>
      </c>
      <c r="C488" s="10" t="s">
        <v>43</v>
      </c>
      <c r="D488" s="10" t="s">
        <v>5200</v>
      </c>
      <c r="E488" s="10" t="s">
        <v>66</v>
      </c>
      <c r="F488" s="11">
        <v>1.0</v>
      </c>
      <c r="G488" s="11">
        <v>80.0</v>
      </c>
      <c r="H488" s="11"/>
      <c r="I488" s="11">
        <v>-13.6</v>
      </c>
      <c r="J488" s="11">
        <v>-19.95</v>
      </c>
      <c r="K488" s="11"/>
      <c r="L488" s="11">
        <v>50.45</v>
      </c>
      <c r="M488" s="10" t="s">
        <v>46</v>
      </c>
      <c r="N488" s="10" t="s">
        <v>45</v>
      </c>
      <c r="O488" s="10" t="s">
        <v>143</v>
      </c>
      <c r="P488" s="10" t="s">
        <v>144</v>
      </c>
      <c r="Q488" s="10" t="s">
        <v>145</v>
      </c>
      <c r="R488" s="10" t="s">
        <v>74</v>
      </c>
      <c r="S488" s="11">
        <v>80.0</v>
      </c>
      <c r="T488" s="11">
        <v>33.38</v>
      </c>
      <c r="U488" s="11" t="s">
        <v>51</v>
      </c>
      <c r="V488" s="10" t="s">
        <v>52</v>
      </c>
      <c r="W488" s="10" t="s">
        <v>5201</v>
      </c>
      <c r="X488" s="10" t="s">
        <v>5202</v>
      </c>
      <c r="Y488" s="10" t="s">
        <v>5203</v>
      </c>
      <c r="Z488" s="10" t="s">
        <v>50</v>
      </c>
      <c r="AA488" s="10" t="s">
        <v>50</v>
      </c>
      <c r="AB488" s="10" t="s">
        <v>5201</v>
      </c>
      <c r="AC488" s="10" t="s">
        <v>5204</v>
      </c>
      <c r="AD488" s="10" t="s">
        <v>5205</v>
      </c>
      <c r="AE488" s="10" t="s">
        <v>5206</v>
      </c>
      <c r="AF488" s="10" t="s">
        <v>119</v>
      </c>
      <c r="AG488" s="10" t="s">
        <v>5207</v>
      </c>
      <c r="AH488" s="10" t="s">
        <v>60</v>
      </c>
      <c r="AI488" s="10" t="s">
        <v>61</v>
      </c>
      <c r="AJ488" s="10" t="s">
        <v>5208</v>
      </c>
      <c r="AK488" s="10" t="s">
        <v>5209</v>
      </c>
      <c r="AL488" s="10" t="s">
        <v>64</v>
      </c>
      <c r="AM488" s="10" t="s">
        <v>5210</v>
      </c>
      <c r="AN488" s="10" t="s">
        <v>50</v>
      </c>
      <c r="AO488" s="11" t="s">
        <v>50</v>
      </c>
      <c r="AP488" s="10" t="s">
        <v>50</v>
      </c>
      <c r="AQ488" s="10" t="s">
        <v>50</v>
      </c>
      <c r="AR488" s="10" t="s">
        <v>50</v>
      </c>
      <c r="AS488" s="10" t="s">
        <v>50</v>
      </c>
      <c r="AT488" s="10" t="s">
        <v>50</v>
      </c>
      <c r="AU488" s="10" t="s">
        <v>50</v>
      </c>
      <c r="AV488" s="11"/>
      <c r="AW488" s="10" t="s">
        <v>66</v>
      </c>
      <c r="AX488" s="10"/>
      <c r="AY488" s="10" t="s">
        <v>66</v>
      </c>
    </row>
    <row r="489" ht="22.5" hidden="1" customHeight="1">
      <c r="A489" s="9" t="s">
        <v>5211</v>
      </c>
      <c r="B489" s="10" t="s">
        <v>5212</v>
      </c>
      <c r="C489" s="10" t="s">
        <v>43</v>
      </c>
      <c r="D489" s="10" t="s">
        <v>2402</v>
      </c>
      <c r="E489" s="10" t="s">
        <v>66</v>
      </c>
      <c r="F489" s="11">
        <v>1.0</v>
      </c>
      <c r="G489" s="11">
        <v>79.3</v>
      </c>
      <c r="H489" s="11"/>
      <c r="I489" s="11">
        <v>-13.48</v>
      </c>
      <c r="J489" s="11">
        <v>-19.95</v>
      </c>
      <c r="K489" s="11"/>
      <c r="L489" s="11">
        <v>45.87</v>
      </c>
      <c r="M489" s="10" t="s">
        <v>46</v>
      </c>
      <c r="N489" s="10" t="s">
        <v>50</v>
      </c>
      <c r="O489" s="10" t="s">
        <v>314</v>
      </c>
      <c r="P489" s="10" t="s">
        <v>315</v>
      </c>
      <c r="Q489" s="10" t="s">
        <v>316</v>
      </c>
      <c r="R489" s="10" t="s">
        <v>74</v>
      </c>
      <c r="S489" s="11">
        <v>79.3</v>
      </c>
      <c r="T489" s="11">
        <v>6.66</v>
      </c>
      <c r="U489" s="11" t="s">
        <v>51</v>
      </c>
      <c r="V489" s="10" t="s">
        <v>52</v>
      </c>
      <c r="W489" s="10" t="s">
        <v>5213</v>
      </c>
      <c r="X489" s="10" t="s">
        <v>5214</v>
      </c>
      <c r="Y489" s="10" t="s">
        <v>5215</v>
      </c>
      <c r="Z489" s="10" t="s">
        <v>50</v>
      </c>
      <c r="AA489" s="10" t="s">
        <v>50</v>
      </c>
      <c r="AB489" s="10" t="s">
        <v>5213</v>
      </c>
      <c r="AC489" s="10" t="s">
        <v>5216</v>
      </c>
      <c r="AD489" s="10" t="s">
        <v>5217</v>
      </c>
      <c r="AE489" s="10" t="s">
        <v>5218</v>
      </c>
      <c r="AF489" s="10" t="s">
        <v>323</v>
      </c>
      <c r="AG489" s="10" t="s">
        <v>5219</v>
      </c>
      <c r="AH489" s="10" t="s">
        <v>60</v>
      </c>
      <c r="AI489" s="10" t="s">
        <v>61</v>
      </c>
      <c r="AJ489" s="10" t="s">
        <v>5220</v>
      </c>
      <c r="AK489" s="10" t="s">
        <v>5221</v>
      </c>
      <c r="AL489" s="10" t="s">
        <v>64</v>
      </c>
      <c r="AM489" s="10" t="s">
        <v>5222</v>
      </c>
      <c r="AN489" s="10" t="s">
        <v>50</v>
      </c>
      <c r="AO489" s="11" t="s">
        <v>50</v>
      </c>
      <c r="AP489" s="10" t="s">
        <v>50</v>
      </c>
      <c r="AQ489" s="10" t="s">
        <v>50</v>
      </c>
      <c r="AR489" s="10" t="s">
        <v>50</v>
      </c>
      <c r="AS489" s="10" t="s">
        <v>50</v>
      </c>
      <c r="AT489" s="10" t="s">
        <v>50</v>
      </c>
      <c r="AU489" s="10" t="s">
        <v>50</v>
      </c>
      <c r="AV489" s="11"/>
      <c r="AW489" s="10" t="s">
        <v>66</v>
      </c>
      <c r="AX489" s="10"/>
      <c r="AY489" s="10" t="s">
        <v>66</v>
      </c>
    </row>
    <row r="490" ht="22.5" hidden="1" customHeight="1">
      <c r="A490" s="9" t="s">
        <v>5223</v>
      </c>
      <c r="B490" s="10" t="s">
        <v>5224</v>
      </c>
      <c r="C490" s="10" t="s">
        <v>43</v>
      </c>
      <c r="D490" s="10" t="s">
        <v>290</v>
      </c>
      <c r="E490" s="10" t="s">
        <v>45</v>
      </c>
      <c r="F490" s="11">
        <v>1.0</v>
      </c>
      <c r="G490" s="11">
        <v>79.0</v>
      </c>
      <c r="H490" s="11"/>
      <c r="I490" s="11">
        <v>-13.43</v>
      </c>
      <c r="J490" s="11">
        <v>-20.45</v>
      </c>
      <c r="K490" s="11"/>
      <c r="L490" s="11">
        <v>45.12</v>
      </c>
      <c r="M490" s="10" t="s">
        <v>46</v>
      </c>
      <c r="N490" s="10" t="s">
        <v>50</v>
      </c>
      <c r="O490" s="10" t="s">
        <v>160</v>
      </c>
      <c r="P490" s="10" t="s">
        <v>161</v>
      </c>
      <c r="Q490" s="10" t="s">
        <v>162</v>
      </c>
      <c r="R490" s="10" t="s">
        <v>74</v>
      </c>
      <c r="S490" s="11">
        <v>79.0</v>
      </c>
      <c r="T490" s="11">
        <v>2.49</v>
      </c>
      <c r="U490" s="11" t="s">
        <v>51</v>
      </c>
      <c r="V490" s="10" t="s">
        <v>52</v>
      </c>
      <c r="W490" s="10" t="s">
        <v>5225</v>
      </c>
      <c r="X490" s="10" t="s">
        <v>5226</v>
      </c>
      <c r="Y490" s="10" t="s">
        <v>5227</v>
      </c>
      <c r="Z490" s="10" t="s">
        <v>50</v>
      </c>
      <c r="AA490" s="10" t="s">
        <v>50</v>
      </c>
      <c r="AB490" s="10" t="s">
        <v>5225</v>
      </c>
      <c r="AC490" s="10" t="s">
        <v>5228</v>
      </c>
      <c r="AD490" s="10" t="s">
        <v>5229</v>
      </c>
      <c r="AE490" s="10" t="s">
        <v>833</v>
      </c>
      <c r="AF490" s="10" t="s">
        <v>58</v>
      </c>
      <c r="AG490" s="10" t="s">
        <v>5230</v>
      </c>
      <c r="AH490" s="10" t="s">
        <v>60</v>
      </c>
      <c r="AI490" s="10" t="s">
        <v>61</v>
      </c>
      <c r="AJ490" s="10" t="s">
        <v>5130</v>
      </c>
      <c r="AK490" s="10" t="s">
        <v>5231</v>
      </c>
      <c r="AL490" s="10" t="s">
        <v>64</v>
      </c>
      <c r="AM490" s="10" t="s">
        <v>5232</v>
      </c>
      <c r="AN490" s="10" t="s">
        <v>5233</v>
      </c>
      <c r="AO490" s="11" t="s">
        <v>50</v>
      </c>
      <c r="AP490" s="10" t="s">
        <v>50</v>
      </c>
      <c r="AQ490" s="10" t="s">
        <v>50</v>
      </c>
      <c r="AR490" s="10" t="s">
        <v>50</v>
      </c>
      <c r="AS490" s="10" t="s">
        <v>50</v>
      </c>
      <c r="AT490" s="10" t="s">
        <v>50</v>
      </c>
      <c r="AU490" s="10" t="s">
        <v>50</v>
      </c>
      <c r="AV490" s="11"/>
      <c r="AW490" s="10" t="s">
        <v>66</v>
      </c>
      <c r="AX490" s="10"/>
      <c r="AY490" s="10" t="s">
        <v>66</v>
      </c>
    </row>
    <row r="491" ht="22.5" hidden="1" customHeight="1">
      <c r="A491" s="9" t="s">
        <v>5234</v>
      </c>
      <c r="B491" s="10" t="s">
        <v>5235</v>
      </c>
      <c r="C491" s="10" t="s">
        <v>43</v>
      </c>
      <c r="D491" s="10" t="s">
        <v>2481</v>
      </c>
      <c r="E491" s="10" t="s">
        <v>66</v>
      </c>
      <c r="F491" s="11">
        <v>1.0</v>
      </c>
      <c r="G491" s="11">
        <v>120.0</v>
      </c>
      <c r="H491" s="11"/>
      <c r="I491" s="11">
        <v>-20.4</v>
      </c>
      <c r="J491" s="11">
        <v>-19.95</v>
      </c>
      <c r="K491" s="11"/>
      <c r="L491" s="11">
        <v>86.85</v>
      </c>
      <c r="M491" s="10" t="s">
        <v>46</v>
      </c>
      <c r="N491" s="10" t="s">
        <v>45</v>
      </c>
      <c r="O491" s="10" t="s">
        <v>85</v>
      </c>
      <c r="P491" s="10" t="s">
        <v>86</v>
      </c>
      <c r="Q491" s="10" t="s">
        <v>87</v>
      </c>
      <c r="R491" s="10" t="s">
        <v>74</v>
      </c>
      <c r="S491" s="11">
        <v>120.0</v>
      </c>
      <c r="T491" s="11">
        <v>65.78</v>
      </c>
      <c r="U491" s="11" t="s">
        <v>51</v>
      </c>
      <c r="V491" s="10" t="s">
        <v>52</v>
      </c>
      <c r="W491" s="10" t="s">
        <v>5236</v>
      </c>
      <c r="X491" s="10" t="s">
        <v>5237</v>
      </c>
      <c r="Y491" s="10" t="s">
        <v>5238</v>
      </c>
      <c r="Z491" s="10" t="s">
        <v>50</v>
      </c>
      <c r="AA491" s="10" t="s">
        <v>50</v>
      </c>
      <c r="AB491" s="10" t="s">
        <v>5236</v>
      </c>
      <c r="AC491" s="10" t="s">
        <v>5239</v>
      </c>
      <c r="AD491" s="10" t="s">
        <v>5240</v>
      </c>
      <c r="AE491" s="10" t="s">
        <v>2602</v>
      </c>
      <c r="AF491" s="10" t="s">
        <v>58</v>
      </c>
      <c r="AG491" s="10" t="s">
        <v>5241</v>
      </c>
      <c r="AH491" s="10" t="s">
        <v>60</v>
      </c>
      <c r="AI491" s="10" t="s">
        <v>61</v>
      </c>
      <c r="AJ491" s="10" t="s">
        <v>5242</v>
      </c>
      <c r="AK491" s="10" t="s">
        <v>5243</v>
      </c>
      <c r="AL491" s="10" t="s">
        <v>64</v>
      </c>
      <c r="AM491" s="10" t="s">
        <v>5244</v>
      </c>
      <c r="AN491" s="10" t="s">
        <v>50</v>
      </c>
      <c r="AO491" s="11" t="s">
        <v>50</v>
      </c>
      <c r="AP491" s="10" t="s">
        <v>50</v>
      </c>
      <c r="AQ491" s="10" t="s">
        <v>50</v>
      </c>
      <c r="AR491" s="10" t="s">
        <v>50</v>
      </c>
      <c r="AS491" s="10" t="s">
        <v>50</v>
      </c>
      <c r="AT491" s="10" t="s">
        <v>50</v>
      </c>
      <c r="AU491" s="10" t="s">
        <v>50</v>
      </c>
      <c r="AV491" s="11"/>
      <c r="AW491" s="10" t="s">
        <v>66</v>
      </c>
      <c r="AX491" s="10"/>
      <c r="AY491" s="10" t="s">
        <v>66</v>
      </c>
    </row>
    <row r="492" ht="22.5" hidden="1" customHeight="1">
      <c r="A492" s="9" t="s">
        <v>5245</v>
      </c>
      <c r="B492" s="10" t="s">
        <v>5246</v>
      </c>
      <c r="C492" s="10" t="s">
        <v>43</v>
      </c>
      <c r="D492" s="10" t="s">
        <v>4592</v>
      </c>
      <c r="E492" s="10" t="s">
        <v>66</v>
      </c>
      <c r="F492" s="11">
        <v>1.0</v>
      </c>
      <c r="G492" s="11">
        <v>80.0</v>
      </c>
      <c r="H492" s="11"/>
      <c r="I492" s="11">
        <v>-13.6</v>
      </c>
      <c r="J492" s="11">
        <v>-19.95</v>
      </c>
      <c r="K492" s="11"/>
      <c r="L492" s="11">
        <v>50.45</v>
      </c>
      <c r="M492" s="10" t="s">
        <v>46</v>
      </c>
      <c r="N492" s="10" t="s">
        <v>45</v>
      </c>
      <c r="O492" s="10" t="s">
        <v>143</v>
      </c>
      <c r="P492" s="10" t="s">
        <v>144</v>
      </c>
      <c r="Q492" s="10" t="s">
        <v>145</v>
      </c>
      <c r="R492" s="10" t="s">
        <v>74</v>
      </c>
      <c r="S492" s="11">
        <v>80.0</v>
      </c>
      <c r="T492" s="11">
        <v>33.38</v>
      </c>
      <c r="U492" s="11" t="s">
        <v>51</v>
      </c>
      <c r="V492" s="10" t="s">
        <v>52</v>
      </c>
      <c r="W492" s="10" t="s">
        <v>5247</v>
      </c>
      <c r="X492" s="10" t="s">
        <v>5248</v>
      </c>
      <c r="Y492" s="10" t="s">
        <v>5249</v>
      </c>
      <c r="Z492" s="10" t="s">
        <v>50</v>
      </c>
      <c r="AA492" s="10" t="s">
        <v>50</v>
      </c>
      <c r="AB492" s="10" t="s">
        <v>5247</v>
      </c>
      <c r="AC492" s="10" t="s">
        <v>5250</v>
      </c>
      <c r="AD492" s="10" t="s">
        <v>5251</v>
      </c>
      <c r="AE492" s="10" t="s">
        <v>5252</v>
      </c>
      <c r="AF492" s="10" t="s">
        <v>119</v>
      </c>
      <c r="AG492" s="10" t="s">
        <v>5253</v>
      </c>
      <c r="AH492" s="10" t="s">
        <v>60</v>
      </c>
      <c r="AI492" s="10" t="s">
        <v>61</v>
      </c>
      <c r="AJ492" s="10" t="s">
        <v>5195</v>
      </c>
      <c r="AK492" s="10" t="s">
        <v>5254</v>
      </c>
      <c r="AL492" s="10" t="s">
        <v>64</v>
      </c>
      <c r="AM492" s="10" t="s">
        <v>5255</v>
      </c>
      <c r="AN492" s="10" t="s">
        <v>50</v>
      </c>
      <c r="AO492" s="11" t="s">
        <v>50</v>
      </c>
      <c r="AP492" s="10" t="s">
        <v>50</v>
      </c>
      <c r="AQ492" s="10" t="s">
        <v>50</v>
      </c>
      <c r="AR492" s="10" t="s">
        <v>50</v>
      </c>
      <c r="AS492" s="10" t="s">
        <v>50</v>
      </c>
      <c r="AT492" s="10" t="s">
        <v>50</v>
      </c>
      <c r="AU492" s="10" t="s">
        <v>50</v>
      </c>
      <c r="AV492" s="11"/>
      <c r="AW492" s="10" t="s">
        <v>66</v>
      </c>
      <c r="AX492" s="10"/>
      <c r="AY492" s="10" t="s">
        <v>66</v>
      </c>
    </row>
    <row r="493" ht="22.5" hidden="1" customHeight="1">
      <c r="A493" s="9" t="s">
        <v>5256</v>
      </c>
      <c r="B493" s="10" t="s">
        <v>5257</v>
      </c>
      <c r="C493" s="10" t="s">
        <v>39</v>
      </c>
      <c r="D493" s="10" t="s">
        <v>948</v>
      </c>
      <c r="E493" s="10" t="s">
        <v>66</v>
      </c>
      <c r="F493" s="11">
        <v>1.0</v>
      </c>
      <c r="G493" s="11">
        <v>79.0</v>
      </c>
      <c r="H493" s="11"/>
      <c r="I493" s="11">
        <v>-13.43</v>
      </c>
      <c r="J493" s="11">
        <v>-19.95</v>
      </c>
      <c r="K493" s="11"/>
      <c r="L493" s="11">
        <v>45.62</v>
      </c>
      <c r="M493" s="10" t="s">
        <v>46</v>
      </c>
      <c r="N493" s="10" t="s">
        <v>45</v>
      </c>
      <c r="O493" s="10" t="s">
        <v>766</v>
      </c>
      <c r="P493" s="10" t="s">
        <v>767</v>
      </c>
      <c r="Q493" s="10" t="s">
        <v>768</v>
      </c>
      <c r="R493" s="10" t="s">
        <v>74</v>
      </c>
      <c r="S493" s="11">
        <v>79.0</v>
      </c>
      <c r="T493" s="11">
        <v>13.62</v>
      </c>
      <c r="U493" s="11" t="s">
        <v>51</v>
      </c>
      <c r="V493" s="10" t="s">
        <v>52</v>
      </c>
      <c r="W493" s="10" t="s">
        <v>5258</v>
      </c>
      <c r="X493" s="10" t="s">
        <v>5259</v>
      </c>
      <c r="Y493" s="10" t="s">
        <v>5260</v>
      </c>
      <c r="Z493" s="10" t="s">
        <v>50</v>
      </c>
      <c r="AA493" s="10" t="s">
        <v>50</v>
      </c>
      <c r="AB493" s="10" t="s">
        <v>5258</v>
      </c>
      <c r="AC493" s="10" t="s">
        <v>5261</v>
      </c>
      <c r="AD493" s="10" t="s">
        <v>5262</v>
      </c>
      <c r="AE493" s="10" t="s">
        <v>1291</v>
      </c>
      <c r="AF493" s="10" t="s">
        <v>201</v>
      </c>
      <c r="AG493" s="10" t="s">
        <v>5263</v>
      </c>
      <c r="AH493" s="10" t="s">
        <v>60</v>
      </c>
      <c r="AI493" s="10" t="s">
        <v>61</v>
      </c>
      <c r="AJ493" s="10" t="s">
        <v>5264</v>
      </c>
      <c r="AK493" s="10" t="s">
        <v>5265</v>
      </c>
      <c r="AL493" s="10" t="s">
        <v>64</v>
      </c>
      <c r="AM493" s="10" t="s">
        <v>5266</v>
      </c>
      <c r="AN493" s="10" t="s">
        <v>50</v>
      </c>
      <c r="AO493" s="11" t="s">
        <v>50</v>
      </c>
      <c r="AP493" s="10" t="s">
        <v>50</v>
      </c>
      <c r="AQ493" s="10" t="s">
        <v>50</v>
      </c>
      <c r="AR493" s="10" t="s">
        <v>50</v>
      </c>
      <c r="AS493" s="10" t="s">
        <v>50</v>
      </c>
      <c r="AT493" s="10" t="s">
        <v>50</v>
      </c>
      <c r="AU493" s="10" t="s">
        <v>50</v>
      </c>
      <c r="AV493" s="11"/>
      <c r="AW493" s="10" t="s">
        <v>66</v>
      </c>
      <c r="AX493" s="10">
        <v>1.0</v>
      </c>
      <c r="AY493" s="10" t="s">
        <v>66</v>
      </c>
    </row>
    <row r="494" ht="22.5" hidden="1" customHeight="1">
      <c r="A494" s="9" t="s">
        <v>5267</v>
      </c>
      <c r="B494" s="10" t="s">
        <v>5268</v>
      </c>
      <c r="C494" s="10" t="s">
        <v>947</v>
      </c>
      <c r="D494" s="10" t="s">
        <v>948</v>
      </c>
      <c r="E494" s="10" t="s">
        <v>45</v>
      </c>
      <c r="F494" s="11">
        <v>1.0</v>
      </c>
      <c r="G494" s="11">
        <v>80.0</v>
      </c>
      <c r="H494" s="11"/>
      <c r="I494" s="11">
        <v>-13.6</v>
      </c>
      <c r="J494" s="11">
        <v>-19.95</v>
      </c>
      <c r="K494" s="11"/>
      <c r="L494" s="11">
        <v>50.45</v>
      </c>
      <c r="M494" s="10" t="s">
        <v>46</v>
      </c>
      <c r="N494" s="10" t="s">
        <v>45</v>
      </c>
      <c r="O494" s="10" t="s">
        <v>143</v>
      </c>
      <c r="P494" s="10" t="s">
        <v>144</v>
      </c>
      <c r="Q494" s="10" t="s">
        <v>145</v>
      </c>
      <c r="R494" s="10" t="s">
        <v>74</v>
      </c>
      <c r="S494" s="11">
        <v>80.0</v>
      </c>
      <c r="T494" s="11">
        <v>33.38</v>
      </c>
      <c r="U494" s="11" t="s">
        <v>51</v>
      </c>
      <c r="V494" s="10" t="s">
        <v>52</v>
      </c>
      <c r="W494" s="10" t="s">
        <v>5269</v>
      </c>
      <c r="X494" s="10" t="s">
        <v>5270</v>
      </c>
      <c r="Y494" s="10" t="s">
        <v>5271</v>
      </c>
      <c r="Z494" s="10" t="s">
        <v>50</v>
      </c>
      <c r="AA494" s="10" t="s">
        <v>50</v>
      </c>
      <c r="AB494" s="10" t="s">
        <v>5269</v>
      </c>
      <c r="AC494" s="10" t="s">
        <v>5272</v>
      </c>
      <c r="AD494" s="10" t="s">
        <v>5273</v>
      </c>
      <c r="AE494" s="10" t="s">
        <v>4665</v>
      </c>
      <c r="AF494" s="10" t="s">
        <v>214</v>
      </c>
      <c r="AG494" s="10" t="s">
        <v>5274</v>
      </c>
      <c r="AH494" s="10" t="s">
        <v>60</v>
      </c>
      <c r="AI494" s="10" t="s">
        <v>61</v>
      </c>
      <c r="AJ494" s="10" t="s">
        <v>5195</v>
      </c>
      <c r="AK494" s="10" t="s">
        <v>5275</v>
      </c>
      <c r="AL494" s="10" t="s">
        <v>64</v>
      </c>
      <c r="AM494" s="10" t="s">
        <v>5276</v>
      </c>
      <c r="AN494" s="10" t="s">
        <v>50</v>
      </c>
      <c r="AO494" s="11" t="s">
        <v>50</v>
      </c>
      <c r="AP494" s="10" t="s">
        <v>50</v>
      </c>
      <c r="AQ494" s="10" t="s">
        <v>50</v>
      </c>
      <c r="AR494" s="10" t="s">
        <v>50</v>
      </c>
      <c r="AS494" s="10" t="s">
        <v>50</v>
      </c>
      <c r="AT494" s="10" t="s">
        <v>50</v>
      </c>
      <c r="AU494" s="10" t="s">
        <v>50</v>
      </c>
      <c r="AV494" s="11"/>
      <c r="AW494" s="10" t="s">
        <v>66</v>
      </c>
      <c r="AX494" s="10">
        <v>1.0</v>
      </c>
      <c r="AY494" s="10" t="s">
        <v>66</v>
      </c>
    </row>
    <row r="495" ht="22.5" hidden="1" customHeight="1">
      <c r="A495" s="9" t="s">
        <v>5277</v>
      </c>
      <c r="B495" s="10" t="s">
        <v>5278</v>
      </c>
      <c r="C495" s="10" t="s">
        <v>43</v>
      </c>
      <c r="D495" s="10" t="s">
        <v>4506</v>
      </c>
      <c r="E495" s="10" t="s">
        <v>45</v>
      </c>
      <c r="F495" s="11">
        <v>1.0</v>
      </c>
      <c r="G495" s="11">
        <v>79.0</v>
      </c>
      <c r="H495" s="11"/>
      <c r="I495" s="11">
        <v>-13.43</v>
      </c>
      <c r="J495" s="11">
        <v>-20.45</v>
      </c>
      <c r="K495" s="11"/>
      <c r="L495" s="11">
        <v>45.12</v>
      </c>
      <c r="M495" s="10" t="s">
        <v>46</v>
      </c>
      <c r="N495" s="10" t="s">
        <v>45</v>
      </c>
      <c r="O495" s="10" t="s">
        <v>160</v>
      </c>
      <c r="P495" s="10" t="s">
        <v>161</v>
      </c>
      <c r="Q495" s="10" t="s">
        <v>162</v>
      </c>
      <c r="R495" s="10" t="s">
        <v>74</v>
      </c>
      <c r="S495" s="11">
        <v>79.0</v>
      </c>
      <c r="T495" s="11">
        <v>2.49</v>
      </c>
      <c r="U495" s="11" t="s">
        <v>51</v>
      </c>
      <c r="V495" s="10" t="s">
        <v>52</v>
      </c>
      <c r="W495" s="10" t="s">
        <v>5279</v>
      </c>
      <c r="X495" s="10" t="s">
        <v>5280</v>
      </c>
      <c r="Y495" s="10" t="s">
        <v>5281</v>
      </c>
      <c r="Z495" s="10" t="s">
        <v>50</v>
      </c>
      <c r="AA495" s="10" t="s">
        <v>50</v>
      </c>
      <c r="AB495" s="10" t="s">
        <v>5279</v>
      </c>
      <c r="AC495" s="10" t="s">
        <v>5282</v>
      </c>
      <c r="AD495" s="10" t="s">
        <v>5283</v>
      </c>
      <c r="AE495" s="10" t="s">
        <v>4841</v>
      </c>
      <c r="AF495" s="10" t="s">
        <v>58</v>
      </c>
      <c r="AG495" s="10" t="s">
        <v>5284</v>
      </c>
      <c r="AH495" s="10" t="s">
        <v>60</v>
      </c>
      <c r="AI495" s="10" t="s">
        <v>61</v>
      </c>
      <c r="AJ495" s="10" t="s">
        <v>2455</v>
      </c>
      <c r="AK495" s="10" t="s">
        <v>5069</v>
      </c>
      <c r="AL495" s="10" t="s">
        <v>64</v>
      </c>
      <c r="AM495" s="10" t="s">
        <v>5285</v>
      </c>
      <c r="AN495" s="10" t="s">
        <v>50</v>
      </c>
      <c r="AO495" s="11" t="s">
        <v>50</v>
      </c>
      <c r="AP495" s="10" t="s">
        <v>50</v>
      </c>
      <c r="AQ495" s="10" t="s">
        <v>50</v>
      </c>
      <c r="AR495" s="10" t="s">
        <v>50</v>
      </c>
      <c r="AS495" s="10" t="s">
        <v>50</v>
      </c>
      <c r="AT495" s="10" t="s">
        <v>50</v>
      </c>
      <c r="AU495" s="10" t="s">
        <v>50</v>
      </c>
      <c r="AV495" s="11"/>
      <c r="AW495" s="10" t="s">
        <v>66</v>
      </c>
      <c r="AX495" s="10"/>
      <c r="AY495" s="10" t="s">
        <v>66</v>
      </c>
    </row>
    <row r="496" ht="22.5" hidden="1" customHeight="1">
      <c r="A496" s="9" t="s">
        <v>5286</v>
      </c>
      <c r="B496" s="10" t="s">
        <v>5287</v>
      </c>
      <c r="C496" s="10" t="s">
        <v>43</v>
      </c>
      <c r="D496" s="10" t="s">
        <v>4592</v>
      </c>
      <c r="E496" s="10" t="s">
        <v>66</v>
      </c>
      <c r="F496" s="11">
        <v>1.0</v>
      </c>
      <c r="G496" s="11">
        <v>120.0</v>
      </c>
      <c r="H496" s="11"/>
      <c r="I496" s="11">
        <v>-20.4</v>
      </c>
      <c r="J496" s="11">
        <v>-19.95</v>
      </c>
      <c r="K496" s="11"/>
      <c r="L496" s="11">
        <v>86.85</v>
      </c>
      <c r="M496" s="10" t="s">
        <v>46</v>
      </c>
      <c r="N496" s="10" t="s">
        <v>50</v>
      </c>
      <c r="O496" s="10" t="s">
        <v>85</v>
      </c>
      <c r="P496" s="10" t="s">
        <v>86</v>
      </c>
      <c r="Q496" s="10" t="s">
        <v>87</v>
      </c>
      <c r="R496" s="10" t="s">
        <v>74</v>
      </c>
      <c r="S496" s="11">
        <v>120.0</v>
      </c>
      <c r="T496" s="11">
        <v>65.78</v>
      </c>
      <c r="U496" s="11" t="s">
        <v>51</v>
      </c>
      <c r="V496" s="10" t="s">
        <v>52</v>
      </c>
      <c r="W496" s="10" t="s">
        <v>5288</v>
      </c>
      <c r="X496" s="10" t="s">
        <v>5289</v>
      </c>
      <c r="Y496" s="10" t="s">
        <v>5290</v>
      </c>
      <c r="Z496" s="10" t="s">
        <v>50</v>
      </c>
      <c r="AA496" s="10" t="s">
        <v>50</v>
      </c>
      <c r="AB496" s="10" t="s">
        <v>5288</v>
      </c>
      <c r="AC496" s="10" t="s">
        <v>5291</v>
      </c>
      <c r="AD496" s="10" t="s">
        <v>5292</v>
      </c>
      <c r="AE496" s="10" t="s">
        <v>5293</v>
      </c>
      <c r="AF496" s="10" t="s">
        <v>119</v>
      </c>
      <c r="AG496" s="10" t="s">
        <v>5294</v>
      </c>
      <c r="AH496" s="10" t="s">
        <v>60</v>
      </c>
      <c r="AI496" s="10" t="s">
        <v>61</v>
      </c>
      <c r="AJ496" s="10" t="s">
        <v>5195</v>
      </c>
      <c r="AK496" s="10" t="s">
        <v>5295</v>
      </c>
      <c r="AL496" s="10" t="s">
        <v>64</v>
      </c>
      <c r="AM496" s="10" t="s">
        <v>5296</v>
      </c>
      <c r="AN496" s="10" t="s">
        <v>50</v>
      </c>
      <c r="AO496" s="11" t="s">
        <v>50</v>
      </c>
      <c r="AP496" s="10" t="s">
        <v>50</v>
      </c>
      <c r="AQ496" s="10" t="s">
        <v>50</v>
      </c>
      <c r="AR496" s="10" t="s">
        <v>50</v>
      </c>
      <c r="AS496" s="10" t="s">
        <v>50</v>
      </c>
      <c r="AT496" s="10" t="s">
        <v>50</v>
      </c>
      <c r="AU496" s="10" t="s">
        <v>50</v>
      </c>
      <c r="AV496" s="11"/>
      <c r="AW496" s="10" t="s">
        <v>66</v>
      </c>
      <c r="AX496" s="10"/>
      <c r="AY496" s="10" t="s">
        <v>66</v>
      </c>
    </row>
    <row r="497" ht="22.5" hidden="1" customHeight="1">
      <c r="A497" s="9" t="s">
        <v>5297</v>
      </c>
      <c r="B497" s="10" t="s">
        <v>5298</v>
      </c>
      <c r="C497" s="10" t="s">
        <v>69</v>
      </c>
      <c r="D497" s="10" t="s">
        <v>70</v>
      </c>
      <c r="E497" s="10" t="s">
        <v>66</v>
      </c>
      <c r="F497" s="11">
        <v>1.0</v>
      </c>
      <c r="G497" s="11">
        <v>79.0</v>
      </c>
      <c r="H497" s="11"/>
      <c r="I497" s="11">
        <v>-13.43</v>
      </c>
      <c r="J497" s="11">
        <v>-20.45</v>
      </c>
      <c r="K497" s="11">
        <v>-45.12</v>
      </c>
      <c r="L497" s="11">
        <v>0.0</v>
      </c>
      <c r="M497" s="10" t="s">
        <v>46</v>
      </c>
      <c r="N497" s="10" t="s">
        <v>45</v>
      </c>
      <c r="O497" s="10" t="s">
        <v>160</v>
      </c>
      <c r="P497" s="10" t="s">
        <v>161</v>
      </c>
      <c r="Q497" s="10" t="s">
        <v>162</v>
      </c>
      <c r="R497" s="10" t="s">
        <v>74</v>
      </c>
      <c r="S497" s="11">
        <v>79.0</v>
      </c>
      <c r="T497" s="11"/>
      <c r="U497" s="11" t="s">
        <v>51</v>
      </c>
      <c r="V497" s="10" t="s">
        <v>75</v>
      </c>
      <c r="W497" s="10" t="s">
        <v>5279</v>
      </c>
      <c r="X497" s="10" t="s">
        <v>5280</v>
      </c>
      <c r="Y497" s="10" t="s">
        <v>5299</v>
      </c>
      <c r="Z497" s="10" t="s">
        <v>50</v>
      </c>
      <c r="AA497" s="10" t="s">
        <v>50</v>
      </c>
      <c r="AB497" s="10" t="s">
        <v>5279</v>
      </c>
      <c r="AC497" s="10" t="s">
        <v>5282</v>
      </c>
      <c r="AD497" s="10" t="s">
        <v>50</v>
      </c>
      <c r="AE497" s="10" t="s">
        <v>4841</v>
      </c>
      <c r="AF497" s="10" t="s">
        <v>58</v>
      </c>
      <c r="AG497" s="10" t="s">
        <v>5300</v>
      </c>
      <c r="AH497" s="10" t="s">
        <v>60</v>
      </c>
      <c r="AI497" s="10" t="s">
        <v>61</v>
      </c>
      <c r="AJ497" s="10" t="s">
        <v>50</v>
      </c>
      <c r="AK497" s="10" t="s">
        <v>50</v>
      </c>
      <c r="AL497" s="10" t="s">
        <v>64</v>
      </c>
      <c r="AM497" s="10" t="s">
        <v>50</v>
      </c>
      <c r="AN497" s="10" t="s">
        <v>50</v>
      </c>
      <c r="AO497" s="11" t="s">
        <v>50</v>
      </c>
      <c r="AP497" s="10" t="s">
        <v>50</v>
      </c>
      <c r="AQ497" s="10" t="s">
        <v>50</v>
      </c>
      <c r="AR497" s="10" t="s">
        <v>50</v>
      </c>
      <c r="AS497" s="10" t="s">
        <v>50</v>
      </c>
      <c r="AT497" s="10" t="s">
        <v>50</v>
      </c>
      <c r="AU497" s="10" t="s">
        <v>50</v>
      </c>
      <c r="AV497" s="11"/>
      <c r="AW497" s="10" t="s">
        <v>66</v>
      </c>
      <c r="AX497" s="10"/>
      <c r="AY497" s="10" t="s">
        <v>66</v>
      </c>
    </row>
    <row r="498" ht="22.5" hidden="1" customHeight="1">
      <c r="A498" s="9" t="s">
        <v>5301</v>
      </c>
      <c r="B498" s="10" t="s">
        <v>5302</v>
      </c>
      <c r="C498" s="10" t="s">
        <v>43</v>
      </c>
      <c r="D498" s="10" t="s">
        <v>2481</v>
      </c>
      <c r="E498" s="10" t="s">
        <v>66</v>
      </c>
      <c r="F498" s="11">
        <v>1.0</v>
      </c>
      <c r="G498" s="11">
        <v>84.0</v>
      </c>
      <c r="H498" s="11"/>
      <c r="I498" s="11">
        <v>-14.28</v>
      </c>
      <c r="J498" s="11">
        <v>-20.45</v>
      </c>
      <c r="K498" s="11"/>
      <c r="L498" s="11">
        <v>49.27</v>
      </c>
      <c r="M498" s="10" t="s">
        <v>46</v>
      </c>
      <c r="N498" s="10" t="s">
        <v>45</v>
      </c>
      <c r="O498" s="10" t="s">
        <v>265</v>
      </c>
      <c r="P498" s="10" t="s">
        <v>266</v>
      </c>
      <c r="Q498" s="10" t="s">
        <v>267</v>
      </c>
      <c r="R498" s="10" t="s">
        <v>74</v>
      </c>
      <c r="S498" s="11">
        <v>84.0</v>
      </c>
      <c r="T498" s="11">
        <v>26.22</v>
      </c>
      <c r="U498" s="11" t="s">
        <v>51</v>
      </c>
      <c r="V498" s="10" t="s">
        <v>52</v>
      </c>
      <c r="W498" s="10" t="s">
        <v>5303</v>
      </c>
      <c r="X498" s="10" t="s">
        <v>5304</v>
      </c>
      <c r="Y498" s="10" t="s">
        <v>5305</v>
      </c>
      <c r="Z498" s="10" t="s">
        <v>50</v>
      </c>
      <c r="AA498" s="10" t="s">
        <v>50</v>
      </c>
      <c r="AB498" s="10" t="s">
        <v>5303</v>
      </c>
      <c r="AC498" s="10" t="s">
        <v>5306</v>
      </c>
      <c r="AD498" s="10" t="s">
        <v>5307</v>
      </c>
      <c r="AE498" s="10" t="s">
        <v>5308</v>
      </c>
      <c r="AF498" s="10" t="s">
        <v>58</v>
      </c>
      <c r="AG498" s="10" t="s">
        <v>5309</v>
      </c>
      <c r="AH498" s="10" t="s">
        <v>60</v>
      </c>
      <c r="AI498" s="10" t="s">
        <v>61</v>
      </c>
      <c r="AJ498" s="10" t="s">
        <v>5130</v>
      </c>
      <c r="AK498" s="10" t="s">
        <v>5310</v>
      </c>
      <c r="AL498" s="10" t="s">
        <v>64</v>
      </c>
      <c r="AM498" s="10" t="s">
        <v>5311</v>
      </c>
      <c r="AN498" s="10" t="s">
        <v>50</v>
      </c>
      <c r="AO498" s="11" t="s">
        <v>50</v>
      </c>
      <c r="AP498" s="10" t="s">
        <v>50</v>
      </c>
      <c r="AQ498" s="10" t="s">
        <v>50</v>
      </c>
      <c r="AR498" s="10" t="s">
        <v>50</v>
      </c>
      <c r="AS498" s="10" t="s">
        <v>50</v>
      </c>
      <c r="AT498" s="10" t="s">
        <v>50</v>
      </c>
      <c r="AU498" s="10" t="s">
        <v>50</v>
      </c>
      <c r="AV498" s="11"/>
      <c r="AW498" s="10" t="s">
        <v>66</v>
      </c>
      <c r="AX498" s="10"/>
      <c r="AY498" s="10" t="s">
        <v>66</v>
      </c>
    </row>
    <row r="499" ht="22.5" hidden="1" customHeight="1">
      <c r="A499" s="9" t="s">
        <v>5312</v>
      </c>
      <c r="B499" s="10" t="s">
        <v>5313</v>
      </c>
      <c r="C499" s="10" t="s">
        <v>43</v>
      </c>
      <c r="D499" s="10" t="s">
        <v>4592</v>
      </c>
      <c r="E499" s="10" t="s">
        <v>66</v>
      </c>
      <c r="F499" s="11">
        <v>1.0</v>
      </c>
      <c r="G499" s="11">
        <v>90.0</v>
      </c>
      <c r="H499" s="11"/>
      <c r="I499" s="11">
        <v>-15.3</v>
      </c>
      <c r="J499" s="11">
        <v>-20.45</v>
      </c>
      <c r="K499" s="11"/>
      <c r="L499" s="11">
        <v>59.65</v>
      </c>
      <c r="M499" s="10" t="s">
        <v>46</v>
      </c>
      <c r="N499" s="10" t="s">
        <v>45</v>
      </c>
      <c r="O499" s="10" t="s">
        <v>5094</v>
      </c>
      <c r="P499" s="10" t="s">
        <v>5095</v>
      </c>
      <c r="Q499" s="10" t="s">
        <v>5096</v>
      </c>
      <c r="R499" s="10" t="s">
        <v>74</v>
      </c>
      <c r="S499" s="11">
        <v>90.0</v>
      </c>
      <c r="T499" s="11">
        <v>39.99</v>
      </c>
      <c r="U499" s="11" t="s">
        <v>51</v>
      </c>
      <c r="V499" s="10" t="s">
        <v>52</v>
      </c>
      <c r="W499" s="10" t="s">
        <v>5314</v>
      </c>
      <c r="X499" s="10" t="s">
        <v>5315</v>
      </c>
      <c r="Y499" s="10" t="s">
        <v>5316</v>
      </c>
      <c r="Z499" s="10" t="s">
        <v>50</v>
      </c>
      <c r="AA499" s="10" t="s">
        <v>50</v>
      </c>
      <c r="AB499" s="10" t="s">
        <v>5314</v>
      </c>
      <c r="AC499" s="10" t="s">
        <v>5317</v>
      </c>
      <c r="AD499" s="10" t="s">
        <v>5318</v>
      </c>
      <c r="AE499" s="10" t="s">
        <v>5319</v>
      </c>
      <c r="AF499" s="10" t="s">
        <v>58</v>
      </c>
      <c r="AG499" s="10" t="s">
        <v>5320</v>
      </c>
      <c r="AH499" s="10" t="s">
        <v>60</v>
      </c>
      <c r="AI499" s="10" t="s">
        <v>61</v>
      </c>
      <c r="AJ499" s="10" t="s">
        <v>3408</v>
      </c>
      <c r="AK499" s="10" t="s">
        <v>5321</v>
      </c>
      <c r="AL499" s="10" t="s">
        <v>64</v>
      </c>
      <c r="AM499" s="10" t="s">
        <v>5322</v>
      </c>
      <c r="AN499" s="10" t="s">
        <v>5323</v>
      </c>
      <c r="AO499" s="11" t="s">
        <v>50</v>
      </c>
      <c r="AP499" s="10" t="s">
        <v>50</v>
      </c>
      <c r="AQ499" s="10" t="s">
        <v>50</v>
      </c>
      <c r="AR499" s="10" t="s">
        <v>50</v>
      </c>
      <c r="AS499" s="10" t="s">
        <v>50</v>
      </c>
      <c r="AT499" s="10" t="s">
        <v>50</v>
      </c>
      <c r="AU499" s="10" t="s">
        <v>50</v>
      </c>
      <c r="AV499" s="11"/>
      <c r="AW499" s="10" t="s">
        <v>66</v>
      </c>
      <c r="AX499" s="10"/>
      <c r="AY499" s="10" t="s">
        <v>66</v>
      </c>
    </row>
    <row r="500" ht="22.5" hidden="1" customHeight="1">
      <c r="A500" s="9" t="s">
        <v>5324</v>
      </c>
      <c r="B500" s="10" t="s">
        <v>5325</v>
      </c>
      <c r="C500" s="10" t="s">
        <v>43</v>
      </c>
      <c r="D500" s="10" t="s">
        <v>2481</v>
      </c>
      <c r="E500" s="10" t="s">
        <v>66</v>
      </c>
      <c r="F500" s="11">
        <v>1.0</v>
      </c>
      <c r="G500" s="11">
        <v>120.0</v>
      </c>
      <c r="H500" s="11"/>
      <c r="I500" s="11">
        <v>-20.4</v>
      </c>
      <c r="J500" s="11">
        <v>-19.95</v>
      </c>
      <c r="K500" s="11"/>
      <c r="L500" s="11">
        <v>86.85</v>
      </c>
      <c r="M500" s="10" t="s">
        <v>46</v>
      </c>
      <c r="N500" s="10" t="s">
        <v>45</v>
      </c>
      <c r="O500" s="10" t="s">
        <v>85</v>
      </c>
      <c r="P500" s="10" t="s">
        <v>86</v>
      </c>
      <c r="Q500" s="10" t="s">
        <v>87</v>
      </c>
      <c r="R500" s="10" t="s">
        <v>74</v>
      </c>
      <c r="S500" s="11">
        <v>120.0</v>
      </c>
      <c r="T500" s="11">
        <v>65.78</v>
      </c>
      <c r="U500" s="11" t="s">
        <v>51</v>
      </c>
      <c r="V500" s="10" t="s">
        <v>52</v>
      </c>
      <c r="W500" s="10" t="s">
        <v>5326</v>
      </c>
      <c r="X500" s="10" t="s">
        <v>5327</v>
      </c>
      <c r="Y500" s="10" t="s">
        <v>5328</v>
      </c>
      <c r="Z500" s="10" t="s">
        <v>50</v>
      </c>
      <c r="AA500" s="10" t="s">
        <v>50</v>
      </c>
      <c r="AB500" s="10" t="s">
        <v>5326</v>
      </c>
      <c r="AC500" s="10" t="s">
        <v>5329</v>
      </c>
      <c r="AD500" s="10" t="s">
        <v>5330</v>
      </c>
      <c r="AE500" s="10" t="s">
        <v>5331</v>
      </c>
      <c r="AF500" s="10" t="s">
        <v>136</v>
      </c>
      <c r="AG500" s="10" t="s">
        <v>5332</v>
      </c>
      <c r="AH500" s="10" t="s">
        <v>60</v>
      </c>
      <c r="AI500" s="10" t="s">
        <v>61</v>
      </c>
      <c r="AJ500" s="10" t="s">
        <v>5333</v>
      </c>
      <c r="AK500" s="10" t="s">
        <v>5334</v>
      </c>
      <c r="AL500" s="10" t="s">
        <v>64</v>
      </c>
      <c r="AM500" s="10" t="s">
        <v>5335</v>
      </c>
      <c r="AN500" s="10" t="s">
        <v>50</v>
      </c>
      <c r="AO500" s="11" t="s">
        <v>50</v>
      </c>
      <c r="AP500" s="10" t="s">
        <v>50</v>
      </c>
      <c r="AQ500" s="10" t="s">
        <v>50</v>
      </c>
      <c r="AR500" s="10" t="s">
        <v>50</v>
      </c>
      <c r="AS500" s="10" t="s">
        <v>50</v>
      </c>
      <c r="AT500" s="10" t="s">
        <v>50</v>
      </c>
      <c r="AU500" s="10" t="s">
        <v>50</v>
      </c>
      <c r="AV500" s="11"/>
      <c r="AW500" s="10" t="s">
        <v>66</v>
      </c>
      <c r="AX500" s="10"/>
      <c r="AY500" s="10" t="s">
        <v>66</v>
      </c>
    </row>
    <row r="501" ht="22.5" hidden="1" customHeight="1">
      <c r="A501" s="9" t="s">
        <v>5336</v>
      </c>
      <c r="B501" s="10" t="s">
        <v>5337</v>
      </c>
      <c r="C501" s="10" t="s">
        <v>69</v>
      </c>
      <c r="D501" s="10" t="s">
        <v>2283</v>
      </c>
      <c r="E501" s="10" t="s">
        <v>45</v>
      </c>
      <c r="F501" s="11">
        <v>1.0</v>
      </c>
      <c r="G501" s="11">
        <v>79.2</v>
      </c>
      <c r="H501" s="11"/>
      <c r="I501" s="11">
        <v>-13.46</v>
      </c>
      <c r="J501" s="11">
        <v>-20.45</v>
      </c>
      <c r="K501" s="11">
        <v>-50.04</v>
      </c>
      <c r="L501" s="11">
        <v>0.0</v>
      </c>
      <c r="M501" s="10" t="s">
        <v>46</v>
      </c>
      <c r="N501" s="10" t="s">
        <v>50</v>
      </c>
      <c r="O501" s="10" t="s">
        <v>892</v>
      </c>
      <c r="P501" s="10" t="s">
        <v>893</v>
      </c>
      <c r="Q501" s="10" t="s">
        <v>894</v>
      </c>
      <c r="R501" s="10" t="s">
        <v>74</v>
      </c>
      <c r="S501" s="11">
        <v>79.2</v>
      </c>
      <c r="T501" s="11"/>
      <c r="U501" s="11" t="s">
        <v>51</v>
      </c>
      <c r="V501" s="10" t="s">
        <v>75</v>
      </c>
      <c r="W501" s="10" t="s">
        <v>5338</v>
      </c>
      <c r="X501" s="10" t="s">
        <v>5339</v>
      </c>
      <c r="Y501" s="10" t="s">
        <v>5340</v>
      </c>
      <c r="Z501" s="10" t="s">
        <v>50</v>
      </c>
      <c r="AA501" s="10" t="s">
        <v>50</v>
      </c>
      <c r="AB501" s="10" t="s">
        <v>5338</v>
      </c>
      <c r="AC501" s="10" t="s">
        <v>5341</v>
      </c>
      <c r="AD501" s="10" t="s">
        <v>50</v>
      </c>
      <c r="AE501" s="10" t="s">
        <v>5342</v>
      </c>
      <c r="AF501" s="10" t="s">
        <v>58</v>
      </c>
      <c r="AG501" s="10" t="s">
        <v>5343</v>
      </c>
      <c r="AH501" s="10" t="s">
        <v>60</v>
      </c>
      <c r="AI501" s="10" t="s">
        <v>61</v>
      </c>
      <c r="AJ501" s="10" t="s">
        <v>50</v>
      </c>
      <c r="AK501" s="10" t="s">
        <v>50</v>
      </c>
      <c r="AL501" s="10" t="s">
        <v>64</v>
      </c>
      <c r="AM501" s="10" t="s">
        <v>50</v>
      </c>
      <c r="AN501" s="10" t="s">
        <v>50</v>
      </c>
      <c r="AO501" s="11" t="s">
        <v>50</v>
      </c>
      <c r="AP501" s="10" t="s">
        <v>50</v>
      </c>
      <c r="AQ501" s="10" t="s">
        <v>50</v>
      </c>
      <c r="AR501" s="10" t="s">
        <v>50</v>
      </c>
      <c r="AS501" s="10" t="s">
        <v>50</v>
      </c>
      <c r="AT501" s="10" t="s">
        <v>50</v>
      </c>
      <c r="AU501" s="10" t="s">
        <v>50</v>
      </c>
      <c r="AV501" s="11"/>
      <c r="AW501" s="10" t="s">
        <v>66</v>
      </c>
      <c r="AX501" s="10"/>
      <c r="AY501" s="10" t="s">
        <v>66</v>
      </c>
    </row>
    <row r="502" ht="22.5" hidden="1" customHeight="1">
      <c r="A502" s="9" t="s">
        <v>5344</v>
      </c>
      <c r="B502" s="10" t="s">
        <v>5345</v>
      </c>
      <c r="C502" s="10" t="s">
        <v>43</v>
      </c>
      <c r="D502" s="10" t="s">
        <v>4506</v>
      </c>
      <c r="E502" s="10" t="s">
        <v>66</v>
      </c>
      <c r="F502" s="11">
        <v>1.0</v>
      </c>
      <c r="G502" s="11">
        <v>84.0</v>
      </c>
      <c r="H502" s="11"/>
      <c r="I502" s="11">
        <v>-14.28</v>
      </c>
      <c r="J502" s="11">
        <v>-20.45</v>
      </c>
      <c r="K502" s="11"/>
      <c r="L502" s="11">
        <v>49.27</v>
      </c>
      <c r="M502" s="10" t="s">
        <v>46</v>
      </c>
      <c r="N502" s="10" t="s">
        <v>45</v>
      </c>
      <c r="O502" s="10" t="s">
        <v>265</v>
      </c>
      <c r="P502" s="10" t="s">
        <v>266</v>
      </c>
      <c r="Q502" s="10" t="s">
        <v>267</v>
      </c>
      <c r="R502" s="10" t="s">
        <v>74</v>
      </c>
      <c r="S502" s="11">
        <v>84.0</v>
      </c>
      <c r="T502" s="11">
        <v>26.22</v>
      </c>
      <c r="U502" s="11" t="s">
        <v>51</v>
      </c>
      <c r="V502" s="10" t="s">
        <v>52</v>
      </c>
      <c r="W502" s="10" t="s">
        <v>5346</v>
      </c>
      <c r="X502" s="10" t="s">
        <v>5347</v>
      </c>
      <c r="Y502" s="10" t="s">
        <v>5348</v>
      </c>
      <c r="Z502" s="10" t="s">
        <v>50</v>
      </c>
      <c r="AA502" s="10" t="s">
        <v>50</v>
      </c>
      <c r="AB502" s="10" t="s">
        <v>5346</v>
      </c>
      <c r="AC502" s="10" t="s">
        <v>5349</v>
      </c>
      <c r="AD502" s="10" t="s">
        <v>5350</v>
      </c>
      <c r="AE502" s="10" t="s">
        <v>5351</v>
      </c>
      <c r="AF502" s="10" t="s">
        <v>284</v>
      </c>
      <c r="AG502" s="10" t="s">
        <v>5352</v>
      </c>
      <c r="AH502" s="10" t="s">
        <v>60</v>
      </c>
      <c r="AI502" s="10" t="s">
        <v>61</v>
      </c>
      <c r="AJ502" s="10" t="s">
        <v>5195</v>
      </c>
      <c r="AK502" s="10" t="s">
        <v>5353</v>
      </c>
      <c r="AL502" s="10" t="s">
        <v>64</v>
      </c>
      <c r="AM502" s="10" t="s">
        <v>5354</v>
      </c>
      <c r="AN502" s="10" t="s">
        <v>50</v>
      </c>
      <c r="AO502" s="11" t="s">
        <v>50</v>
      </c>
      <c r="AP502" s="10" t="s">
        <v>50</v>
      </c>
      <c r="AQ502" s="10" t="s">
        <v>50</v>
      </c>
      <c r="AR502" s="10" t="s">
        <v>50</v>
      </c>
      <c r="AS502" s="10" t="s">
        <v>50</v>
      </c>
      <c r="AT502" s="10" t="s">
        <v>50</v>
      </c>
      <c r="AU502" s="10" t="s">
        <v>50</v>
      </c>
      <c r="AV502" s="11"/>
      <c r="AW502" s="10" t="s">
        <v>66</v>
      </c>
      <c r="AX502" s="10"/>
      <c r="AY502" s="10" t="s">
        <v>66</v>
      </c>
    </row>
    <row r="503" ht="22.5" hidden="1" customHeight="1">
      <c r="A503" s="9" t="s">
        <v>5355</v>
      </c>
      <c r="B503" s="10" t="s">
        <v>5356</v>
      </c>
      <c r="C503" s="10" t="s">
        <v>43</v>
      </c>
      <c r="D503" s="10" t="s">
        <v>5357</v>
      </c>
      <c r="E503" s="10" t="s">
        <v>66</v>
      </c>
      <c r="F503" s="11">
        <v>1.0</v>
      </c>
      <c r="G503" s="11">
        <v>80.0</v>
      </c>
      <c r="H503" s="11"/>
      <c r="I503" s="11">
        <v>-13.6</v>
      </c>
      <c r="J503" s="11">
        <v>-19.95</v>
      </c>
      <c r="K503" s="11"/>
      <c r="L503" s="11">
        <v>50.45</v>
      </c>
      <c r="M503" s="10" t="s">
        <v>46</v>
      </c>
      <c r="N503" s="10" t="s">
        <v>50</v>
      </c>
      <c r="O503" s="10" t="s">
        <v>143</v>
      </c>
      <c r="P503" s="10" t="s">
        <v>144</v>
      </c>
      <c r="Q503" s="10" t="s">
        <v>145</v>
      </c>
      <c r="R503" s="10" t="s">
        <v>74</v>
      </c>
      <c r="S503" s="11">
        <v>80.0</v>
      </c>
      <c r="T503" s="11">
        <v>33.38</v>
      </c>
      <c r="U503" s="11" t="s">
        <v>51</v>
      </c>
      <c r="V503" s="10" t="s">
        <v>52</v>
      </c>
      <c r="W503" s="10" t="s">
        <v>5358</v>
      </c>
      <c r="X503" s="10" t="s">
        <v>5359</v>
      </c>
      <c r="Y503" s="10" t="s">
        <v>5360</v>
      </c>
      <c r="Z503" s="10" t="s">
        <v>50</v>
      </c>
      <c r="AA503" s="10" t="s">
        <v>50</v>
      </c>
      <c r="AB503" s="10" t="s">
        <v>5358</v>
      </c>
      <c r="AC503" s="10" t="s">
        <v>5361</v>
      </c>
      <c r="AD503" s="10" t="s">
        <v>5362</v>
      </c>
      <c r="AE503" s="10" t="s">
        <v>5363</v>
      </c>
      <c r="AF503" s="10" t="s">
        <v>58</v>
      </c>
      <c r="AG503" s="10" t="s">
        <v>5364</v>
      </c>
      <c r="AH503" s="10" t="s">
        <v>60</v>
      </c>
      <c r="AI503" s="10" t="s">
        <v>61</v>
      </c>
      <c r="AJ503" s="10" t="s">
        <v>5365</v>
      </c>
      <c r="AK503" s="10" t="s">
        <v>5366</v>
      </c>
      <c r="AL503" s="10" t="s">
        <v>64</v>
      </c>
      <c r="AM503" s="10" t="s">
        <v>5367</v>
      </c>
      <c r="AN503" s="10" t="s">
        <v>50</v>
      </c>
      <c r="AO503" s="11" t="s">
        <v>50</v>
      </c>
      <c r="AP503" s="10" t="s">
        <v>50</v>
      </c>
      <c r="AQ503" s="10" t="s">
        <v>50</v>
      </c>
      <c r="AR503" s="10" t="s">
        <v>50</v>
      </c>
      <c r="AS503" s="10" t="s">
        <v>50</v>
      </c>
      <c r="AT503" s="10" t="s">
        <v>50</v>
      </c>
      <c r="AU503" s="10" t="s">
        <v>50</v>
      </c>
      <c r="AV503" s="11"/>
      <c r="AW503" s="10" t="s">
        <v>66</v>
      </c>
      <c r="AX503" s="10"/>
      <c r="AY503" s="10" t="s">
        <v>66</v>
      </c>
    </row>
    <row r="504" ht="22.5" hidden="1" customHeight="1">
      <c r="A504" s="9" t="s">
        <v>5368</v>
      </c>
      <c r="B504" s="10" t="s">
        <v>5369</v>
      </c>
      <c r="C504" s="10" t="s">
        <v>43</v>
      </c>
      <c r="D504" s="10" t="s">
        <v>191</v>
      </c>
      <c r="E504" s="10" t="s">
        <v>66</v>
      </c>
      <c r="F504" s="11">
        <v>1.0</v>
      </c>
      <c r="G504" s="11">
        <v>79.2</v>
      </c>
      <c r="H504" s="11"/>
      <c r="I504" s="11">
        <v>-15.05</v>
      </c>
      <c r="J504" s="11">
        <v>-19.95</v>
      </c>
      <c r="K504" s="11"/>
      <c r="L504" s="11">
        <v>44.2</v>
      </c>
      <c r="M504" s="10" t="s">
        <v>46</v>
      </c>
      <c r="N504" s="10" t="s">
        <v>50</v>
      </c>
      <c r="O504" s="10" t="s">
        <v>586</v>
      </c>
      <c r="P504" s="10" t="s">
        <v>1467</v>
      </c>
      <c r="Q504" s="10" t="s">
        <v>1468</v>
      </c>
      <c r="R504" s="10" t="s">
        <v>50</v>
      </c>
      <c r="S504" s="11">
        <v>79.2</v>
      </c>
      <c r="T504" s="11">
        <v>9.89</v>
      </c>
      <c r="U504" s="11" t="s">
        <v>51</v>
      </c>
      <c r="V504" s="10" t="s">
        <v>52</v>
      </c>
      <c r="W504" s="10" t="s">
        <v>5370</v>
      </c>
      <c r="X504" s="10" t="s">
        <v>5371</v>
      </c>
      <c r="Y504" s="10" t="s">
        <v>5372</v>
      </c>
      <c r="Z504" s="10" t="s">
        <v>50</v>
      </c>
      <c r="AA504" s="10" t="s">
        <v>50</v>
      </c>
      <c r="AB504" s="10" t="s">
        <v>5370</v>
      </c>
      <c r="AC504" s="10" t="s">
        <v>5373</v>
      </c>
      <c r="AD504" s="10" t="s">
        <v>5374</v>
      </c>
      <c r="AE504" s="10" t="s">
        <v>58</v>
      </c>
      <c r="AF504" s="10" t="s">
        <v>58</v>
      </c>
      <c r="AG504" s="10" t="s">
        <v>5375</v>
      </c>
      <c r="AH504" s="10" t="s">
        <v>60</v>
      </c>
      <c r="AI504" s="10" t="s">
        <v>61</v>
      </c>
      <c r="AJ504" s="10" t="s">
        <v>2397</v>
      </c>
      <c r="AK504" s="10" t="s">
        <v>5376</v>
      </c>
      <c r="AL504" s="10" t="s">
        <v>1025</v>
      </c>
      <c r="AM504" s="10" t="s">
        <v>5377</v>
      </c>
      <c r="AN504" s="10" t="s">
        <v>5378</v>
      </c>
      <c r="AO504" s="11" t="s">
        <v>50</v>
      </c>
      <c r="AP504" s="10" t="s">
        <v>50</v>
      </c>
      <c r="AQ504" s="10" t="s">
        <v>50</v>
      </c>
      <c r="AR504" s="10" t="s">
        <v>50</v>
      </c>
      <c r="AS504" s="10" t="s">
        <v>50</v>
      </c>
      <c r="AT504" s="10" t="s">
        <v>50</v>
      </c>
      <c r="AU504" s="10" t="s">
        <v>50</v>
      </c>
      <c r="AV504" s="11"/>
      <c r="AW504" s="10" t="s">
        <v>66</v>
      </c>
      <c r="AX504" s="10"/>
      <c r="AY504" s="10" t="s">
        <v>66</v>
      </c>
    </row>
    <row r="505" ht="22.5" hidden="1" customHeight="1">
      <c r="A505" s="9" t="s">
        <v>5379</v>
      </c>
      <c r="B505" s="10" t="s">
        <v>5380</v>
      </c>
      <c r="C505" s="10" t="s">
        <v>43</v>
      </c>
      <c r="D505" s="10" t="s">
        <v>4592</v>
      </c>
      <c r="E505" s="10" t="s">
        <v>66</v>
      </c>
      <c r="F505" s="11">
        <v>1.0</v>
      </c>
      <c r="G505" s="11">
        <v>79.3</v>
      </c>
      <c r="H505" s="11"/>
      <c r="I505" s="11">
        <v>-13.48</v>
      </c>
      <c r="J505" s="11">
        <v>-19.95</v>
      </c>
      <c r="K505" s="11"/>
      <c r="L505" s="11">
        <v>45.87</v>
      </c>
      <c r="M505" s="10" t="s">
        <v>46</v>
      </c>
      <c r="N505" s="10" t="s">
        <v>50</v>
      </c>
      <c r="O505" s="10" t="s">
        <v>314</v>
      </c>
      <c r="P505" s="10" t="s">
        <v>315</v>
      </c>
      <c r="Q505" s="10" t="s">
        <v>316</v>
      </c>
      <c r="R505" s="10" t="s">
        <v>74</v>
      </c>
      <c r="S505" s="11">
        <v>79.3</v>
      </c>
      <c r="T505" s="11">
        <v>6.66</v>
      </c>
      <c r="U505" s="11" t="s">
        <v>51</v>
      </c>
      <c r="V505" s="10" t="s">
        <v>52</v>
      </c>
      <c r="W505" s="10" t="s">
        <v>5381</v>
      </c>
      <c r="X505" s="10" t="s">
        <v>5382</v>
      </c>
      <c r="Y505" s="10" t="s">
        <v>5383</v>
      </c>
      <c r="Z505" s="10" t="s">
        <v>50</v>
      </c>
      <c r="AA505" s="10" t="s">
        <v>50</v>
      </c>
      <c r="AB505" s="10" t="s">
        <v>5381</v>
      </c>
      <c r="AC505" s="10" t="s">
        <v>5384</v>
      </c>
      <c r="AD505" s="10" t="s">
        <v>5385</v>
      </c>
      <c r="AE505" s="10" t="s">
        <v>5386</v>
      </c>
      <c r="AF505" s="10" t="s">
        <v>214</v>
      </c>
      <c r="AG505" s="10" t="s">
        <v>5387</v>
      </c>
      <c r="AH505" s="10" t="s">
        <v>60</v>
      </c>
      <c r="AI505" s="10" t="s">
        <v>61</v>
      </c>
      <c r="AJ505" s="10" t="s">
        <v>5195</v>
      </c>
      <c r="AK505" s="10" t="s">
        <v>5388</v>
      </c>
      <c r="AL505" s="10" t="s">
        <v>64</v>
      </c>
      <c r="AM505" s="10" t="s">
        <v>5389</v>
      </c>
      <c r="AN505" s="10" t="s">
        <v>50</v>
      </c>
      <c r="AO505" s="11" t="s">
        <v>50</v>
      </c>
      <c r="AP505" s="10" t="s">
        <v>50</v>
      </c>
      <c r="AQ505" s="10" t="s">
        <v>50</v>
      </c>
      <c r="AR505" s="10" t="s">
        <v>50</v>
      </c>
      <c r="AS505" s="10" t="s">
        <v>50</v>
      </c>
      <c r="AT505" s="10" t="s">
        <v>50</v>
      </c>
      <c r="AU505" s="10" t="s">
        <v>50</v>
      </c>
      <c r="AV505" s="11"/>
      <c r="AW505" s="10" t="s">
        <v>66</v>
      </c>
      <c r="AX505" s="10"/>
      <c r="AY505" s="10" t="s">
        <v>66</v>
      </c>
    </row>
    <row r="506" ht="22.5" hidden="1" customHeight="1">
      <c r="A506" s="9" t="s">
        <v>5390</v>
      </c>
      <c r="B506" s="10" t="s">
        <v>5391</v>
      </c>
      <c r="C506" s="10" t="s">
        <v>43</v>
      </c>
      <c r="D506" s="10" t="s">
        <v>2481</v>
      </c>
      <c r="E506" s="10" t="s">
        <v>66</v>
      </c>
      <c r="F506" s="11">
        <v>1.0</v>
      </c>
      <c r="G506" s="11">
        <v>80.5</v>
      </c>
      <c r="H506" s="11"/>
      <c r="I506" s="11">
        <v>-15.3</v>
      </c>
      <c r="J506" s="11">
        <v>-19.95</v>
      </c>
      <c r="K506" s="11"/>
      <c r="L506" s="11">
        <v>45.25</v>
      </c>
      <c r="M506" s="10" t="s">
        <v>46</v>
      </c>
      <c r="N506" s="10" t="s">
        <v>45</v>
      </c>
      <c r="O506" s="10" t="s">
        <v>47</v>
      </c>
      <c r="P506" s="10" t="s">
        <v>48</v>
      </c>
      <c r="Q506" s="10" t="s">
        <v>49</v>
      </c>
      <c r="R506" s="10" t="s">
        <v>50</v>
      </c>
      <c r="S506" s="11">
        <v>80.5</v>
      </c>
      <c r="T506" s="11">
        <v>12.45</v>
      </c>
      <c r="U506" s="11" t="s">
        <v>51</v>
      </c>
      <c r="V506" s="10" t="s">
        <v>52</v>
      </c>
      <c r="W506" s="10" t="s">
        <v>5392</v>
      </c>
      <c r="X506" s="10" t="s">
        <v>5393</v>
      </c>
      <c r="Y506" s="10" t="s">
        <v>5394</v>
      </c>
      <c r="Z506" s="10" t="s">
        <v>50</v>
      </c>
      <c r="AA506" s="10" t="s">
        <v>50</v>
      </c>
      <c r="AB506" s="10" t="s">
        <v>5392</v>
      </c>
      <c r="AC506" s="10" t="s">
        <v>5395</v>
      </c>
      <c r="AD506" s="10" t="s">
        <v>5396</v>
      </c>
      <c r="AE506" s="10" t="s">
        <v>5397</v>
      </c>
      <c r="AF506" s="10" t="s">
        <v>58</v>
      </c>
      <c r="AG506" s="10" t="s">
        <v>5398</v>
      </c>
      <c r="AH506" s="10" t="s">
        <v>60</v>
      </c>
      <c r="AI506" s="10" t="s">
        <v>61</v>
      </c>
      <c r="AJ506" s="10" t="s">
        <v>5242</v>
      </c>
      <c r="AK506" s="10" t="s">
        <v>5399</v>
      </c>
      <c r="AL506" s="10" t="s">
        <v>64</v>
      </c>
      <c r="AM506" s="10" t="s">
        <v>5400</v>
      </c>
      <c r="AN506" s="10" t="s">
        <v>50</v>
      </c>
      <c r="AO506" s="11" t="s">
        <v>50</v>
      </c>
      <c r="AP506" s="10" t="s">
        <v>50</v>
      </c>
      <c r="AQ506" s="10" t="s">
        <v>50</v>
      </c>
      <c r="AR506" s="10" t="s">
        <v>50</v>
      </c>
      <c r="AS506" s="10" t="s">
        <v>50</v>
      </c>
      <c r="AT506" s="10" t="s">
        <v>50</v>
      </c>
      <c r="AU506" s="10" t="s">
        <v>50</v>
      </c>
      <c r="AV506" s="11"/>
      <c r="AW506" s="10" t="s">
        <v>66</v>
      </c>
      <c r="AX506" s="10"/>
      <c r="AY506" s="10" t="s">
        <v>66</v>
      </c>
    </row>
    <row r="507" ht="22.5" hidden="1" customHeight="1">
      <c r="A507" s="9" t="s">
        <v>5401</v>
      </c>
      <c r="B507" s="10" t="s">
        <v>5402</v>
      </c>
      <c r="C507" s="10" t="s">
        <v>43</v>
      </c>
      <c r="D507" s="10" t="s">
        <v>2481</v>
      </c>
      <c r="E507" s="10" t="s">
        <v>66</v>
      </c>
      <c r="F507" s="11">
        <v>1.0</v>
      </c>
      <c r="G507" s="11">
        <v>79.2</v>
      </c>
      <c r="H507" s="11"/>
      <c r="I507" s="11">
        <v>-13.46</v>
      </c>
      <c r="J507" s="11">
        <v>-20.45</v>
      </c>
      <c r="K507" s="11"/>
      <c r="L507" s="11">
        <v>50.04</v>
      </c>
      <c r="M507" s="10" t="s">
        <v>46</v>
      </c>
      <c r="N507" s="10" t="s">
        <v>45</v>
      </c>
      <c r="O507" s="10" t="s">
        <v>892</v>
      </c>
      <c r="P507" s="10" t="s">
        <v>893</v>
      </c>
      <c r="Q507" s="10" t="s">
        <v>894</v>
      </c>
      <c r="R507" s="10" t="s">
        <v>74</v>
      </c>
      <c r="S507" s="11">
        <v>79.2</v>
      </c>
      <c r="T507" s="11">
        <v>2.97</v>
      </c>
      <c r="U507" s="11" t="s">
        <v>51</v>
      </c>
      <c r="V507" s="10" t="s">
        <v>52</v>
      </c>
      <c r="W507" s="10" t="s">
        <v>5403</v>
      </c>
      <c r="X507" s="10" t="s">
        <v>5404</v>
      </c>
      <c r="Y507" s="10" t="s">
        <v>5405</v>
      </c>
      <c r="Z507" s="10" t="s">
        <v>50</v>
      </c>
      <c r="AA507" s="10" t="s">
        <v>50</v>
      </c>
      <c r="AB507" s="10" t="s">
        <v>5403</v>
      </c>
      <c r="AC507" s="10" t="s">
        <v>5406</v>
      </c>
      <c r="AD507" s="10" t="s">
        <v>5407</v>
      </c>
      <c r="AE507" s="10" t="s">
        <v>5408</v>
      </c>
      <c r="AF507" s="10" t="s">
        <v>58</v>
      </c>
      <c r="AG507" s="10" t="s">
        <v>5409</v>
      </c>
      <c r="AH507" s="10" t="s">
        <v>60</v>
      </c>
      <c r="AI507" s="10" t="s">
        <v>61</v>
      </c>
      <c r="AJ507" s="10" t="s">
        <v>5410</v>
      </c>
      <c r="AK507" s="10" t="s">
        <v>5411</v>
      </c>
      <c r="AL507" s="10" t="s">
        <v>64</v>
      </c>
      <c r="AM507" s="10" t="s">
        <v>5412</v>
      </c>
      <c r="AN507" s="10" t="s">
        <v>50</v>
      </c>
      <c r="AO507" s="11" t="s">
        <v>50</v>
      </c>
      <c r="AP507" s="10" t="s">
        <v>50</v>
      </c>
      <c r="AQ507" s="10" t="s">
        <v>50</v>
      </c>
      <c r="AR507" s="10" t="s">
        <v>50</v>
      </c>
      <c r="AS507" s="10" t="s">
        <v>50</v>
      </c>
      <c r="AT507" s="10" t="s">
        <v>50</v>
      </c>
      <c r="AU507" s="10" t="s">
        <v>50</v>
      </c>
      <c r="AV507" s="11"/>
      <c r="AW507" s="10" t="s">
        <v>66</v>
      </c>
      <c r="AX507" s="10"/>
      <c r="AY507" s="10" t="s">
        <v>66</v>
      </c>
    </row>
    <row r="508" ht="22.5" hidden="1" customHeight="1">
      <c r="A508" s="9" t="s">
        <v>5413</v>
      </c>
      <c r="B508" s="10" t="s">
        <v>5414</v>
      </c>
      <c r="C508" s="10" t="s">
        <v>5415</v>
      </c>
      <c r="D508" s="10" t="s">
        <v>5416</v>
      </c>
      <c r="E508" s="10" t="s">
        <v>66</v>
      </c>
      <c r="F508" s="11">
        <v>1.0</v>
      </c>
      <c r="G508" s="11">
        <v>79.0</v>
      </c>
      <c r="H508" s="11"/>
      <c r="I508" s="11">
        <v>-13.43</v>
      </c>
      <c r="J508" s="11">
        <v>-20.45</v>
      </c>
      <c r="K508" s="11">
        <v>-19.67</v>
      </c>
      <c r="L508" s="11">
        <v>25.45</v>
      </c>
      <c r="M508" s="10" t="s">
        <v>46</v>
      </c>
      <c r="N508" s="10" t="s">
        <v>45</v>
      </c>
      <c r="O508" s="10" t="s">
        <v>160</v>
      </c>
      <c r="P508" s="10" t="s">
        <v>161</v>
      </c>
      <c r="Q508" s="10" t="s">
        <v>162</v>
      </c>
      <c r="R508" s="10" t="s">
        <v>74</v>
      </c>
      <c r="S508" s="11">
        <v>79.0</v>
      </c>
      <c r="T508" s="11">
        <v>2.49</v>
      </c>
      <c r="U508" s="11" t="s">
        <v>51</v>
      </c>
      <c r="V508" s="10" t="s">
        <v>52</v>
      </c>
      <c r="W508" s="10" t="s">
        <v>5417</v>
      </c>
      <c r="X508" s="10" t="s">
        <v>5418</v>
      </c>
      <c r="Y508" s="10" t="s">
        <v>5419</v>
      </c>
      <c r="Z508" s="10" t="s">
        <v>50</v>
      </c>
      <c r="AA508" s="10" t="s">
        <v>50</v>
      </c>
      <c r="AB508" s="10" t="s">
        <v>5417</v>
      </c>
      <c r="AC508" s="10" t="s">
        <v>5420</v>
      </c>
      <c r="AD508" s="10" t="s">
        <v>5421</v>
      </c>
      <c r="AE508" s="10" t="s">
        <v>671</v>
      </c>
      <c r="AF508" s="10" t="s">
        <v>214</v>
      </c>
      <c r="AG508" s="10" t="s">
        <v>5422</v>
      </c>
      <c r="AH508" s="10" t="s">
        <v>60</v>
      </c>
      <c r="AI508" s="10" t="s">
        <v>61</v>
      </c>
      <c r="AJ508" s="10" t="s">
        <v>5150</v>
      </c>
      <c r="AK508" s="10" t="s">
        <v>5423</v>
      </c>
      <c r="AL508" s="10" t="s">
        <v>64</v>
      </c>
      <c r="AM508" s="10" t="s">
        <v>5424</v>
      </c>
      <c r="AN508" s="10" t="s">
        <v>50</v>
      </c>
      <c r="AO508" s="11" t="s">
        <v>50</v>
      </c>
      <c r="AP508" s="10" t="s">
        <v>50</v>
      </c>
      <c r="AQ508" s="10" t="s">
        <v>50</v>
      </c>
      <c r="AR508" s="10" t="s">
        <v>50</v>
      </c>
      <c r="AS508" s="10" t="s">
        <v>50</v>
      </c>
      <c r="AT508" s="10" t="s">
        <v>50</v>
      </c>
      <c r="AU508" s="10" t="s">
        <v>50</v>
      </c>
      <c r="AV508" s="11"/>
      <c r="AW508" s="10" t="s">
        <v>66</v>
      </c>
      <c r="AX508" s="10">
        <v>1.0</v>
      </c>
      <c r="AY508" s="10" t="s">
        <v>66</v>
      </c>
    </row>
    <row r="509" ht="22.5" hidden="1" customHeight="1">
      <c r="A509" s="9" t="s">
        <v>5425</v>
      </c>
      <c r="B509" s="10" t="s">
        <v>5426</v>
      </c>
      <c r="C509" s="10" t="s">
        <v>43</v>
      </c>
      <c r="D509" s="10" t="s">
        <v>2402</v>
      </c>
      <c r="E509" s="10" t="s">
        <v>45</v>
      </c>
      <c r="F509" s="11">
        <v>2.0</v>
      </c>
      <c r="G509" s="11">
        <v>158.0</v>
      </c>
      <c r="H509" s="11"/>
      <c r="I509" s="11">
        <v>-26.86</v>
      </c>
      <c r="J509" s="11">
        <v>-40.9</v>
      </c>
      <c r="K509" s="11"/>
      <c r="L509" s="11">
        <v>90.24</v>
      </c>
      <c r="M509" s="10" t="s">
        <v>46</v>
      </c>
      <c r="N509" s="10" t="s">
        <v>50</v>
      </c>
      <c r="O509" s="10" t="s">
        <v>461</v>
      </c>
      <c r="P509" s="10" t="s">
        <v>462</v>
      </c>
      <c r="Q509" s="10" t="s">
        <v>463</v>
      </c>
      <c r="R509" s="10" t="s">
        <v>74</v>
      </c>
      <c r="S509" s="11">
        <v>79.0</v>
      </c>
      <c r="T509" s="11">
        <v>10.09</v>
      </c>
      <c r="U509" s="11" t="s">
        <v>51</v>
      </c>
      <c r="V509" s="10" t="s">
        <v>52</v>
      </c>
      <c r="W509" s="10" t="s">
        <v>4372</v>
      </c>
      <c r="X509" s="10" t="s">
        <v>4373</v>
      </c>
      <c r="Y509" s="10" t="s">
        <v>5427</v>
      </c>
      <c r="Z509" s="10" t="s">
        <v>50</v>
      </c>
      <c r="AA509" s="10" t="s">
        <v>50</v>
      </c>
      <c r="AB509" s="10" t="s">
        <v>4372</v>
      </c>
      <c r="AC509" s="10" t="s">
        <v>4375</v>
      </c>
      <c r="AD509" s="10" t="s">
        <v>5428</v>
      </c>
      <c r="AE509" s="10" t="s">
        <v>322</v>
      </c>
      <c r="AF509" s="10" t="s">
        <v>323</v>
      </c>
      <c r="AG509" s="10" t="s">
        <v>5429</v>
      </c>
      <c r="AH509" s="10" t="s">
        <v>60</v>
      </c>
      <c r="AI509" s="10" t="s">
        <v>61</v>
      </c>
      <c r="AJ509" s="10" t="s">
        <v>5119</v>
      </c>
      <c r="AK509" s="10" t="s">
        <v>5430</v>
      </c>
      <c r="AL509" s="10" t="s">
        <v>64</v>
      </c>
      <c r="AM509" s="10" t="s">
        <v>5431</v>
      </c>
      <c r="AN509" s="10" t="s">
        <v>50</v>
      </c>
      <c r="AO509" s="11" t="s">
        <v>50</v>
      </c>
      <c r="AP509" s="10" t="s">
        <v>50</v>
      </c>
      <c r="AQ509" s="10" t="s">
        <v>50</v>
      </c>
      <c r="AR509" s="10" t="s">
        <v>50</v>
      </c>
      <c r="AS509" s="10" t="s">
        <v>50</v>
      </c>
      <c r="AT509" s="10" t="s">
        <v>50</v>
      </c>
      <c r="AU509" s="10" t="s">
        <v>50</v>
      </c>
      <c r="AV509" s="11"/>
      <c r="AW509" s="10" t="s">
        <v>66</v>
      </c>
      <c r="AX509" s="10"/>
      <c r="AY509" s="10" t="s">
        <v>66</v>
      </c>
    </row>
    <row r="510" ht="22.5" hidden="1" customHeight="1">
      <c r="A510" s="9" t="s">
        <v>5432</v>
      </c>
      <c r="B510" s="10" t="s">
        <v>5433</v>
      </c>
      <c r="C510" s="10" t="s">
        <v>43</v>
      </c>
      <c r="D510" s="10" t="s">
        <v>2481</v>
      </c>
      <c r="E510" s="10" t="s">
        <v>45</v>
      </c>
      <c r="F510" s="11">
        <v>1.0</v>
      </c>
      <c r="G510" s="11">
        <v>79.0</v>
      </c>
      <c r="H510" s="11"/>
      <c r="I510" s="11">
        <v>-13.43</v>
      </c>
      <c r="J510" s="11">
        <v>-20.45</v>
      </c>
      <c r="K510" s="11"/>
      <c r="L510" s="11">
        <v>45.12</v>
      </c>
      <c r="M510" s="10" t="s">
        <v>46</v>
      </c>
      <c r="N510" s="10" t="s">
        <v>45</v>
      </c>
      <c r="O510" s="10" t="s">
        <v>160</v>
      </c>
      <c r="P510" s="10" t="s">
        <v>161</v>
      </c>
      <c r="Q510" s="10" t="s">
        <v>162</v>
      </c>
      <c r="R510" s="10" t="s">
        <v>74</v>
      </c>
      <c r="S510" s="11">
        <v>79.0</v>
      </c>
      <c r="T510" s="11">
        <v>2.49</v>
      </c>
      <c r="U510" s="11" t="s">
        <v>51</v>
      </c>
      <c r="V510" s="10" t="s">
        <v>52</v>
      </c>
      <c r="W510" s="10" t="s">
        <v>2175</v>
      </c>
      <c r="X510" s="10" t="s">
        <v>2176</v>
      </c>
      <c r="Y510" s="10" t="s">
        <v>2177</v>
      </c>
      <c r="Z510" s="10" t="s">
        <v>50</v>
      </c>
      <c r="AA510" s="10" t="s">
        <v>50</v>
      </c>
      <c r="AB510" s="10" t="s">
        <v>2175</v>
      </c>
      <c r="AC510" s="10" t="s">
        <v>2178</v>
      </c>
      <c r="AD510" s="10" t="s">
        <v>5434</v>
      </c>
      <c r="AE510" s="10" t="s">
        <v>3537</v>
      </c>
      <c r="AF510" s="10" t="s">
        <v>58</v>
      </c>
      <c r="AG510" s="10" t="s">
        <v>3538</v>
      </c>
      <c r="AH510" s="10" t="s">
        <v>60</v>
      </c>
      <c r="AI510" s="10" t="s">
        <v>61</v>
      </c>
      <c r="AJ510" s="10" t="s">
        <v>2397</v>
      </c>
      <c r="AK510" s="10" t="s">
        <v>5435</v>
      </c>
      <c r="AL510" s="10" t="s">
        <v>64</v>
      </c>
      <c r="AM510" s="10" t="s">
        <v>5436</v>
      </c>
      <c r="AN510" s="10" t="s">
        <v>50</v>
      </c>
      <c r="AO510" s="11" t="s">
        <v>50</v>
      </c>
      <c r="AP510" s="10" t="s">
        <v>50</v>
      </c>
      <c r="AQ510" s="10" t="s">
        <v>50</v>
      </c>
      <c r="AR510" s="10" t="s">
        <v>50</v>
      </c>
      <c r="AS510" s="10" t="s">
        <v>50</v>
      </c>
      <c r="AT510" s="10" t="s">
        <v>50</v>
      </c>
      <c r="AU510" s="10" t="s">
        <v>50</v>
      </c>
      <c r="AV510" s="11"/>
      <c r="AW510" s="10" t="s">
        <v>66</v>
      </c>
      <c r="AX510" s="10"/>
      <c r="AY510" s="10" t="s">
        <v>66</v>
      </c>
    </row>
    <row r="511" ht="22.5" hidden="1" customHeight="1">
      <c r="A511" s="9" t="s">
        <v>5437</v>
      </c>
      <c r="B511" s="10" t="s">
        <v>5438</v>
      </c>
      <c r="C511" s="10" t="s">
        <v>43</v>
      </c>
      <c r="D511" s="10" t="s">
        <v>4592</v>
      </c>
      <c r="E511" s="10" t="s">
        <v>45</v>
      </c>
      <c r="F511" s="11">
        <v>2.0</v>
      </c>
      <c r="G511" s="11">
        <v>87.4</v>
      </c>
      <c r="H511" s="11"/>
      <c r="I511" s="11">
        <v>-26.86</v>
      </c>
      <c r="J511" s="11"/>
      <c r="K511" s="11"/>
      <c r="L511" s="11">
        <v>65.78</v>
      </c>
      <c r="M511" s="10" t="s">
        <v>46</v>
      </c>
      <c r="N511" s="10" t="s">
        <v>50</v>
      </c>
      <c r="O511" s="10" t="s">
        <v>176</v>
      </c>
      <c r="P511" s="10" t="s">
        <v>177</v>
      </c>
      <c r="Q511" s="10" t="s">
        <v>178</v>
      </c>
      <c r="R511" s="10" t="s">
        <v>74</v>
      </c>
      <c r="S511" s="11">
        <v>43.7</v>
      </c>
      <c r="T511" s="11">
        <f>2*22.58</f>
        <v>45.16</v>
      </c>
      <c r="U511" s="11" t="s">
        <v>51</v>
      </c>
      <c r="V511" s="10" t="s">
        <v>52</v>
      </c>
      <c r="W511" s="10" t="s">
        <v>5439</v>
      </c>
      <c r="X511" s="10" t="s">
        <v>5440</v>
      </c>
      <c r="Y511" s="10" t="s">
        <v>5441</v>
      </c>
      <c r="Z511" s="10" t="s">
        <v>50</v>
      </c>
      <c r="AA511" s="10" t="s">
        <v>50</v>
      </c>
      <c r="AB511" s="10" t="s">
        <v>5439</v>
      </c>
      <c r="AC511" s="10" t="s">
        <v>5442</v>
      </c>
      <c r="AD511" s="10" t="s">
        <v>5443</v>
      </c>
      <c r="AE511" s="10" t="s">
        <v>58</v>
      </c>
      <c r="AF511" s="10" t="s">
        <v>58</v>
      </c>
      <c r="AG511" s="10" t="s">
        <v>5444</v>
      </c>
      <c r="AH511" s="10" t="s">
        <v>60</v>
      </c>
      <c r="AI511" s="10" t="s">
        <v>61</v>
      </c>
      <c r="AJ511" s="10" t="s">
        <v>2397</v>
      </c>
      <c r="AK511" s="10" t="s">
        <v>5445</v>
      </c>
      <c r="AL511" s="10" t="s">
        <v>1025</v>
      </c>
      <c r="AM511" s="10" t="s">
        <v>5446</v>
      </c>
      <c r="AN511" s="10" t="s">
        <v>5447</v>
      </c>
      <c r="AO511" s="11" t="s">
        <v>50</v>
      </c>
      <c r="AP511" s="10" t="s">
        <v>50</v>
      </c>
      <c r="AQ511" s="10" t="s">
        <v>50</v>
      </c>
      <c r="AR511" s="10" t="s">
        <v>50</v>
      </c>
      <c r="AS511" s="10" t="s">
        <v>50</v>
      </c>
      <c r="AT511" s="10" t="s">
        <v>50</v>
      </c>
      <c r="AU511" s="10" t="s">
        <v>50</v>
      </c>
      <c r="AV511" s="11"/>
      <c r="AW511" s="10" t="s">
        <v>66</v>
      </c>
      <c r="AX511" s="10"/>
      <c r="AY511" s="10" t="s">
        <v>66</v>
      </c>
    </row>
    <row r="512" ht="22.5" hidden="1" customHeight="1">
      <c r="A512" s="9" t="s">
        <v>5448</v>
      </c>
      <c r="B512" s="10" t="s">
        <v>5449</v>
      </c>
      <c r="C512" s="10" t="s">
        <v>69</v>
      </c>
      <c r="D512" s="10" t="s">
        <v>2283</v>
      </c>
      <c r="E512" s="10" t="s">
        <v>66</v>
      </c>
      <c r="F512" s="11">
        <v>1.0</v>
      </c>
      <c r="G512" s="11">
        <v>81.25</v>
      </c>
      <c r="H512" s="11">
        <v>10.65</v>
      </c>
      <c r="I512" s="11">
        <v>-13.81</v>
      </c>
      <c r="J512" s="11">
        <v>-30.6</v>
      </c>
      <c r="K512" s="11">
        <v>-47.49</v>
      </c>
      <c r="L512" s="11">
        <v>0.0</v>
      </c>
      <c r="M512" s="10" t="s">
        <v>46</v>
      </c>
      <c r="N512" s="10" t="s">
        <v>45</v>
      </c>
      <c r="O512" s="10" t="s">
        <v>920</v>
      </c>
      <c r="P512" s="10" t="s">
        <v>921</v>
      </c>
      <c r="Q512" s="10" t="s">
        <v>922</v>
      </c>
      <c r="R512" s="10" t="s">
        <v>74</v>
      </c>
      <c r="S512" s="11">
        <v>81.25</v>
      </c>
      <c r="T512" s="11"/>
      <c r="U512" s="11" t="s">
        <v>51</v>
      </c>
      <c r="V512" s="10" t="s">
        <v>52</v>
      </c>
      <c r="W512" s="10" t="s">
        <v>5450</v>
      </c>
      <c r="X512" s="10" t="s">
        <v>5451</v>
      </c>
      <c r="Y512" s="10" t="s">
        <v>5452</v>
      </c>
      <c r="Z512" s="10" t="s">
        <v>50</v>
      </c>
      <c r="AA512" s="10" t="s">
        <v>50</v>
      </c>
      <c r="AB512" s="10" t="s">
        <v>5450</v>
      </c>
      <c r="AC512" s="10" t="s">
        <v>5453</v>
      </c>
      <c r="AD512" s="10" t="s">
        <v>50</v>
      </c>
      <c r="AE512" s="10" t="s">
        <v>5454</v>
      </c>
      <c r="AF512" s="10" t="s">
        <v>799</v>
      </c>
      <c r="AG512" s="10" t="s">
        <v>5455</v>
      </c>
      <c r="AH512" s="10" t="s">
        <v>60</v>
      </c>
      <c r="AI512" s="10" t="s">
        <v>61</v>
      </c>
      <c r="AJ512" s="10" t="s">
        <v>50</v>
      </c>
      <c r="AK512" s="10" t="s">
        <v>50</v>
      </c>
      <c r="AL512" s="10" t="s">
        <v>64</v>
      </c>
      <c r="AM512" s="10" t="s">
        <v>5456</v>
      </c>
      <c r="AN512" s="10" t="s">
        <v>50</v>
      </c>
      <c r="AO512" s="11" t="s">
        <v>50</v>
      </c>
      <c r="AP512" s="10" t="s">
        <v>50</v>
      </c>
      <c r="AQ512" s="10" t="s">
        <v>50</v>
      </c>
      <c r="AR512" s="10" t="s">
        <v>50</v>
      </c>
      <c r="AS512" s="10" t="s">
        <v>50</v>
      </c>
      <c r="AT512" s="10" t="s">
        <v>50</v>
      </c>
      <c r="AU512" s="10" t="s">
        <v>50</v>
      </c>
      <c r="AV512" s="11"/>
      <c r="AW512" s="10" t="s">
        <v>66</v>
      </c>
      <c r="AX512" s="10"/>
      <c r="AY512" s="10" t="s">
        <v>66</v>
      </c>
    </row>
    <row r="513" ht="22.5" hidden="1" customHeight="1">
      <c r="A513" s="9" t="s">
        <v>5457</v>
      </c>
      <c r="B513" s="10" t="s">
        <v>5458</v>
      </c>
      <c r="C513" s="10" t="s">
        <v>43</v>
      </c>
      <c r="D513" s="10" t="s">
        <v>2326</v>
      </c>
      <c r="E513" s="10" t="s">
        <v>66</v>
      </c>
      <c r="F513" s="11">
        <v>1.0</v>
      </c>
      <c r="G513" s="11">
        <v>79.0</v>
      </c>
      <c r="H513" s="11"/>
      <c r="I513" s="11">
        <v>-13.43</v>
      </c>
      <c r="J513" s="11">
        <v>-20.45</v>
      </c>
      <c r="K513" s="11"/>
      <c r="L513" s="11">
        <v>45.12</v>
      </c>
      <c r="M513" s="10" t="s">
        <v>46</v>
      </c>
      <c r="N513" s="10" t="s">
        <v>50</v>
      </c>
      <c r="O513" s="10" t="s">
        <v>160</v>
      </c>
      <c r="P513" s="10" t="s">
        <v>161</v>
      </c>
      <c r="Q513" s="10" t="s">
        <v>162</v>
      </c>
      <c r="R513" s="10" t="s">
        <v>74</v>
      </c>
      <c r="S513" s="11">
        <v>79.0</v>
      </c>
      <c r="T513" s="11">
        <v>2.49</v>
      </c>
      <c r="U513" s="11" t="s">
        <v>51</v>
      </c>
      <c r="V513" s="10" t="s">
        <v>52</v>
      </c>
      <c r="W513" s="10" t="s">
        <v>5459</v>
      </c>
      <c r="X513" s="10" t="s">
        <v>5460</v>
      </c>
      <c r="Y513" s="10" t="s">
        <v>5461</v>
      </c>
      <c r="Z513" s="10" t="s">
        <v>50</v>
      </c>
      <c r="AA513" s="10" t="s">
        <v>50</v>
      </c>
      <c r="AB513" s="10" t="s">
        <v>5459</v>
      </c>
      <c r="AC513" s="10" t="s">
        <v>5462</v>
      </c>
      <c r="AD513" s="10" t="s">
        <v>5463</v>
      </c>
      <c r="AE513" s="10" t="s">
        <v>5464</v>
      </c>
      <c r="AF513" s="10" t="s">
        <v>214</v>
      </c>
      <c r="AG513" s="10" t="s">
        <v>5465</v>
      </c>
      <c r="AH513" s="10" t="s">
        <v>60</v>
      </c>
      <c r="AI513" s="10" t="s">
        <v>61</v>
      </c>
      <c r="AJ513" s="10" t="s">
        <v>5195</v>
      </c>
      <c r="AK513" s="10" t="s">
        <v>5466</v>
      </c>
      <c r="AL513" s="10" t="s">
        <v>64</v>
      </c>
      <c r="AM513" s="10" t="s">
        <v>5467</v>
      </c>
      <c r="AN513" s="10" t="s">
        <v>50</v>
      </c>
      <c r="AO513" s="11" t="s">
        <v>50</v>
      </c>
      <c r="AP513" s="10" t="s">
        <v>50</v>
      </c>
      <c r="AQ513" s="10" t="s">
        <v>50</v>
      </c>
      <c r="AR513" s="10" t="s">
        <v>50</v>
      </c>
      <c r="AS513" s="10" t="s">
        <v>50</v>
      </c>
      <c r="AT513" s="10" t="s">
        <v>50</v>
      </c>
      <c r="AU513" s="10" t="s">
        <v>50</v>
      </c>
      <c r="AV513" s="11"/>
      <c r="AW513" s="10" t="s">
        <v>66</v>
      </c>
      <c r="AX513" s="10"/>
      <c r="AY513" s="10" t="s">
        <v>66</v>
      </c>
    </row>
    <row r="514" ht="22.5" hidden="1" customHeight="1">
      <c r="A514" s="12" t="s">
        <v>5468</v>
      </c>
      <c r="B514" s="13" t="s">
        <v>5469</v>
      </c>
      <c r="C514" s="13" t="s">
        <v>747</v>
      </c>
      <c r="D514" s="13" t="s">
        <v>50</v>
      </c>
      <c r="E514" s="13" t="s">
        <v>50</v>
      </c>
      <c r="F514" s="14"/>
      <c r="G514" s="14">
        <v>158.2</v>
      </c>
      <c r="H514" s="14"/>
      <c r="I514" s="14">
        <v>-26.89</v>
      </c>
      <c r="J514" s="14">
        <v>-40.9</v>
      </c>
      <c r="K514" s="14"/>
      <c r="L514" s="14">
        <v>95.16</v>
      </c>
      <c r="M514" s="13" t="s">
        <v>46</v>
      </c>
      <c r="N514" s="13" t="s">
        <v>50</v>
      </c>
      <c r="O514" s="13" t="s">
        <v>50</v>
      </c>
      <c r="P514" s="13" t="s">
        <v>50</v>
      </c>
      <c r="Q514" s="13" t="s">
        <v>50</v>
      </c>
      <c r="R514" s="13" t="s">
        <v>50</v>
      </c>
      <c r="S514" s="14"/>
      <c r="T514" s="14"/>
      <c r="U514" s="14" t="s">
        <v>50</v>
      </c>
      <c r="V514" s="13" t="s">
        <v>52</v>
      </c>
      <c r="W514" s="13" t="s">
        <v>5470</v>
      </c>
      <c r="X514" s="13" t="s">
        <v>5471</v>
      </c>
      <c r="Y514" s="13" t="s">
        <v>5472</v>
      </c>
      <c r="Z514" s="13" t="s">
        <v>50</v>
      </c>
      <c r="AA514" s="13" t="s">
        <v>50</v>
      </c>
      <c r="AB514" s="13" t="s">
        <v>5470</v>
      </c>
      <c r="AC514" s="13" t="s">
        <v>5473</v>
      </c>
      <c r="AD514" s="13" t="s">
        <v>5474</v>
      </c>
      <c r="AE514" s="13" t="s">
        <v>58</v>
      </c>
      <c r="AF514" s="13" t="s">
        <v>58</v>
      </c>
      <c r="AG514" s="13" t="s">
        <v>5475</v>
      </c>
      <c r="AH514" s="13" t="s">
        <v>60</v>
      </c>
      <c r="AI514" s="13" t="s">
        <v>61</v>
      </c>
      <c r="AJ514" s="13" t="s">
        <v>5264</v>
      </c>
      <c r="AK514" s="13" t="s">
        <v>5476</v>
      </c>
      <c r="AL514" s="13" t="s">
        <v>64</v>
      </c>
      <c r="AM514" s="13" t="s">
        <v>5477</v>
      </c>
      <c r="AN514" s="13" t="s">
        <v>50</v>
      </c>
      <c r="AO514" s="15" t="s">
        <v>50</v>
      </c>
      <c r="AP514" s="13" t="s">
        <v>50</v>
      </c>
      <c r="AQ514" s="13" t="s">
        <v>50</v>
      </c>
      <c r="AR514" s="13" t="s">
        <v>50</v>
      </c>
      <c r="AS514" s="13" t="s">
        <v>50</v>
      </c>
      <c r="AT514" s="13" t="s">
        <v>50</v>
      </c>
      <c r="AU514" s="13" t="s">
        <v>50</v>
      </c>
      <c r="AV514" s="15"/>
      <c r="AW514" s="13" t="s">
        <v>50</v>
      </c>
      <c r="AX514" s="13"/>
      <c r="AY514" s="13" t="s">
        <v>50</v>
      </c>
    </row>
    <row r="515" ht="22.5" hidden="1" customHeight="1">
      <c r="A515" s="16" t="s">
        <v>5478</v>
      </c>
      <c r="B515" s="17" t="s">
        <v>5469</v>
      </c>
      <c r="C515" s="17" t="s">
        <v>43</v>
      </c>
      <c r="D515" s="17" t="s">
        <v>2481</v>
      </c>
      <c r="E515" s="17" t="s">
        <v>45</v>
      </c>
      <c r="F515" s="18">
        <v>1.0</v>
      </c>
      <c r="G515" s="18"/>
      <c r="H515" s="18"/>
      <c r="I515" s="18"/>
      <c r="J515" s="18"/>
      <c r="K515" s="18"/>
      <c r="L515" s="18"/>
      <c r="M515" s="17" t="s">
        <v>50</v>
      </c>
      <c r="N515" s="17" t="s">
        <v>45</v>
      </c>
      <c r="O515" s="17" t="s">
        <v>160</v>
      </c>
      <c r="P515" s="17" t="s">
        <v>161</v>
      </c>
      <c r="Q515" s="17" t="s">
        <v>162</v>
      </c>
      <c r="R515" s="17" t="s">
        <v>74</v>
      </c>
      <c r="S515" s="18">
        <v>79.0</v>
      </c>
      <c r="T515" s="18">
        <v>2.49</v>
      </c>
      <c r="U515" s="18" t="s">
        <v>51</v>
      </c>
      <c r="V515" s="17" t="s">
        <v>50</v>
      </c>
      <c r="W515" s="17" t="s">
        <v>50</v>
      </c>
      <c r="X515" s="17" t="s">
        <v>50</v>
      </c>
      <c r="Y515" s="17" t="s">
        <v>50</v>
      </c>
      <c r="Z515" s="17" t="s">
        <v>50</v>
      </c>
      <c r="AA515" s="17" t="s">
        <v>50</v>
      </c>
      <c r="AB515" s="17" t="s">
        <v>50</v>
      </c>
      <c r="AC515" s="17" t="s">
        <v>50</v>
      </c>
      <c r="AD515" s="17" t="s">
        <v>50</v>
      </c>
      <c r="AE515" s="17" t="s">
        <v>50</v>
      </c>
      <c r="AF515" s="17" t="s">
        <v>50</v>
      </c>
      <c r="AG515" s="17" t="s">
        <v>50</v>
      </c>
      <c r="AH515" s="17" t="s">
        <v>50</v>
      </c>
      <c r="AI515" s="17" t="s">
        <v>50</v>
      </c>
      <c r="AJ515" s="17" t="s">
        <v>50</v>
      </c>
      <c r="AK515" s="17" t="s">
        <v>50</v>
      </c>
      <c r="AL515" s="17" t="s">
        <v>50</v>
      </c>
      <c r="AM515" s="17" t="s">
        <v>50</v>
      </c>
      <c r="AN515" s="17" t="s">
        <v>50</v>
      </c>
      <c r="AO515" s="18" t="s">
        <v>50</v>
      </c>
      <c r="AP515" s="17" t="s">
        <v>50</v>
      </c>
      <c r="AQ515" s="17" t="s">
        <v>50</v>
      </c>
      <c r="AR515" s="17" t="s">
        <v>50</v>
      </c>
      <c r="AS515" s="17" t="s">
        <v>50</v>
      </c>
      <c r="AT515" s="17" t="s">
        <v>50</v>
      </c>
      <c r="AU515" s="17" t="s">
        <v>50</v>
      </c>
      <c r="AV515" s="18"/>
      <c r="AW515" s="17" t="s">
        <v>66</v>
      </c>
      <c r="AX515" s="17"/>
      <c r="AY515" s="17" t="s">
        <v>66</v>
      </c>
    </row>
    <row r="516" ht="22.5" hidden="1" customHeight="1">
      <c r="A516" s="16" t="s">
        <v>5479</v>
      </c>
      <c r="B516" s="17" t="s">
        <v>5469</v>
      </c>
      <c r="C516" s="17" t="s">
        <v>43</v>
      </c>
      <c r="D516" s="17" t="s">
        <v>2481</v>
      </c>
      <c r="E516" s="17" t="s">
        <v>45</v>
      </c>
      <c r="F516" s="18">
        <v>1.0</v>
      </c>
      <c r="G516" s="18"/>
      <c r="H516" s="18"/>
      <c r="I516" s="18"/>
      <c r="J516" s="18"/>
      <c r="K516" s="18"/>
      <c r="L516" s="18"/>
      <c r="M516" s="17" t="s">
        <v>50</v>
      </c>
      <c r="N516" s="17" t="s">
        <v>45</v>
      </c>
      <c r="O516" s="17" t="s">
        <v>892</v>
      </c>
      <c r="P516" s="17" t="s">
        <v>893</v>
      </c>
      <c r="Q516" s="17" t="s">
        <v>894</v>
      </c>
      <c r="R516" s="17" t="s">
        <v>74</v>
      </c>
      <c r="S516" s="18">
        <v>79.2</v>
      </c>
      <c r="T516" s="18">
        <v>2.97</v>
      </c>
      <c r="U516" s="18" t="s">
        <v>51</v>
      </c>
      <c r="V516" s="17" t="s">
        <v>50</v>
      </c>
      <c r="W516" s="17" t="s">
        <v>50</v>
      </c>
      <c r="X516" s="17" t="s">
        <v>50</v>
      </c>
      <c r="Y516" s="17" t="s">
        <v>50</v>
      </c>
      <c r="Z516" s="17" t="s">
        <v>50</v>
      </c>
      <c r="AA516" s="17" t="s">
        <v>50</v>
      </c>
      <c r="AB516" s="17" t="s">
        <v>50</v>
      </c>
      <c r="AC516" s="17" t="s">
        <v>50</v>
      </c>
      <c r="AD516" s="17" t="s">
        <v>50</v>
      </c>
      <c r="AE516" s="17" t="s">
        <v>50</v>
      </c>
      <c r="AF516" s="17" t="s">
        <v>50</v>
      </c>
      <c r="AG516" s="17" t="s">
        <v>50</v>
      </c>
      <c r="AH516" s="17" t="s">
        <v>50</v>
      </c>
      <c r="AI516" s="17" t="s">
        <v>50</v>
      </c>
      <c r="AJ516" s="17" t="s">
        <v>50</v>
      </c>
      <c r="AK516" s="17" t="s">
        <v>50</v>
      </c>
      <c r="AL516" s="17" t="s">
        <v>50</v>
      </c>
      <c r="AM516" s="17" t="s">
        <v>50</v>
      </c>
      <c r="AN516" s="17" t="s">
        <v>50</v>
      </c>
      <c r="AO516" s="18" t="s">
        <v>50</v>
      </c>
      <c r="AP516" s="17" t="s">
        <v>50</v>
      </c>
      <c r="AQ516" s="17" t="s">
        <v>50</v>
      </c>
      <c r="AR516" s="17" t="s">
        <v>50</v>
      </c>
      <c r="AS516" s="17" t="s">
        <v>50</v>
      </c>
      <c r="AT516" s="17" t="s">
        <v>50</v>
      </c>
      <c r="AU516" s="17" t="s">
        <v>50</v>
      </c>
      <c r="AV516" s="18"/>
      <c r="AW516" s="17" t="s">
        <v>66</v>
      </c>
      <c r="AX516" s="17"/>
      <c r="AY516" s="17" t="s">
        <v>66</v>
      </c>
    </row>
    <row r="517" ht="22.5" hidden="1" customHeight="1">
      <c r="A517" s="9" t="s">
        <v>5480</v>
      </c>
      <c r="B517" s="10" t="s">
        <v>5481</v>
      </c>
      <c r="C517" s="10" t="s">
        <v>43</v>
      </c>
      <c r="D517" s="10" t="s">
        <v>2481</v>
      </c>
      <c r="E517" s="10" t="s">
        <v>66</v>
      </c>
      <c r="F517" s="11">
        <v>1.0</v>
      </c>
      <c r="G517" s="11">
        <v>92.15</v>
      </c>
      <c r="H517" s="11"/>
      <c r="I517" s="11">
        <v>-17.51</v>
      </c>
      <c r="J517" s="11">
        <v>-20.45</v>
      </c>
      <c r="K517" s="11"/>
      <c r="L517" s="11">
        <v>59.72</v>
      </c>
      <c r="M517" s="10" t="s">
        <v>46</v>
      </c>
      <c r="N517" s="10" t="s">
        <v>45</v>
      </c>
      <c r="O517" s="10" t="s">
        <v>586</v>
      </c>
      <c r="P517" s="10" t="s">
        <v>587</v>
      </c>
      <c r="Q517" s="10" t="s">
        <v>588</v>
      </c>
      <c r="R517" s="10" t="s">
        <v>50</v>
      </c>
      <c r="S517" s="11">
        <v>92.15</v>
      </c>
      <c r="T517" s="11">
        <v>20.76</v>
      </c>
      <c r="U517" s="11" t="s">
        <v>51</v>
      </c>
      <c r="V517" s="10" t="s">
        <v>52</v>
      </c>
      <c r="W517" s="10" t="s">
        <v>5482</v>
      </c>
      <c r="X517" s="10" t="s">
        <v>5483</v>
      </c>
      <c r="Y517" s="10" t="s">
        <v>5484</v>
      </c>
      <c r="Z517" s="10" t="s">
        <v>50</v>
      </c>
      <c r="AA517" s="10" t="s">
        <v>50</v>
      </c>
      <c r="AB517" s="10" t="s">
        <v>5482</v>
      </c>
      <c r="AC517" s="10" t="s">
        <v>5485</v>
      </c>
      <c r="AD517" s="10" t="s">
        <v>5486</v>
      </c>
      <c r="AE517" s="10" t="s">
        <v>58</v>
      </c>
      <c r="AF517" s="10" t="s">
        <v>58</v>
      </c>
      <c r="AG517" s="10" t="s">
        <v>5487</v>
      </c>
      <c r="AH517" s="10" t="s">
        <v>60</v>
      </c>
      <c r="AI517" s="10" t="s">
        <v>61</v>
      </c>
      <c r="AJ517" s="10" t="s">
        <v>2455</v>
      </c>
      <c r="AK517" s="10" t="s">
        <v>5488</v>
      </c>
      <c r="AL517" s="10" t="s">
        <v>64</v>
      </c>
      <c r="AM517" s="10" t="s">
        <v>5489</v>
      </c>
      <c r="AN517" s="10" t="s">
        <v>50</v>
      </c>
      <c r="AO517" s="11" t="s">
        <v>50</v>
      </c>
      <c r="AP517" s="10" t="s">
        <v>50</v>
      </c>
      <c r="AQ517" s="10" t="s">
        <v>50</v>
      </c>
      <c r="AR517" s="10" t="s">
        <v>50</v>
      </c>
      <c r="AS517" s="10" t="s">
        <v>50</v>
      </c>
      <c r="AT517" s="10" t="s">
        <v>50</v>
      </c>
      <c r="AU517" s="10" t="s">
        <v>50</v>
      </c>
      <c r="AV517" s="11"/>
      <c r="AW517" s="10" t="s">
        <v>66</v>
      </c>
      <c r="AX517" s="10"/>
      <c r="AY517" s="10" t="s">
        <v>66</v>
      </c>
    </row>
    <row r="518" ht="22.5" hidden="1" customHeight="1">
      <c r="A518" s="9" t="s">
        <v>5490</v>
      </c>
      <c r="B518" s="10" t="s">
        <v>5491</v>
      </c>
      <c r="C518" s="10" t="s">
        <v>43</v>
      </c>
      <c r="D518" s="10" t="s">
        <v>4592</v>
      </c>
      <c r="E518" s="10" t="s">
        <v>45</v>
      </c>
      <c r="F518" s="11">
        <v>2.0</v>
      </c>
      <c r="G518" s="11">
        <v>158.0</v>
      </c>
      <c r="H518" s="11"/>
      <c r="I518" s="11">
        <v>-26.86</v>
      </c>
      <c r="J518" s="11">
        <v>-40.9</v>
      </c>
      <c r="K518" s="11"/>
      <c r="L518" s="11">
        <v>90.24</v>
      </c>
      <c r="M518" s="10" t="s">
        <v>46</v>
      </c>
      <c r="N518" s="10" t="s">
        <v>45</v>
      </c>
      <c r="O518" s="10" t="s">
        <v>160</v>
      </c>
      <c r="P518" s="10" t="s">
        <v>161</v>
      </c>
      <c r="Q518" s="10" t="s">
        <v>162</v>
      </c>
      <c r="R518" s="10" t="s">
        <v>74</v>
      </c>
      <c r="S518" s="11">
        <v>79.0</v>
      </c>
      <c r="T518" s="18">
        <f>2*2.49</f>
        <v>4.98</v>
      </c>
      <c r="U518" s="11" t="s">
        <v>51</v>
      </c>
      <c r="V518" s="10" t="s">
        <v>52</v>
      </c>
      <c r="W518" s="10" t="s">
        <v>5492</v>
      </c>
      <c r="X518" s="10" t="s">
        <v>5493</v>
      </c>
      <c r="Y518" s="10" t="s">
        <v>5494</v>
      </c>
      <c r="Z518" s="10" t="s">
        <v>50</v>
      </c>
      <c r="AA518" s="10" t="s">
        <v>50</v>
      </c>
      <c r="AB518" s="10" t="s">
        <v>5492</v>
      </c>
      <c r="AC518" s="10" t="s">
        <v>5495</v>
      </c>
      <c r="AD518" s="10" t="s">
        <v>5496</v>
      </c>
      <c r="AE518" s="10" t="s">
        <v>1100</v>
      </c>
      <c r="AF518" s="10" t="s">
        <v>799</v>
      </c>
      <c r="AG518" s="10" t="s">
        <v>5497</v>
      </c>
      <c r="AH518" s="10" t="s">
        <v>60</v>
      </c>
      <c r="AI518" s="10" t="s">
        <v>61</v>
      </c>
      <c r="AJ518" s="10" t="s">
        <v>5264</v>
      </c>
      <c r="AK518" s="10" t="s">
        <v>5498</v>
      </c>
      <c r="AL518" s="10" t="s">
        <v>64</v>
      </c>
      <c r="AM518" s="10" t="s">
        <v>5499</v>
      </c>
      <c r="AN518" s="10" t="s">
        <v>50</v>
      </c>
      <c r="AO518" s="11" t="s">
        <v>50</v>
      </c>
      <c r="AP518" s="10" t="s">
        <v>50</v>
      </c>
      <c r="AQ518" s="10" t="s">
        <v>50</v>
      </c>
      <c r="AR518" s="10" t="s">
        <v>50</v>
      </c>
      <c r="AS518" s="10" t="s">
        <v>50</v>
      </c>
      <c r="AT518" s="10" t="s">
        <v>50</v>
      </c>
      <c r="AU518" s="10" t="s">
        <v>50</v>
      </c>
      <c r="AV518" s="11"/>
      <c r="AW518" s="10" t="s">
        <v>66</v>
      </c>
      <c r="AX518" s="10"/>
      <c r="AY518" s="10" t="s">
        <v>66</v>
      </c>
    </row>
    <row r="519" ht="22.5" hidden="1" customHeight="1">
      <c r="A519" s="9" t="s">
        <v>5500</v>
      </c>
      <c r="B519" s="10" t="s">
        <v>5501</v>
      </c>
      <c r="C519" s="10" t="s">
        <v>43</v>
      </c>
      <c r="D519" s="10" t="s">
        <v>2402</v>
      </c>
      <c r="E519" s="10" t="s">
        <v>66</v>
      </c>
      <c r="F519" s="11">
        <v>1.0</v>
      </c>
      <c r="G519" s="11">
        <v>79.0</v>
      </c>
      <c r="H519" s="11"/>
      <c r="I519" s="11">
        <v>-13.43</v>
      </c>
      <c r="J519" s="11">
        <v>-20.45</v>
      </c>
      <c r="K519" s="11"/>
      <c r="L519" s="11">
        <v>45.12</v>
      </c>
      <c r="M519" s="10" t="s">
        <v>46</v>
      </c>
      <c r="N519" s="10" t="s">
        <v>45</v>
      </c>
      <c r="O519" s="10" t="s">
        <v>160</v>
      </c>
      <c r="P519" s="10" t="s">
        <v>161</v>
      </c>
      <c r="Q519" s="10" t="s">
        <v>162</v>
      </c>
      <c r="R519" s="10" t="s">
        <v>74</v>
      </c>
      <c r="S519" s="11">
        <v>79.0</v>
      </c>
      <c r="T519" s="11">
        <v>2.49</v>
      </c>
      <c r="U519" s="11" t="s">
        <v>51</v>
      </c>
      <c r="V519" s="10" t="s">
        <v>52</v>
      </c>
      <c r="W519" s="10" t="s">
        <v>5502</v>
      </c>
      <c r="X519" s="10" t="s">
        <v>5503</v>
      </c>
      <c r="Y519" s="10" t="s">
        <v>5504</v>
      </c>
      <c r="Z519" s="10" t="s">
        <v>50</v>
      </c>
      <c r="AA519" s="10" t="s">
        <v>50</v>
      </c>
      <c r="AB519" s="10" t="s">
        <v>5502</v>
      </c>
      <c r="AC519" s="10" t="s">
        <v>5505</v>
      </c>
      <c r="AD519" s="10" t="s">
        <v>5506</v>
      </c>
      <c r="AE519" s="10" t="s">
        <v>5507</v>
      </c>
      <c r="AF519" s="10" t="s">
        <v>151</v>
      </c>
      <c r="AG519" s="10" t="s">
        <v>5508</v>
      </c>
      <c r="AH519" s="10" t="s">
        <v>60</v>
      </c>
      <c r="AI519" s="10" t="s">
        <v>61</v>
      </c>
      <c r="AJ519" s="10" t="s">
        <v>5509</v>
      </c>
      <c r="AK519" s="10" t="s">
        <v>5510</v>
      </c>
      <c r="AL519" s="10" t="s">
        <v>64</v>
      </c>
      <c r="AM519" s="10" t="s">
        <v>5511</v>
      </c>
      <c r="AN519" s="10" t="s">
        <v>50</v>
      </c>
      <c r="AO519" s="11" t="s">
        <v>50</v>
      </c>
      <c r="AP519" s="10" t="s">
        <v>50</v>
      </c>
      <c r="AQ519" s="10" t="s">
        <v>50</v>
      </c>
      <c r="AR519" s="10" t="s">
        <v>50</v>
      </c>
      <c r="AS519" s="10" t="s">
        <v>50</v>
      </c>
      <c r="AT519" s="10" t="s">
        <v>50</v>
      </c>
      <c r="AU519" s="10" t="s">
        <v>50</v>
      </c>
      <c r="AV519" s="11"/>
      <c r="AW519" s="10" t="s">
        <v>66</v>
      </c>
      <c r="AX519" s="10"/>
      <c r="AY519" s="10" t="s">
        <v>66</v>
      </c>
    </row>
    <row r="520" ht="22.5" hidden="1" customHeight="1">
      <c r="A520" s="9" t="s">
        <v>5512</v>
      </c>
      <c r="B520" s="10" t="s">
        <v>5513</v>
      </c>
      <c r="C520" s="10" t="s">
        <v>43</v>
      </c>
      <c r="D520" s="10" t="s">
        <v>4506</v>
      </c>
      <c r="E520" s="10" t="s">
        <v>66</v>
      </c>
      <c r="F520" s="11">
        <v>1.0</v>
      </c>
      <c r="G520" s="11">
        <v>120.0</v>
      </c>
      <c r="H520" s="11"/>
      <c r="I520" s="11">
        <v>-20.4</v>
      </c>
      <c r="J520" s="11">
        <v>-19.95</v>
      </c>
      <c r="K520" s="11"/>
      <c r="L520" s="11">
        <v>86.85</v>
      </c>
      <c r="M520" s="10" t="s">
        <v>46</v>
      </c>
      <c r="N520" s="10" t="s">
        <v>50</v>
      </c>
      <c r="O520" s="10" t="s">
        <v>85</v>
      </c>
      <c r="P520" s="10" t="s">
        <v>86</v>
      </c>
      <c r="Q520" s="10" t="s">
        <v>87</v>
      </c>
      <c r="R520" s="10" t="s">
        <v>74</v>
      </c>
      <c r="S520" s="11">
        <v>120.0</v>
      </c>
      <c r="T520" s="11">
        <v>65.78</v>
      </c>
      <c r="U520" s="11" t="s">
        <v>51</v>
      </c>
      <c r="V520" s="10" t="s">
        <v>52</v>
      </c>
      <c r="W520" s="10" t="s">
        <v>5514</v>
      </c>
      <c r="X520" s="10" t="s">
        <v>5515</v>
      </c>
      <c r="Y520" s="10" t="s">
        <v>5516</v>
      </c>
      <c r="Z520" s="10" t="s">
        <v>50</v>
      </c>
      <c r="AA520" s="10" t="s">
        <v>50</v>
      </c>
      <c r="AB520" s="10" t="s">
        <v>5514</v>
      </c>
      <c r="AC520" s="10" t="s">
        <v>5517</v>
      </c>
      <c r="AD520" s="10" t="s">
        <v>5518</v>
      </c>
      <c r="AE520" s="10" t="s">
        <v>3359</v>
      </c>
      <c r="AF520" s="10" t="s">
        <v>185</v>
      </c>
      <c r="AG520" s="10" t="s">
        <v>5519</v>
      </c>
      <c r="AH520" s="10" t="s">
        <v>60</v>
      </c>
      <c r="AI520" s="10" t="s">
        <v>61</v>
      </c>
      <c r="AJ520" s="10" t="s">
        <v>5264</v>
      </c>
      <c r="AK520" s="10" t="s">
        <v>5520</v>
      </c>
      <c r="AL520" s="10" t="s">
        <v>64</v>
      </c>
      <c r="AM520" s="10" t="s">
        <v>5521</v>
      </c>
      <c r="AN520" s="10" t="s">
        <v>50</v>
      </c>
      <c r="AO520" s="11" t="s">
        <v>50</v>
      </c>
      <c r="AP520" s="10" t="s">
        <v>50</v>
      </c>
      <c r="AQ520" s="10" t="s">
        <v>50</v>
      </c>
      <c r="AR520" s="10" t="s">
        <v>50</v>
      </c>
      <c r="AS520" s="10" t="s">
        <v>50</v>
      </c>
      <c r="AT520" s="10" t="s">
        <v>50</v>
      </c>
      <c r="AU520" s="10" t="s">
        <v>50</v>
      </c>
      <c r="AV520" s="11"/>
      <c r="AW520" s="10" t="s">
        <v>66</v>
      </c>
      <c r="AX520" s="10"/>
      <c r="AY520" s="10" t="s">
        <v>66</v>
      </c>
    </row>
    <row r="521" ht="22.5" hidden="1" customHeight="1">
      <c r="A521" s="9" t="s">
        <v>5522</v>
      </c>
      <c r="B521" s="10" t="s">
        <v>5523</v>
      </c>
      <c r="C521" s="10" t="s">
        <v>43</v>
      </c>
      <c r="D521" s="10" t="s">
        <v>2481</v>
      </c>
      <c r="E521" s="10" t="s">
        <v>45</v>
      </c>
      <c r="F521" s="11">
        <v>2.0</v>
      </c>
      <c r="G521" s="11">
        <v>87.4</v>
      </c>
      <c r="H521" s="11"/>
      <c r="I521" s="11">
        <v>-26.86</v>
      </c>
      <c r="J521" s="11"/>
      <c r="K521" s="11"/>
      <c r="L521" s="11">
        <v>65.78</v>
      </c>
      <c r="M521" s="10" t="s">
        <v>46</v>
      </c>
      <c r="N521" s="10" t="s">
        <v>50</v>
      </c>
      <c r="O521" s="10" t="s">
        <v>176</v>
      </c>
      <c r="P521" s="10" t="s">
        <v>177</v>
      </c>
      <c r="Q521" s="10" t="s">
        <v>178</v>
      </c>
      <c r="R521" s="10" t="s">
        <v>74</v>
      </c>
      <c r="S521" s="11">
        <v>43.7</v>
      </c>
      <c r="T521" s="11">
        <f>2*22.58</f>
        <v>45.16</v>
      </c>
      <c r="U521" s="11" t="s">
        <v>51</v>
      </c>
      <c r="V521" s="10" t="s">
        <v>52</v>
      </c>
      <c r="W521" s="10" t="s">
        <v>5524</v>
      </c>
      <c r="X521" s="10" t="s">
        <v>5525</v>
      </c>
      <c r="Y521" s="10" t="s">
        <v>5526</v>
      </c>
      <c r="Z521" s="10" t="s">
        <v>50</v>
      </c>
      <c r="AA521" s="10" t="s">
        <v>50</v>
      </c>
      <c r="AB521" s="10" t="s">
        <v>5524</v>
      </c>
      <c r="AC521" s="10" t="s">
        <v>5527</v>
      </c>
      <c r="AD521" s="10" t="s">
        <v>5528</v>
      </c>
      <c r="AE521" s="10" t="s">
        <v>1936</v>
      </c>
      <c r="AF521" s="10" t="s">
        <v>58</v>
      </c>
      <c r="AG521" s="10" t="s">
        <v>5529</v>
      </c>
      <c r="AH521" s="10" t="s">
        <v>60</v>
      </c>
      <c r="AI521" s="10" t="s">
        <v>61</v>
      </c>
      <c r="AJ521" s="10" t="s">
        <v>2397</v>
      </c>
      <c r="AK521" s="10" t="s">
        <v>5530</v>
      </c>
      <c r="AL521" s="10" t="s">
        <v>64</v>
      </c>
      <c r="AM521" s="10" t="s">
        <v>5531</v>
      </c>
      <c r="AN521" s="10" t="s">
        <v>50</v>
      </c>
      <c r="AO521" s="11" t="s">
        <v>50</v>
      </c>
      <c r="AP521" s="10" t="s">
        <v>50</v>
      </c>
      <c r="AQ521" s="10" t="s">
        <v>50</v>
      </c>
      <c r="AR521" s="10" t="s">
        <v>50</v>
      </c>
      <c r="AS521" s="10" t="s">
        <v>50</v>
      </c>
      <c r="AT521" s="10" t="s">
        <v>50</v>
      </c>
      <c r="AU521" s="10" t="s">
        <v>50</v>
      </c>
      <c r="AV521" s="11"/>
      <c r="AW521" s="10" t="s">
        <v>66</v>
      </c>
      <c r="AX521" s="10"/>
      <c r="AY521" s="10" t="s">
        <v>66</v>
      </c>
    </row>
    <row r="522" ht="22.5" hidden="1" customHeight="1">
      <c r="A522" s="12" t="s">
        <v>5532</v>
      </c>
      <c r="B522" s="13" t="s">
        <v>5533</v>
      </c>
      <c r="C522" s="13" t="s">
        <v>747</v>
      </c>
      <c r="D522" s="13" t="s">
        <v>50</v>
      </c>
      <c r="E522" s="13" t="s">
        <v>50</v>
      </c>
      <c r="F522" s="14"/>
      <c r="G522" s="14">
        <v>211.1</v>
      </c>
      <c r="H522" s="14"/>
      <c r="I522" s="14">
        <v>-53.89</v>
      </c>
      <c r="J522" s="14">
        <v>-19.95</v>
      </c>
      <c r="K522" s="14"/>
      <c r="L522" s="14">
        <v>149.12</v>
      </c>
      <c r="M522" s="13" t="s">
        <v>46</v>
      </c>
      <c r="N522" s="13" t="s">
        <v>50</v>
      </c>
      <c r="O522" s="13" t="s">
        <v>50</v>
      </c>
      <c r="P522" s="13" t="s">
        <v>50</v>
      </c>
      <c r="Q522" s="13" t="s">
        <v>50</v>
      </c>
      <c r="R522" s="13" t="s">
        <v>50</v>
      </c>
      <c r="S522" s="14"/>
      <c r="T522" s="14"/>
      <c r="U522" s="14" t="s">
        <v>50</v>
      </c>
      <c r="V522" s="13" t="s">
        <v>52</v>
      </c>
      <c r="W522" s="13" t="s">
        <v>5534</v>
      </c>
      <c r="X522" s="13" t="s">
        <v>5535</v>
      </c>
      <c r="Y522" s="13" t="s">
        <v>5536</v>
      </c>
      <c r="Z522" s="13" t="s">
        <v>50</v>
      </c>
      <c r="AA522" s="13" t="s">
        <v>50</v>
      </c>
      <c r="AB522" s="13" t="s">
        <v>5534</v>
      </c>
      <c r="AC522" s="13" t="s">
        <v>5537</v>
      </c>
      <c r="AD522" s="13" t="s">
        <v>5538</v>
      </c>
      <c r="AE522" s="13" t="s">
        <v>5539</v>
      </c>
      <c r="AF522" s="13" t="s">
        <v>185</v>
      </c>
      <c r="AG522" s="13" t="s">
        <v>5540</v>
      </c>
      <c r="AH522" s="13" t="s">
        <v>60</v>
      </c>
      <c r="AI522" s="13" t="s">
        <v>61</v>
      </c>
      <c r="AJ522" s="13" t="s">
        <v>2455</v>
      </c>
      <c r="AK522" s="13" t="s">
        <v>5541</v>
      </c>
      <c r="AL522" s="13" t="s">
        <v>64</v>
      </c>
      <c r="AM522" s="13" t="s">
        <v>5542</v>
      </c>
      <c r="AN522" s="13" t="s">
        <v>50</v>
      </c>
      <c r="AO522" s="15" t="s">
        <v>50</v>
      </c>
      <c r="AP522" s="13" t="s">
        <v>50</v>
      </c>
      <c r="AQ522" s="13" t="s">
        <v>50</v>
      </c>
      <c r="AR522" s="13" t="s">
        <v>50</v>
      </c>
      <c r="AS522" s="13" t="s">
        <v>50</v>
      </c>
      <c r="AT522" s="13" t="s">
        <v>50</v>
      </c>
      <c r="AU522" s="13" t="s">
        <v>50</v>
      </c>
      <c r="AV522" s="15"/>
      <c r="AW522" s="13" t="s">
        <v>50</v>
      </c>
      <c r="AX522" s="13"/>
      <c r="AY522" s="13" t="s">
        <v>50</v>
      </c>
    </row>
    <row r="523" ht="22.5" hidden="1" customHeight="1">
      <c r="A523" s="16" t="s">
        <v>5543</v>
      </c>
      <c r="B523" s="17" t="s">
        <v>5533</v>
      </c>
      <c r="C523" s="17" t="s">
        <v>43</v>
      </c>
      <c r="D523" s="17" t="s">
        <v>4592</v>
      </c>
      <c r="E523" s="17" t="s">
        <v>45</v>
      </c>
      <c r="F523" s="18">
        <v>3.0</v>
      </c>
      <c r="G523" s="18"/>
      <c r="H523" s="18"/>
      <c r="I523" s="18"/>
      <c r="J523" s="18"/>
      <c r="K523" s="18"/>
      <c r="L523" s="18"/>
      <c r="M523" s="17" t="s">
        <v>50</v>
      </c>
      <c r="N523" s="17" t="s">
        <v>45</v>
      </c>
      <c r="O523" s="17" t="s">
        <v>176</v>
      </c>
      <c r="P523" s="17" t="s">
        <v>177</v>
      </c>
      <c r="Q523" s="17" t="s">
        <v>178</v>
      </c>
      <c r="R523" s="17" t="s">
        <v>74</v>
      </c>
      <c r="S523" s="18">
        <v>43.7</v>
      </c>
      <c r="T523" s="11">
        <f>3*22.58</f>
        <v>67.74</v>
      </c>
      <c r="U523" s="18" t="s">
        <v>51</v>
      </c>
      <c r="V523" s="17" t="s">
        <v>50</v>
      </c>
      <c r="W523" s="17" t="s">
        <v>50</v>
      </c>
      <c r="X523" s="17" t="s">
        <v>50</v>
      </c>
      <c r="Y523" s="17" t="s">
        <v>50</v>
      </c>
      <c r="Z523" s="17" t="s">
        <v>50</v>
      </c>
      <c r="AA523" s="17" t="s">
        <v>50</v>
      </c>
      <c r="AB523" s="17" t="s">
        <v>50</v>
      </c>
      <c r="AC523" s="17" t="s">
        <v>50</v>
      </c>
      <c r="AD523" s="17" t="s">
        <v>50</v>
      </c>
      <c r="AE523" s="17" t="s">
        <v>50</v>
      </c>
      <c r="AF523" s="17" t="s">
        <v>50</v>
      </c>
      <c r="AG523" s="17" t="s">
        <v>50</v>
      </c>
      <c r="AH523" s="17" t="s">
        <v>50</v>
      </c>
      <c r="AI523" s="17" t="s">
        <v>50</v>
      </c>
      <c r="AJ523" s="17" t="s">
        <v>50</v>
      </c>
      <c r="AK523" s="17" t="s">
        <v>50</v>
      </c>
      <c r="AL523" s="17" t="s">
        <v>50</v>
      </c>
      <c r="AM523" s="17" t="s">
        <v>50</v>
      </c>
      <c r="AN523" s="17" t="s">
        <v>50</v>
      </c>
      <c r="AO523" s="18" t="s">
        <v>50</v>
      </c>
      <c r="AP523" s="17" t="s">
        <v>50</v>
      </c>
      <c r="AQ523" s="17" t="s">
        <v>50</v>
      </c>
      <c r="AR523" s="17" t="s">
        <v>50</v>
      </c>
      <c r="AS523" s="17" t="s">
        <v>50</v>
      </c>
      <c r="AT523" s="17" t="s">
        <v>50</v>
      </c>
      <c r="AU523" s="17" t="s">
        <v>50</v>
      </c>
      <c r="AV523" s="18"/>
      <c r="AW523" s="17" t="s">
        <v>66</v>
      </c>
      <c r="AX523" s="17"/>
      <c r="AY523" s="17" t="s">
        <v>66</v>
      </c>
    </row>
    <row r="524" ht="22.5" hidden="1" customHeight="1">
      <c r="A524" s="16" t="s">
        <v>5544</v>
      </c>
      <c r="B524" s="17" t="s">
        <v>5533</v>
      </c>
      <c r="C524" s="17" t="s">
        <v>43</v>
      </c>
      <c r="D524" s="17" t="s">
        <v>4592</v>
      </c>
      <c r="E524" s="17" t="s">
        <v>45</v>
      </c>
      <c r="F524" s="18">
        <v>1.0</v>
      </c>
      <c r="G524" s="18"/>
      <c r="H524" s="18"/>
      <c r="I524" s="18"/>
      <c r="J524" s="18"/>
      <c r="K524" s="18"/>
      <c r="L524" s="18"/>
      <c r="M524" s="17" t="s">
        <v>50</v>
      </c>
      <c r="N524" s="17" t="s">
        <v>45</v>
      </c>
      <c r="O524" s="17" t="s">
        <v>143</v>
      </c>
      <c r="P524" s="17" t="s">
        <v>144</v>
      </c>
      <c r="Q524" s="17" t="s">
        <v>145</v>
      </c>
      <c r="R524" s="17" t="s">
        <v>74</v>
      </c>
      <c r="S524" s="18">
        <v>80.0</v>
      </c>
      <c r="T524" s="18">
        <v>33.38</v>
      </c>
      <c r="U524" s="18" t="s">
        <v>51</v>
      </c>
      <c r="V524" s="17" t="s">
        <v>50</v>
      </c>
      <c r="W524" s="17" t="s">
        <v>50</v>
      </c>
      <c r="X524" s="17" t="s">
        <v>50</v>
      </c>
      <c r="Y524" s="17" t="s">
        <v>50</v>
      </c>
      <c r="Z524" s="17" t="s">
        <v>50</v>
      </c>
      <c r="AA524" s="17" t="s">
        <v>50</v>
      </c>
      <c r="AB524" s="17" t="s">
        <v>50</v>
      </c>
      <c r="AC524" s="17" t="s">
        <v>50</v>
      </c>
      <c r="AD524" s="17" t="s">
        <v>50</v>
      </c>
      <c r="AE524" s="17" t="s">
        <v>50</v>
      </c>
      <c r="AF524" s="17" t="s">
        <v>50</v>
      </c>
      <c r="AG524" s="17" t="s">
        <v>50</v>
      </c>
      <c r="AH524" s="17" t="s">
        <v>50</v>
      </c>
      <c r="AI524" s="17" t="s">
        <v>50</v>
      </c>
      <c r="AJ524" s="17" t="s">
        <v>50</v>
      </c>
      <c r="AK524" s="17" t="s">
        <v>50</v>
      </c>
      <c r="AL524" s="17" t="s">
        <v>50</v>
      </c>
      <c r="AM524" s="17" t="s">
        <v>50</v>
      </c>
      <c r="AN524" s="17" t="s">
        <v>50</v>
      </c>
      <c r="AO524" s="18" t="s">
        <v>50</v>
      </c>
      <c r="AP524" s="17" t="s">
        <v>50</v>
      </c>
      <c r="AQ524" s="17" t="s">
        <v>50</v>
      </c>
      <c r="AR524" s="17" t="s">
        <v>50</v>
      </c>
      <c r="AS524" s="17" t="s">
        <v>50</v>
      </c>
      <c r="AT524" s="17" t="s">
        <v>50</v>
      </c>
      <c r="AU524" s="17" t="s">
        <v>50</v>
      </c>
      <c r="AV524" s="18"/>
      <c r="AW524" s="17" t="s">
        <v>66</v>
      </c>
      <c r="AX524" s="17"/>
      <c r="AY524" s="17" t="s">
        <v>66</v>
      </c>
    </row>
    <row r="525" ht="22.5" hidden="1" customHeight="1">
      <c r="A525" s="9" t="s">
        <v>5545</v>
      </c>
      <c r="B525" s="10" t="s">
        <v>5546</v>
      </c>
      <c r="C525" s="10" t="s">
        <v>43</v>
      </c>
      <c r="D525" s="10" t="s">
        <v>2481</v>
      </c>
      <c r="E525" s="10" t="s">
        <v>45</v>
      </c>
      <c r="F525" s="11">
        <v>2.0</v>
      </c>
      <c r="G525" s="11">
        <v>87.4</v>
      </c>
      <c r="H525" s="11"/>
      <c r="I525" s="11">
        <v>-26.86</v>
      </c>
      <c r="J525" s="11"/>
      <c r="K525" s="11"/>
      <c r="L525" s="11">
        <v>65.78</v>
      </c>
      <c r="M525" s="10" t="s">
        <v>46</v>
      </c>
      <c r="N525" s="10" t="s">
        <v>50</v>
      </c>
      <c r="O525" s="10" t="s">
        <v>176</v>
      </c>
      <c r="P525" s="10" t="s">
        <v>177</v>
      </c>
      <c r="Q525" s="10" t="s">
        <v>178</v>
      </c>
      <c r="R525" s="10" t="s">
        <v>74</v>
      </c>
      <c r="S525" s="11">
        <v>43.7</v>
      </c>
      <c r="T525" s="11">
        <f>2*22.58</f>
        <v>45.16</v>
      </c>
      <c r="U525" s="11" t="s">
        <v>51</v>
      </c>
      <c r="V525" s="10" t="s">
        <v>52</v>
      </c>
      <c r="W525" s="10" t="s">
        <v>5547</v>
      </c>
      <c r="X525" s="10" t="s">
        <v>5548</v>
      </c>
      <c r="Y525" s="10" t="s">
        <v>5549</v>
      </c>
      <c r="Z525" s="10" t="s">
        <v>50</v>
      </c>
      <c r="AA525" s="10" t="s">
        <v>50</v>
      </c>
      <c r="AB525" s="10" t="s">
        <v>5547</v>
      </c>
      <c r="AC525" s="10" t="s">
        <v>5550</v>
      </c>
      <c r="AD525" s="10" t="s">
        <v>5551</v>
      </c>
      <c r="AE525" s="10" t="s">
        <v>5552</v>
      </c>
      <c r="AF525" s="10" t="s">
        <v>58</v>
      </c>
      <c r="AG525" s="10" t="s">
        <v>5553</v>
      </c>
      <c r="AH525" s="10" t="s">
        <v>60</v>
      </c>
      <c r="AI525" s="10" t="s">
        <v>61</v>
      </c>
      <c r="AJ525" s="10" t="s">
        <v>5554</v>
      </c>
      <c r="AK525" s="10" t="s">
        <v>5555</v>
      </c>
      <c r="AL525" s="10" t="s">
        <v>64</v>
      </c>
      <c r="AM525" s="10" t="s">
        <v>5556</v>
      </c>
      <c r="AN525" s="10" t="s">
        <v>50</v>
      </c>
      <c r="AO525" s="11" t="s">
        <v>50</v>
      </c>
      <c r="AP525" s="10" t="s">
        <v>50</v>
      </c>
      <c r="AQ525" s="10" t="s">
        <v>50</v>
      </c>
      <c r="AR525" s="10" t="s">
        <v>50</v>
      </c>
      <c r="AS525" s="10" t="s">
        <v>50</v>
      </c>
      <c r="AT525" s="10" t="s">
        <v>50</v>
      </c>
      <c r="AU525" s="10" t="s">
        <v>50</v>
      </c>
      <c r="AV525" s="11"/>
      <c r="AW525" s="10" t="s">
        <v>66</v>
      </c>
      <c r="AX525" s="10"/>
      <c r="AY525" s="10" t="s">
        <v>66</v>
      </c>
    </row>
    <row r="526" ht="22.5" hidden="1" customHeight="1">
      <c r="A526" s="9" t="s">
        <v>5557</v>
      </c>
      <c r="B526" s="10" t="s">
        <v>5558</v>
      </c>
      <c r="C526" s="10" t="s">
        <v>43</v>
      </c>
      <c r="D526" s="10" t="s">
        <v>2481</v>
      </c>
      <c r="E526" s="10" t="s">
        <v>66</v>
      </c>
      <c r="F526" s="11">
        <v>1.0</v>
      </c>
      <c r="G526" s="11">
        <v>101.5</v>
      </c>
      <c r="H526" s="11"/>
      <c r="I526" s="11">
        <v>-19.28</v>
      </c>
      <c r="J526" s="11">
        <v>-19.95</v>
      </c>
      <c r="K526" s="11"/>
      <c r="L526" s="11">
        <v>62.27</v>
      </c>
      <c r="M526" s="10" t="s">
        <v>46</v>
      </c>
      <c r="N526" s="10" t="s">
        <v>50</v>
      </c>
      <c r="O526" s="10" t="s">
        <v>100</v>
      </c>
      <c r="P526" s="10" t="s">
        <v>101</v>
      </c>
      <c r="Q526" s="10" t="s">
        <v>102</v>
      </c>
      <c r="R526" s="10" t="s">
        <v>50</v>
      </c>
      <c r="S526" s="11">
        <v>101.5</v>
      </c>
      <c r="T526" s="11">
        <v>38.61</v>
      </c>
      <c r="U526" s="11" t="s">
        <v>51</v>
      </c>
      <c r="V526" s="10" t="s">
        <v>52</v>
      </c>
      <c r="W526" s="10" t="s">
        <v>5559</v>
      </c>
      <c r="X526" s="10" t="s">
        <v>5560</v>
      </c>
      <c r="Y526" s="10" t="s">
        <v>5561</v>
      </c>
      <c r="Z526" s="10" t="s">
        <v>50</v>
      </c>
      <c r="AA526" s="10" t="s">
        <v>50</v>
      </c>
      <c r="AB526" s="10" t="s">
        <v>5559</v>
      </c>
      <c r="AC526" s="10" t="s">
        <v>5562</v>
      </c>
      <c r="AD526" s="10" t="s">
        <v>5563</v>
      </c>
      <c r="AE526" s="10" t="s">
        <v>1379</v>
      </c>
      <c r="AF526" s="10" t="s">
        <v>58</v>
      </c>
      <c r="AG526" s="10" t="s">
        <v>5564</v>
      </c>
      <c r="AH526" s="10" t="s">
        <v>60</v>
      </c>
      <c r="AI526" s="10" t="s">
        <v>61</v>
      </c>
      <c r="AJ526" s="10" t="s">
        <v>2455</v>
      </c>
      <c r="AK526" s="10" t="s">
        <v>5565</v>
      </c>
      <c r="AL526" s="10" t="s">
        <v>64</v>
      </c>
      <c r="AM526" s="10" t="s">
        <v>5566</v>
      </c>
      <c r="AN526" s="10" t="s">
        <v>50</v>
      </c>
      <c r="AO526" s="11" t="s">
        <v>50</v>
      </c>
      <c r="AP526" s="10" t="s">
        <v>50</v>
      </c>
      <c r="AQ526" s="10" t="s">
        <v>50</v>
      </c>
      <c r="AR526" s="10" t="s">
        <v>50</v>
      </c>
      <c r="AS526" s="10" t="s">
        <v>50</v>
      </c>
      <c r="AT526" s="10" t="s">
        <v>50</v>
      </c>
      <c r="AU526" s="10" t="s">
        <v>50</v>
      </c>
      <c r="AV526" s="11"/>
      <c r="AW526" s="10" t="s">
        <v>66</v>
      </c>
      <c r="AX526" s="10"/>
      <c r="AY526" s="10" t="s">
        <v>66</v>
      </c>
    </row>
    <row r="527" ht="22.5" hidden="1" customHeight="1">
      <c r="A527" s="9" t="s">
        <v>5567</v>
      </c>
      <c r="B527" s="10" t="s">
        <v>5568</v>
      </c>
      <c r="C527" s="10" t="s">
        <v>43</v>
      </c>
      <c r="D527" s="10" t="s">
        <v>2481</v>
      </c>
      <c r="E527" s="10" t="s">
        <v>45</v>
      </c>
      <c r="F527" s="11">
        <v>1.0</v>
      </c>
      <c r="G527" s="11">
        <v>92.15</v>
      </c>
      <c r="H527" s="11"/>
      <c r="I527" s="11">
        <v>-17.51</v>
      </c>
      <c r="J527" s="11">
        <v>-20.45</v>
      </c>
      <c r="K527" s="11"/>
      <c r="L527" s="11">
        <v>59.72</v>
      </c>
      <c r="M527" s="10" t="s">
        <v>46</v>
      </c>
      <c r="N527" s="10" t="s">
        <v>50</v>
      </c>
      <c r="O527" s="10" t="s">
        <v>586</v>
      </c>
      <c r="P527" s="10" t="s">
        <v>587</v>
      </c>
      <c r="Q527" s="10" t="s">
        <v>588</v>
      </c>
      <c r="R527" s="10" t="s">
        <v>50</v>
      </c>
      <c r="S527" s="11">
        <v>92.15</v>
      </c>
      <c r="T527" s="11">
        <v>20.76</v>
      </c>
      <c r="U527" s="11" t="s">
        <v>51</v>
      </c>
      <c r="V527" s="10" t="s">
        <v>52</v>
      </c>
      <c r="W527" s="10" t="s">
        <v>5569</v>
      </c>
      <c r="X527" s="10" t="s">
        <v>5570</v>
      </c>
      <c r="Y527" s="10" t="s">
        <v>5571</v>
      </c>
      <c r="Z527" s="10" t="s">
        <v>50</v>
      </c>
      <c r="AA527" s="10" t="s">
        <v>50</v>
      </c>
      <c r="AB527" s="10" t="s">
        <v>5569</v>
      </c>
      <c r="AC527" s="10" t="s">
        <v>5572</v>
      </c>
      <c r="AD527" s="10" t="s">
        <v>5573</v>
      </c>
      <c r="AE527" s="10" t="s">
        <v>740</v>
      </c>
      <c r="AF527" s="10" t="s">
        <v>119</v>
      </c>
      <c r="AG527" s="10" t="s">
        <v>5574</v>
      </c>
      <c r="AH527" s="10" t="s">
        <v>60</v>
      </c>
      <c r="AI527" s="10" t="s">
        <v>61</v>
      </c>
      <c r="AJ527" s="10" t="s">
        <v>5575</v>
      </c>
      <c r="AK527" s="10" t="s">
        <v>5576</v>
      </c>
      <c r="AL527" s="10" t="s">
        <v>64</v>
      </c>
      <c r="AM527" s="10" t="s">
        <v>5577</v>
      </c>
      <c r="AN527" s="10" t="s">
        <v>50</v>
      </c>
      <c r="AO527" s="11" t="s">
        <v>50</v>
      </c>
      <c r="AP527" s="10" t="s">
        <v>50</v>
      </c>
      <c r="AQ527" s="10" t="s">
        <v>50</v>
      </c>
      <c r="AR527" s="10" t="s">
        <v>50</v>
      </c>
      <c r="AS527" s="10" t="s">
        <v>50</v>
      </c>
      <c r="AT527" s="10" t="s">
        <v>50</v>
      </c>
      <c r="AU527" s="10" t="s">
        <v>50</v>
      </c>
      <c r="AV527" s="11"/>
      <c r="AW527" s="10" t="s">
        <v>66</v>
      </c>
      <c r="AX527" s="10"/>
      <c r="AY527" s="10" t="s">
        <v>66</v>
      </c>
    </row>
    <row r="528" ht="22.5" hidden="1" customHeight="1">
      <c r="A528" s="9" t="s">
        <v>5578</v>
      </c>
      <c r="B528" s="10" t="s">
        <v>5579</v>
      </c>
      <c r="C528" s="10" t="s">
        <v>43</v>
      </c>
      <c r="D528" s="10" t="s">
        <v>4592</v>
      </c>
      <c r="E528" s="10" t="s">
        <v>66</v>
      </c>
      <c r="F528" s="11">
        <v>1.0</v>
      </c>
      <c r="G528" s="11">
        <v>120.0</v>
      </c>
      <c r="H528" s="11"/>
      <c r="I528" s="11">
        <v>-20.4</v>
      </c>
      <c r="J528" s="11">
        <v>-19.95</v>
      </c>
      <c r="K528" s="11"/>
      <c r="L528" s="11">
        <v>86.85</v>
      </c>
      <c r="M528" s="10" t="s">
        <v>46</v>
      </c>
      <c r="N528" s="10" t="s">
        <v>50</v>
      </c>
      <c r="O528" s="10" t="s">
        <v>85</v>
      </c>
      <c r="P528" s="10" t="s">
        <v>86</v>
      </c>
      <c r="Q528" s="10" t="s">
        <v>87</v>
      </c>
      <c r="R528" s="10" t="s">
        <v>74</v>
      </c>
      <c r="S528" s="11">
        <v>120.0</v>
      </c>
      <c r="T528" s="11">
        <v>65.78</v>
      </c>
      <c r="U528" s="11" t="s">
        <v>51</v>
      </c>
      <c r="V528" s="10" t="s">
        <v>52</v>
      </c>
      <c r="W528" s="10" t="s">
        <v>5580</v>
      </c>
      <c r="X528" s="10" t="s">
        <v>5581</v>
      </c>
      <c r="Y528" s="10" t="s">
        <v>5582</v>
      </c>
      <c r="Z528" s="10" t="s">
        <v>50</v>
      </c>
      <c r="AA528" s="10" t="s">
        <v>50</v>
      </c>
      <c r="AB528" s="10" t="s">
        <v>5580</v>
      </c>
      <c r="AC528" s="10" t="s">
        <v>5583</v>
      </c>
      <c r="AD528" s="10" t="s">
        <v>5584</v>
      </c>
      <c r="AE528" s="10" t="s">
        <v>5585</v>
      </c>
      <c r="AF528" s="10" t="s">
        <v>185</v>
      </c>
      <c r="AG528" s="10" t="s">
        <v>5586</v>
      </c>
      <c r="AH528" s="10" t="s">
        <v>60</v>
      </c>
      <c r="AI528" s="10" t="s">
        <v>61</v>
      </c>
      <c r="AJ528" s="10" t="s">
        <v>2455</v>
      </c>
      <c r="AK528" s="10" t="s">
        <v>5587</v>
      </c>
      <c r="AL528" s="10" t="s">
        <v>64</v>
      </c>
      <c r="AM528" s="10" t="s">
        <v>5588</v>
      </c>
      <c r="AN528" s="10" t="s">
        <v>50</v>
      </c>
      <c r="AO528" s="11" t="s">
        <v>50</v>
      </c>
      <c r="AP528" s="10" t="s">
        <v>50</v>
      </c>
      <c r="AQ528" s="10" t="s">
        <v>50</v>
      </c>
      <c r="AR528" s="10" t="s">
        <v>50</v>
      </c>
      <c r="AS528" s="10" t="s">
        <v>50</v>
      </c>
      <c r="AT528" s="10" t="s">
        <v>50</v>
      </c>
      <c r="AU528" s="10" t="s">
        <v>50</v>
      </c>
      <c r="AV528" s="11"/>
      <c r="AW528" s="10" t="s">
        <v>66</v>
      </c>
      <c r="AX528" s="10"/>
      <c r="AY528" s="10" t="s">
        <v>66</v>
      </c>
    </row>
    <row r="529" ht="22.5" hidden="1" customHeight="1">
      <c r="A529" s="9" t="s">
        <v>5589</v>
      </c>
      <c r="B529" s="10" t="s">
        <v>5590</v>
      </c>
      <c r="C529" s="10" t="s">
        <v>43</v>
      </c>
      <c r="D529" s="10" t="s">
        <v>2326</v>
      </c>
      <c r="E529" s="10" t="s">
        <v>66</v>
      </c>
      <c r="F529" s="11">
        <v>1.0</v>
      </c>
      <c r="G529" s="11">
        <v>92.15</v>
      </c>
      <c r="H529" s="11">
        <v>8.08</v>
      </c>
      <c r="I529" s="11">
        <v>-17.51</v>
      </c>
      <c r="J529" s="11">
        <v>-28.53</v>
      </c>
      <c r="K529" s="11"/>
      <c r="L529" s="11">
        <v>59.72</v>
      </c>
      <c r="M529" s="10" t="s">
        <v>46</v>
      </c>
      <c r="N529" s="10" t="s">
        <v>50</v>
      </c>
      <c r="O529" s="10" t="s">
        <v>586</v>
      </c>
      <c r="P529" s="10" t="s">
        <v>587</v>
      </c>
      <c r="Q529" s="10" t="s">
        <v>588</v>
      </c>
      <c r="R529" s="10" t="s">
        <v>50</v>
      </c>
      <c r="S529" s="11">
        <v>92.15</v>
      </c>
      <c r="T529" s="11">
        <v>20.76</v>
      </c>
      <c r="U529" s="11" t="s">
        <v>51</v>
      </c>
      <c r="V529" s="10" t="s">
        <v>52</v>
      </c>
      <c r="W529" s="10" t="s">
        <v>5591</v>
      </c>
      <c r="X529" s="10" t="s">
        <v>5592</v>
      </c>
      <c r="Y529" s="10" t="s">
        <v>5593</v>
      </c>
      <c r="Z529" s="10" t="s">
        <v>50</v>
      </c>
      <c r="AA529" s="10" t="s">
        <v>50</v>
      </c>
      <c r="AB529" s="10" t="s">
        <v>5591</v>
      </c>
      <c r="AC529" s="10" t="s">
        <v>5594</v>
      </c>
      <c r="AD529" s="10" t="s">
        <v>5595</v>
      </c>
      <c r="AE529" s="10" t="s">
        <v>5596</v>
      </c>
      <c r="AF529" s="10" t="s">
        <v>561</v>
      </c>
      <c r="AG529" s="10" t="s">
        <v>5597</v>
      </c>
      <c r="AH529" s="10" t="s">
        <v>60</v>
      </c>
      <c r="AI529" s="10" t="s">
        <v>61</v>
      </c>
      <c r="AJ529" s="10" t="s">
        <v>2455</v>
      </c>
      <c r="AK529" s="10" t="s">
        <v>5598</v>
      </c>
      <c r="AL529" s="10" t="s">
        <v>64</v>
      </c>
      <c r="AM529" s="10" t="s">
        <v>5599</v>
      </c>
      <c r="AN529" s="10" t="s">
        <v>50</v>
      </c>
      <c r="AO529" s="11" t="s">
        <v>50</v>
      </c>
      <c r="AP529" s="10" t="s">
        <v>50</v>
      </c>
      <c r="AQ529" s="10" t="s">
        <v>50</v>
      </c>
      <c r="AR529" s="10" t="s">
        <v>50</v>
      </c>
      <c r="AS529" s="10" t="s">
        <v>50</v>
      </c>
      <c r="AT529" s="10" t="s">
        <v>50</v>
      </c>
      <c r="AU529" s="10" t="s">
        <v>50</v>
      </c>
      <c r="AV529" s="11"/>
      <c r="AW529" s="10" t="s">
        <v>66</v>
      </c>
      <c r="AX529" s="10"/>
      <c r="AY529" s="10" t="s">
        <v>66</v>
      </c>
    </row>
    <row r="530" ht="22.5" hidden="1" customHeight="1">
      <c r="A530" s="9" t="s">
        <v>5600</v>
      </c>
      <c r="B530" s="10" t="s">
        <v>5601</v>
      </c>
      <c r="C530" s="10" t="s">
        <v>43</v>
      </c>
      <c r="D530" s="10" t="s">
        <v>2481</v>
      </c>
      <c r="E530" s="10" t="s">
        <v>45</v>
      </c>
      <c r="F530" s="11">
        <v>1.0</v>
      </c>
      <c r="G530" s="11">
        <v>84.0</v>
      </c>
      <c r="H530" s="11"/>
      <c r="I530" s="11">
        <v>-14.28</v>
      </c>
      <c r="J530" s="11">
        <v>-20.45</v>
      </c>
      <c r="K530" s="11"/>
      <c r="L530" s="11">
        <v>49.27</v>
      </c>
      <c r="M530" s="10" t="s">
        <v>46</v>
      </c>
      <c r="N530" s="10" t="s">
        <v>45</v>
      </c>
      <c r="O530" s="10" t="s">
        <v>265</v>
      </c>
      <c r="P530" s="10" t="s">
        <v>266</v>
      </c>
      <c r="Q530" s="10" t="s">
        <v>267</v>
      </c>
      <c r="R530" s="10" t="s">
        <v>74</v>
      </c>
      <c r="S530" s="11">
        <v>84.0</v>
      </c>
      <c r="T530" s="11">
        <v>26.22</v>
      </c>
      <c r="U530" s="11" t="s">
        <v>51</v>
      </c>
      <c r="V530" s="10" t="s">
        <v>52</v>
      </c>
      <c r="W530" s="10" t="s">
        <v>5602</v>
      </c>
      <c r="X530" s="10" t="s">
        <v>5603</v>
      </c>
      <c r="Y530" s="10" t="s">
        <v>5604</v>
      </c>
      <c r="Z530" s="10" t="s">
        <v>50</v>
      </c>
      <c r="AA530" s="10" t="s">
        <v>50</v>
      </c>
      <c r="AB530" s="10" t="s">
        <v>5602</v>
      </c>
      <c r="AC530" s="10" t="s">
        <v>5605</v>
      </c>
      <c r="AD530" s="10" t="s">
        <v>5606</v>
      </c>
      <c r="AE530" s="10" t="s">
        <v>235</v>
      </c>
      <c r="AF530" s="10" t="s">
        <v>58</v>
      </c>
      <c r="AG530" s="10" t="s">
        <v>5607</v>
      </c>
      <c r="AH530" s="10" t="s">
        <v>60</v>
      </c>
      <c r="AI530" s="10" t="s">
        <v>61</v>
      </c>
      <c r="AJ530" s="10" t="s">
        <v>2455</v>
      </c>
      <c r="AK530" s="10" t="s">
        <v>5608</v>
      </c>
      <c r="AL530" s="10" t="s">
        <v>64</v>
      </c>
      <c r="AM530" s="10" t="s">
        <v>5609</v>
      </c>
      <c r="AN530" s="10" t="s">
        <v>50</v>
      </c>
      <c r="AO530" s="11" t="s">
        <v>50</v>
      </c>
      <c r="AP530" s="10" t="s">
        <v>50</v>
      </c>
      <c r="AQ530" s="10" t="s">
        <v>50</v>
      </c>
      <c r="AR530" s="10" t="s">
        <v>50</v>
      </c>
      <c r="AS530" s="10" t="s">
        <v>50</v>
      </c>
      <c r="AT530" s="10" t="s">
        <v>50</v>
      </c>
      <c r="AU530" s="10" t="s">
        <v>50</v>
      </c>
      <c r="AV530" s="11"/>
      <c r="AW530" s="10" t="s">
        <v>66</v>
      </c>
      <c r="AX530" s="10"/>
      <c r="AY530" s="10" t="s">
        <v>66</v>
      </c>
    </row>
    <row r="531" ht="22.5" hidden="1" customHeight="1">
      <c r="A531" s="9" t="s">
        <v>5610</v>
      </c>
      <c r="B531" s="10" t="s">
        <v>5611</v>
      </c>
      <c r="C531" s="10" t="s">
        <v>43</v>
      </c>
      <c r="D531" s="10" t="s">
        <v>4592</v>
      </c>
      <c r="E531" s="10" t="s">
        <v>66</v>
      </c>
      <c r="F531" s="11">
        <v>1.0</v>
      </c>
      <c r="G531" s="11">
        <v>101.5</v>
      </c>
      <c r="H531" s="11">
        <v>9.03</v>
      </c>
      <c r="I531" s="11">
        <v>-19.28</v>
      </c>
      <c r="J531" s="11">
        <v>-28.98</v>
      </c>
      <c r="K531" s="11"/>
      <c r="L531" s="11">
        <v>62.27</v>
      </c>
      <c r="M531" s="10" t="s">
        <v>46</v>
      </c>
      <c r="N531" s="10" t="s">
        <v>45</v>
      </c>
      <c r="O531" s="10" t="s">
        <v>100</v>
      </c>
      <c r="P531" s="10" t="s">
        <v>101</v>
      </c>
      <c r="Q531" s="10" t="s">
        <v>102</v>
      </c>
      <c r="R531" s="10" t="s">
        <v>50</v>
      </c>
      <c r="S531" s="11">
        <v>101.5</v>
      </c>
      <c r="T531" s="11">
        <v>38.61</v>
      </c>
      <c r="U531" s="11" t="s">
        <v>51</v>
      </c>
      <c r="V531" s="10" t="s">
        <v>52</v>
      </c>
      <c r="W531" s="10" t="s">
        <v>5612</v>
      </c>
      <c r="X531" s="10" t="s">
        <v>5613</v>
      </c>
      <c r="Y531" s="10" t="s">
        <v>5614</v>
      </c>
      <c r="Z531" s="10" t="s">
        <v>50</v>
      </c>
      <c r="AA531" s="10" t="s">
        <v>50</v>
      </c>
      <c r="AB531" s="10" t="s">
        <v>5612</v>
      </c>
      <c r="AC531" s="10" t="s">
        <v>5615</v>
      </c>
      <c r="AD531" s="10" t="s">
        <v>5616</v>
      </c>
      <c r="AE531" s="10" t="s">
        <v>2354</v>
      </c>
      <c r="AF531" s="10" t="s">
        <v>561</v>
      </c>
      <c r="AG531" s="10" t="s">
        <v>5617</v>
      </c>
      <c r="AH531" s="10" t="s">
        <v>60</v>
      </c>
      <c r="AI531" s="10" t="s">
        <v>61</v>
      </c>
      <c r="AJ531" s="10" t="s">
        <v>2455</v>
      </c>
      <c r="AK531" s="10" t="s">
        <v>5618</v>
      </c>
      <c r="AL531" s="10" t="s">
        <v>64</v>
      </c>
      <c r="AM531" s="10" t="s">
        <v>5619</v>
      </c>
      <c r="AN531" s="10" t="s">
        <v>50</v>
      </c>
      <c r="AO531" s="11" t="s">
        <v>50</v>
      </c>
      <c r="AP531" s="10" t="s">
        <v>50</v>
      </c>
      <c r="AQ531" s="10" t="s">
        <v>50</v>
      </c>
      <c r="AR531" s="10" t="s">
        <v>50</v>
      </c>
      <c r="AS531" s="10" t="s">
        <v>50</v>
      </c>
      <c r="AT531" s="10" t="s">
        <v>50</v>
      </c>
      <c r="AU531" s="10" t="s">
        <v>50</v>
      </c>
      <c r="AV531" s="11"/>
      <c r="AW531" s="10" t="s">
        <v>66</v>
      </c>
      <c r="AX531" s="10"/>
      <c r="AY531" s="10" t="s">
        <v>66</v>
      </c>
    </row>
    <row r="532" ht="22.5" hidden="1" customHeight="1">
      <c r="A532" s="9" t="s">
        <v>5620</v>
      </c>
      <c r="B532" s="10" t="s">
        <v>5621</v>
      </c>
      <c r="C532" s="10" t="s">
        <v>43</v>
      </c>
      <c r="D532" s="10" t="s">
        <v>290</v>
      </c>
      <c r="E532" s="10" t="s">
        <v>66</v>
      </c>
      <c r="F532" s="11">
        <v>1.0</v>
      </c>
      <c r="G532" s="11">
        <v>80.0</v>
      </c>
      <c r="H532" s="11">
        <v>16.65</v>
      </c>
      <c r="I532" s="11">
        <v>-13.6</v>
      </c>
      <c r="J532" s="11">
        <v>-36.6</v>
      </c>
      <c r="K532" s="11"/>
      <c r="L532" s="11">
        <v>50.45</v>
      </c>
      <c r="M532" s="10" t="s">
        <v>46</v>
      </c>
      <c r="N532" s="10" t="s">
        <v>45</v>
      </c>
      <c r="O532" s="10" t="s">
        <v>143</v>
      </c>
      <c r="P532" s="10" t="s">
        <v>144</v>
      </c>
      <c r="Q532" s="10" t="s">
        <v>145</v>
      </c>
      <c r="R532" s="10" t="s">
        <v>74</v>
      </c>
      <c r="S532" s="11">
        <v>80.0</v>
      </c>
      <c r="T532" s="11">
        <v>33.38</v>
      </c>
      <c r="U532" s="11" t="s">
        <v>51</v>
      </c>
      <c r="V532" s="10" t="s">
        <v>52</v>
      </c>
      <c r="W532" s="10" t="s">
        <v>5622</v>
      </c>
      <c r="X532" s="10" t="s">
        <v>5623</v>
      </c>
      <c r="Y532" s="10" t="s">
        <v>5624</v>
      </c>
      <c r="Z532" s="10" t="s">
        <v>50</v>
      </c>
      <c r="AA532" s="10" t="s">
        <v>50</v>
      </c>
      <c r="AB532" s="10" t="s">
        <v>5622</v>
      </c>
      <c r="AC532" s="10" t="s">
        <v>5625</v>
      </c>
      <c r="AD532" s="10" t="s">
        <v>5626</v>
      </c>
      <c r="AE532" s="10" t="s">
        <v>5627</v>
      </c>
      <c r="AF532" s="10" t="s">
        <v>169</v>
      </c>
      <c r="AG532" s="10" t="s">
        <v>5628</v>
      </c>
      <c r="AH532" s="10" t="s">
        <v>60</v>
      </c>
      <c r="AI532" s="10" t="s">
        <v>61</v>
      </c>
      <c r="AJ532" s="10" t="s">
        <v>2397</v>
      </c>
      <c r="AK532" s="10" t="s">
        <v>5629</v>
      </c>
      <c r="AL532" s="10" t="s">
        <v>64</v>
      </c>
      <c r="AM532" s="10" t="s">
        <v>5630</v>
      </c>
      <c r="AN532" s="10" t="s">
        <v>50</v>
      </c>
      <c r="AO532" s="11" t="s">
        <v>50</v>
      </c>
      <c r="AP532" s="10" t="s">
        <v>50</v>
      </c>
      <c r="AQ532" s="10" t="s">
        <v>50</v>
      </c>
      <c r="AR532" s="10" t="s">
        <v>50</v>
      </c>
      <c r="AS532" s="10" t="s">
        <v>50</v>
      </c>
      <c r="AT532" s="10" t="s">
        <v>50</v>
      </c>
      <c r="AU532" s="10" t="s">
        <v>50</v>
      </c>
      <c r="AV532" s="11"/>
      <c r="AW532" s="10" t="s">
        <v>66</v>
      </c>
      <c r="AX532" s="10"/>
      <c r="AY532" s="10" t="s">
        <v>66</v>
      </c>
    </row>
    <row r="533" ht="22.5" hidden="1" customHeight="1">
      <c r="A533" s="9" t="s">
        <v>5631</v>
      </c>
      <c r="B533" s="10" t="s">
        <v>5632</v>
      </c>
      <c r="C533" s="10" t="s">
        <v>43</v>
      </c>
      <c r="D533" s="10" t="s">
        <v>2481</v>
      </c>
      <c r="E533" s="10" t="s">
        <v>66</v>
      </c>
      <c r="F533" s="11">
        <v>1.0</v>
      </c>
      <c r="G533" s="11">
        <v>43.7</v>
      </c>
      <c r="H533" s="11">
        <v>12.66</v>
      </c>
      <c r="I533" s="11">
        <v>-13.43</v>
      </c>
      <c r="J533" s="11">
        <v>-12.66</v>
      </c>
      <c r="K533" s="11"/>
      <c r="L533" s="11">
        <v>32.89</v>
      </c>
      <c r="M533" s="10" t="s">
        <v>46</v>
      </c>
      <c r="N533" s="10" t="s">
        <v>45</v>
      </c>
      <c r="O533" s="10" t="s">
        <v>176</v>
      </c>
      <c r="P533" s="10" t="s">
        <v>177</v>
      </c>
      <c r="Q533" s="10" t="s">
        <v>178</v>
      </c>
      <c r="R533" s="10" t="s">
        <v>74</v>
      </c>
      <c r="S533" s="11">
        <v>43.7</v>
      </c>
      <c r="T533" s="11">
        <v>22.58</v>
      </c>
      <c r="U533" s="11" t="s">
        <v>51</v>
      </c>
      <c r="V533" s="10" t="s">
        <v>52</v>
      </c>
      <c r="W533" s="10" t="s">
        <v>5633</v>
      </c>
      <c r="X533" s="10" t="s">
        <v>5634</v>
      </c>
      <c r="Y533" s="10" t="s">
        <v>5635</v>
      </c>
      <c r="Z533" s="10" t="s">
        <v>50</v>
      </c>
      <c r="AA533" s="10" t="s">
        <v>50</v>
      </c>
      <c r="AB533" s="10" t="s">
        <v>5633</v>
      </c>
      <c r="AC533" s="10" t="s">
        <v>5636</v>
      </c>
      <c r="AD533" s="10" t="s">
        <v>5637</v>
      </c>
      <c r="AE533" s="10" t="s">
        <v>5638</v>
      </c>
      <c r="AF533" s="10" t="s">
        <v>58</v>
      </c>
      <c r="AG533" s="10" t="s">
        <v>5639</v>
      </c>
      <c r="AH533" s="10" t="s">
        <v>60</v>
      </c>
      <c r="AI533" s="10" t="s">
        <v>61</v>
      </c>
      <c r="AJ533" s="10" t="s">
        <v>2455</v>
      </c>
      <c r="AK533" s="10" t="s">
        <v>5640</v>
      </c>
      <c r="AL533" s="10" t="s">
        <v>64</v>
      </c>
      <c r="AM533" s="10" t="s">
        <v>5641</v>
      </c>
      <c r="AN533" s="10" t="s">
        <v>50</v>
      </c>
      <c r="AO533" s="11" t="s">
        <v>50</v>
      </c>
      <c r="AP533" s="10" t="s">
        <v>50</v>
      </c>
      <c r="AQ533" s="10" t="s">
        <v>50</v>
      </c>
      <c r="AR533" s="10" t="s">
        <v>50</v>
      </c>
      <c r="AS533" s="10" t="s">
        <v>50</v>
      </c>
      <c r="AT533" s="10" t="s">
        <v>50</v>
      </c>
      <c r="AU533" s="10" t="s">
        <v>50</v>
      </c>
      <c r="AV533" s="11"/>
      <c r="AW533" s="10" t="s">
        <v>66</v>
      </c>
      <c r="AX533" s="10"/>
      <c r="AY533" s="10" t="s">
        <v>66</v>
      </c>
    </row>
    <row r="534" ht="22.5" hidden="1" customHeight="1">
      <c r="A534" s="9" t="s">
        <v>5642</v>
      </c>
      <c r="B534" s="10" t="s">
        <v>5643</v>
      </c>
      <c r="C534" s="10" t="s">
        <v>43</v>
      </c>
      <c r="D534" s="10" t="s">
        <v>4592</v>
      </c>
      <c r="E534" s="10" t="s">
        <v>45</v>
      </c>
      <c r="F534" s="11">
        <v>5.0</v>
      </c>
      <c r="G534" s="11">
        <v>218.5</v>
      </c>
      <c r="H534" s="11"/>
      <c r="I534" s="11">
        <v>-67.15</v>
      </c>
      <c r="J534" s="11"/>
      <c r="K534" s="11"/>
      <c r="L534" s="11">
        <v>164.45</v>
      </c>
      <c r="M534" s="10" t="s">
        <v>46</v>
      </c>
      <c r="N534" s="10" t="s">
        <v>50</v>
      </c>
      <c r="O534" s="10" t="s">
        <v>176</v>
      </c>
      <c r="P534" s="10" t="s">
        <v>177</v>
      </c>
      <c r="Q534" s="10" t="s">
        <v>178</v>
      </c>
      <c r="R534" s="10" t="s">
        <v>74</v>
      </c>
      <c r="S534" s="11">
        <v>43.7</v>
      </c>
      <c r="T534" s="11">
        <f>5*22.58</f>
        <v>112.9</v>
      </c>
      <c r="U534" s="11" t="s">
        <v>51</v>
      </c>
      <c r="V534" s="10" t="s">
        <v>52</v>
      </c>
      <c r="W534" s="10" t="s">
        <v>5644</v>
      </c>
      <c r="X534" s="10" t="s">
        <v>5645</v>
      </c>
      <c r="Y534" s="10" t="s">
        <v>5646</v>
      </c>
      <c r="Z534" s="10" t="s">
        <v>50</v>
      </c>
      <c r="AA534" s="10" t="s">
        <v>50</v>
      </c>
      <c r="AB534" s="10" t="s">
        <v>5644</v>
      </c>
      <c r="AC534" s="10" t="s">
        <v>5647</v>
      </c>
      <c r="AD534" s="10" t="s">
        <v>5648</v>
      </c>
      <c r="AE534" s="10" t="s">
        <v>5649</v>
      </c>
      <c r="AF534" s="10" t="s">
        <v>214</v>
      </c>
      <c r="AG534" s="10" t="s">
        <v>5650</v>
      </c>
      <c r="AH534" s="10" t="s">
        <v>60</v>
      </c>
      <c r="AI534" s="10" t="s">
        <v>61</v>
      </c>
      <c r="AJ534" s="10" t="s">
        <v>5195</v>
      </c>
      <c r="AK534" s="10" t="s">
        <v>5651</v>
      </c>
      <c r="AL534" s="10" t="s">
        <v>64</v>
      </c>
      <c r="AM534" s="10" t="s">
        <v>5652</v>
      </c>
      <c r="AN534" s="10" t="s">
        <v>50</v>
      </c>
      <c r="AO534" s="11" t="s">
        <v>50</v>
      </c>
      <c r="AP534" s="10" t="s">
        <v>50</v>
      </c>
      <c r="AQ534" s="10" t="s">
        <v>50</v>
      </c>
      <c r="AR534" s="10" t="s">
        <v>50</v>
      </c>
      <c r="AS534" s="10" t="s">
        <v>50</v>
      </c>
      <c r="AT534" s="10" t="s">
        <v>50</v>
      </c>
      <c r="AU534" s="10" t="s">
        <v>50</v>
      </c>
      <c r="AV534" s="11"/>
      <c r="AW534" s="10" t="s">
        <v>66</v>
      </c>
      <c r="AX534" s="10"/>
      <c r="AY534" s="10" t="s">
        <v>66</v>
      </c>
    </row>
    <row r="535" ht="22.5" hidden="1" customHeight="1">
      <c r="A535" s="9" t="s">
        <v>5653</v>
      </c>
      <c r="B535" s="10" t="s">
        <v>5654</v>
      </c>
      <c r="C535" s="10" t="s">
        <v>43</v>
      </c>
      <c r="D535" s="10" t="s">
        <v>4592</v>
      </c>
      <c r="E535" s="10" t="s">
        <v>45</v>
      </c>
      <c r="F535" s="11">
        <v>1.0</v>
      </c>
      <c r="G535" s="11">
        <v>79.2</v>
      </c>
      <c r="H535" s="11"/>
      <c r="I535" s="11">
        <v>-13.46</v>
      </c>
      <c r="J535" s="11">
        <v>-20.45</v>
      </c>
      <c r="K535" s="11"/>
      <c r="L535" s="11">
        <v>50.04</v>
      </c>
      <c r="M535" s="10" t="s">
        <v>46</v>
      </c>
      <c r="N535" s="10" t="s">
        <v>50</v>
      </c>
      <c r="O535" s="10" t="s">
        <v>892</v>
      </c>
      <c r="P535" s="10" t="s">
        <v>893</v>
      </c>
      <c r="Q535" s="10" t="s">
        <v>894</v>
      </c>
      <c r="R535" s="10" t="s">
        <v>74</v>
      </c>
      <c r="S535" s="11">
        <v>79.2</v>
      </c>
      <c r="T535" s="11">
        <v>2.97</v>
      </c>
      <c r="U535" s="11" t="s">
        <v>51</v>
      </c>
      <c r="V535" s="10" t="s">
        <v>52</v>
      </c>
      <c r="W535" s="10" t="s">
        <v>5655</v>
      </c>
      <c r="X535" s="10" t="s">
        <v>5656</v>
      </c>
      <c r="Y535" s="10" t="s">
        <v>5657</v>
      </c>
      <c r="Z535" s="10" t="s">
        <v>50</v>
      </c>
      <c r="AA535" s="10" t="s">
        <v>50</v>
      </c>
      <c r="AB535" s="10" t="s">
        <v>5655</v>
      </c>
      <c r="AC535" s="10" t="s">
        <v>5658</v>
      </c>
      <c r="AD535" s="10" t="s">
        <v>5659</v>
      </c>
      <c r="AE535" s="10" t="s">
        <v>361</v>
      </c>
      <c r="AF535" s="10" t="s">
        <v>323</v>
      </c>
      <c r="AG535" s="10" t="s">
        <v>5660</v>
      </c>
      <c r="AH535" s="10" t="s">
        <v>60</v>
      </c>
      <c r="AI535" s="10" t="s">
        <v>61</v>
      </c>
      <c r="AJ535" s="10" t="s">
        <v>5661</v>
      </c>
      <c r="AK535" s="10" t="s">
        <v>5662</v>
      </c>
      <c r="AL535" s="10" t="s">
        <v>64</v>
      </c>
      <c r="AM535" s="10" t="s">
        <v>5663</v>
      </c>
      <c r="AN535" s="10" t="s">
        <v>50</v>
      </c>
      <c r="AO535" s="11" t="s">
        <v>50</v>
      </c>
      <c r="AP535" s="10" t="s">
        <v>50</v>
      </c>
      <c r="AQ535" s="10" t="s">
        <v>50</v>
      </c>
      <c r="AR535" s="10" t="s">
        <v>50</v>
      </c>
      <c r="AS535" s="10" t="s">
        <v>50</v>
      </c>
      <c r="AT535" s="10" t="s">
        <v>50</v>
      </c>
      <c r="AU535" s="10" t="s">
        <v>50</v>
      </c>
      <c r="AV535" s="11"/>
      <c r="AW535" s="10" t="s">
        <v>66</v>
      </c>
      <c r="AX535" s="10"/>
      <c r="AY535" s="10" t="s">
        <v>66</v>
      </c>
    </row>
    <row r="536" ht="22.5" hidden="1" customHeight="1">
      <c r="A536" s="9" t="s">
        <v>5664</v>
      </c>
      <c r="B536" s="10" t="s">
        <v>5665</v>
      </c>
      <c r="C536" s="10" t="s">
        <v>43</v>
      </c>
      <c r="D536" s="10" t="s">
        <v>2481</v>
      </c>
      <c r="E536" s="10" t="s">
        <v>45</v>
      </c>
      <c r="F536" s="11">
        <v>1.0</v>
      </c>
      <c r="G536" s="11">
        <v>120.0</v>
      </c>
      <c r="H536" s="11"/>
      <c r="I536" s="11">
        <v>-20.4</v>
      </c>
      <c r="J536" s="11">
        <v>-19.95</v>
      </c>
      <c r="K536" s="11"/>
      <c r="L536" s="11">
        <v>86.85</v>
      </c>
      <c r="M536" s="10" t="s">
        <v>46</v>
      </c>
      <c r="N536" s="10" t="s">
        <v>45</v>
      </c>
      <c r="O536" s="10" t="s">
        <v>85</v>
      </c>
      <c r="P536" s="10" t="s">
        <v>86</v>
      </c>
      <c r="Q536" s="10" t="s">
        <v>87</v>
      </c>
      <c r="R536" s="10" t="s">
        <v>74</v>
      </c>
      <c r="S536" s="11">
        <v>120.0</v>
      </c>
      <c r="T536" s="11">
        <v>65.78</v>
      </c>
      <c r="U536" s="11" t="s">
        <v>51</v>
      </c>
      <c r="V536" s="10" t="s">
        <v>52</v>
      </c>
      <c r="W536" s="10" t="s">
        <v>5666</v>
      </c>
      <c r="X536" s="10" t="s">
        <v>5667</v>
      </c>
      <c r="Y536" s="10" t="s">
        <v>5668</v>
      </c>
      <c r="Z536" s="10" t="s">
        <v>50</v>
      </c>
      <c r="AA536" s="10" t="s">
        <v>50</v>
      </c>
      <c r="AB536" s="10" t="s">
        <v>5666</v>
      </c>
      <c r="AC536" s="10" t="s">
        <v>5669</v>
      </c>
      <c r="AD536" s="10" t="s">
        <v>5670</v>
      </c>
      <c r="AE536" s="10" t="s">
        <v>822</v>
      </c>
      <c r="AF536" s="10" t="s">
        <v>58</v>
      </c>
      <c r="AG536" s="10" t="s">
        <v>5671</v>
      </c>
      <c r="AH536" s="10" t="s">
        <v>60</v>
      </c>
      <c r="AI536" s="10" t="s">
        <v>61</v>
      </c>
      <c r="AJ536" s="10" t="s">
        <v>2455</v>
      </c>
      <c r="AK536" s="10" t="s">
        <v>5196</v>
      </c>
      <c r="AL536" s="10" t="s">
        <v>64</v>
      </c>
      <c r="AM536" s="10" t="s">
        <v>5672</v>
      </c>
      <c r="AN536" s="10" t="s">
        <v>50</v>
      </c>
      <c r="AO536" s="11" t="s">
        <v>50</v>
      </c>
      <c r="AP536" s="10" t="s">
        <v>50</v>
      </c>
      <c r="AQ536" s="10" t="s">
        <v>50</v>
      </c>
      <c r="AR536" s="10" t="s">
        <v>50</v>
      </c>
      <c r="AS536" s="10" t="s">
        <v>50</v>
      </c>
      <c r="AT536" s="10" t="s">
        <v>50</v>
      </c>
      <c r="AU536" s="10" t="s">
        <v>50</v>
      </c>
      <c r="AV536" s="11"/>
      <c r="AW536" s="10" t="s">
        <v>66</v>
      </c>
      <c r="AX536" s="10"/>
      <c r="AY536" s="10" t="s">
        <v>66</v>
      </c>
    </row>
    <row r="537" ht="22.5" hidden="1" customHeight="1">
      <c r="A537" s="9" t="s">
        <v>5673</v>
      </c>
      <c r="B537" s="10" t="s">
        <v>5674</v>
      </c>
      <c r="C537" s="10" t="s">
        <v>43</v>
      </c>
      <c r="D537" s="10" t="s">
        <v>4506</v>
      </c>
      <c r="E537" s="10" t="s">
        <v>66</v>
      </c>
      <c r="F537" s="11">
        <v>1.0</v>
      </c>
      <c r="G537" s="11">
        <v>101.5</v>
      </c>
      <c r="H537" s="11"/>
      <c r="I537" s="11">
        <v>-19.28</v>
      </c>
      <c r="J537" s="11">
        <v>-19.95</v>
      </c>
      <c r="K537" s="11"/>
      <c r="L537" s="11">
        <v>62.27</v>
      </c>
      <c r="M537" s="10" t="s">
        <v>46</v>
      </c>
      <c r="N537" s="10" t="s">
        <v>50</v>
      </c>
      <c r="O537" s="10" t="s">
        <v>100</v>
      </c>
      <c r="P537" s="10" t="s">
        <v>101</v>
      </c>
      <c r="Q537" s="10" t="s">
        <v>102</v>
      </c>
      <c r="R537" s="10" t="s">
        <v>50</v>
      </c>
      <c r="S537" s="11">
        <v>101.5</v>
      </c>
      <c r="T537" s="11">
        <v>38.61</v>
      </c>
      <c r="U537" s="11" t="s">
        <v>51</v>
      </c>
      <c r="V537" s="10" t="s">
        <v>52</v>
      </c>
      <c r="W537" s="10" t="s">
        <v>5675</v>
      </c>
      <c r="X537" s="10" t="s">
        <v>5676</v>
      </c>
      <c r="Y537" s="10" t="s">
        <v>5677</v>
      </c>
      <c r="Z537" s="10" t="s">
        <v>50</v>
      </c>
      <c r="AA537" s="10" t="s">
        <v>50</v>
      </c>
      <c r="AB537" s="10" t="s">
        <v>5675</v>
      </c>
      <c r="AC537" s="10" t="s">
        <v>5678</v>
      </c>
      <c r="AD537" s="10" t="s">
        <v>5679</v>
      </c>
      <c r="AE537" s="10" t="s">
        <v>5680</v>
      </c>
      <c r="AF537" s="10" t="s">
        <v>58</v>
      </c>
      <c r="AG537" s="10" t="s">
        <v>5681</v>
      </c>
      <c r="AH537" s="10" t="s">
        <v>60</v>
      </c>
      <c r="AI537" s="10" t="s">
        <v>61</v>
      </c>
      <c r="AJ537" s="10" t="s">
        <v>5130</v>
      </c>
      <c r="AK537" s="10" t="s">
        <v>5682</v>
      </c>
      <c r="AL537" s="10" t="s">
        <v>64</v>
      </c>
      <c r="AM537" s="10" t="s">
        <v>5683</v>
      </c>
      <c r="AN537" s="10" t="s">
        <v>50</v>
      </c>
      <c r="AO537" s="11" t="s">
        <v>50</v>
      </c>
      <c r="AP537" s="10" t="s">
        <v>50</v>
      </c>
      <c r="AQ537" s="10" t="s">
        <v>50</v>
      </c>
      <c r="AR537" s="10" t="s">
        <v>50</v>
      </c>
      <c r="AS537" s="10" t="s">
        <v>50</v>
      </c>
      <c r="AT537" s="10" t="s">
        <v>50</v>
      </c>
      <c r="AU537" s="10" t="s">
        <v>50</v>
      </c>
      <c r="AV537" s="11"/>
      <c r="AW537" s="10" t="s">
        <v>66</v>
      </c>
      <c r="AX537" s="10"/>
      <c r="AY537" s="10" t="s">
        <v>66</v>
      </c>
    </row>
    <row r="538" ht="22.5" hidden="1" customHeight="1">
      <c r="A538" s="9" t="s">
        <v>5684</v>
      </c>
      <c r="B538" s="10" t="s">
        <v>5685</v>
      </c>
      <c r="C538" s="10" t="s">
        <v>43</v>
      </c>
      <c r="D538" s="10" t="s">
        <v>2326</v>
      </c>
      <c r="E538" s="10" t="s">
        <v>66</v>
      </c>
      <c r="F538" s="11">
        <v>1.0</v>
      </c>
      <c r="G538" s="11">
        <v>43.2</v>
      </c>
      <c r="H538" s="11">
        <v>9.94</v>
      </c>
      <c r="I538" s="11">
        <v>-13.34</v>
      </c>
      <c r="J538" s="11">
        <v>-9.94</v>
      </c>
      <c r="K538" s="11"/>
      <c r="L538" s="11">
        <v>29.86</v>
      </c>
      <c r="M538" s="10" t="s">
        <v>46</v>
      </c>
      <c r="N538" s="10" t="s">
        <v>45</v>
      </c>
      <c r="O538" s="10" t="s">
        <v>4556</v>
      </c>
      <c r="P538" s="10" t="s">
        <v>4557</v>
      </c>
      <c r="Q538" s="10" t="s">
        <v>4558</v>
      </c>
      <c r="R538" s="10" t="s">
        <v>74</v>
      </c>
      <c r="S538" s="11">
        <v>43.2</v>
      </c>
      <c r="T538" s="11">
        <v>8.73</v>
      </c>
      <c r="U538" s="11" t="s">
        <v>51</v>
      </c>
      <c r="V538" s="10" t="s">
        <v>52</v>
      </c>
      <c r="W538" s="10" t="s">
        <v>5686</v>
      </c>
      <c r="X538" s="10" t="s">
        <v>5687</v>
      </c>
      <c r="Y538" s="10" t="s">
        <v>5688</v>
      </c>
      <c r="Z538" s="10" t="s">
        <v>50</v>
      </c>
      <c r="AA538" s="10" t="s">
        <v>50</v>
      </c>
      <c r="AB538" s="10" t="s">
        <v>5686</v>
      </c>
      <c r="AC538" s="10" t="s">
        <v>5689</v>
      </c>
      <c r="AD538" s="10" t="s">
        <v>5690</v>
      </c>
      <c r="AE538" s="10" t="s">
        <v>296</v>
      </c>
      <c r="AF538" s="10" t="s">
        <v>58</v>
      </c>
      <c r="AG538" s="10" t="s">
        <v>5691</v>
      </c>
      <c r="AH538" s="10" t="s">
        <v>60</v>
      </c>
      <c r="AI538" s="10" t="s">
        <v>61</v>
      </c>
      <c r="AJ538" s="10" t="s">
        <v>3408</v>
      </c>
      <c r="AK538" s="10" t="s">
        <v>5692</v>
      </c>
      <c r="AL538" s="10" t="s">
        <v>64</v>
      </c>
      <c r="AM538" s="10" t="s">
        <v>5693</v>
      </c>
      <c r="AN538" s="10" t="s">
        <v>50</v>
      </c>
      <c r="AO538" s="11" t="s">
        <v>50</v>
      </c>
      <c r="AP538" s="10" t="s">
        <v>50</v>
      </c>
      <c r="AQ538" s="10" t="s">
        <v>50</v>
      </c>
      <c r="AR538" s="10" t="s">
        <v>50</v>
      </c>
      <c r="AS538" s="10" t="s">
        <v>50</v>
      </c>
      <c r="AT538" s="10" t="s">
        <v>50</v>
      </c>
      <c r="AU538" s="10" t="s">
        <v>50</v>
      </c>
      <c r="AV538" s="11"/>
      <c r="AW538" s="10" t="s">
        <v>66</v>
      </c>
      <c r="AX538" s="10"/>
      <c r="AY538" s="10" t="s">
        <v>66</v>
      </c>
    </row>
    <row r="539" ht="22.5" hidden="1" customHeight="1">
      <c r="A539" s="9" t="s">
        <v>5694</v>
      </c>
      <c r="B539" s="10" t="s">
        <v>5695</v>
      </c>
      <c r="C539" s="10" t="s">
        <v>43</v>
      </c>
      <c r="D539" s="10" t="s">
        <v>2481</v>
      </c>
      <c r="E539" s="10" t="s">
        <v>66</v>
      </c>
      <c r="F539" s="11">
        <v>1.0</v>
      </c>
      <c r="G539" s="11">
        <v>80.0</v>
      </c>
      <c r="H539" s="11"/>
      <c r="I539" s="11">
        <v>-13.6</v>
      </c>
      <c r="J539" s="11">
        <v>-19.95</v>
      </c>
      <c r="K539" s="11"/>
      <c r="L539" s="11">
        <v>50.45</v>
      </c>
      <c r="M539" s="10" t="s">
        <v>46</v>
      </c>
      <c r="N539" s="10" t="s">
        <v>50</v>
      </c>
      <c r="O539" s="10" t="s">
        <v>143</v>
      </c>
      <c r="P539" s="10" t="s">
        <v>144</v>
      </c>
      <c r="Q539" s="10" t="s">
        <v>145</v>
      </c>
      <c r="R539" s="10" t="s">
        <v>74</v>
      </c>
      <c r="S539" s="11">
        <v>80.0</v>
      </c>
      <c r="T539" s="11">
        <v>33.38</v>
      </c>
      <c r="U539" s="11" t="s">
        <v>51</v>
      </c>
      <c r="V539" s="10" t="s">
        <v>52</v>
      </c>
      <c r="W539" s="10" t="s">
        <v>5696</v>
      </c>
      <c r="X539" s="10" t="s">
        <v>5697</v>
      </c>
      <c r="Y539" s="10" t="s">
        <v>5698</v>
      </c>
      <c r="Z539" s="10" t="s">
        <v>50</v>
      </c>
      <c r="AA539" s="10" t="s">
        <v>50</v>
      </c>
      <c r="AB539" s="10" t="s">
        <v>5696</v>
      </c>
      <c r="AC539" s="10" t="s">
        <v>5699</v>
      </c>
      <c r="AD539" s="10" t="s">
        <v>5700</v>
      </c>
      <c r="AE539" s="10" t="s">
        <v>4301</v>
      </c>
      <c r="AF539" s="10" t="s">
        <v>323</v>
      </c>
      <c r="AG539" s="10" t="s">
        <v>5701</v>
      </c>
      <c r="AH539" s="10" t="s">
        <v>60</v>
      </c>
      <c r="AI539" s="10" t="s">
        <v>61</v>
      </c>
      <c r="AJ539" s="10" t="s">
        <v>5661</v>
      </c>
      <c r="AK539" s="10" t="s">
        <v>5702</v>
      </c>
      <c r="AL539" s="10" t="s">
        <v>64</v>
      </c>
      <c r="AM539" s="10" t="s">
        <v>5703</v>
      </c>
      <c r="AN539" s="10" t="s">
        <v>5704</v>
      </c>
      <c r="AO539" s="11" t="s">
        <v>50</v>
      </c>
      <c r="AP539" s="10" t="s">
        <v>50</v>
      </c>
      <c r="AQ539" s="10" t="s">
        <v>50</v>
      </c>
      <c r="AR539" s="10" t="s">
        <v>50</v>
      </c>
      <c r="AS539" s="10" t="s">
        <v>50</v>
      </c>
      <c r="AT539" s="10" t="s">
        <v>50</v>
      </c>
      <c r="AU539" s="10" t="s">
        <v>50</v>
      </c>
      <c r="AV539" s="11"/>
      <c r="AW539" s="10" t="s">
        <v>66</v>
      </c>
      <c r="AX539" s="10"/>
      <c r="AY539" s="10" t="s">
        <v>66</v>
      </c>
    </row>
    <row r="540" ht="22.5" hidden="1" customHeight="1">
      <c r="A540" s="9" t="s">
        <v>5705</v>
      </c>
      <c r="B540" s="10" t="s">
        <v>5706</v>
      </c>
      <c r="C540" s="10" t="s">
        <v>43</v>
      </c>
      <c r="D540" s="10" t="s">
        <v>2481</v>
      </c>
      <c r="E540" s="10" t="s">
        <v>45</v>
      </c>
      <c r="F540" s="11">
        <v>1.0</v>
      </c>
      <c r="G540" s="11">
        <v>84.0</v>
      </c>
      <c r="H540" s="11"/>
      <c r="I540" s="11">
        <v>-14.28</v>
      </c>
      <c r="J540" s="11">
        <v>-20.45</v>
      </c>
      <c r="K540" s="11"/>
      <c r="L540" s="11">
        <v>49.27</v>
      </c>
      <c r="M540" s="10" t="s">
        <v>46</v>
      </c>
      <c r="N540" s="10" t="s">
        <v>45</v>
      </c>
      <c r="O540" s="10" t="s">
        <v>265</v>
      </c>
      <c r="P540" s="10" t="s">
        <v>266</v>
      </c>
      <c r="Q540" s="10" t="s">
        <v>267</v>
      </c>
      <c r="R540" s="10" t="s">
        <v>74</v>
      </c>
      <c r="S540" s="11">
        <v>84.0</v>
      </c>
      <c r="T540" s="11">
        <v>26.22</v>
      </c>
      <c r="U540" s="11" t="s">
        <v>51</v>
      </c>
      <c r="V540" s="10" t="s">
        <v>52</v>
      </c>
      <c r="W540" s="10" t="s">
        <v>5707</v>
      </c>
      <c r="X540" s="10" t="s">
        <v>5708</v>
      </c>
      <c r="Y540" s="10" t="s">
        <v>5709</v>
      </c>
      <c r="Z540" s="10" t="s">
        <v>50</v>
      </c>
      <c r="AA540" s="10" t="s">
        <v>50</v>
      </c>
      <c r="AB540" s="10" t="s">
        <v>5707</v>
      </c>
      <c r="AC540" s="10" t="s">
        <v>5710</v>
      </c>
      <c r="AD540" s="10" t="s">
        <v>5711</v>
      </c>
      <c r="AE540" s="10" t="s">
        <v>335</v>
      </c>
      <c r="AF540" s="10" t="s">
        <v>58</v>
      </c>
      <c r="AG540" s="10" t="s">
        <v>5712</v>
      </c>
      <c r="AH540" s="10" t="s">
        <v>60</v>
      </c>
      <c r="AI540" s="10" t="s">
        <v>61</v>
      </c>
      <c r="AJ540" s="10" t="s">
        <v>2397</v>
      </c>
      <c r="AK540" s="10" t="s">
        <v>5713</v>
      </c>
      <c r="AL540" s="10" t="s">
        <v>64</v>
      </c>
      <c r="AM540" s="10" t="s">
        <v>5714</v>
      </c>
      <c r="AN540" s="10" t="s">
        <v>50</v>
      </c>
      <c r="AO540" s="11" t="s">
        <v>50</v>
      </c>
      <c r="AP540" s="10" t="s">
        <v>50</v>
      </c>
      <c r="AQ540" s="10" t="s">
        <v>50</v>
      </c>
      <c r="AR540" s="10" t="s">
        <v>50</v>
      </c>
      <c r="AS540" s="10" t="s">
        <v>50</v>
      </c>
      <c r="AT540" s="10" t="s">
        <v>50</v>
      </c>
      <c r="AU540" s="10" t="s">
        <v>50</v>
      </c>
      <c r="AV540" s="11"/>
      <c r="AW540" s="10" t="s">
        <v>66</v>
      </c>
      <c r="AX540" s="10"/>
      <c r="AY540" s="10" t="s">
        <v>66</v>
      </c>
    </row>
    <row r="541" ht="22.5" hidden="1" customHeight="1">
      <c r="A541" s="9" t="s">
        <v>5715</v>
      </c>
      <c r="B541" s="10" t="s">
        <v>5716</v>
      </c>
      <c r="C541" s="10" t="s">
        <v>43</v>
      </c>
      <c r="D541" s="10" t="s">
        <v>2326</v>
      </c>
      <c r="E541" s="10" t="s">
        <v>66</v>
      </c>
      <c r="F541" s="11">
        <v>1.0</v>
      </c>
      <c r="G541" s="11">
        <v>90.0</v>
      </c>
      <c r="H541" s="11"/>
      <c r="I541" s="11">
        <v>-15.3</v>
      </c>
      <c r="J541" s="11">
        <v>-20.45</v>
      </c>
      <c r="K541" s="11"/>
      <c r="L541" s="11">
        <v>59.65</v>
      </c>
      <c r="M541" s="10" t="s">
        <v>46</v>
      </c>
      <c r="N541" s="10" t="s">
        <v>45</v>
      </c>
      <c r="O541" s="10" t="s">
        <v>5094</v>
      </c>
      <c r="P541" s="10" t="s">
        <v>5095</v>
      </c>
      <c r="Q541" s="10" t="s">
        <v>5096</v>
      </c>
      <c r="R541" s="10" t="s">
        <v>74</v>
      </c>
      <c r="S541" s="11">
        <v>90.0</v>
      </c>
      <c r="T541" s="11">
        <v>39.99</v>
      </c>
      <c r="U541" s="11" t="s">
        <v>51</v>
      </c>
      <c r="V541" s="10" t="s">
        <v>52</v>
      </c>
      <c r="W541" s="10" t="s">
        <v>5717</v>
      </c>
      <c r="X541" s="10" t="s">
        <v>5718</v>
      </c>
      <c r="Y541" s="10" t="s">
        <v>5719</v>
      </c>
      <c r="Z541" s="10" t="s">
        <v>50</v>
      </c>
      <c r="AA541" s="10" t="s">
        <v>50</v>
      </c>
      <c r="AB541" s="10" t="s">
        <v>5717</v>
      </c>
      <c r="AC541" s="10" t="s">
        <v>5720</v>
      </c>
      <c r="AD541" s="10" t="s">
        <v>5721</v>
      </c>
      <c r="AE541" s="10" t="s">
        <v>5722</v>
      </c>
      <c r="AF541" s="10" t="s">
        <v>284</v>
      </c>
      <c r="AG541" s="10" t="s">
        <v>5723</v>
      </c>
      <c r="AH541" s="10" t="s">
        <v>60</v>
      </c>
      <c r="AI541" s="10" t="s">
        <v>61</v>
      </c>
      <c r="AJ541" s="10" t="s">
        <v>5195</v>
      </c>
      <c r="AK541" s="10" t="s">
        <v>5724</v>
      </c>
      <c r="AL541" s="10" t="s">
        <v>64</v>
      </c>
      <c r="AM541" s="10" t="s">
        <v>5725</v>
      </c>
      <c r="AN541" s="10" t="s">
        <v>50</v>
      </c>
      <c r="AO541" s="11" t="s">
        <v>50</v>
      </c>
      <c r="AP541" s="10" t="s">
        <v>50</v>
      </c>
      <c r="AQ541" s="10" t="s">
        <v>50</v>
      </c>
      <c r="AR541" s="10" t="s">
        <v>50</v>
      </c>
      <c r="AS541" s="10" t="s">
        <v>50</v>
      </c>
      <c r="AT541" s="10" t="s">
        <v>50</v>
      </c>
      <c r="AU541" s="10" t="s">
        <v>50</v>
      </c>
      <c r="AV541" s="11"/>
      <c r="AW541" s="10" t="s">
        <v>66</v>
      </c>
      <c r="AX541" s="10"/>
      <c r="AY541" s="10" t="s">
        <v>66</v>
      </c>
    </row>
    <row r="542" ht="22.5" hidden="1" customHeight="1">
      <c r="A542" s="9" t="s">
        <v>5726</v>
      </c>
      <c r="B542" s="10" t="s">
        <v>5727</v>
      </c>
      <c r="C542" s="10" t="s">
        <v>43</v>
      </c>
      <c r="D542" s="10" t="s">
        <v>2326</v>
      </c>
      <c r="E542" s="10" t="s">
        <v>66</v>
      </c>
      <c r="F542" s="11">
        <v>1.0</v>
      </c>
      <c r="G542" s="11">
        <v>84.0</v>
      </c>
      <c r="H542" s="11">
        <v>8.73</v>
      </c>
      <c r="I542" s="11">
        <v>-14.28</v>
      </c>
      <c r="J542" s="11">
        <v>-29.18</v>
      </c>
      <c r="K542" s="11"/>
      <c r="L542" s="11">
        <v>49.27</v>
      </c>
      <c r="M542" s="10" t="s">
        <v>46</v>
      </c>
      <c r="N542" s="10" t="s">
        <v>45</v>
      </c>
      <c r="O542" s="10" t="s">
        <v>265</v>
      </c>
      <c r="P542" s="10" t="s">
        <v>266</v>
      </c>
      <c r="Q542" s="10" t="s">
        <v>267</v>
      </c>
      <c r="R542" s="10" t="s">
        <v>74</v>
      </c>
      <c r="S542" s="11">
        <v>84.0</v>
      </c>
      <c r="T542" s="11">
        <v>26.22</v>
      </c>
      <c r="U542" s="11" t="s">
        <v>51</v>
      </c>
      <c r="V542" s="10" t="s">
        <v>52</v>
      </c>
      <c r="W542" s="10" t="s">
        <v>5728</v>
      </c>
      <c r="X542" s="10" t="s">
        <v>5729</v>
      </c>
      <c r="Y542" s="10" t="s">
        <v>5730</v>
      </c>
      <c r="Z542" s="10" t="s">
        <v>50</v>
      </c>
      <c r="AA542" s="10" t="s">
        <v>50</v>
      </c>
      <c r="AB542" s="10" t="s">
        <v>5728</v>
      </c>
      <c r="AC542" s="10" t="s">
        <v>5731</v>
      </c>
      <c r="AD542" s="10" t="s">
        <v>5732</v>
      </c>
      <c r="AE542" s="10" t="s">
        <v>5733</v>
      </c>
      <c r="AF542" s="10" t="s">
        <v>81</v>
      </c>
      <c r="AG542" s="10" t="s">
        <v>5734</v>
      </c>
      <c r="AH542" s="10" t="s">
        <v>60</v>
      </c>
      <c r="AI542" s="10" t="s">
        <v>61</v>
      </c>
      <c r="AJ542" s="10" t="s">
        <v>2455</v>
      </c>
      <c r="AK542" s="10" t="s">
        <v>5735</v>
      </c>
      <c r="AL542" s="10" t="s">
        <v>64</v>
      </c>
      <c r="AM542" s="10" t="s">
        <v>5736</v>
      </c>
      <c r="AN542" s="10" t="s">
        <v>50</v>
      </c>
      <c r="AO542" s="11" t="s">
        <v>50</v>
      </c>
      <c r="AP542" s="10" t="s">
        <v>50</v>
      </c>
      <c r="AQ542" s="10" t="s">
        <v>50</v>
      </c>
      <c r="AR542" s="10" t="s">
        <v>50</v>
      </c>
      <c r="AS542" s="10" t="s">
        <v>50</v>
      </c>
      <c r="AT542" s="10" t="s">
        <v>50</v>
      </c>
      <c r="AU542" s="10" t="s">
        <v>50</v>
      </c>
      <c r="AV542" s="11"/>
      <c r="AW542" s="10" t="s">
        <v>66</v>
      </c>
      <c r="AX542" s="10"/>
      <c r="AY542" s="10" t="s">
        <v>66</v>
      </c>
    </row>
    <row r="543" ht="22.5" hidden="1" customHeight="1">
      <c r="A543" s="9" t="s">
        <v>5737</v>
      </c>
      <c r="B543" s="10" t="s">
        <v>5738</v>
      </c>
      <c r="C543" s="10" t="s">
        <v>43</v>
      </c>
      <c r="D543" s="10" t="s">
        <v>2326</v>
      </c>
      <c r="E543" s="10" t="s">
        <v>66</v>
      </c>
      <c r="F543" s="11">
        <v>1.0</v>
      </c>
      <c r="G543" s="11">
        <v>88.0</v>
      </c>
      <c r="H543" s="11">
        <v>21.71</v>
      </c>
      <c r="I543" s="11">
        <v>-14.96</v>
      </c>
      <c r="J543" s="11">
        <v>-43.16</v>
      </c>
      <c r="K543" s="11"/>
      <c r="L543" s="11">
        <v>55.99</v>
      </c>
      <c r="M543" s="10" t="s">
        <v>46</v>
      </c>
      <c r="N543" s="10" t="s">
        <v>45</v>
      </c>
      <c r="O543" s="10" t="s">
        <v>5739</v>
      </c>
      <c r="P543" s="10" t="s">
        <v>5740</v>
      </c>
      <c r="Q543" s="10" t="s">
        <v>5741</v>
      </c>
      <c r="R543" s="10" t="s">
        <v>74</v>
      </c>
      <c r="S543" s="11">
        <v>88.0</v>
      </c>
      <c r="T543" s="11">
        <v>3.96</v>
      </c>
      <c r="U543" s="11" t="s">
        <v>51</v>
      </c>
      <c r="V543" s="10" t="s">
        <v>52</v>
      </c>
      <c r="W543" s="10" t="s">
        <v>5742</v>
      </c>
      <c r="X543" s="10" t="s">
        <v>5743</v>
      </c>
      <c r="Y543" s="10" t="s">
        <v>5744</v>
      </c>
      <c r="Z543" s="10" t="s">
        <v>50</v>
      </c>
      <c r="AA543" s="10" t="s">
        <v>50</v>
      </c>
      <c r="AB543" s="10" t="s">
        <v>5742</v>
      </c>
      <c r="AC543" s="10" t="s">
        <v>5745</v>
      </c>
      <c r="AD543" s="10" t="s">
        <v>5746</v>
      </c>
      <c r="AE543" s="10" t="s">
        <v>5747</v>
      </c>
      <c r="AF543" s="10" t="s">
        <v>408</v>
      </c>
      <c r="AG543" s="10" t="s">
        <v>5748</v>
      </c>
      <c r="AH543" s="10" t="s">
        <v>60</v>
      </c>
      <c r="AI543" s="10" t="s">
        <v>61</v>
      </c>
      <c r="AJ543" s="10" t="s">
        <v>2397</v>
      </c>
      <c r="AK543" s="10" t="s">
        <v>5749</v>
      </c>
      <c r="AL543" s="10" t="s">
        <v>64</v>
      </c>
      <c r="AM543" s="10" t="s">
        <v>5750</v>
      </c>
      <c r="AN543" s="10" t="s">
        <v>50</v>
      </c>
      <c r="AO543" s="11" t="s">
        <v>50</v>
      </c>
      <c r="AP543" s="10" t="s">
        <v>50</v>
      </c>
      <c r="AQ543" s="10" t="s">
        <v>50</v>
      </c>
      <c r="AR543" s="10" t="s">
        <v>50</v>
      </c>
      <c r="AS543" s="10" t="s">
        <v>50</v>
      </c>
      <c r="AT543" s="10" t="s">
        <v>50</v>
      </c>
      <c r="AU543" s="10" t="s">
        <v>50</v>
      </c>
      <c r="AV543" s="11"/>
      <c r="AW543" s="10" t="s">
        <v>66</v>
      </c>
      <c r="AX543" s="10"/>
      <c r="AY543" s="10" t="s">
        <v>66</v>
      </c>
    </row>
    <row r="544" ht="22.5" hidden="1" customHeight="1">
      <c r="A544" s="9" t="s">
        <v>5751</v>
      </c>
      <c r="B544" s="10" t="s">
        <v>5752</v>
      </c>
      <c r="C544" s="10" t="s">
        <v>43</v>
      </c>
      <c r="D544" s="10" t="s">
        <v>1398</v>
      </c>
      <c r="E544" s="10" t="s">
        <v>45</v>
      </c>
      <c r="F544" s="11">
        <v>2.0</v>
      </c>
      <c r="G544" s="11">
        <v>87.4</v>
      </c>
      <c r="H544" s="11"/>
      <c r="I544" s="11">
        <v>-26.86</v>
      </c>
      <c r="J544" s="11"/>
      <c r="K544" s="11"/>
      <c r="L544" s="11">
        <v>65.78</v>
      </c>
      <c r="M544" s="10" t="s">
        <v>46</v>
      </c>
      <c r="N544" s="10" t="s">
        <v>45</v>
      </c>
      <c r="O544" s="10" t="s">
        <v>176</v>
      </c>
      <c r="P544" s="10" t="s">
        <v>177</v>
      </c>
      <c r="Q544" s="10" t="s">
        <v>178</v>
      </c>
      <c r="R544" s="10" t="s">
        <v>74</v>
      </c>
      <c r="S544" s="11">
        <v>43.7</v>
      </c>
      <c r="T544" s="11">
        <f>2*22.58</f>
        <v>45.16</v>
      </c>
      <c r="U544" s="11" t="s">
        <v>51</v>
      </c>
      <c r="V544" s="10" t="s">
        <v>52</v>
      </c>
      <c r="W544" s="10" t="s">
        <v>5753</v>
      </c>
      <c r="X544" s="10" t="s">
        <v>5754</v>
      </c>
      <c r="Y544" s="10" t="s">
        <v>5755</v>
      </c>
      <c r="Z544" s="10" t="s">
        <v>50</v>
      </c>
      <c r="AA544" s="10" t="s">
        <v>50</v>
      </c>
      <c r="AB544" s="10" t="s">
        <v>5753</v>
      </c>
      <c r="AC544" s="10" t="s">
        <v>5756</v>
      </c>
      <c r="AD544" s="10" t="s">
        <v>5757</v>
      </c>
      <c r="AE544" s="10" t="s">
        <v>58</v>
      </c>
      <c r="AF544" s="10" t="s">
        <v>58</v>
      </c>
      <c r="AG544" s="10" t="s">
        <v>5758</v>
      </c>
      <c r="AH544" s="10" t="s">
        <v>60</v>
      </c>
      <c r="AI544" s="10" t="s">
        <v>61</v>
      </c>
      <c r="AJ544" s="10" t="s">
        <v>2455</v>
      </c>
      <c r="AK544" s="10" t="s">
        <v>5759</v>
      </c>
      <c r="AL544" s="10" t="s">
        <v>64</v>
      </c>
      <c r="AM544" s="10" t="s">
        <v>5760</v>
      </c>
      <c r="AN544" s="10" t="s">
        <v>5761</v>
      </c>
      <c r="AO544" s="11" t="s">
        <v>50</v>
      </c>
      <c r="AP544" s="10" t="s">
        <v>50</v>
      </c>
      <c r="AQ544" s="10" t="s">
        <v>50</v>
      </c>
      <c r="AR544" s="10" t="s">
        <v>50</v>
      </c>
      <c r="AS544" s="10" t="s">
        <v>50</v>
      </c>
      <c r="AT544" s="10" t="s">
        <v>50</v>
      </c>
      <c r="AU544" s="10" t="s">
        <v>50</v>
      </c>
      <c r="AV544" s="11"/>
      <c r="AW544" s="10" t="s">
        <v>66</v>
      </c>
      <c r="AX544" s="10"/>
      <c r="AY544" s="10" t="s">
        <v>66</v>
      </c>
    </row>
    <row r="545" ht="22.5" hidden="1" customHeight="1">
      <c r="A545" s="9" t="s">
        <v>5762</v>
      </c>
      <c r="B545" s="10" t="s">
        <v>5763</v>
      </c>
      <c r="C545" s="10" t="s">
        <v>43</v>
      </c>
      <c r="D545" s="10" t="s">
        <v>4506</v>
      </c>
      <c r="E545" s="10" t="s">
        <v>66</v>
      </c>
      <c r="F545" s="11">
        <v>1.0</v>
      </c>
      <c r="G545" s="11">
        <v>79.2</v>
      </c>
      <c r="H545" s="11"/>
      <c r="I545" s="11">
        <v>-13.46</v>
      </c>
      <c r="J545" s="11">
        <v>-20.45</v>
      </c>
      <c r="K545" s="11"/>
      <c r="L545" s="11">
        <v>45.29</v>
      </c>
      <c r="M545" s="10" t="s">
        <v>46</v>
      </c>
      <c r="N545" s="10" t="s">
        <v>45</v>
      </c>
      <c r="O545" s="10" t="s">
        <v>127</v>
      </c>
      <c r="P545" s="10" t="s">
        <v>128</v>
      </c>
      <c r="Q545" s="10" t="s">
        <v>129</v>
      </c>
      <c r="R545" s="10" t="s">
        <v>74</v>
      </c>
      <c r="S545" s="11">
        <v>79.2</v>
      </c>
      <c r="T545" s="11">
        <v>17.68</v>
      </c>
      <c r="U545" s="11" t="s">
        <v>51</v>
      </c>
      <c r="V545" s="10" t="s">
        <v>52</v>
      </c>
      <c r="W545" s="10" t="s">
        <v>5764</v>
      </c>
      <c r="X545" s="10" t="s">
        <v>5765</v>
      </c>
      <c r="Y545" s="10" t="s">
        <v>5766</v>
      </c>
      <c r="Z545" s="10" t="s">
        <v>50</v>
      </c>
      <c r="AA545" s="10" t="s">
        <v>50</v>
      </c>
      <c r="AB545" s="10" t="s">
        <v>5764</v>
      </c>
      <c r="AC545" s="10" t="s">
        <v>5767</v>
      </c>
      <c r="AD545" s="10" t="s">
        <v>5768</v>
      </c>
      <c r="AE545" s="10" t="s">
        <v>1089</v>
      </c>
      <c r="AF545" s="10" t="s">
        <v>284</v>
      </c>
      <c r="AG545" s="10" t="s">
        <v>5769</v>
      </c>
      <c r="AH545" s="10" t="s">
        <v>60</v>
      </c>
      <c r="AI545" s="10" t="s">
        <v>61</v>
      </c>
      <c r="AJ545" s="10" t="s">
        <v>5195</v>
      </c>
      <c r="AK545" s="10" t="s">
        <v>5770</v>
      </c>
      <c r="AL545" s="10" t="s">
        <v>64</v>
      </c>
      <c r="AM545" s="10" t="s">
        <v>5771</v>
      </c>
      <c r="AN545" s="10" t="s">
        <v>50</v>
      </c>
      <c r="AO545" s="11" t="s">
        <v>50</v>
      </c>
      <c r="AP545" s="10" t="s">
        <v>50</v>
      </c>
      <c r="AQ545" s="10" t="s">
        <v>50</v>
      </c>
      <c r="AR545" s="10" t="s">
        <v>50</v>
      </c>
      <c r="AS545" s="10" t="s">
        <v>50</v>
      </c>
      <c r="AT545" s="10" t="s">
        <v>50</v>
      </c>
      <c r="AU545" s="10" t="s">
        <v>50</v>
      </c>
      <c r="AV545" s="11"/>
      <c r="AW545" s="10" t="s">
        <v>66</v>
      </c>
      <c r="AX545" s="10"/>
      <c r="AY545" s="10" t="s">
        <v>66</v>
      </c>
    </row>
    <row r="546" ht="22.5" hidden="1" customHeight="1">
      <c r="A546" s="9" t="s">
        <v>5772</v>
      </c>
      <c r="B546" s="10" t="s">
        <v>5773</v>
      </c>
      <c r="C546" s="10" t="s">
        <v>43</v>
      </c>
      <c r="D546" s="10" t="s">
        <v>2481</v>
      </c>
      <c r="E546" s="10" t="s">
        <v>45</v>
      </c>
      <c r="F546" s="11">
        <v>1.0</v>
      </c>
      <c r="G546" s="11">
        <v>79.0</v>
      </c>
      <c r="H546" s="11"/>
      <c r="I546" s="11">
        <v>-13.43</v>
      </c>
      <c r="J546" s="11">
        <v>-20.45</v>
      </c>
      <c r="K546" s="11"/>
      <c r="L546" s="11">
        <v>45.12</v>
      </c>
      <c r="M546" s="10" t="s">
        <v>46</v>
      </c>
      <c r="N546" s="10" t="s">
        <v>45</v>
      </c>
      <c r="O546" s="10" t="s">
        <v>160</v>
      </c>
      <c r="P546" s="10" t="s">
        <v>161</v>
      </c>
      <c r="Q546" s="10" t="s">
        <v>162</v>
      </c>
      <c r="R546" s="10" t="s">
        <v>74</v>
      </c>
      <c r="S546" s="11">
        <v>79.0</v>
      </c>
      <c r="T546" s="11">
        <v>2.49</v>
      </c>
      <c r="U546" s="11" t="s">
        <v>51</v>
      </c>
      <c r="V546" s="10" t="s">
        <v>52</v>
      </c>
      <c r="W546" s="10" t="s">
        <v>5774</v>
      </c>
      <c r="X546" s="10" t="s">
        <v>5775</v>
      </c>
      <c r="Y546" s="10" t="s">
        <v>5776</v>
      </c>
      <c r="Z546" s="10" t="s">
        <v>50</v>
      </c>
      <c r="AA546" s="10" t="s">
        <v>50</v>
      </c>
      <c r="AB546" s="10" t="s">
        <v>5774</v>
      </c>
      <c r="AC546" s="10" t="s">
        <v>5777</v>
      </c>
      <c r="AD546" s="10" t="s">
        <v>5778</v>
      </c>
      <c r="AE546" s="10" t="s">
        <v>822</v>
      </c>
      <c r="AF546" s="10" t="s">
        <v>58</v>
      </c>
      <c r="AG546" s="10" t="s">
        <v>5779</v>
      </c>
      <c r="AH546" s="10" t="s">
        <v>60</v>
      </c>
      <c r="AI546" s="10" t="s">
        <v>61</v>
      </c>
      <c r="AJ546" s="10" t="s">
        <v>2455</v>
      </c>
      <c r="AK546" s="10" t="s">
        <v>5780</v>
      </c>
      <c r="AL546" s="10" t="s">
        <v>64</v>
      </c>
      <c r="AM546" s="10" t="s">
        <v>5781</v>
      </c>
      <c r="AN546" s="10" t="s">
        <v>50</v>
      </c>
      <c r="AO546" s="11" t="s">
        <v>50</v>
      </c>
      <c r="AP546" s="10" t="s">
        <v>50</v>
      </c>
      <c r="AQ546" s="10" t="s">
        <v>50</v>
      </c>
      <c r="AR546" s="10" t="s">
        <v>50</v>
      </c>
      <c r="AS546" s="10" t="s">
        <v>50</v>
      </c>
      <c r="AT546" s="10" t="s">
        <v>50</v>
      </c>
      <c r="AU546" s="10" t="s">
        <v>50</v>
      </c>
      <c r="AV546" s="11"/>
      <c r="AW546" s="10" t="s">
        <v>66</v>
      </c>
      <c r="AX546" s="10"/>
      <c r="AY546" s="10" t="s">
        <v>66</v>
      </c>
    </row>
    <row r="547" ht="22.5" hidden="1" customHeight="1">
      <c r="A547" s="9" t="s">
        <v>5782</v>
      </c>
      <c r="B547" s="10" t="s">
        <v>5783</v>
      </c>
      <c r="C547" s="10" t="s">
        <v>69</v>
      </c>
      <c r="D547" s="10" t="s">
        <v>2283</v>
      </c>
      <c r="E547" s="10" t="s">
        <v>66</v>
      </c>
      <c r="F547" s="11">
        <v>1.0</v>
      </c>
      <c r="G547" s="11">
        <v>80.0</v>
      </c>
      <c r="H547" s="11"/>
      <c r="I547" s="11">
        <v>-13.6</v>
      </c>
      <c r="J547" s="11">
        <v>-19.95</v>
      </c>
      <c r="K547" s="11">
        <v>-50.45</v>
      </c>
      <c r="L547" s="11">
        <v>0.0</v>
      </c>
      <c r="M547" s="10" t="s">
        <v>46</v>
      </c>
      <c r="N547" s="10" t="s">
        <v>45</v>
      </c>
      <c r="O547" s="10" t="s">
        <v>143</v>
      </c>
      <c r="P547" s="10" t="s">
        <v>144</v>
      </c>
      <c r="Q547" s="10" t="s">
        <v>145</v>
      </c>
      <c r="R547" s="10" t="s">
        <v>74</v>
      </c>
      <c r="S547" s="11">
        <v>80.0</v>
      </c>
      <c r="T547" s="11"/>
      <c r="U547" s="11" t="s">
        <v>51</v>
      </c>
      <c r="V547" s="10" t="s">
        <v>52</v>
      </c>
      <c r="W547" s="10" t="s">
        <v>5784</v>
      </c>
      <c r="X547" s="10" t="s">
        <v>5785</v>
      </c>
      <c r="Y547" s="10" t="s">
        <v>5786</v>
      </c>
      <c r="Z547" s="10" t="s">
        <v>50</v>
      </c>
      <c r="AA547" s="10" t="s">
        <v>50</v>
      </c>
      <c r="AB547" s="10" t="s">
        <v>5784</v>
      </c>
      <c r="AC547" s="10" t="s">
        <v>5787</v>
      </c>
      <c r="AD547" s="10" t="s">
        <v>50</v>
      </c>
      <c r="AE547" s="10" t="s">
        <v>5788</v>
      </c>
      <c r="AF547" s="10" t="s">
        <v>185</v>
      </c>
      <c r="AG547" s="10" t="s">
        <v>5789</v>
      </c>
      <c r="AH547" s="10" t="s">
        <v>60</v>
      </c>
      <c r="AI547" s="10" t="s">
        <v>61</v>
      </c>
      <c r="AJ547" s="10" t="s">
        <v>50</v>
      </c>
      <c r="AK547" s="10" t="s">
        <v>50</v>
      </c>
      <c r="AL547" s="10" t="s">
        <v>64</v>
      </c>
      <c r="AM547" s="10" t="s">
        <v>5790</v>
      </c>
      <c r="AN547" s="10" t="s">
        <v>50</v>
      </c>
      <c r="AO547" s="11" t="s">
        <v>50</v>
      </c>
      <c r="AP547" s="10" t="s">
        <v>50</v>
      </c>
      <c r="AQ547" s="10" t="s">
        <v>50</v>
      </c>
      <c r="AR547" s="10" t="s">
        <v>50</v>
      </c>
      <c r="AS547" s="10" t="s">
        <v>50</v>
      </c>
      <c r="AT547" s="10" t="s">
        <v>50</v>
      </c>
      <c r="AU547" s="10" t="s">
        <v>50</v>
      </c>
      <c r="AV547" s="11"/>
      <c r="AW547" s="10" t="s">
        <v>66</v>
      </c>
      <c r="AX547" s="10"/>
      <c r="AY547" s="10" t="s">
        <v>66</v>
      </c>
    </row>
    <row r="548" ht="22.5" hidden="1" customHeight="1">
      <c r="A548" s="9" t="s">
        <v>5791</v>
      </c>
      <c r="B548" s="10" t="s">
        <v>5783</v>
      </c>
      <c r="C548" s="10" t="s">
        <v>43</v>
      </c>
      <c r="D548" s="10" t="s">
        <v>3477</v>
      </c>
      <c r="E548" s="10" t="s">
        <v>66</v>
      </c>
      <c r="F548" s="11">
        <v>1.0</v>
      </c>
      <c r="G548" s="11">
        <v>43.7</v>
      </c>
      <c r="H548" s="11">
        <v>17.0</v>
      </c>
      <c r="I548" s="11">
        <v>-13.43</v>
      </c>
      <c r="J548" s="11">
        <v>-17.0</v>
      </c>
      <c r="K548" s="11"/>
      <c r="L548" s="11">
        <v>32.89</v>
      </c>
      <c r="M548" s="10" t="s">
        <v>46</v>
      </c>
      <c r="N548" s="10" t="s">
        <v>45</v>
      </c>
      <c r="O548" s="10" t="s">
        <v>176</v>
      </c>
      <c r="P548" s="10" t="s">
        <v>177</v>
      </c>
      <c r="Q548" s="10" t="s">
        <v>178</v>
      </c>
      <c r="R548" s="10" t="s">
        <v>74</v>
      </c>
      <c r="S548" s="11">
        <v>43.7</v>
      </c>
      <c r="T548" s="11">
        <v>22.58</v>
      </c>
      <c r="U548" s="11" t="s">
        <v>51</v>
      </c>
      <c r="V548" s="10" t="s">
        <v>52</v>
      </c>
      <c r="W548" s="10" t="s">
        <v>5792</v>
      </c>
      <c r="X548" s="10" t="s">
        <v>5793</v>
      </c>
      <c r="Y548" s="10" t="s">
        <v>5794</v>
      </c>
      <c r="Z548" s="10" t="s">
        <v>50</v>
      </c>
      <c r="AA548" s="10" t="s">
        <v>50</v>
      </c>
      <c r="AB548" s="10" t="s">
        <v>5792</v>
      </c>
      <c r="AC548" s="10" t="s">
        <v>5795</v>
      </c>
      <c r="AD548" s="10" t="s">
        <v>5796</v>
      </c>
      <c r="AE548" s="10" t="s">
        <v>5797</v>
      </c>
      <c r="AF548" s="10" t="s">
        <v>323</v>
      </c>
      <c r="AG548" s="10" t="s">
        <v>5798</v>
      </c>
      <c r="AH548" s="10" t="s">
        <v>60</v>
      </c>
      <c r="AI548" s="10" t="s">
        <v>61</v>
      </c>
      <c r="AJ548" s="10" t="s">
        <v>5799</v>
      </c>
      <c r="AK548" s="10" t="s">
        <v>5800</v>
      </c>
      <c r="AL548" s="10" t="s">
        <v>64</v>
      </c>
      <c r="AM548" s="10" t="s">
        <v>5801</v>
      </c>
      <c r="AN548" s="10" t="s">
        <v>50</v>
      </c>
      <c r="AO548" s="11" t="s">
        <v>50</v>
      </c>
      <c r="AP548" s="10" t="s">
        <v>50</v>
      </c>
      <c r="AQ548" s="10" t="s">
        <v>50</v>
      </c>
      <c r="AR548" s="10" t="s">
        <v>50</v>
      </c>
      <c r="AS548" s="10" t="s">
        <v>50</v>
      </c>
      <c r="AT548" s="10" t="s">
        <v>50</v>
      </c>
      <c r="AU548" s="10" t="s">
        <v>50</v>
      </c>
      <c r="AV548" s="11"/>
      <c r="AW548" s="10" t="s">
        <v>66</v>
      </c>
      <c r="AX548" s="10"/>
      <c r="AY548" s="10" t="s">
        <v>66</v>
      </c>
    </row>
    <row r="549" ht="22.5" hidden="1" customHeight="1">
      <c r="A549" s="9" t="s">
        <v>5802</v>
      </c>
      <c r="B549" s="10" t="s">
        <v>5803</v>
      </c>
      <c r="C549" s="10" t="s">
        <v>43</v>
      </c>
      <c r="D549" s="10" t="s">
        <v>2402</v>
      </c>
      <c r="E549" s="10" t="s">
        <v>66</v>
      </c>
      <c r="F549" s="11">
        <v>1.0</v>
      </c>
      <c r="G549" s="11">
        <v>80.0</v>
      </c>
      <c r="H549" s="11"/>
      <c r="I549" s="11">
        <v>-13.6</v>
      </c>
      <c r="J549" s="11">
        <v>-19.95</v>
      </c>
      <c r="K549" s="11"/>
      <c r="L549" s="11">
        <v>50.45</v>
      </c>
      <c r="M549" s="10" t="s">
        <v>46</v>
      </c>
      <c r="N549" s="10" t="s">
        <v>50</v>
      </c>
      <c r="O549" s="10" t="s">
        <v>143</v>
      </c>
      <c r="P549" s="10" t="s">
        <v>144</v>
      </c>
      <c r="Q549" s="10" t="s">
        <v>145</v>
      </c>
      <c r="R549" s="10" t="s">
        <v>74</v>
      </c>
      <c r="S549" s="11">
        <v>80.0</v>
      </c>
      <c r="T549" s="11">
        <v>33.38</v>
      </c>
      <c r="U549" s="11" t="s">
        <v>51</v>
      </c>
      <c r="V549" s="10" t="s">
        <v>52</v>
      </c>
      <c r="W549" s="10" t="s">
        <v>5804</v>
      </c>
      <c r="X549" s="10" t="s">
        <v>5805</v>
      </c>
      <c r="Y549" s="10" t="s">
        <v>5806</v>
      </c>
      <c r="Z549" s="10" t="s">
        <v>50</v>
      </c>
      <c r="AA549" s="10" t="s">
        <v>50</v>
      </c>
      <c r="AB549" s="10" t="s">
        <v>5804</v>
      </c>
      <c r="AC549" s="10" t="s">
        <v>5807</v>
      </c>
      <c r="AD549" s="10" t="s">
        <v>5808</v>
      </c>
      <c r="AE549" s="10" t="s">
        <v>1936</v>
      </c>
      <c r="AF549" s="10" t="s">
        <v>58</v>
      </c>
      <c r="AG549" s="10" t="s">
        <v>5809</v>
      </c>
      <c r="AH549" s="10" t="s">
        <v>60</v>
      </c>
      <c r="AI549" s="10" t="s">
        <v>61</v>
      </c>
      <c r="AJ549" s="10" t="s">
        <v>5810</v>
      </c>
      <c r="AK549" s="10" t="s">
        <v>5811</v>
      </c>
      <c r="AL549" s="10" t="s">
        <v>64</v>
      </c>
      <c r="AM549" s="10" t="s">
        <v>5812</v>
      </c>
      <c r="AN549" s="10" t="s">
        <v>5813</v>
      </c>
      <c r="AO549" s="11" t="s">
        <v>50</v>
      </c>
      <c r="AP549" s="10" t="s">
        <v>50</v>
      </c>
      <c r="AQ549" s="10" t="s">
        <v>50</v>
      </c>
      <c r="AR549" s="10" t="s">
        <v>50</v>
      </c>
      <c r="AS549" s="10" t="s">
        <v>50</v>
      </c>
      <c r="AT549" s="10" t="s">
        <v>50</v>
      </c>
      <c r="AU549" s="10" t="s">
        <v>50</v>
      </c>
      <c r="AV549" s="11"/>
      <c r="AW549" s="10" t="s">
        <v>66</v>
      </c>
      <c r="AX549" s="10"/>
      <c r="AY549" s="10" t="s">
        <v>66</v>
      </c>
    </row>
    <row r="550" ht="22.5" hidden="1" customHeight="1">
      <c r="A550" s="9" t="s">
        <v>5814</v>
      </c>
      <c r="B550" s="10" t="s">
        <v>5815</v>
      </c>
      <c r="C550" s="10" t="s">
        <v>43</v>
      </c>
      <c r="D550" s="10" t="s">
        <v>3477</v>
      </c>
      <c r="E550" s="10" t="s">
        <v>66</v>
      </c>
      <c r="F550" s="11">
        <v>1.0</v>
      </c>
      <c r="G550" s="11">
        <v>120.0</v>
      </c>
      <c r="H550" s="11"/>
      <c r="I550" s="11">
        <v>-20.4</v>
      </c>
      <c r="J550" s="11">
        <v>-19.95</v>
      </c>
      <c r="K550" s="11"/>
      <c r="L550" s="11">
        <v>86.85</v>
      </c>
      <c r="M550" s="10" t="s">
        <v>46</v>
      </c>
      <c r="N550" s="10" t="s">
        <v>45</v>
      </c>
      <c r="O550" s="10" t="s">
        <v>85</v>
      </c>
      <c r="P550" s="10" t="s">
        <v>86</v>
      </c>
      <c r="Q550" s="10" t="s">
        <v>87</v>
      </c>
      <c r="R550" s="10" t="s">
        <v>74</v>
      </c>
      <c r="S550" s="11">
        <v>120.0</v>
      </c>
      <c r="T550" s="11">
        <v>65.78</v>
      </c>
      <c r="U550" s="11" t="s">
        <v>51</v>
      </c>
      <c r="V550" s="10" t="s">
        <v>52</v>
      </c>
      <c r="W550" s="10" t="s">
        <v>5816</v>
      </c>
      <c r="X550" s="10" t="s">
        <v>5817</v>
      </c>
      <c r="Y550" s="10" t="s">
        <v>5818</v>
      </c>
      <c r="Z550" s="10" t="s">
        <v>50</v>
      </c>
      <c r="AA550" s="10" t="s">
        <v>50</v>
      </c>
      <c r="AB550" s="10" t="s">
        <v>5816</v>
      </c>
      <c r="AC550" s="10" t="s">
        <v>5819</v>
      </c>
      <c r="AD550" s="10" t="s">
        <v>5820</v>
      </c>
      <c r="AE550" s="10" t="s">
        <v>5821</v>
      </c>
      <c r="AF550" s="10" t="s">
        <v>151</v>
      </c>
      <c r="AG550" s="10" t="s">
        <v>5822</v>
      </c>
      <c r="AH550" s="10" t="s">
        <v>60</v>
      </c>
      <c r="AI550" s="10" t="s">
        <v>61</v>
      </c>
      <c r="AJ550" s="10" t="s">
        <v>5799</v>
      </c>
      <c r="AK550" s="10" t="s">
        <v>5823</v>
      </c>
      <c r="AL550" s="10" t="s">
        <v>64</v>
      </c>
      <c r="AM550" s="10" t="s">
        <v>5824</v>
      </c>
      <c r="AN550" s="10" t="s">
        <v>50</v>
      </c>
      <c r="AO550" s="11" t="s">
        <v>50</v>
      </c>
      <c r="AP550" s="10" t="s">
        <v>50</v>
      </c>
      <c r="AQ550" s="10" t="s">
        <v>50</v>
      </c>
      <c r="AR550" s="10" t="s">
        <v>50</v>
      </c>
      <c r="AS550" s="10" t="s">
        <v>50</v>
      </c>
      <c r="AT550" s="10" t="s">
        <v>50</v>
      </c>
      <c r="AU550" s="10" t="s">
        <v>50</v>
      </c>
      <c r="AV550" s="11"/>
      <c r="AW550" s="10" t="s">
        <v>66</v>
      </c>
      <c r="AX550" s="10"/>
      <c r="AY550" s="10" t="s">
        <v>66</v>
      </c>
    </row>
    <row r="551" ht="22.5" hidden="1" customHeight="1">
      <c r="A551" s="9" t="s">
        <v>5825</v>
      </c>
      <c r="B551" s="10" t="s">
        <v>5826</v>
      </c>
      <c r="C551" s="10" t="s">
        <v>69</v>
      </c>
      <c r="D551" s="10" t="s">
        <v>402</v>
      </c>
      <c r="E551" s="10" t="s">
        <v>66</v>
      </c>
      <c r="F551" s="11">
        <v>1.0</v>
      </c>
      <c r="G551" s="11">
        <v>36.8</v>
      </c>
      <c r="H551" s="11">
        <v>11.11</v>
      </c>
      <c r="I551" s="11">
        <v>-12.26</v>
      </c>
      <c r="J551" s="11">
        <v>-11.11</v>
      </c>
      <c r="K551" s="11">
        <v>-26.38</v>
      </c>
      <c r="L551" s="11">
        <v>0.0</v>
      </c>
      <c r="M551" s="10" t="s">
        <v>46</v>
      </c>
      <c r="N551" s="10" t="s">
        <v>45</v>
      </c>
      <c r="O551" s="10" t="s">
        <v>71</v>
      </c>
      <c r="P551" s="10" t="s">
        <v>72</v>
      </c>
      <c r="Q551" s="10" t="s">
        <v>73</v>
      </c>
      <c r="R551" s="10" t="s">
        <v>74</v>
      </c>
      <c r="S551" s="11">
        <v>36.8</v>
      </c>
      <c r="T551" s="11"/>
      <c r="U551" s="11" t="s">
        <v>51</v>
      </c>
      <c r="V551" s="10" t="s">
        <v>52</v>
      </c>
      <c r="W551" s="10" t="s">
        <v>5827</v>
      </c>
      <c r="X551" s="10" t="s">
        <v>5828</v>
      </c>
      <c r="Y551" s="10" t="s">
        <v>5829</v>
      </c>
      <c r="Z551" s="10" t="s">
        <v>50</v>
      </c>
      <c r="AA551" s="10" t="s">
        <v>50</v>
      </c>
      <c r="AB551" s="10" t="s">
        <v>5827</v>
      </c>
      <c r="AC551" s="10" t="s">
        <v>5830</v>
      </c>
      <c r="AD551" s="10" t="s">
        <v>50</v>
      </c>
      <c r="AE551" s="10" t="s">
        <v>58</v>
      </c>
      <c r="AF551" s="10" t="s">
        <v>58</v>
      </c>
      <c r="AG551" s="10" t="s">
        <v>5831</v>
      </c>
      <c r="AH551" s="10" t="s">
        <v>60</v>
      </c>
      <c r="AI551" s="10" t="s">
        <v>61</v>
      </c>
      <c r="AJ551" s="10" t="s">
        <v>50</v>
      </c>
      <c r="AK551" s="10" t="s">
        <v>50</v>
      </c>
      <c r="AL551" s="10" t="s">
        <v>64</v>
      </c>
      <c r="AM551" s="10" t="s">
        <v>5832</v>
      </c>
      <c r="AN551" s="10" t="s">
        <v>50</v>
      </c>
      <c r="AO551" s="11" t="s">
        <v>50</v>
      </c>
      <c r="AP551" s="10" t="s">
        <v>50</v>
      </c>
      <c r="AQ551" s="10" t="s">
        <v>50</v>
      </c>
      <c r="AR551" s="10" t="s">
        <v>50</v>
      </c>
      <c r="AS551" s="10" t="s">
        <v>50</v>
      </c>
      <c r="AT551" s="10" t="s">
        <v>50</v>
      </c>
      <c r="AU551" s="10" t="s">
        <v>50</v>
      </c>
      <c r="AV551" s="11"/>
      <c r="AW551" s="10" t="s">
        <v>66</v>
      </c>
      <c r="AX551" s="10"/>
      <c r="AY551" s="10" t="s">
        <v>66</v>
      </c>
    </row>
    <row r="552" ht="22.5" hidden="1" customHeight="1">
      <c r="A552" s="9" t="s">
        <v>5833</v>
      </c>
      <c r="B552" s="10" t="s">
        <v>5834</v>
      </c>
      <c r="C552" s="10" t="s">
        <v>43</v>
      </c>
      <c r="D552" s="10" t="s">
        <v>2402</v>
      </c>
      <c r="E552" s="10" t="s">
        <v>66</v>
      </c>
      <c r="F552" s="11">
        <v>1.0</v>
      </c>
      <c r="G552" s="11">
        <v>84.0</v>
      </c>
      <c r="H552" s="11"/>
      <c r="I552" s="11">
        <v>-14.28</v>
      </c>
      <c r="J552" s="11">
        <v>-20.45</v>
      </c>
      <c r="K552" s="11"/>
      <c r="L552" s="11">
        <v>49.27</v>
      </c>
      <c r="M552" s="10" t="s">
        <v>46</v>
      </c>
      <c r="N552" s="10" t="s">
        <v>45</v>
      </c>
      <c r="O552" s="10" t="s">
        <v>265</v>
      </c>
      <c r="P552" s="10" t="s">
        <v>266</v>
      </c>
      <c r="Q552" s="10" t="s">
        <v>267</v>
      </c>
      <c r="R552" s="10" t="s">
        <v>74</v>
      </c>
      <c r="S552" s="11">
        <v>84.0</v>
      </c>
      <c r="T552" s="11">
        <v>26.22</v>
      </c>
      <c r="U552" s="11" t="s">
        <v>51</v>
      </c>
      <c r="V552" s="10" t="s">
        <v>52</v>
      </c>
      <c r="W552" s="10" t="s">
        <v>5835</v>
      </c>
      <c r="X552" s="10" t="s">
        <v>5836</v>
      </c>
      <c r="Y552" s="10" t="s">
        <v>5837</v>
      </c>
      <c r="Z552" s="10" t="s">
        <v>50</v>
      </c>
      <c r="AA552" s="10" t="s">
        <v>50</v>
      </c>
      <c r="AB552" s="10" t="s">
        <v>5835</v>
      </c>
      <c r="AC552" s="10" t="s">
        <v>5838</v>
      </c>
      <c r="AD552" s="10" t="s">
        <v>5839</v>
      </c>
      <c r="AE552" s="10" t="s">
        <v>5840</v>
      </c>
      <c r="AF552" s="10" t="s">
        <v>214</v>
      </c>
      <c r="AG552" s="10" t="s">
        <v>5841</v>
      </c>
      <c r="AH552" s="10" t="s">
        <v>60</v>
      </c>
      <c r="AI552" s="10" t="s">
        <v>61</v>
      </c>
      <c r="AJ552" s="10" t="s">
        <v>5842</v>
      </c>
      <c r="AK552" s="10" t="s">
        <v>5843</v>
      </c>
      <c r="AL552" s="10" t="s">
        <v>64</v>
      </c>
      <c r="AM552" s="10" t="s">
        <v>5844</v>
      </c>
      <c r="AN552" s="10" t="s">
        <v>50</v>
      </c>
      <c r="AO552" s="11" t="s">
        <v>50</v>
      </c>
      <c r="AP552" s="10" t="s">
        <v>50</v>
      </c>
      <c r="AQ552" s="10" t="s">
        <v>50</v>
      </c>
      <c r="AR552" s="10" t="s">
        <v>50</v>
      </c>
      <c r="AS552" s="10" t="s">
        <v>50</v>
      </c>
      <c r="AT552" s="10" t="s">
        <v>50</v>
      </c>
      <c r="AU552" s="10" t="s">
        <v>50</v>
      </c>
      <c r="AV552" s="11"/>
      <c r="AW552" s="10" t="s">
        <v>66</v>
      </c>
      <c r="AX552" s="10"/>
      <c r="AY552" s="10" t="s">
        <v>66</v>
      </c>
    </row>
    <row r="553" ht="22.5" hidden="1" customHeight="1">
      <c r="A553" s="9" t="s">
        <v>5845</v>
      </c>
      <c r="B553" s="10" t="s">
        <v>5846</v>
      </c>
      <c r="C553" s="10" t="s">
        <v>43</v>
      </c>
      <c r="D553" s="10" t="s">
        <v>2402</v>
      </c>
      <c r="E553" s="10" t="s">
        <v>66</v>
      </c>
      <c r="F553" s="11">
        <v>1.0</v>
      </c>
      <c r="G553" s="11">
        <v>79.2</v>
      </c>
      <c r="H553" s="11"/>
      <c r="I553" s="11">
        <v>-13.46</v>
      </c>
      <c r="J553" s="11">
        <v>-20.45</v>
      </c>
      <c r="K553" s="11"/>
      <c r="L553" s="11">
        <v>50.04</v>
      </c>
      <c r="M553" s="10" t="s">
        <v>46</v>
      </c>
      <c r="N553" s="10" t="s">
        <v>50</v>
      </c>
      <c r="O553" s="10" t="s">
        <v>892</v>
      </c>
      <c r="P553" s="10" t="s">
        <v>893</v>
      </c>
      <c r="Q553" s="10" t="s">
        <v>894</v>
      </c>
      <c r="R553" s="10" t="s">
        <v>74</v>
      </c>
      <c r="S553" s="11">
        <v>79.2</v>
      </c>
      <c r="T553" s="11">
        <v>2.97</v>
      </c>
      <c r="U553" s="11" t="s">
        <v>51</v>
      </c>
      <c r="V553" s="10" t="s">
        <v>52</v>
      </c>
      <c r="W553" s="10" t="s">
        <v>5847</v>
      </c>
      <c r="X553" s="10" t="s">
        <v>5848</v>
      </c>
      <c r="Y553" s="10" t="s">
        <v>5849</v>
      </c>
      <c r="Z553" s="10" t="s">
        <v>50</v>
      </c>
      <c r="AA553" s="10" t="s">
        <v>50</v>
      </c>
      <c r="AB553" s="10" t="s">
        <v>5847</v>
      </c>
      <c r="AC553" s="10" t="s">
        <v>5850</v>
      </c>
      <c r="AD553" s="10" t="s">
        <v>5851</v>
      </c>
      <c r="AE553" s="10" t="s">
        <v>5852</v>
      </c>
      <c r="AF553" s="10" t="s">
        <v>58</v>
      </c>
      <c r="AG553" s="10" t="s">
        <v>5853</v>
      </c>
      <c r="AH553" s="10" t="s">
        <v>60</v>
      </c>
      <c r="AI553" s="10" t="s">
        <v>61</v>
      </c>
      <c r="AJ553" s="10" t="s">
        <v>5854</v>
      </c>
      <c r="AK553" s="10" t="s">
        <v>5855</v>
      </c>
      <c r="AL553" s="10" t="s">
        <v>64</v>
      </c>
      <c r="AM553" s="10" t="s">
        <v>5856</v>
      </c>
      <c r="AN553" s="10" t="s">
        <v>50</v>
      </c>
      <c r="AO553" s="11" t="s">
        <v>50</v>
      </c>
      <c r="AP553" s="10" t="s">
        <v>50</v>
      </c>
      <c r="AQ553" s="10" t="s">
        <v>50</v>
      </c>
      <c r="AR553" s="10" t="s">
        <v>50</v>
      </c>
      <c r="AS553" s="10" t="s">
        <v>50</v>
      </c>
      <c r="AT553" s="10" t="s">
        <v>50</v>
      </c>
      <c r="AU553" s="10" t="s">
        <v>50</v>
      </c>
      <c r="AV553" s="11"/>
      <c r="AW553" s="10" t="s">
        <v>66</v>
      </c>
      <c r="AX553" s="10"/>
      <c r="AY553" s="10" t="s">
        <v>66</v>
      </c>
    </row>
    <row r="554" ht="22.5" hidden="1" customHeight="1">
      <c r="A554" s="9" t="s">
        <v>5857</v>
      </c>
      <c r="B554" s="10" t="s">
        <v>5858</v>
      </c>
      <c r="C554" s="10" t="s">
        <v>43</v>
      </c>
      <c r="D554" s="10" t="s">
        <v>4506</v>
      </c>
      <c r="E554" s="10" t="s">
        <v>66</v>
      </c>
      <c r="F554" s="11">
        <v>1.0</v>
      </c>
      <c r="G554" s="11">
        <v>120.0</v>
      </c>
      <c r="H554" s="11">
        <v>7.55</v>
      </c>
      <c r="I554" s="11">
        <v>-20.4</v>
      </c>
      <c r="J554" s="11">
        <v>-27.5</v>
      </c>
      <c r="K554" s="11"/>
      <c r="L554" s="11">
        <v>86.85</v>
      </c>
      <c r="M554" s="10" t="s">
        <v>46</v>
      </c>
      <c r="N554" s="10" t="s">
        <v>45</v>
      </c>
      <c r="O554" s="10" t="s">
        <v>85</v>
      </c>
      <c r="P554" s="10" t="s">
        <v>86</v>
      </c>
      <c r="Q554" s="10" t="s">
        <v>87</v>
      </c>
      <c r="R554" s="10" t="s">
        <v>74</v>
      </c>
      <c r="S554" s="11">
        <v>120.0</v>
      </c>
      <c r="T554" s="11">
        <v>65.78</v>
      </c>
      <c r="U554" s="11" t="s">
        <v>51</v>
      </c>
      <c r="V554" s="10" t="s">
        <v>52</v>
      </c>
      <c r="W554" s="10" t="s">
        <v>5859</v>
      </c>
      <c r="X554" s="10" t="s">
        <v>5860</v>
      </c>
      <c r="Y554" s="10" t="s">
        <v>5861</v>
      </c>
      <c r="Z554" s="10" t="s">
        <v>50</v>
      </c>
      <c r="AA554" s="10" t="s">
        <v>50</v>
      </c>
      <c r="AB554" s="10" t="s">
        <v>5859</v>
      </c>
      <c r="AC554" s="10" t="s">
        <v>5862</v>
      </c>
      <c r="AD554" s="10" t="s">
        <v>5863</v>
      </c>
      <c r="AE554" s="10" t="s">
        <v>5864</v>
      </c>
      <c r="AF554" s="10" t="s">
        <v>561</v>
      </c>
      <c r="AG554" s="10" t="s">
        <v>5865</v>
      </c>
      <c r="AH554" s="10" t="s">
        <v>60</v>
      </c>
      <c r="AI554" s="10" t="s">
        <v>61</v>
      </c>
      <c r="AJ554" s="10" t="s">
        <v>2410</v>
      </c>
      <c r="AK554" s="10" t="s">
        <v>5866</v>
      </c>
      <c r="AL554" s="10" t="s">
        <v>64</v>
      </c>
      <c r="AM554" s="10" t="s">
        <v>5867</v>
      </c>
      <c r="AN554" s="10" t="s">
        <v>50</v>
      </c>
      <c r="AO554" s="11" t="s">
        <v>50</v>
      </c>
      <c r="AP554" s="10" t="s">
        <v>50</v>
      </c>
      <c r="AQ554" s="10" t="s">
        <v>50</v>
      </c>
      <c r="AR554" s="10" t="s">
        <v>50</v>
      </c>
      <c r="AS554" s="10" t="s">
        <v>50</v>
      </c>
      <c r="AT554" s="10" t="s">
        <v>50</v>
      </c>
      <c r="AU554" s="10" t="s">
        <v>50</v>
      </c>
      <c r="AV554" s="11"/>
      <c r="AW554" s="10" t="s">
        <v>66</v>
      </c>
      <c r="AX554" s="10"/>
      <c r="AY554" s="10" t="s">
        <v>66</v>
      </c>
    </row>
    <row r="555" ht="22.5" hidden="1" customHeight="1">
      <c r="A555" s="9" t="s">
        <v>5868</v>
      </c>
      <c r="B555" s="10" t="s">
        <v>5869</v>
      </c>
      <c r="C555" s="10" t="s">
        <v>43</v>
      </c>
      <c r="D555" s="10" t="s">
        <v>2402</v>
      </c>
      <c r="E555" s="10" t="s">
        <v>66</v>
      </c>
      <c r="F555" s="11">
        <v>1.0</v>
      </c>
      <c r="G555" s="11">
        <v>120.0</v>
      </c>
      <c r="H555" s="11"/>
      <c r="I555" s="11">
        <v>-20.4</v>
      </c>
      <c r="J555" s="11">
        <v>-19.95</v>
      </c>
      <c r="K555" s="11"/>
      <c r="L555" s="11">
        <v>86.85</v>
      </c>
      <c r="M555" s="10" t="s">
        <v>46</v>
      </c>
      <c r="N555" s="10" t="s">
        <v>45</v>
      </c>
      <c r="O555" s="10" t="s">
        <v>85</v>
      </c>
      <c r="P555" s="10" t="s">
        <v>86</v>
      </c>
      <c r="Q555" s="10" t="s">
        <v>87</v>
      </c>
      <c r="R555" s="10" t="s">
        <v>74</v>
      </c>
      <c r="S555" s="11">
        <v>120.0</v>
      </c>
      <c r="T555" s="11">
        <v>65.78</v>
      </c>
      <c r="U555" s="11" t="s">
        <v>51</v>
      </c>
      <c r="V555" s="10" t="s">
        <v>52</v>
      </c>
      <c r="W555" s="10" t="s">
        <v>5870</v>
      </c>
      <c r="X555" s="10" t="s">
        <v>5871</v>
      </c>
      <c r="Y555" s="10" t="s">
        <v>5872</v>
      </c>
      <c r="Z555" s="10" t="s">
        <v>50</v>
      </c>
      <c r="AA555" s="10" t="s">
        <v>50</v>
      </c>
      <c r="AB555" s="10" t="s">
        <v>5870</v>
      </c>
      <c r="AC555" s="10" t="s">
        <v>5873</v>
      </c>
      <c r="AD555" s="10" t="s">
        <v>5874</v>
      </c>
      <c r="AE555" s="10" t="s">
        <v>373</v>
      </c>
      <c r="AF555" s="10" t="s">
        <v>58</v>
      </c>
      <c r="AG555" s="10" t="s">
        <v>5875</v>
      </c>
      <c r="AH555" s="10" t="s">
        <v>60</v>
      </c>
      <c r="AI555" s="10" t="s">
        <v>61</v>
      </c>
      <c r="AJ555" s="10" t="s">
        <v>5876</v>
      </c>
      <c r="AK555" s="10" t="s">
        <v>5877</v>
      </c>
      <c r="AL555" s="10" t="s">
        <v>64</v>
      </c>
      <c r="AM555" s="10" t="s">
        <v>5878</v>
      </c>
      <c r="AN555" s="10" t="s">
        <v>50</v>
      </c>
      <c r="AO555" s="11" t="s">
        <v>50</v>
      </c>
      <c r="AP555" s="10" t="s">
        <v>50</v>
      </c>
      <c r="AQ555" s="10" t="s">
        <v>50</v>
      </c>
      <c r="AR555" s="10" t="s">
        <v>50</v>
      </c>
      <c r="AS555" s="10" t="s">
        <v>50</v>
      </c>
      <c r="AT555" s="10" t="s">
        <v>50</v>
      </c>
      <c r="AU555" s="10" t="s">
        <v>50</v>
      </c>
      <c r="AV555" s="11"/>
      <c r="AW555" s="10" t="s">
        <v>66</v>
      </c>
      <c r="AX555" s="10"/>
      <c r="AY555" s="10" t="s">
        <v>66</v>
      </c>
    </row>
    <row r="556" ht="22.5" hidden="1" customHeight="1">
      <c r="A556" s="9" t="s">
        <v>5879</v>
      </c>
      <c r="B556" s="10" t="s">
        <v>5880</v>
      </c>
      <c r="C556" s="10" t="s">
        <v>43</v>
      </c>
      <c r="D556" s="10" t="s">
        <v>2481</v>
      </c>
      <c r="E556" s="10" t="s">
        <v>66</v>
      </c>
      <c r="F556" s="11">
        <v>1.0</v>
      </c>
      <c r="G556" s="11">
        <v>120.0</v>
      </c>
      <c r="H556" s="11">
        <v>13.45</v>
      </c>
      <c r="I556" s="11">
        <v>-20.4</v>
      </c>
      <c r="J556" s="11">
        <v>-33.4</v>
      </c>
      <c r="K556" s="11"/>
      <c r="L556" s="11">
        <v>86.85</v>
      </c>
      <c r="M556" s="10" t="s">
        <v>46</v>
      </c>
      <c r="N556" s="10" t="s">
        <v>45</v>
      </c>
      <c r="O556" s="10" t="s">
        <v>85</v>
      </c>
      <c r="P556" s="10" t="s">
        <v>86</v>
      </c>
      <c r="Q556" s="10" t="s">
        <v>87</v>
      </c>
      <c r="R556" s="10" t="s">
        <v>74</v>
      </c>
      <c r="S556" s="11">
        <v>120.0</v>
      </c>
      <c r="T556" s="11">
        <v>65.78</v>
      </c>
      <c r="U556" s="11" t="s">
        <v>51</v>
      </c>
      <c r="V556" s="10" t="s">
        <v>52</v>
      </c>
      <c r="W556" s="10" t="s">
        <v>5881</v>
      </c>
      <c r="X556" s="10" t="s">
        <v>5882</v>
      </c>
      <c r="Y556" s="10" t="s">
        <v>5883</v>
      </c>
      <c r="Z556" s="10" t="s">
        <v>50</v>
      </c>
      <c r="AA556" s="10" t="s">
        <v>50</v>
      </c>
      <c r="AB556" s="10" t="s">
        <v>5881</v>
      </c>
      <c r="AC556" s="10" t="s">
        <v>5884</v>
      </c>
      <c r="AD556" s="10" t="s">
        <v>5885</v>
      </c>
      <c r="AE556" s="10" t="s">
        <v>5886</v>
      </c>
      <c r="AF556" s="10" t="s">
        <v>2648</v>
      </c>
      <c r="AG556" s="10" t="s">
        <v>5887</v>
      </c>
      <c r="AH556" s="10" t="s">
        <v>60</v>
      </c>
      <c r="AI556" s="10" t="s">
        <v>61</v>
      </c>
      <c r="AJ556" s="10" t="s">
        <v>5888</v>
      </c>
      <c r="AK556" s="10" t="s">
        <v>5889</v>
      </c>
      <c r="AL556" s="10" t="s">
        <v>64</v>
      </c>
      <c r="AM556" s="10" t="s">
        <v>5890</v>
      </c>
      <c r="AN556" s="10" t="s">
        <v>50</v>
      </c>
      <c r="AO556" s="11" t="s">
        <v>50</v>
      </c>
      <c r="AP556" s="10" t="s">
        <v>50</v>
      </c>
      <c r="AQ556" s="10" t="s">
        <v>50</v>
      </c>
      <c r="AR556" s="10" t="s">
        <v>50</v>
      </c>
      <c r="AS556" s="10" t="s">
        <v>50</v>
      </c>
      <c r="AT556" s="10" t="s">
        <v>50</v>
      </c>
      <c r="AU556" s="10" t="s">
        <v>50</v>
      </c>
      <c r="AV556" s="11"/>
      <c r="AW556" s="10" t="s">
        <v>66</v>
      </c>
      <c r="AX556" s="10"/>
      <c r="AY556" s="10" t="s">
        <v>66</v>
      </c>
    </row>
    <row r="557" ht="22.5" hidden="1" customHeight="1">
      <c r="A557" s="9" t="s">
        <v>5891</v>
      </c>
      <c r="B557" s="10" t="s">
        <v>5892</v>
      </c>
      <c r="C557" s="10" t="s">
        <v>43</v>
      </c>
      <c r="D557" s="10" t="s">
        <v>2481</v>
      </c>
      <c r="E557" s="10" t="s">
        <v>45</v>
      </c>
      <c r="F557" s="11">
        <v>5.0</v>
      </c>
      <c r="G557" s="11">
        <v>395.0</v>
      </c>
      <c r="H557" s="11"/>
      <c r="I557" s="11">
        <v>-67.15</v>
      </c>
      <c r="J557" s="11">
        <v>-102.25</v>
      </c>
      <c r="K557" s="11"/>
      <c r="L557" s="11">
        <v>225.6</v>
      </c>
      <c r="M557" s="10" t="s">
        <v>46</v>
      </c>
      <c r="N557" s="10" t="s">
        <v>45</v>
      </c>
      <c r="O557" s="10" t="s">
        <v>160</v>
      </c>
      <c r="P557" s="10" t="s">
        <v>161</v>
      </c>
      <c r="Q557" s="10" t="s">
        <v>162</v>
      </c>
      <c r="R557" s="10" t="s">
        <v>74</v>
      </c>
      <c r="S557" s="11">
        <v>79.0</v>
      </c>
      <c r="T557" s="11">
        <v>2.49</v>
      </c>
      <c r="U557" s="11" t="s">
        <v>51</v>
      </c>
      <c r="V557" s="10" t="s">
        <v>52</v>
      </c>
      <c r="W557" s="10" t="s">
        <v>5893</v>
      </c>
      <c r="X557" s="10" t="s">
        <v>5894</v>
      </c>
      <c r="Y557" s="10" t="s">
        <v>5895</v>
      </c>
      <c r="Z557" s="10" t="s">
        <v>50</v>
      </c>
      <c r="AA557" s="10" t="s">
        <v>50</v>
      </c>
      <c r="AB557" s="10" t="s">
        <v>5893</v>
      </c>
      <c r="AC557" s="10" t="s">
        <v>5896</v>
      </c>
      <c r="AD557" s="10" t="s">
        <v>5897</v>
      </c>
      <c r="AE557" s="10" t="s">
        <v>2975</v>
      </c>
      <c r="AF557" s="10" t="s">
        <v>2976</v>
      </c>
      <c r="AG557" s="10" t="s">
        <v>5898</v>
      </c>
      <c r="AH557" s="10" t="s">
        <v>60</v>
      </c>
      <c r="AI557" s="10" t="s">
        <v>61</v>
      </c>
      <c r="AJ557" s="10" t="s">
        <v>5888</v>
      </c>
      <c r="AK557" s="10" t="s">
        <v>5899</v>
      </c>
      <c r="AL557" s="10" t="s">
        <v>64</v>
      </c>
      <c r="AM557" s="10" t="s">
        <v>5900</v>
      </c>
      <c r="AN557" s="10" t="s">
        <v>50</v>
      </c>
      <c r="AO557" s="11" t="s">
        <v>50</v>
      </c>
      <c r="AP557" s="10" t="s">
        <v>50</v>
      </c>
      <c r="AQ557" s="10" t="s">
        <v>50</v>
      </c>
      <c r="AR557" s="10" t="s">
        <v>50</v>
      </c>
      <c r="AS557" s="10" t="s">
        <v>50</v>
      </c>
      <c r="AT557" s="10" t="s">
        <v>50</v>
      </c>
      <c r="AU557" s="10" t="s">
        <v>50</v>
      </c>
      <c r="AV557" s="11"/>
      <c r="AW557" s="10" t="s">
        <v>66</v>
      </c>
      <c r="AX557" s="10"/>
      <c r="AY557" s="10" t="s">
        <v>66</v>
      </c>
    </row>
    <row r="558" ht="22.5" hidden="1" customHeight="1">
      <c r="A558" s="9" t="s">
        <v>5901</v>
      </c>
      <c r="B558" s="10" t="s">
        <v>5902</v>
      </c>
      <c r="C558" s="10" t="s">
        <v>43</v>
      </c>
      <c r="D558" s="10" t="s">
        <v>3477</v>
      </c>
      <c r="E558" s="10" t="s">
        <v>66</v>
      </c>
      <c r="F558" s="11">
        <v>1.0</v>
      </c>
      <c r="G558" s="11">
        <v>120.0</v>
      </c>
      <c r="H558" s="11"/>
      <c r="I558" s="11">
        <v>-20.4</v>
      </c>
      <c r="J558" s="11">
        <v>-19.95</v>
      </c>
      <c r="K558" s="11"/>
      <c r="L558" s="11">
        <v>86.85</v>
      </c>
      <c r="M558" s="10" t="s">
        <v>46</v>
      </c>
      <c r="N558" s="10" t="s">
        <v>50</v>
      </c>
      <c r="O558" s="10" t="s">
        <v>85</v>
      </c>
      <c r="P558" s="10" t="s">
        <v>86</v>
      </c>
      <c r="Q558" s="10" t="s">
        <v>87</v>
      </c>
      <c r="R558" s="10" t="s">
        <v>74</v>
      </c>
      <c r="S558" s="11">
        <v>120.0</v>
      </c>
      <c r="T558" s="11">
        <v>65.78</v>
      </c>
      <c r="U558" s="11" t="s">
        <v>51</v>
      </c>
      <c r="V558" s="10" t="s">
        <v>52</v>
      </c>
      <c r="W558" s="10" t="s">
        <v>5903</v>
      </c>
      <c r="X558" s="10" t="s">
        <v>5904</v>
      </c>
      <c r="Y558" s="10" t="s">
        <v>5905</v>
      </c>
      <c r="Z558" s="10" t="s">
        <v>50</v>
      </c>
      <c r="AA558" s="10" t="s">
        <v>50</v>
      </c>
      <c r="AB558" s="10" t="s">
        <v>5903</v>
      </c>
      <c r="AC558" s="10" t="s">
        <v>5906</v>
      </c>
      <c r="AD558" s="10" t="s">
        <v>5907</v>
      </c>
      <c r="AE558" s="10" t="s">
        <v>151</v>
      </c>
      <c r="AF558" s="10" t="s">
        <v>151</v>
      </c>
      <c r="AG558" s="10" t="s">
        <v>5908</v>
      </c>
      <c r="AH558" s="10" t="s">
        <v>60</v>
      </c>
      <c r="AI558" s="10" t="s">
        <v>61</v>
      </c>
      <c r="AJ558" s="10" t="s">
        <v>5909</v>
      </c>
      <c r="AK558" s="10" t="s">
        <v>5910</v>
      </c>
      <c r="AL558" s="10" t="s">
        <v>64</v>
      </c>
      <c r="AM558" s="10" t="s">
        <v>5911</v>
      </c>
      <c r="AN558" s="10" t="s">
        <v>50</v>
      </c>
      <c r="AO558" s="11" t="s">
        <v>50</v>
      </c>
      <c r="AP558" s="10" t="s">
        <v>50</v>
      </c>
      <c r="AQ558" s="10" t="s">
        <v>50</v>
      </c>
      <c r="AR558" s="10" t="s">
        <v>50</v>
      </c>
      <c r="AS558" s="10" t="s">
        <v>50</v>
      </c>
      <c r="AT558" s="10" t="s">
        <v>50</v>
      </c>
      <c r="AU558" s="10" t="s">
        <v>50</v>
      </c>
      <c r="AV558" s="11"/>
      <c r="AW558" s="10" t="s">
        <v>66</v>
      </c>
      <c r="AX558" s="10"/>
      <c r="AY558" s="10" t="s">
        <v>66</v>
      </c>
    </row>
    <row r="559" ht="22.5" hidden="1" customHeight="1">
      <c r="A559" s="9" t="s">
        <v>5912</v>
      </c>
      <c r="B559" s="10" t="s">
        <v>5913</v>
      </c>
      <c r="C559" s="10" t="s">
        <v>43</v>
      </c>
      <c r="D559" s="10" t="s">
        <v>2481</v>
      </c>
      <c r="E559" s="10" t="s">
        <v>66</v>
      </c>
      <c r="F559" s="11">
        <v>1.0</v>
      </c>
      <c r="G559" s="11">
        <v>43.7</v>
      </c>
      <c r="H559" s="11">
        <v>14.15</v>
      </c>
      <c r="I559" s="11">
        <v>-13.43</v>
      </c>
      <c r="J559" s="11">
        <v>-14.15</v>
      </c>
      <c r="K559" s="11"/>
      <c r="L559" s="11">
        <v>32.89</v>
      </c>
      <c r="M559" s="10" t="s">
        <v>46</v>
      </c>
      <c r="N559" s="10" t="s">
        <v>50</v>
      </c>
      <c r="O559" s="10" t="s">
        <v>176</v>
      </c>
      <c r="P559" s="10" t="s">
        <v>177</v>
      </c>
      <c r="Q559" s="10" t="s">
        <v>178</v>
      </c>
      <c r="R559" s="10" t="s">
        <v>74</v>
      </c>
      <c r="S559" s="11">
        <v>43.7</v>
      </c>
      <c r="T559" s="11">
        <v>22.58</v>
      </c>
      <c r="U559" s="11" t="s">
        <v>51</v>
      </c>
      <c r="V559" s="10" t="s">
        <v>52</v>
      </c>
      <c r="W559" s="10" t="s">
        <v>5914</v>
      </c>
      <c r="X559" s="10" t="s">
        <v>5915</v>
      </c>
      <c r="Y559" s="10" t="s">
        <v>5916</v>
      </c>
      <c r="Z559" s="10" t="s">
        <v>50</v>
      </c>
      <c r="AA559" s="10" t="s">
        <v>50</v>
      </c>
      <c r="AB559" s="10" t="s">
        <v>5914</v>
      </c>
      <c r="AC559" s="10" t="s">
        <v>5917</v>
      </c>
      <c r="AD559" s="10" t="s">
        <v>5918</v>
      </c>
      <c r="AE559" s="10" t="s">
        <v>1089</v>
      </c>
      <c r="AF559" s="10" t="s">
        <v>284</v>
      </c>
      <c r="AG559" s="10" t="s">
        <v>5919</v>
      </c>
      <c r="AH559" s="10" t="s">
        <v>60</v>
      </c>
      <c r="AI559" s="10" t="s">
        <v>61</v>
      </c>
      <c r="AJ559" s="10" t="s">
        <v>5842</v>
      </c>
      <c r="AK559" s="10" t="s">
        <v>5920</v>
      </c>
      <c r="AL559" s="10" t="s">
        <v>64</v>
      </c>
      <c r="AM559" s="10" t="s">
        <v>5921</v>
      </c>
      <c r="AN559" s="10" t="s">
        <v>50</v>
      </c>
      <c r="AO559" s="11" t="s">
        <v>50</v>
      </c>
      <c r="AP559" s="10" t="s">
        <v>50</v>
      </c>
      <c r="AQ559" s="10" t="s">
        <v>50</v>
      </c>
      <c r="AR559" s="10" t="s">
        <v>50</v>
      </c>
      <c r="AS559" s="10" t="s">
        <v>50</v>
      </c>
      <c r="AT559" s="10" t="s">
        <v>50</v>
      </c>
      <c r="AU559" s="10" t="s">
        <v>50</v>
      </c>
      <c r="AV559" s="11"/>
      <c r="AW559" s="10" t="s">
        <v>66</v>
      </c>
      <c r="AX559" s="10"/>
      <c r="AY559" s="10" t="s">
        <v>66</v>
      </c>
    </row>
    <row r="560" ht="22.5" hidden="1" customHeight="1">
      <c r="A560" s="9" t="s">
        <v>5922</v>
      </c>
      <c r="B560" s="10" t="s">
        <v>5923</v>
      </c>
      <c r="C560" s="10" t="s">
        <v>43</v>
      </c>
      <c r="D560" s="10" t="s">
        <v>2402</v>
      </c>
      <c r="E560" s="10" t="s">
        <v>66</v>
      </c>
      <c r="F560" s="11">
        <v>1.0</v>
      </c>
      <c r="G560" s="11">
        <v>120.0</v>
      </c>
      <c r="H560" s="11"/>
      <c r="I560" s="11">
        <v>-20.4</v>
      </c>
      <c r="J560" s="11">
        <v>-19.95</v>
      </c>
      <c r="K560" s="11"/>
      <c r="L560" s="11">
        <v>86.85</v>
      </c>
      <c r="M560" s="10" t="s">
        <v>46</v>
      </c>
      <c r="N560" s="10" t="s">
        <v>50</v>
      </c>
      <c r="O560" s="10" t="s">
        <v>85</v>
      </c>
      <c r="P560" s="10" t="s">
        <v>86</v>
      </c>
      <c r="Q560" s="10" t="s">
        <v>87</v>
      </c>
      <c r="R560" s="10" t="s">
        <v>74</v>
      </c>
      <c r="S560" s="11">
        <v>120.0</v>
      </c>
      <c r="T560" s="11">
        <v>65.78</v>
      </c>
      <c r="U560" s="11" t="s">
        <v>51</v>
      </c>
      <c r="V560" s="10" t="s">
        <v>52</v>
      </c>
      <c r="W560" s="10" t="s">
        <v>5924</v>
      </c>
      <c r="X560" s="10" t="s">
        <v>5925</v>
      </c>
      <c r="Y560" s="10" t="s">
        <v>5926</v>
      </c>
      <c r="Z560" s="10" t="s">
        <v>50</v>
      </c>
      <c r="AA560" s="10" t="s">
        <v>50</v>
      </c>
      <c r="AB560" s="10" t="s">
        <v>5924</v>
      </c>
      <c r="AC560" s="10" t="s">
        <v>5927</v>
      </c>
      <c r="AD560" s="10" t="s">
        <v>5928</v>
      </c>
      <c r="AE560" s="10" t="s">
        <v>5929</v>
      </c>
      <c r="AF560" s="10" t="s">
        <v>58</v>
      </c>
      <c r="AG560" s="10" t="s">
        <v>5930</v>
      </c>
      <c r="AH560" s="10" t="s">
        <v>60</v>
      </c>
      <c r="AI560" s="10" t="s">
        <v>61</v>
      </c>
      <c r="AJ560" s="10" t="s">
        <v>5876</v>
      </c>
      <c r="AK560" s="10" t="s">
        <v>5931</v>
      </c>
      <c r="AL560" s="10" t="s">
        <v>64</v>
      </c>
      <c r="AM560" s="10" t="s">
        <v>5932</v>
      </c>
      <c r="AN560" s="10" t="s">
        <v>50</v>
      </c>
      <c r="AO560" s="11" t="s">
        <v>50</v>
      </c>
      <c r="AP560" s="10" t="s">
        <v>50</v>
      </c>
      <c r="AQ560" s="10" t="s">
        <v>50</v>
      </c>
      <c r="AR560" s="10" t="s">
        <v>50</v>
      </c>
      <c r="AS560" s="10" t="s">
        <v>50</v>
      </c>
      <c r="AT560" s="10" t="s">
        <v>50</v>
      </c>
      <c r="AU560" s="10" t="s">
        <v>50</v>
      </c>
      <c r="AV560" s="11"/>
      <c r="AW560" s="10" t="s">
        <v>66</v>
      </c>
      <c r="AX560" s="10"/>
      <c r="AY560" s="10" t="s">
        <v>66</v>
      </c>
    </row>
    <row r="561" ht="22.5" hidden="1" customHeight="1">
      <c r="A561" s="9" t="s">
        <v>5933</v>
      </c>
      <c r="B561" s="10" t="s">
        <v>5934</v>
      </c>
      <c r="C561" s="10" t="s">
        <v>43</v>
      </c>
      <c r="D561" s="10" t="s">
        <v>2481</v>
      </c>
      <c r="E561" s="10" t="s">
        <v>66</v>
      </c>
      <c r="F561" s="11">
        <v>1.0</v>
      </c>
      <c r="G561" s="11">
        <v>84.0</v>
      </c>
      <c r="H561" s="11"/>
      <c r="I561" s="11">
        <v>-14.28</v>
      </c>
      <c r="J561" s="11">
        <v>-20.45</v>
      </c>
      <c r="K561" s="11"/>
      <c r="L561" s="11">
        <v>49.27</v>
      </c>
      <c r="M561" s="10" t="s">
        <v>46</v>
      </c>
      <c r="N561" s="10" t="s">
        <v>50</v>
      </c>
      <c r="O561" s="10" t="s">
        <v>265</v>
      </c>
      <c r="P561" s="10" t="s">
        <v>266</v>
      </c>
      <c r="Q561" s="10" t="s">
        <v>267</v>
      </c>
      <c r="R561" s="10" t="s">
        <v>74</v>
      </c>
      <c r="S561" s="11">
        <v>84.0</v>
      </c>
      <c r="T561" s="11">
        <v>26.22</v>
      </c>
      <c r="U561" s="11" t="s">
        <v>51</v>
      </c>
      <c r="V561" s="10" t="s">
        <v>52</v>
      </c>
      <c r="W561" s="10" t="s">
        <v>5935</v>
      </c>
      <c r="X561" s="10" t="s">
        <v>5936</v>
      </c>
      <c r="Y561" s="10" t="s">
        <v>5937</v>
      </c>
      <c r="Z561" s="10" t="s">
        <v>50</v>
      </c>
      <c r="AA561" s="10" t="s">
        <v>50</v>
      </c>
      <c r="AB561" s="10" t="s">
        <v>5935</v>
      </c>
      <c r="AC561" s="10" t="s">
        <v>5938</v>
      </c>
      <c r="AD561" s="10" t="s">
        <v>5939</v>
      </c>
      <c r="AE561" s="10" t="s">
        <v>5940</v>
      </c>
      <c r="AF561" s="10" t="s">
        <v>214</v>
      </c>
      <c r="AG561" s="10" t="s">
        <v>5941</v>
      </c>
      <c r="AH561" s="10" t="s">
        <v>60</v>
      </c>
      <c r="AI561" s="10" t="s">
        <v>61</v>
      </c>
      <c r="AJ561" s="10" t="s">
        <v>5842</v>
      </c>
      <c r="AK561" s="10" t="s">
        <v>5942</v>
      </c>
      <c r="AL561" s="10" t="s">
        <v>64</v>
      </c>
      <c r="AM561" s="10" t="s">
        <v>5943</v>
      </c>
      <c r="AN561" s="10" t="s">
        <v>50</v>
      </c>
      <c r="AO561" s="11" t="s">
        <v>50</v>
      </c>
      <c r="AP561" s="10" t="s">
        <v>50</v>
      </c>
      <c r="AQ561" s="10" t="s">
        <v>50</v>
      </c>
      <c r="AR561" s="10" t="s">
        <v>50</v>
      </c>
      <c r="AS561" s="10" t="s">
        <v>50</v>
      </c>
      <c r="AT561" s="10" t="s">
        <v>50</v>
      </c>
      <c r="AU561" s="10" t="s">
        <v>50</v>
      </c>
      <c r="AV561" s="11"/>
      <c r="AW561" s="10" t="s">
        <v>66</v>
      </c>
      <c r="AX561" s="10"/>
      <c r="AY561" s="10" t="s">
        <v>66</v>
      </c>
    </row>
    <row r="562" ht="22.5" hidden="1" customHeight="1">
      <c r="A562" s="9" t="s">
        <v>5944</v>
      </c>
      <c r="B562" s="10" t="s">
        <v>5945</v>
      </c>
      <c r="C562" s="10" t="s">
        <v>43</v>
      </c>
      <c r="D562" s="10" t="s">
        <v>2402</v>
      </c>
      <c r="E562" s="10" t="s">
        <v>66</v>
      </c>
      <c r="F562" s="11">
        <v>1.0</v>
      </c>
      <c r="G562" s="11">
        <v>43.7</v>
      </c>
      <c r="H562" s="11"/>
      <c r="I562" s="11">
        <v>-13.43</v>
      </c>
      <c r="J562" s="11"/>
      <c r="K562" s="11"/>
      <c r="L562" s="11">
        <v>32.89</v>
      </c>
      <c r="M562" s="10" t="s">
        <v>46</v>
      </c>
      <c r="N562" s="10" t="s">
        <v>45</v>
      </c>
      <c r="O562" s="10" t="s">
        <v>176</v>
      </c>
      <c r="P562" s="10" t="s">
        <v>177</v>
      </c>
      <c r="Q562" s="10" t="s">
        <v>178</v>
      </c>
      <c r="R562" s="10" t="s">
        <v>74</v>
      </c>
      <c r="S562" s="11">
        <v>43.7</v>
      </c>
      <c r="T562" s="11">
        <v>22.58</v>
      </c>
      <c r="U562" s="11" t="s">
        <v>51</v>
      </c>
      <c r="V562" s="10" t="s">
        <v>52</v>
      </c>
      <c r="W562" s="10" t="s">
        <v>5946</v>
      </c>
      <c r="X562" s="10" t="s">
        <v>5947</v>
      </c>
      <c r="Y562" s="10" t="s">
        <v>5948</v>
      </c>
      <c r="Z562" s="10" t="s">
        <v>50</v>
      </c>
      <c r="AA562" s="10" t="s">
        <v>50</v>
      </c>
      <c r="AB562" s="10" t="s">
        <v>5946</v>
      </c>
      <c r="AC562" s="10" t="s">
        <v>5949</v>
      </c>
      <c r="AD562" s="10" t="s">
        <v>5950</v>
      </c>
      <c r="AE562" s="10" t="s">
        <v>1629</v>
      </c>
      <c r="AF562" s="10" t="s">
        <v>58</v>
      </c>
      <c r="AG562" s="10" t="s">
        <v>5951</v>
      </c>
      <c r="AH562" s="10" t="s">
        <v>60</v>
      </c>
      <c r="AI562" s="10" t="s">
        <v>61</v>
      </c>
      <c r="AJ562" s="10" t="s">
        <v>5854</v>
      </c>
      <c r="AK562" s="10" t="s">
        <v>5952</v>
      </c>
      <c r="AL562" s="10" t="s">
        <v>64</v>
      </c>
      <c r="AM562" s="10" t="s">
        <v>5953</v>
      </c>
      <c r="AN562" s="10" t="s">
        <v>50</v>
      </c>
      <c r="AO562" s="11" t="s">
        <v>50</v>
      </c>
      <c r="AP562" s="10" t="s">
        <v>50</v>
      </c>
      <c r="AQ562" s="10" t="s">
        <v>50</v>
      </c>
      <c r="AR562" s="10" t="s">
        <v>50</v>
      </c>
      <c r="AS562" s="10" t="s">
        <v>50</v>
      </c>
      <c r="AT562" s="10" t="s">
        <v>50</v>
      </c>
      <c r="AU562" s="10" t="s">
        <v>50</v>
      </c>
      <c r="AV562" s="11"/>
      <c r="AW562" s="10" t="s">
        <v>66</v>
      </c>
      <c r="AX562" s="10"/>
      <c r="AY562" s="10" t="s">
        <v>66</v>
      </c>
    </row>
    <row r="563" ht="22.5" hidden="1" customHeight="1">
      <c r="A563" s="9" t="s">
        <v>5954</v>
      </c>
      <c r="B563" s="10" t="s">
        <v>5955</v>
      </c>
      <c r="C563" s="10" t="s">
        <v>43</v>
      </c>
      <c r="D563" s="10" t="s">
        <v>290</v>
      </c>
      <c r="E563" s="10" t="s">
        <v>66</v>
      </c>
      <c r="F563" s="11">
        <v>1.0</v>
      </c>
      <c r="G563" s="11">
        <v>79.2</v>
      </c>
      <c r="H563" s="11"/>
      <c r="I563" s="11">
        <v>-13.46</v>
      </c>
      <c r="J563" s="11">
        <v>-20.45</v>
      </c>
      <c r="K563" s="11"/>
      <c r="L563" s="11">
        <v>45.29</v>
      </c>
      <c r="M563" s="10" t="s">
        <v>46</v>
      </c>
      <c r="N563" s="10" t="s">
        <v>45</v>
      </c>
      <c r="O563" s="10" t="s">
        <v>127</v>
      </c>
      <c r="P563" s="10" t="s">
        <v>128</v>
      </c>
      <c r="Q563" s="10" t="s">
        <v>129</v>
      </c>
      <c r="R563" s="10" t="s">
        <v>74</v>
      </c>
      <c r="S563" s="11">
        <v>79.2</v>
      </c>
      <c r="T563" s="11">
        <v>17.68</v>
      </c>
      <c r="U563" s="11" t="s">
        <v>51</v>
      </c>
      <c r="V563" s="10" t="s">
        <v>52</v>
      </c>
      <c r="W563" s="10" t="s">
        <v>5956</v>
      </c>
      <c r="X563" s="10" t="s">
        <v>5957</v>
      </c>
      <c r="Y563" s="10" t="s">
        <v>5958</v>
      </c>
      <c r="Z563" s="10" t="s">
        <v>50</v>
      </c>
      <c r="AA563" s="10" t="s">
        <v>50</v>
      </c>
      <c r="AB563" s="10" t="s">
        <v>5956</v>
      </c>
      <c r="AC563" s="10" t="s">
        <v>5959</v>
      </c>
      <c r="AD563" s="10" t="s">
        <v>5960</v>
      </c>
      <c r="AE563" s="10" t="s">
        <v>58</v>
      </c>
      <c r="AF563" s="10" t="s">
        <v>58</v>
      </c>
      <c r="AG563" s="10" t="s">
        <v>5961</v>
      </c>
      <c r="AH563" s="10" t="s">
        <v>60</v>
      </c>
      <c r="AI563" s="10" t="s">
        <v>61</v>
      </c>
      <c r="AJ563" s="10" t="s">
        <v>5962</v>
      </c>
      <c r="AK563" s="10" t="s">
        <v>5963</v>
      </c>
      <c r="AL563" s="10" t="s">
        <v>64</v>
      </c>
      <c r="AM563" s="10" t="s">
        <v>5964</v>
      </c>
      <c r="AN563" s="10" t="s">
        <v>5965</v>
      </c>
      <c r="AO563" s="11" t="s">
        <v>50</v>
      </c>
      <c r="AP563" s="10" t="s">
        <v>50</v>
      </c>
      <c r="AQ563" s="10" t="s">
        <v>50</v>
      </c>
      <c r="AR563" s="10" t="s">
        <v>50</v>
      </c>
      <c r="AS563" s="10" t="s">
        <v>50</v>
      </c>
      <c r="AT563" s="10" t="s">
        <v>50</v>
      </c>
      <c r="AU563" s="10" t="s">
        <v>50</v>
      </c>
      <c r="AV563" s="11"/>
      <c r="AW563" s="10" t="s">
        <v>66</v>
      </c>
      <c r="AX563" s="10"/>
      <c r="AY563" s="10" t="s">
        <v>66</v>
      </c>
    </row>
    <row r="564" ht="22.5" hidden="1" customHeight="1">
      <c r="A564" s="9" t="s">
        <v>5966</v>
      </c>
      <c r="B564" s="10" t="s">
        <v>5967</v>
      </c>
      <c r="C564" s="10" t="s">
        <v>43</v>
      </c>
      <c r="D564" s="10" t="s">
        <v>4506</v>
      </c>
      <c r="E564" s="10" t="s">
        <v>66</v>
      </c>
      <c r="F564" s="11">
        <v>1.0</v>
      </c>
      <c r="G564" s="11">
        <v>79.3</v>
      </c>
      <c r="H564" s="11"/>
      <c r="I564" s="11">
        <v>-13.48</v>
      </c>
      <c r="J564" s="11">
        <v>-19.95</v>
      </c>
      <c r="K564" s="11"/>
      <c r="L564" s="11">
        <v>45.87</v>
      </c>
      <c r="M564" s="10" t="s">
        <v>46</v>
      </c>
      <c r="N564" s="10" t="s">
        <v>50</v>
      </c>
      <c r="O564" s="10" t="s">
        <v>314</v>
      </c>
      <c r="P564" s="10" t="s">
        <v>315</v>
      </c>
      <c r="Q564" s="10" t="s">
        <v>316</v>
      </c>
      <c r="R564" s="10" t="s">
        <v>74</v>
      </c>
      <c r="S564" s="11">
        <v>79.3</v>
      </c>
      <c r="T564" s="11">
        <v>6.66</v>
      </c>
      <c r="U564" s="11" t="s">
        <v>51</v>
      </c>
      <c r="V564" s="10" t="s">
        <v>52</v>
      </c>
      <c r="W564" s="10" t="s">
        <v>5968</v>
      </c>
      <c r="X564" s="10" t="s">
        <v>5969</v>
      </c>
      <c r="Y564" s="10" t="s">
        <v>5970</v>
      </c>
      <c r="Z564" s="10" t="s">
        <v>50</v>
      </c>
      <c r="AA564" s="10" t="s">
        <v>50</v>
      </c>
      <c r="AB564" s="10" t="s">
        <v>5968</v>
      </c>
      <c r="AC564" s="10" t="s">
        <v>5971</v>
      </c>
      <c r="AD564" s="10" t="s">
        <v>5972</v>
      </c>
      <c r="AE564" s="10" t="s">
        <v>5973</v>
      </c>
      <c r="AF564" s="10" t="s">
        <v>185</v>
      </c>
      <c r="AG564" s="10" t="s">
        <v>5974</v>
      </c>
      <c r="AH564" s="10" t="s">
        <v>60</v>
      </c>
      <c r="AI564" s="10" t="s">
        <v>61</v>
      </c>
      <c r="AJ564" s="10" t="s">
        <v>2410</v>
      </c>
      <c r="AK564" s="10" t="s">
        <v>5975</v>
      </c>
      <c r="AL564" s="10" t="s">
        <v>64</v>
      </c>
      <c r="AM564" s="10" t="s">
        <v>5976</v>
      </c>
      <c r="AN564" s="10" t="s">
        <v>50</v>
      </c>
      <c r="AO564" s="11" t="s">
        <v>50</v>
      </c>
      <c r="AP564" s="10" t="s">
        <v>50</v>
      </c>
      <c r="AQ564" s="10" t="s">
        <v>50</v>
      </c>
      <c r="AR564" s="10" t="s">
        <v>50</v>
      </c>
      <c r="AS564" s="10" t="s">
        <v>50</v>
      </c>
      <c r="AT564" s="10" t="s">
        <v>50</v>
      </c>
      <c r="AU564" s="10" t="s">
        <v>50</v>
      </c>
      <c r="AV564" s="11"/>
      <c r="AW564" s="10" t="s">
        <v>66</v>
      </c>
      <c r="AX564" s="10"/>
      <c r="AY564" s="10" t="s">
        <v>66</v>
      </c>
    </row>
    <row r="565" ht="22.5" hidden="1" customHeight="1">
      <c r="A565" s="9" t="s">
        <v>5977</v>
      </c>
      <c r="B565" s="10" t="s">
        <v>5978</v>
      </c>
      <c r="C565" s="10" t="s">
        <v>5979</v>
      </c>
      <c r="D565" s="10" t="s">
        <v>5980</v>
      </c>
      <c r="E565" s="10" t="s">
        <v>66</v>
      </c>
      <c r="F565" s="11">
        <v>1.0</v>
      </c>
      <c r="G565" s="11">
        <v>80.5</v>
      </c>
      <c r="H565" s="11"/>
      <c r="I565" s="11">
        <v>-15.3</v>
      </c>
      <c r="J565" s="11">
        <v>-19.95</v>
      </c>
      <c r="K565" s="11">
        <v>-45.25</v>
      </c>
      <c r="L565" s="11">
        <v>0.0</v>
      </c>
      <c r="M565" s="10" t="s">
        <v>46</v>
      </c>
      <c r="N565" s="10" t="s">
        <v>45</v>
      </c>
      <c r="O565" s="10" t="s">
        <v>47</v>
      </c>
      <c r="P565" s="10" t="s">
        <v>48</v>
      </c>
      <c r="Q565" s="10" t="s">
        <v>49</v>
      </c>
      <c r="R565" s="10" t="s">
        <v>50</v>
      </c>
      <c r="S565" s="11">
        <v>80.5</v>
      </c>
      <c r="T565" s="11"/>
      <c r="U565" s="11" t="s">
        <v>51</v>
      </c>
      <c r="V565" s="10" t="s">
        <v>52</v>
      </c>
      <c r="W565" s="10" t="s">
        <v>5981</v>
      </c>
      <c r="X565" s="10" t="s">
        <v>5982</v>
      </c>
      <c r="Y565" s="10" t="s">
        <v>5983</v>
      </c>
      <c r="Z565" s="10" t="s">
        <v>50</v>
      </c>
      <c r="AA565" s="10" t="s">
        <v>50</v>
      </c>
      <c r="AB565" s="10" t="s">
        <v>5981</v>
      </c>
      <c r="AC565" s="10" t="s">
        <v>5984</v>
      </c>
      <c r="AD565" s="10" t="s">
        <v>50</v>
      </c>
      <c r="AE565" s="10" t="s">
        <v>4203</v>
      </c>
      <c r="AF565" s="10" t="s">
        <v>58</v>
      </c>
      <c r="AG565" s="10" t="s">
        <v>5985</v>
      </c>
      <c r="AH565" s="10" t="s">
        <v>60</v>
      </c>
      <c r="AI565" s="10" t="s">
        <v>61</v>
      </c>
      <c r="AJ565" s="10" t="s">
        <v>5876</v>
      </c>
      <c r="AK565" s="10" t="s">
        <v>50</v>
      </c>
      <c r="AL565" s="10" t="s">
        <v>64</v>
      </c>
      <c r="AM565" s="10" t="s">
        <v>5986</v>
      </c>
      <c r="AN565" s="10" t="s">
        <v>50</v>
      </c>
      <c r="AO565" s="11" t="s">
        <v>50</v>
      </c>
      <c r="AP565" s="10" t="s">
        <v>50</v>
      </c>
      <c r="AQ565" s="10" t="s">
        <v>50</v>
      </c>
      <c r="AR565" s="10" t="s">
        <v>50</v>
      </c>
      <c r="AS565" s="10" t="s">
        <v>50</v>
      </c>
      <c r="AT565" s="10" t="s">
        <v>50</v>
      </c>
      <c r="AU565" s="10" t="s">
        <v>50</v>
      </c>
      <c r="AV565" s="11"/>
      <c r="AW565" s="10" t="s">
        <v>66</v>
      </c>
      <c r="AX565" s="10"/>
      <c r="AY565" s="10" t="s">
        <v>66</v>
      </c>
    </row>
    <row r="566" ht="22.5" hidden="1" customHeight="1">
      <c r="A566" s="9" t="s">
        <v>5987</v>
      </c>
      <c r="B566" s="10" t="s">
        <v>5988</v>
      </c>
      <c r="C566" s="10" t="s">
        <v>43</v>
      </c>
      <c r="D566" s="10" t="s">
        <v>2402</v>
      </c>
      <c r="E566" s="10" t="s">
        <v>66</v>
      </c>
      <c r="F566" s="11">
        <v>1.0</v>
      </c>
      <c r="G566" s="11">
        <v>43.7</v>
      </c>
      <c r="H566" s="11">
        <v>14.63</v>
      </c>
      <c r="I566" s="11">
        <v>-13.43</v>
      </c>
      <c r="J566" s="11">
        <v>-14.63</v>
      </c>
      <c r="K566" s="11"/>
      <c r="L566" s="11">
        <v>32.89</v>
      </c>
      <c r="M566" s="10" t="s">
        <v>46</v>
      </c>
      <c r="N566" s="10" t="s">
        <v>50</v>
      </c>
      <c r="O566" s="10" t="s">
        <v>176</v>
      </c>
      <c r="P566" s="10" t="s">
        <v>177</v>
      </c>
      <c r="Q566" s="10" t="s">
        <v>178</v>
      </c>
      <c r="R566" s="10" t="s">
        <v>74</v>
      </c>
      <c r="S566" s="11">
        <v>43.7</v>
      </c>
      <c r="T566" s="11">
        <v>22.58</v>
      </c>
      <c r="U566" s="11" t="s">
        <v>51</v>
      </c>
      <c r="V566" s="10" t="s">
        <v>52</v>
      </c>
      <c r="W566" s="10" t="s">
        <v>5989</v>
      </c>
      <c r="X566" s="10" t="s">
        <v>5990</v>
      </c>
      <c r="Y566" s="10" t="s">
        <v>5991</v>
      </c>
      <c r="Z566" s="10" t="s">
        <v>50</v>
      </c>
      <c r="AA566" s="10" t="s">
        <v>50</v>
      </c>
      <c r="AB566" s="10" t="s">
        <v>5989</v>
      </c>
      <c r="AC566" s="10" t="s">
        <v>5992</v>
      </c>
      <c r="AD566" s="10" t="s">
        <v>5993</v>
      </c>
      <c r="AE566" s="10" t="s">
        <v>1629</v>
      </c>
      <c r="AF566" s="10" t="s">
        <v>58</v>
      </c>
      <c r="AG566" s="10" t="s">
        <v>5994</v>
      </c>
      <c r="AH566" s="10" t="s">
        <v>60</v>
      </c>
      <c r="AI566" s="10" t="s">
        <v>61</v>
      </c>
      <c r="AJ566" s="10" t="s">
        <v>5854</v>
      </c>
      <c r="AK566" s="10" t="s">
        <v>5995</v>
      </c>
      <c r="AL566" s="10" t="s">
        <v>64</v>
      </c>
      <c r="AM566" s="10" t="s">
        <v>5996</v>
      </c>
      <c r="AN566" s="10" t="s">
        <v>50</v>
      </c>
      <c r="AO566" s="11" t="s">
        <v>50</v>
      </c>
      <c r="AP566" s="10" t="s">
        <v>50</v>
      </c>
      <c r="AQ566" s="10" t="s">
        <v>50</v>
      </c>
      <c r="AR566" s="10" t="s">
        <v>50</v>
      </c>
      <c r="AS566" s="10" t="s">
        <v>50</v>
      </c>
      <c r="AT566" s="10" t="s">
        <v>50</v>
      </c>
      <c r="AU566" s="10" t="s">
        <v>50</v>
      </c>
      <c r="AV566" s="11"/>
      <c r="AW566" s="10" t="s">
        <v>66</v>
      </c>
      <c r="AX566" s="10"/>
      <c r="AY566" s="10" t="s">
        <v>66</v>
      </c>
    </row>
    <row r="567" ht="22.5" hidden="1" customHeight="1">
      <c r="A567" s="9" t="s">
        <v>5997</v>
      </c>
      <c r="B567" s="10" t="s">
        <v>5998</v>
      </c>
      <c r="C567" s="10" t="s">
        <v>43</v>
      </c>
      <c r="D567" s="10" t="s">
        <v>3477</v>
      </c>
      <c r="E567" s="10" t="s">
        <v>66</v>
      </c>
      <c r="F567" s="11">
        <v>1.0</v>
      </c>
      <c r="G567" s="11">
        <v>43.7</v>
      </c>
      <c r="H567" s="11">
        <v>17.0</v>
      </c>
      <c r="I567" s="11">
        <v>-13.43</v>
      </c>
      <c r="J567" s="11">
        <v>-17.0</v>
      </c>
      <c r="K567" s="11"/>
      <c r="L567" s="11">
        <v>32.89</v>
      </c>
      <c r="M567" s="10" t="s">
        <v>46</v>
      </c>
      <c r="N567" s="10" t="s">
        <v>50</v>
      </c>
      <c r="O567" s="10" t="s">
        <v>176</v>
      </c>
      <c r="P567" s="10" t="s">
        <v>177</v>
      </c>
      <c r="Q567" s="10" t="s">
        <v>178</v>
      </c>
      <c r="R567" s="10" t="s">
        <v>74</v>
      </c>
      <c r="S567" s="11">
        <v>43.7</v>
      </c>
      <c r="T567" s="11">
        <v>22.58</v>
      </c>
      <c r="U567" s="11" t="s">
        <v>51</v>
      </c>
      <c r="V567" s="10" t="s">
        <v>52</v>
      </c>
      <c r="W567" s="10" t="s">
        <v>5999</v>
      </c>
      <c r="X567" s="10" t="s">
        <v>6000</v>
      </c>
      <c r="Y567" s="10" t="s">
        <v>6001</v>
      </c>
      <c r="Z567" s="10" t="s">
        <v>50</v>
      </c>
      <c r="AA567" s="10" t="s">
        <v>50</v>
      </c>
      <c r="AB567" s="10" t="s">
        <v>5999</v>
      </c>
      <c r="AC567" s="10" t="s">
        <v>6002</v>
      </c>
      <c r="AD567" s="10" t="s">
        <v>6003</v>
      </c>
      <c r="AE567" s="10" t="s">
        <v>6004</v>
      </c>
      <c r="AF567" s="10" t="s">
        <v>323</v>
      </c>
      <c r="AG567" s="10" t="s">
        <v>6005</v>
      </c>
      <c r="AH567" s="10" t="s">
        <v>60</v>
      </c>
      <c r="AI567" s="10" t="s">
        <v>61</v>
      </c>
      <c r="AJ567" s="10" t="s">
        <v>5799</v>
      </c>
      <c r="AK567" s="10" t="s">
        <v>6006</v>
      </c>
      <c r="AL567" s="10" t="s">
        <v>64</v>
      </c>
      <c r="AM567" s="10" t="s">
        <v>6007</v>
      </c>
      <c r="AN567" s="10" t="s">
        <v>50</v>
      </c>
      <c r="AO567" s="11" t="s">
        <v>50</v>
      </c>
      <c r="AP567" s="10" t="s">
        <v>50</v>
      </c>
      <c r="AQ567" s="10" t="s">
        <v>50</v>
      </c>
      <c r="AR567" s="10" t="s">
        <v>50</v>
      </c>
      <c r="AS567" s="10" t="s">
        <v>50</v>
      </c>
      <c r="AT567" s="10" t="s">
        <v>50</v>
      </c>
      <c r="AU567" s="10" t="s">
        <v>50</v>
      </c>
      <c r="AV567" s="11"/>
      <c r="AW567" s="10" t="s">
        <v>66</v>
      </c>
      <c r="AX567" s="10"/>
      <c r="AY567" s="10" t="s">
        <v>66</v>
      </c>
    </row>
    <row r="568" ht="22.5" hidden="1" customHeight="1">
      <c r="A568" s="9" t="s">
        <v>6008</v>
      </c>
      <c r="B568" s="10" t="s">
        <v>6009</v>
      </c>
      <c r="C568" s="10" t="s">
        <v>69</v>
      </c>
      <c r="D568" s="10" t="s">
        <v>70</v>
      </c>
      <c r="E568" s="10" t="s">
        <v>66</v>
      </c>
      <c r="F568" s="11">
        <v>1.0</v>
      </c>
      <c r="G568" s="11">
        <v>43.7</v>
      </c>
      <c r="H568" s="11">
        <v>14.63</v>
      </c>
      <c r="I568" s="11">
        <v>-13.43</v>
      </c>
      <c r="J568" s="11">
        <v>-14.63</v>
      </c>
      <c r="K568" s="11">
        <v>-32.89</v>
      </c>
      <c r="L568" s="11">
        <v>0.0</v>
      </c>
      <c r="M568" s="10" t="s">
        <v>46</v>
      </c>
      <c r="N568" s="10" t="s">
        <v>50</v>
      </c>
      <c r="O568" s="10" t="s">
        <v>176</v>
      </c>
      <c r="P568" s="10" t="s">
        <v>177</v>
      </c>
      <c r="Q568" s="10" t="s">
        <v>178</v>
      </c>
      <c r="R568" s="10" t="s">
        <v>74</v>
      </c>
      <c r="S568" s="11">
        <v>43.7</v>
      </c>
      <c r="T568" s="11"/>
      <c r="U568" s="11" t="s">
        <v>51</v>
      </c>
      <c r="V568" s="10" t="s">
        <v>75</v>
      </c>
      <c r="W568" s="10" t="s">
        <v>6010</v>
      </c>
      <c r="X568" s="10" t="s">
        <v>6011</v>
      </c>
      <c r="Y568" s="10" t="s">
        <v>6012</v>
      </c>
      <c r="Z568" s="10" t="s">
        <v>50</v>
      </c>
      <c r="AA568" s="10" t="s">
        <v>50</v>
      </c>
      <c r="AB568" s="10" t="s">
        <v>6010</v>
      </c>
      <c r="AC568" s="10" t="s">
        <v>6013</v>
      </c>
      <c r="AD568" s="10" t="s">
        <v>50</v>
      </c>
      <c r="AE568" s="10" t="s">
        <v>58</v>
      </c>
      <c r="AF568" s="10" t="s">
        <v>58</v>
      </c>
      <c r="AG568" s="10" t="s">
        <v>6014</v>
      </c>
      <c r="AH568" s="10" t="s">
        <v>60</v>
      </c>
      <c r="AI568" s="10" t="s">
        <v>61</v>
      </c>
      <c r="AJ568" s="10" t="s">
        <v>50</v>
      </c>
      <c r="AK568" s="10" t="s">
        <v>50</v>
      </c>
      <c r="AL568" s="10" t="s">
        <v>64</v>
      </c>
      <c r="AM568" s="10" t="s">
        <v>50</v>
      </c>
      <c r="AN568" s="10" t="s">
        <v>50</v>
      </c>
      <c r="AO568" s="11" t="s">
        <v>50</v>
      </c>
      <c r="AP568" s="10" t="s">
        <v>50</v>
      </c>
      <c r="AQ568" s="10" t="s">
        <v>50</v>
      </c>
      <c r="AR568" s="10" t="s">
        <v>50</v>
      </c>
      <c r="AS568" s="10" t="s">
        <v>50</v>
      </c>
      <c r="AT568" s="10" t="s">
        <v>50</v>
      </c>
      <c r="AU568" s="10" t="s">
        <v>50</v>
      </c>
      <c r="AV568" s="11"/>
      <c r="AW568" s="10" t="s">
        <v>66</v>
      </c>
      <c r="AX568" s="10"/>
      <c r="AY568" s="10" t="s">
        <v>66</v>
      </c>
    </row>
    <row r="569" ht="22.5" hidden="1" customHeight="1">
      <c r="A569" s="9" t="s">
        <v>6015</v>
      </c>
      <c r="B569" s="10" t="s">
        <v>6016</v>
      </c>
      <c r="C569" s="10" t="s">
        <v>69</v>
      </c>
      <c r="D569" s="10" t="s">
        <v>70</v>
      </c>
      <c r="E569" s="10" t="s">
        <v>45</v>
      </c>
      <c r="F569" s="11">
        <v>2.0</v>
      </c>
      <c r="G569" s="11">
        <v>87.4</v>
      </c>
      <c r="H569" s="11"/>
      <c r="I569" s="11">
        <v>-26.86</v>
      </c>
      <c r="J569" s="11"/>
      <c r="K569" s="11">
        <v>-65.78</v>
      </c>
      <c r="L569" s="11">
        <v>0.0</v>
      </c>
      <c r="M569" s="10" t="s">
        <v>46</v>
      </c>
      <c r="N569" s="10" t="s">
        <v>50</v>
      </c>
      <c r="O569" s="10" t="s">
        <v>176</v>
      </c>
      <c r="P569" s="10" t="s">
        <v>177</v>
      </c>
      <c r="Q569" s="10" t="s">
        <v>178</v>
      </c>
      <c r="R569" s="10" t="s">
        <v>74</v>
      </c>
      <c r="S569" s="11">
        <v>43.7</v>
      </c>
      <c r="T569" s="11"/>
      <c r="U569" s="11" t="s">
        <v>51</v>
      </c>
      <c r="V569" s="10" t="s">
        <v>75</v>
      </c>
      <c r="W569" s="10" t="s">
        <v>6017</v>
      </c>
      <c r="X569" s="10" t="s">
        <v>6018</v>
      </c>
      <c r="Y569" s="10" t="s">
        <v>6019</v>
      </c>
      <c r="Z569" s="10" t="s">
        <v>50</v>
      </c>
      <c r="AA569" s="10" t="s">
        <v>50</v>
      </c>
      <c r="AB569" s="10" t="s">
        <v>6017</v>
      </c>
      <c r="AC569" s="10" t="s">
        <v>6020</v>
      </c>
      <c r="AD569" s="10" t="s">
        <v>50</v>
      </c>
      <c r="AE569" s="10" t="s">
        <v>3751</v>
      </c>
      <c r="AF569" s="10" t="s">
        <v>58</v>
      </c>
      <c r="AG569" s="10" t="s">
        <v>6021</v>
      </c>
      <c r="AH569" s="10" t="s">
        <v>60</v>
      </c>
      <c r="AI569" s="10" t="s">
        <v>61</v>
      </c>
      <c r="AJ569" s="10" t="s">
        <v>50</v>
      </c>
      <c r="AK569" s="10" t="s">
        <v>50</v>
      </c>
      <c r="AL569" s="10" t="s">
        <v>64</v>
      </c>
      <c r="AM569" s="10" t="s">
        <v>50</v>
      </c>
      <c r="AN569" s="10" t="s">
        <v>50</v>
      </c>
      <c r="AO569" s="11" t="s">
        <v>50</v>
      </c>
      <c r="AP569" s="10" t="s">
        <v>50</v>
      </c>
      <c r="AQ569" s="10" t="s">
        <v>50</v>
      </c>
      <c r="AR569" s="10" t="s">
        <v>50</v>
      </c>
      <c r="AS569" s="10" t="s">
        <v>50</v>
      </c>
      <c r="AT569" s="10" t="s">
        <v>50</v>
      </c>
      <c r="AU569" s="10" t="s">
        <v>50</v>
      </c>
      <c r="AV569" s="11"/>
      <c r="AW569" s="10" t="s">
        <v>66</v>
      </c>
      <c r="AX569" s="10"/>
      <c r="AY569" s="10" t="s">
        <v>66</v>
      </c>
    </row>
    <row r="570" ht="22.5" hidden="1" customHeight="1">
      <c r="A570" s="9" t="s">
        <v>6022</v>
      </c>
      <c r="B570" s="10" t="s">
        <v>6023</v>
      </c>
      <c r="C570" s="10" t="s">
        <v>43</v>
      </c>
      <c r="D570" s="10" t="s">
        <v>3477</v>
      </c>
      <c r="E570" s="10" t="s">
        <v>45</v>
      </c>
      <c r="F570" s="11">
        <v>2.0</v>
      </c>
      <c r="G570" s="11">
        <v>87.4</v>
      </c>
      <c r="H570" s="11"/>
      <c r="I570" s="11">
        <v>-26.86</v>
      </c>
      <c r="J570" s="11"/>
      <c r="K570" s="11"/>
      <c r="L570" s="11">
        <v>65.78</v>
      </c>
      <c r="M570" s="10" t="s">
        <v>46</v>
      </c>
      <c r="N570" s="10" t="s">
        <v>50</v>
      </c>
      <c r="O570" s="10" t="s">
        <v>176</v>
      </c>
      <c r="P570" s="10" t="s">
        <v>177</v>
      </c>
      <c r="Q570" s="10" t="s">
        <v>178</v>
      </c>
      <c r="R570" s="10" t="s">
        <v>74</v>
      </c>
      <c r="S570" s="11">
        <v>43.7</v>
      </c>
      <c r="T570" s="11">
        <f>2*22.58</f>
        <v>45.16</v>
      </c>
      <c r="U570" s="11" t="s">
        <v>51</v>
      </c>
      <c r="V570" s="10" t="s">
        <v>52</v>
      </c>
      <c r="W570" s="10" t="s">
        <v>6024</v>
      </c>
      <c r="X570" s="10" t="s">
        <v>6025</v>
      </c>
      <c r="Y570" s="10" t="s">
        <v>6026</v>
      </c>
      <c r="Z570" s="10" t="s">
        <v>50</v>
      </c>
      <c r="AA570" s="10" t="s">
        <v>50</v>
      </c>
      <c r="AB570" s="10" t="s">
        <v>6024</v>
      </c>
      <c r="AC570" s="10" t="s">
        <v>6027</v>
      </c>
      <c r="AD570" s="10" t="s">
        <v>6028</v>
      </c>
      <c r="AE570" s="10" t="s">
        <v>151</v>
      </c>
      <c r="AF570" s="10" t="s">
        <v>151</v>
      </c>
      <c r="AG570" s="10" t="s">
        <v>6029</v>
      </c>
      <c r="AH570" s="10" t="s">
        <v>60</v>
      </c>
      <c r="AI570" s="10" t="s">
        <v>61</v>
      </c>
      <c r="AJ570" s="10" t="s">
        <v>6030</v>
      </c>
      <c r="AK570" s="10" t="s">
        <v>6031</v>
      </c>
      <c r="AL570" s="10" t="s">
        <v>64</v>
      </c>
      <c r="AM570" s="10" t="s">
        <v>6032</v>
      </c>
      <c r="AN570" s="10" t="s">
        <v>50</v>
      </c>
      <c r="AO570" s="11" t="s">
        <v>50</v>
      </c>
      <c r="AP570" s="10" t="s">
        <v>50</v>
      </c>
      <c r="AQ570" s="10" t="s">
        <v>50</v>
      </c>
      <c r="AR570" s="10" t="s">
        <v>50</v>
      </c>
      <c r="AS570" s="10" t="s">
        <v>50</v>
      </c>
      <c r="AT570" s="10" t="s">
        <v>50</v>
      </c>
      <c r="AU570" s="10" t="s">
        <v>50</v>
      </c>
      <c r="AV570" s="11"/>
      <c r="AW570" s="10" t="s">
        <v>66</v>
      </c>
      <c r="AX570" s="10"/>
      <c r="AY570" s="10" t="s">
        <v>66</v>
      </c>
    </row>
    <row r="571" ht="22.5" hidden="1" customHeight="1">
      <c r="A571" s="9" t="s">
        <v>6033</v>
      </c>
      <c r="B571" s="10" t="s">
        <v>6034</v>
      </c>
      <c r="C571" s="10" t="s">
        <v>43</v>
      </c>
      <c r="D571" s="10" t="s">
        <v>2402</v>
      </c>
      <c r="E571" s="10" t="s">
        <v>66</v>
      </c>
      <c r="F571" s="11">
        <v>1.0</v>
      </c>
      <c r="G571" s="11">
        <v>80.0</v>
      </c>
      <c r="H571" s="11"/>
      <c r="I571" s="11">
        <v>-13.6</v>
      </c>
      <c r="J571" s="11">
        <v>-19.95</v>
      </c>
      <c r="K571" s="11"/>
      <c r="L571" s="11">
        <v>50.45</v>
      </c>
      <c r="M571" s="10" t="s">
        <v>46</v>
      </c>
      <c r="N571" s="10" t="s">
        <v>50</v>
      </c>
      <c r="O571" s="10" t="s">
        <v>143</v>
      </c>
      <c r="P571" s="10" t="s">
        <v>144</v>
      </c>
      <c r="Q571" s="10" t="s">
        <v>145</v>
      </c>
      <c r="R571" s="10" t="s">
        <v>74</v>
      </c>
      <c r="S571" s="11">
        <v>80.0</v>
      </c>
      <c r="T571" s="11">
        <v>33.38</v>
      </c>
      <c r="U571" s="11" t="s">
        <v>51</v>
      </c>
      <c r="V571" s="10" t="s">
        <v>52</v>
      </c>
      <c r="W571" s="10" t="s">
        <v>6035</v>
      </c>
      <c r="X571" s="10" t="s">
        <v>6036</v>
      </c>
      <c r="Y571" s="10" t="s">
        <v>6037</v>
      </c>
      <c r="Z571" s="10" t="s">
        <v>50</v>
      </c>
      <c r="AA571" s="10" t="s">
        <v>50</v>
      </c>
      <c r="AB571" s="10" t="s">
        <v>6035</v>
      </c>
      <c r="AC571" s="10" t="s">
        <v>6038</v>
      </c>
      <c r="AD571" s="10" t="s">
        <v>6039</v>
      </c>
      <c r="AE571" s="10" t="s">
        <v>6040</v>
      </c>
      <c r="AF571" s="10" t="s">
        <v>119</v>
      </c>
      <c r="AG571" s="10" t="s">
        <v>6041</v>
      </c>
      <c r="AH571" s="10" t="s">
        <v>60</v>
      </c>
      <c r="AI571" s="10" t="s">
        <v>61</v>
      </c>
      <c r="AJ571" s="10" t="s">
        <v>5842</v>
      </c>
      <c r="AK571" s="10" t="s">
        <v>6042</v>
      </c>
      <c r="AL571" s="10" t="s">
        <v>64</v>
      </c>
      <c r="AM571" s="10" t="s">
        <v>6043</v>
      </c>
      <c r="AN571" s="10" t="s">
        <v>50</v>
      </c>
      <c r="AO571" s="11" t="s">
        <v>50</v>
      </c>
      <c r="AP571" s="10" t="s">
        <v>50</v>
      </c>
      <c r="AQ571" s="10" t="s">
        <v>50</v>
      </c>
      <c r="AR571" s="10" t="s">
        <v>50</v>
      </c>
      <c r="AS571" s="10" t="s">
        <v>50</v>
      </c>
      <c r="AT571" s="10" t="s">
        <v>50</v>
      </c>
      <c r="AU571" s="10" t="s">
        <v>50</v>
      </c>
      <c r="AV571" s="11"/>
      <c r="AW571" s="10" t="s">
        <v>66</v>
      </c>
      <c r="AX571" s="10"/>
      <c r="AY571" s="10" t="s">
        <v>66</v>
      </c>
    </row>
    <row r="572" ht="22.5" hidden="1" customHeight="1">
      <c r="A572" s="9" t="s">
        <v>6044</v>
      </c>
      <c r="B572" s="10" t="s">
        <v>6045</v>
      </c>
      <c r="C572" s="10" t="s">
        <v>43</v>
      </c>
      <c r="D572" s="10" t="s">
        <v>2402</v>
      </c>
      <c r="E572" s="10" t="s">
        <v>66</v>
      </c>
      <c r="F572" s="11">
        <v>1.0</v>
      </c>
      <c r="G572" s="11">
        <v>80.5</v>
      </c>
      <c r="H572" s="11"/>
      <c r="I572" s="11">
        <v>-15.3</v>
      </c>
      <c r="J572" s="11">
        <v>-19.95</v>
      </c>
      <c r="K572" s="11"/>
      <c r="L572" s="11">
        <v>45.25</v>
      </c>
      <c r="M572" s="10" t="s">
        <v>46</v>
      </c>
      <c r="N572" s="10" t="s">
        <v>45</v>
      </c>
      <c r="O572" s="10" t="s">
        <v>47</v>
      </c>
      <c r="P572" s="10" t="s">
        <v>48</v>
      </c>
      <c r="Q572" s="10" t="s">
        <v>49</v>
      </c>
      <c r="R572" s="10" t="s">
        <v>50</v>
      </c>
      <c r="S572" s="11">
        <v>80.5</v>
      </c>
      <c r="T572" s="11">
        <v>12.45</v>
      </c>
      <c r="U572" s="11" t="s">
        <v>51</v>
      </c>
      <c r="V572" s="10" t="s">
        <v>52</v>
      </c>
      <c r="W572" s="10" t="s">
        <v>6046</v>
      </c>
      <c r="X572" s="10" t="s">
        <v>6047</v>
      </c>
      <c r="Y572" s="10" t="s">
        <v>6048</v>
      </c>
      <c r="Z572" s="10" t="s">
        <v>50</v>
      </c>
      <c r="AA572" s="10" t="s">
        <v>50</v>
      </c>
      <c r="AB572" s="10" t="s">
        <v>6046</v>
      </c>
      <c r="AC572" s="10" t="s">
        <v>6049</v>
      </c>
      <c r="AD572" s="10" t="s">
        <v>6050</v>
      </c>
      <c r="AE572" s="10" t="s">
        <v>6051</v>
      </c>
      <c r="AF572" s="10" t="s">
        <v>214</v>
      </c>
      <c r="AG572" s="10" t="s">
        <v>6052</v>
      </c>
      <c r="AH572" s="10" t="s">
        <v>60</v>
      </c>
      <c r="AI572" s="10" t="s">
        <v>61</v>
      </c>
      <c r="AJ572" s="10" t="s">
        <v>5842</v>
      </c>
      <c r="AK572" s="10" t="s">
        <v>6053</v>
      </c>
      <c r="AL572" s="10" t="s">
        <v>64</v>
      </c>
      <c r="AM572" s="10" t="s">
        <v>6054</v>
      </c>
      <c r="AN572" s="10" t="s">
        <v>50</v>
      </c>
      <c r="AO572" s="11" t="s">
        <v>50</v>
      </c>
      <c r="AP572" s="10" t="s">
        <v>50</v>
      </c>
      <c r="AQ572" s="10" t="s">
        <v>50</v>
      </c>
      <c r="AR572" s="10" t="s">
        <v>50</v>
      </c>
      <c r="AS572" s="10" t="s">
        <v>50</v>
      </c>
      <c r="AT572" s="10" t="s">
        <v>50</v>
      </c>
      <c r="AU572" s="10" t="s">
        <v>50</v>
      </c>
      <c r="AV572" s="11"/>
      <c r="AW572" s="10" t="s">
        <v>66</v>
      </c>
      <c r="AX572" s="10"/>
      <c r="AY572" s="10" t="s">
        <v>66</v>
      </c>
    </row>
    <row r="573" ht="22.5" hidden="1" customHeight="1">
      <c r="A573" s="9" t="s">
        <v>6055</v>
      </c>
      <c r="B573" s="10" t="s">
        <v>6056</v>
      </c>
      <c r="C573" s="10" t="s">
        <v>43</v>
      </c>
      <c r="D573" s="10" t="s">
        <v>2402</v>
      </c>
      <c r="E573" s="10" t="s">
        <v>66</v>
      </c>
      <c r="F573" s="11">
        <v>1.0</v>
      </c>
      <c r="G573" s="11">
        <v>120.0</v>
      </c>
      <c r="H573" s="11"/>
      <c r="I573" s="11">
        <v>-20.4</v>
      </c>
      <c r="J573" s="11">
        <v>-19.95</v>
      </c>
      <c r="K573" s="11"/>
      <c r="L573" s="11">
        <v>86.85</v>
      </c>
      <c r="M573" s="10" t="s">
        <v>46</v>
      </c>
      <c r="N573" s="10" t="s">
        <v>50</v>
      </c>
      <c r="O573" s="10" t="s">
        <v>85</v>
      </c>
      <c r="P573" s="10" t="s">
        <v>86</v>
      </c>
      <c r="Q573" s="10" t="s">
        <v>87</v>
      </c>
      <c r="R573" s="10" t="s">
        <v>74</v>
      </c>
      <c r="S573" s="11">
        <v>120.0</v>
      </c>
      <c r="T573" s="11">
        <v>65.78</v>
      </c>
      <c r="U573" s="11" t="s">
        <v>51</v>
      </c>
      <c r="V573" s="10" t="s">
        <v>52</v>
      </c>
      <c r="W573" s="10" t="s">
        <v>6057</v>
      </c>
      <c r="X573" s="10" t="s">
        <v>6058</v>
      </c>
      <c r="Y573" s="10" t="s">
        <v>6059</v>
      </c>
      <c r="Z573" s="10" t="s">
        <v>50</v>
      </c>
      <c r="AA573" s="10" t="s">
        <v>50</v>
      </c>
      <c r="AB573" s="10" t="s">
        <v>6057</v>
      </c>
      <c r="AC573" s="10" t="s">
        <v>6060</v>
      </c>
      <c r="AD573" s="10" t="s">
        <v>6061</v>
      </c>
      <c r="AE573" s="10" t="s">
        <v>6062</v>
      </c>
      <c r="AF573" s="10" t="s">
        <v>119</v>
      </c>
      <c r="AG573" s="10" t="s">
        <v>6063</v>
      </c>
      <c r="AH573" s="10" t="s">
        <v>60</v>
      </c>
      <c r="AI573" s="10" t="s">
        <v>61</v>
      </c>
      <c r="AJ573" s="10" t="s">
        <v>6064</v>
      </c>
      <c r="AK573" s="10" t="s">
        <v>6065</v>
      </c>
      <c r="AL573" s="10" t="s">
        <v>64</v>
      </c>
      <c r="AM573" s="10" t="s">
        <v>6066</v>
      </c>
      <c r="AN573" s="10" t="s">
        <v>50</v>
      </c>
      <c r="AO573" s="11" t="s">
        <v>50</v>
      </c>
      <c r="AP573" s="10" t="s">
        <v>50</v>
      </c>
      <c r="AQ573" s="10" t="s">
        <v>50</v>
      </c>
      <c r="AR573" s="10" t="s">
        <v>50</v>
      </c>
      <c r="AS573" s="10" t="s">
        <v>50</v>
      </c>
      <c r="AT573" s="10" t="s">
        <v>50</v>
      </c>
      <c r="AU573" s="10" t="s">
        <v>50</v>
      </c>
      <c r="AV573" s="11"/>
      <c r="AW573" s="10" t="s">
        <v>66</v>
      </c>
      <c r="AX573" s="10"/>
      <c r="AY573" s="10" t="s">
        <v>66</v>
      </c>
    </row>
    <row r="574" ht="22.5" hidden="1" customHeight="1">
      <c r="A574" s="9" t="s">
        <v>6067</v>
      </c>
      <c r="B574" s="10" t="s">
        <v>6068</v>
      </c>
      <c r="C574" s="10" t="s">
        <v>43</v>
      </c>
      <c r="D574" s="10" t="s">
        <v>4592</v>
      </c>
      <c r="E574" s="10" t="s">
        <v>45</v>
      </c>
      <c r="F574" s="11">
        <v>1.0</v>
      </c>
      <c r="G574" s="11">
        <v>84.0</v>
      </c>
      <c r="H574" s="11">
        <v>7.03</v>
      </c>
      <c r="I574" s="11">
        <v>-14.28</v>
      </c>
      <c r="J574" s="11">
        <v>-27.48</v>
      </c>
      <c r="K574" s="11"/>
      <c r="L574" s="11">
        <v>49.27</v>
      </c>
      <c r="M574" s="10" t="s">
        <v>46</v>
      </c>
      <c r="N574" s="10" t="s">
        <v>45</v>
      </c>
      <c r="O574" s="10" t="s">
        <v>265</v>
      </c>
      <c r="P574" s="10" t="s">
        <v>266</v>
      </c>
      <c r="Q574" s="10" t="s">
        <v>267</v>
      </c>
      <c r="R574" s="10" t="s">
        <v>74</v>
      </c>
      <c r="S574" s="11">
        <v>84.0</v>
      </c>
      <c r="T574" s="11">
        <v>26.22</v>
      </c>
      <c r="U574" s="11" t="s">
        <v>51</v>
      </c>
      <c r="V574" s="10" t="s">
        <v>52</v>
      </c>
      <c r="W574" s="10" t="s">
        <v>6069</v>
      </c>
      <c r="X574" s="10" t="s">
        <v>6070</v>
      </c>
      <c r="Y574" s="10" t="s">
        <v>6071</v>
      </c>
      <c r="Z574" s="10" t="s">
        <v>50</v>
      </c>
      <c r="AA574" s="10" t="s">
        <v>50</v>
      </c>
      <c r="AB574" s="10" t="s">
        <v>6069</v>
      </c>
      <c r="AC574" s="10" t="s">
        <v>6072</v>
      </c>
      <c r="AD574" s="10" t="s">
        <v>6073</v>
      </c>
      <c r="AE574" s="10" t="s">
        <v>3359</v>
      </c>
      <c r="AF574" s="10" t="s">
        <v>185</v>
      </c>
      <c r="AG574" s="10" t="s">
        <v>6074</v>
      </c>
      <c r="AH574" s="10" t="s">
        <v>60</v>
      </c>
      <c r="AI574" s="10" t="s">
        <v>61</v>
      </c>
      <c r="AJ574" s="10" t="s">
        <v>5888</v>
      </c>
      <c r="AK574" s="10" t="s">
        <v>6075</v>
      </c>
      <c r="AL574" s="10" t="s">
        <v>64</v>
      </c>
      <c r="AM574" s="10" t="s">
        <v>6076</v>
      </c>
      <c r="AN574" s="10" t="s">
        <v>50</v>
      </c>
      <c r="AO574" s="11" t="s">
        <v>50</v>
      </c>
      <c r="AP574" s="10" t="s">
        <v>50</v>
      </c>
      <c r="AQ574" s="10" t="s">
        <v>50</v>
      </c>
      <c r="AR574" s="10" t="s">
        <v>50</v>
      </c>
      <c r="AS574" s="10" t="s">
        <v>50</v>
      </c>
      <c r="AT574" s="10" t="s">
        <v>50</v>
      </c>
      <c r="AU574" s="10" t="s">
        <v>50</v>
      </c>
      <c r="AV574" s="11"/>
      <c r="AW574" s="10" t="s">
        <v>66</v>
      </c>
      <c r="AX574" s="10"/>
      <c r="AY574" s="10" t="s">
        <v>66</v>
      </c>
    </row>
    <row r="575" ht="22.5" hidden="1" customHeight="1">
      <c r="A575" s="9" t="s">
        <v>6077</v>
      </c>
      <c r="B575" s="10" t="s">
        <v>6078</v>
      </c>
      <c r="C575" s="10" t="s">
        <v>43</v>
      </c>
      <c r="D575" s="10" t="s">
        <v>2481</v>
      </c>
      <c r="E575" s="10" t="s">
        <v>66</v>
      </c>
      <c r="F575" s="11">
        <v>1.0</v>
      </c>
      <c r="G575" s="11">
        <v>84.0</v>
      </c>
      <c r="H575" s="11"/>
      <c r="I575" s="11">
        <v>-14.28</v>
      </c>
      <c r="J575" s="11">
        <v>-20.45</v>
      </c>
      <c r="K575" s="11"/>
      <c r="L575" s="11">
        <v>49.27</v>
      </c>
      <c r="M575" s="10" t="s">
        <v>46</v>
      </c>
      <c r="N575" s="10" t="s">
        <v>50</v>
      </c>
      <c r="O575" s="10" t="s">
        <v>265</v>
      </c>
      <c r="P575" s="10" t="s">
        <v>266</v>
      </c>
      <c r="Q575" s="10" t="s">
        <v>267</v>
      </c>
      <c r="R575" s="10" t="s">
        <v>74</v>
      </c>
      <c r="S575" s="11">
        <v>84.0</v>
      </c>
      <c r="T575" s="11">
        <v>26.22</v>
      </c>
      <c r="U575" s="11" t="s">
        <v>51</v>
      </c>
      <c r="V575" s="10" t="s">
        <v>52</v>
      </c>
      <c r="W575" s="10" t="s">
        <v>6079</v>
      </c>
      <c r="X575" s="10" t="s">
        <v>6080</v>
      </c>
      <c r="Y575" s="10" t="s">
        <v>6081</v>
      </c>
      <c r="Z575" s="10" t="s">
        <v>50</v>
      </c>
      <c r="AA575" s="10" t="s">
        <v>50</v>
      </c>
      <c r="AB575" s="10" t="s">
        <v>6079</v>
      </c>
      <c r="AC575" s="10" t="s">
        <v>6082</v>
      </c>
      <c r="AD575" s="10" t="s">
        <v>6083</v>
      </c>
      <c r="AE575" s="10" t="s">
        <v>6084</v>
      </c>
      <c r="AF575" s="10" t="s">
        <v>2648</v>
      </c>
      <c r="AG575" s="10" t="s">
        <v>6085</v>
      </c>
      <c r="AH575" s="10" t="s">
        <v>60</v>
      </c>
      <c r="AI575" s="10" t="s">
        <v>61</v>
      </c>
      <c r="AJ575" s="10" t="s">
        <v>5888</v>
      </c>
      <c r="AK575" s="10" t="s">
        <v>6086</v>
      </c>
      <c r="AL575" s="10" t="s">
        <v>64</v>
      </c>
      <c r="AM575" s="10" t="s">
        <v>6087</v>
      </c>
      <c r="AN575" s="10" t="s">
        <v>50</v>
      </c>
      <c r="AO575" s="11" t="s">
        <v>50</v>
      </c>
      <c r="AP575" s="10" t="s">
        <v>50</v>
      </c>
      <c r="AQ575" s="10" t="s">
        <v>50</v>
      </c>
      <c r="AR575" s="10" t="s">
        <v>50</v>
      </c>
      <c r="AS575" s="10" t="s">
        <v>50</v>
      </c>
      <c r="AT575" s="10" t="s">
        <v>50</v>
      </c>
      <c r="AU575" s="10" t="s">
        <v>50</v>
      </c>
      <c r="AV575" s="11"/>
      <c r="AW575" s="10" t="s">
        <v>66</v>
      </c>
      <c r="AX575" s="10"/>
      <c r="AY575" s="10" t="s">
        <v>66</v>
      </c>
    </row>
    <row r="576" ht="22.5" hidden="1" customHeight="1">
      <c r="A576" s="9" t="s">
        <v>6088</v>
      </c>
      <c r="B576" s="10" t="s">
        <v>6089</v>
      </c>
      <c r="C576" s="10" t="s">
        <v>43</v>
      </c>
      <c r="D576" s="10" t="s">
        <v>2402</v>
      </c>
      <c r="E576" s="10" t="s">
        <v>45</v>
      </c>
      <c r="F576" s="11">
        <v>2.0</v>
      </c>
      <c r="G576" s="11">
        <v>87.4</v>
      </c>
      <c r="H576" s="11"/>
      <c r="I576" s="11">
        <v>-26.86</v>
      </c>
      <c r="J576" s="11"/>
      <c r="K576" s="11"/>
      <c r="L576" s="11">
        <v>65.78</v>
      </c>
      <c r="M576" s="10" t="s">
        <v>46</v>
      </c>
      <c r="N576" s="10" t="s">
        <v>50</v>
      </c>
      <c r="O576" s="10" t="s">
        <v>176</v>
      </c>
      <c r="P576" s="10" t="s">
        <v>177</v>
      </c>
      <c r="Q576" s="10" t="s">
        <v>178</v>
      </c>
      <c r="R576" s="10" t="s">
        <v>74</v>
      </c>
      <c r="S576" s="11">
        <v>43.7</v>
      </c>
      <c r="T576" s="11">
        <f>2*22.58</f>
        <v>45.16</v>
      </c>
      <c r="U576" s="11" t="s">
        <v>51</v>
      </c>
      <c r="V576" s="10" t="s">
        <v>52</v>
      </c>
      <c r="W576" s="10" t="s">
        <v>6090</v>
      </c>
      <c r="X576" s="10" t="s">
        <v>6091</v>
      </c>
      <c r="Y576" s="10" t="s">
        <v>6092</v>
      </c>
      <c r="Z576" s="10" t="s">
        <v>50</v>
      </c>
      <c r="AA576" s="10" t="s">
        <v>50</v>
      </c>
      <c r="AB576" s="10" t="s">
        <v>6090</v>
      </c>
      <c r="AC576" s="10" t="s">
        <v>6093</v>
      </c>
      <c r="AD576" s="10" t="s">
        <v>6094</v>
      </c>
      <c r="AE576" s="10" t="s">
        <v>384</v>
      </c>
      <c r="AF576" s="10" t="s">
        <v>214</v>
      </c>
      <c r="AG576" s="10" t="s">
        <v>6095</v>
      </c>
      <c r="AH576" s="10" t="s">
        <v>60</v>
      </c>
      <c r="AI576" s="10" t="s">
        <v>61</v>
      </c>
      <c r="AJ576" s="10" t="s">
        <v>5842</v>
      </c>
      <c r="AK576" s="10" t="s">
        <v>6096</v>
      </c>
      <c r="AL576" s="10" t="s">
        <v>64</v>
      </c>
      <c r="AM576" s="10" t="s">
        <v>6097</v>
      </c>
      <c r="AN576" s="10" t="s">
        <v>50</v>
      </c>
      <c r="AO576" s="11" t="s">
        <v>50</v>
      </c>
      <c r="AP576" s="10" t="s">
        <v>50</v>
      </c>
      <c r="AQ576" s="10" t="s">
        <v>50</v>
      </c>
      <c r="AR576" s="10" t="s">
        <v>50</v>
      </c>
      <c r="AS576" s="10" t="s">
        <v>50</v>
      </c>
      <c r="AT576" s="10" t="s">
        <v>50</v>
      </c>
      <c r="AU576" s="10" t="s">
        <v>50</v>
      </c>
      <c r="AV576" s="11"/>
      <c r="AW576" s="10" t="s">
        <v>66</v>
      </c>
      <c r="AX576" s="10"/>
      <c r="AY576" s="10" t="s">
        <v>66</v>
      </c>
    </row>
    <row r="577" ht="22.5" hidden="1" customHeight="1">
      <c r="A577" s="9" t="s">
        <v>6098</v>
      </c>
      <c r="B577" s="10" t="s">
        <v>6099</v>
      </c>
      <c r="C577" s="10" t="s">
        <v>43</v>
      </c>
      <c r="D577" s="10" t="s">
        <v>2402</v>
      </c>
      <c r="E577" s="10" t="s">
        <v>66</v>
      </c>
      <c r="F577" s="11">
        <v>1.0</v>
      </c>
      <c r="G577" s="11">
        <v>48.45</v>
      </c>
      <c r="H577" s="11">
        <v>14.15</v>
      </c>
      <c r="I577" s="11">
        <v>-15.21</v>
      </c>
      <c r="J577" s="11">
        <v>-14.15</v>
      </c>
      <c r="K577" s="11"/>
      <c r="L577" s="11">
        <v>36.15</v>
      </c>
      <c r="M577" s="10" t="s">
        <v>46</v>
      </c>
      <c r="N577" s="10" t="s">
        <v>50</v>
      </c>
      <c r="O577" s="10" t="s">
        <v>2482</v>
      </c>
      <c r="P577" s="10" t="s">
        <v>2483</v>
      </c>
      <c r="Q577" s="10" t="s">
        <v>2484</v>
      </c>
      <c r="R577" s="10" t="s">
        <v>50</v>
      </c>
      <c r="S577" s="11">
        <v>48.45</v>
      </c>
      <c r="T577" s="11">
        <v>9.28</v>
      </c>
      <c r="U577" s="11" t="s">
        <v>51</v>
      </c>
      <c r="V577" s="10" t="s">
        <v>52</v>
      </c>
      <c r="W577" s="10" t="s">
        <v>6100</v>
      </c>
      <c r="X577" s="10" t="s">
        <v>6101</v>
      </c>
      <c r="Y577" s="10" t="s">
        <v>6102</v>
      </c>
      <c r="Z577" s="10" t="s">
        <v>50</v>
      </c>
      <c r="AA577" s="10" t="s">
        <v>50</v>
      </c>
      <c r="AB577" s="10" t="s">
        <v>6100</v>
      </c>
      <c r="AC577" s="10" t="s">
        <v>6103</v>
      </c>
      <c r="AD577" s="10" t="s">
        <v>6104</v>
      </c>
      <c r="AE577" s="10" t="s">
        <v>6105</v>
      </c>
      <c r="AF577" s="10" t="s">
        <v>58</v>
      </c>
      <c r="AG577" s="10" t="s">
        <v>6106</v>
      </c>
      <c r="AH577" s="10" t="s">
        <v>60</v>
      </c>
      <c r="AI577" s="10" t="s">
        <v>61</v>
      </c>
      <c r="AJ577" s="10" t="s">
        <v>2410</v>
      </c>
      <c r="AK577" s="10" t="s">
        <v>6107</v>
      </c>
      <c r="AL577" s="10" t="s">
        <v>64</v>
      </c>
      <c r="AM577" s="10" t="s">
        <v>6108</v>
      </c>
      <c r="AN577" s="10" t="s">
        <v>50</v>
      </c>
      <c r="AO577" s="11" t="s">
        <v>50</v>
      </c>
      <c r="AP577" s="10" t="s">
        <v>50</v>
      </c>
      <c r="AQ577" s="10" t="s">
        <v>50</v>
      </c>
      <c r="AR577" s="10" t="s">
        <v>50</v>
      </c>
      <c r="AS577" s="10" t="s">
        <v>50</v>
      </c>
      <c r="AT577" s="10" t="s">
        <v>50</v>
      </c>
      <c r="AU577" s="10" t="s">
        <v>50</v>
      </c>
      <c r="AV577" s="11"/>
      <c r="AW577" s="10" t="s">
        <v>66</v>
      </c>
      <c r="AX577" s="10"/>
      <c r="AY577" s="10" t="s">
        <v>66</v>
      </c>
    </row>
    <row r="578" ht="22.5" hidden="1" customHeight="1">
      <c r="A578" s="9" t="s">
        <v>6109</v>
      </c>
      <c r="B578" s="10" t="s">
        <v>6110</v>
      </c>
      <c r="C578" s="10" t="s">
        <v>43</v>
      </c>
      <c r="D578" s="10" t="s">
        <v>2402</v>
      </c>
      <c r="E578" s="10" t="s">
        <v>66</v>
      </c>
      <c r="F578" s="11">
        <v>1.0</v>
      </c>
      <c r="G578" s="11">
        <v>43.7</v>
      </c>
      <c r="H578" s="11">
        <v>14.15</v>
      </c>
      <c r="I578" s="11">
        <v>-13.43</v>
      </c>
      <c r="J578" s="11">
        <v>-14.15</v>
      </c>
      <c r="K578" s="11"/>
      <c r="L578" s="11">
        <v>32.89</v>
      </c>
      <c r="M578" s="10" t="s">
        <v>46</v>
      </c>
      <c r="N578" s="10" t="s">
        <v>50</v>
      </c>
      <c r="O578" s="10" t="s">
        <v>176</v>
      </c>
      <c r="P578" s="10" t="s">
        <v>177</v>
      </c>
      <c r="Q578" s="10" t="s">
        <v>178</v>
      </c>
      <c r="R578" s="10" t="s">
        <v>74</v>
      </c>
      <c r="S578" s="11">
        <v>43.7</v>
      </c>
      <c r="T578" s="11">
        <v>22.58</v>
      </c>
      <c r="U578" s="11" t="s">
        <v>51</v>
      </c>
      <c r="V578" s="10" t="s">
        <v>52</v>
      </c>
      <c r="W578" s="10" t="s">
        <v>6111</v>
      </c>
      <c r="X578" s="10" t="s">
        <v>6112</v>
      </c>
      <c r="Y578" s="10" t="s">
        <v>6113</v>
      </c>
      <c r="Z578" s="10" t="s">
        <v>50</v>
      </c>
      <c r="AA578" s="10" t="s">
        <v>50</v>
      </c>
      <c r="AB578" s="10" t="s">
        <v>6111</v>
      </c>
      <c r="AC578" s="10" t="s">
        <v>6114</v>
      </c>
      <c r="AD578" s="10" t="s">
        <v>6115</v>
      </c>
      <c r="AE578" s="10" t="s">
        <v>6116</v>
      </c>
      <c r="AF578" s="10" t="s">
        <v>58</v>
      </c>
      <c r="AG578" s="10" t="s">
        <v>6117</v>
      </c>
      <c r="AH578" s="10" t="s">
        <v>60</v>
      </c>
      <c r="AI578" s="10" t="s">
        <v>61</v>
      </c>
      <c r="AJ578" s="10" t="s">
        <v>5854</v>
      </c>
      <c r="AK578" s="10" t="s">
        <v>6118</v>
      </c>
      <c r="AL578" s="10" t="s">
        <v>64</v>
      </c>
      <c r="AM578" s="10" t="s">
        <v>6119</v>
      </c>
      <c r="AN578" s="10" t="s">
        <v>50</v>
      </c>
      <c r="AO578" s="11" t="s">
        <v>50</v>
      </c>
      <c r="AP578" s="10" t="s">
        <v>50</v>
      </c>
      <c r="AQ578" s="10" t="s">
        <v>50</v>
      </c>
      <c r="AR578" s="10" t="s">
        <v>50</v>
      </c>
      <c r="AS578" s="10" t="s">
        <v>50</v>
      </c>
      <c r="AT578" s="10" t="s">
        <v>50</v>
      </c>
      <c r="AU578" s="10" t="s">
        <v>50</v>
      </c>
      <c r="AV578" s="11"/>
      <c r="AW578" s="10" t="s">
        <v>66</v>
      </c>
      <c r="AX578" s="10"/>
      <c r="AY578" s="10" t="s">
        <v>66</v>
      </c>
    </row>
    <row r="579" ht="22.5" hidden="1" customHeight="1">
      <c r="A579" s="9" t="s">
        <v>6120</v>
      </c>
      <c r="B579" s="10" t="s">
        <v>6121</v>
      </c>
      <c r="C579" s="10" t="s">
        <v>43</v>
      </c>
      <c r="D579" s="10" t="s">
        <v>3477</v>
      </c>
      <c r="E579" s="10" t="s">
        <v>66</v>
      </c>
      <c r="F579" s="11">
        <v>1.0</v>
      </c>
      <c r="G579" s="11">
        <v>80.5</v>
      </c>
      <c r="H579" s="11"/>
      <c r="I579" s="11">
        <v>-15.3</v>
      </c>
      <c r="J579" s="11">
        <v>-19.95</v>
      </c>
      <c r="K579" s="11"/>
      <c r="L579" s="11">
        <v>45.25</v>
      </c>
      <c r="M579" s="10" t="s">
        <v>46</v>
      </c>
      <c r="N579" s="10" t="s">
        <v>45</v>
      </c>
      <c r="O579" s="10" t="s">
        <v>47</v>
      </c>
      <c r="P579" s="10" t="s">
        <v>48</v>
      </c>
      <c r="Q579" s="10" t="s">
        <v>49</v>
      </c>
      <c r="R579" s="10" t="s">
        <v>50</v>
      </c>
      <c r="S579" s="11">
        <v>80.5</v>
      </c>
      <c r="T579" s="11">
        <v>12.45</v>
      </c>
      <c r="U579" s="11" t="s">
        <v>51</v>
      </c>
      <c r="V579" s="10" t="s">
        <v>52</v>
      </c>
      <c r="W579" s="10" t="s">
        <v>6122</v>
      </c>
      <c r="X579" s="10" t="s">
        <v>6123</v>
      </c>
      <c r="Y579" s="10" t="s">
        <v>6124</v>
      </c>
      <c r="Z579" s="10" t="s">
        <v>50</v>
      </c>
      <c r="AA579" s="10" t="s">
        <v>50</v>
      </c>
      <c r="AB579" s="10" t="s">
        <v>6122</v>
      </c>
      <c r="AC579" s="10" t="s">
        <v>6125</v>
      </c>
      <c r="AD579" s="10" t="s">
        <v>6126</v>
      </c>
      <c r="AE579" s="10" t="s">
        <v>6127</v>
      </c>
      <c r="AF579" s="10" t="s">
        <v>323</v>
      </c>
      <c r="AG579" s="10" t="s">
        <v>6128</v>
      </c>
      <c r="AH579" s="10" t="s">
        <v>60</v>
      </c>
      <c r="AI579" s="10" t="s">
        <v>61</v>
      </c>
      <c r="AJ579" s="10" t="s">
        <v>6129</v>
      </c>
      <c r="AK579" s="10" t="s">
        <v>6130</v>
      </c>
      <c r="AL579" s="10" t="s">
        <v>64</v>
      </c>
      <c r="AM579" s="10" t="s">
        <v>6131</v>
      </c>
      <c r="AN579" s="10" t="s">
        <v>50</v>
      </c>
      <c r="AO579" s="11" t="s">
        <v>50</v>
      </c>
      <c r="AP579" s="10" t="s">
        <v>50</v>
      </c>
      <c r="AQ579" s="10" t="s">
        <v>50</v>
      </c>
      <c r="AR579" s="10" t="s">
        <v>50</v>
      </c>
      <c r="AS579" s="10" t="s">
        <v>50</v>
      </c>
      <c r="AT579" s="10" t="s">
        <v>50</v>
      </c>
      <c r="AU579" s="10" t="s">
        <v>50</v>
      </c>
      <c r="AV579" s="11"/>
      <c r="AW579" s="10" t="s">
        <v>66</v>
      </c>
      <c r="AX579" s="10"/>
      <c r="AY579" s="10" t="s">
        <v>66</v>
      </c>
    </row>
    <row r="580" ht="22.5" hidden="1" customHeight="1">
      <c r="A580" s="9" t="s">
        <v>6132</v>
      </c>
      <c r="B580" s="10" t="s">
        <v>6133</v>
      </c>
      <c r="C580" s="10" t="s">
        <v>43</v>
      </c>
      <c r="D580" s="10" t="s">
        <v>2402</v>
      </c>
      <c r="E580" s="10" t="s">
        <v>66</v>
      </c>
      <c r="F580" s="11">
        <v>1.0</v>
      </c>
      <c r="G580" s="11">
        <v>79.2</v>
      </c>
      <c r="H580" s="11"/>
      <c r="I580" s="11">
        <v>-13.46</v>
      </c>
      <c r="J580" s="11">
        <v>-20.45</v>
      </c>
      <c r="K580" s="11"/>
      <c r="L580" s="11">
        <v>45.29</v>
      </c>
      <c r="M580" s="10" t="s">
        <v>46</v>
      </c>
      <c r="N580" s="10" t="s">
        <v>45</v>
      </c>
      <c r="O580" s="10" t="s">
        <v>127</v>
      </c>
      <c r="P580" s="10" t="s">
        <v>128</v>
      </c>
      <c r="Q580" s="10" t="s">
        <v>129</v>
      </c>
      <c r="R580" s="10" t="s">
        <v>74</v>
      </c>
      <c r="S580" s="11">
        <v>79.2</v>
      </c>
      <c r="T580" s="11">
        <v>17.68</v>
      </c>
      <c r="U580" s="11" t="s">
        <v>51</v>
      </c>
      <c r="V580" s="10" t="s">
        <v>52</v>
      </c>
      <c r="W580" s="10" t="s">
        <v>6134</v>
      </c>
      <c r="X580" s="10" t="s">
        <v>6135</v>
      </c>
      <c r="Y580" s="10" t="s">
        <v>6136</v>
      </c>
      <c r="Z580" s="10" t="s">
        <v>50</v>
      </c>
      <c r="AA580" s="10" t="s">
        <v>50</v>
      </c>
      <c r="AB580" s="10" t="s">
        <v>6134</v>
      </c>
      <c r="AC580" s="10" t="s">
        <v>6137</v>
      </c>
      <c r="AD580" s="10" t="s">
        <v>6138</v>
      </c>
      <c r="AE580" s="10" t="s">
        <v>4016</v>
      </c>
      <c r="AF580" s="10" t="s">
        <v>323</v>
      </c>
      <c r="AG580" s="10" t="s">
        <v>4017</v>
      </c>
      <c r="AH580" s="10" t="s">
        <v>60</v>
      </c>
      <c r="AI580" s="10" t="s">
        <v>61</v>
      </c>
      <c r="AJ580" s="10" t="s">
        <v>2422</v>
      </c>
      <c r="AK580" s="10" t="s">
        <v>6139</v>
      </c>
      <c r="AL580" s="10" t="s">
        <v>64</v>
      </c>
      <c r="AM580" s="10" t="s">
        <v>6140</v>
      </c>
      <c r="AN580" s="10" t="s">
        <v>50</v>
      </c>
      <c r="AO580" s="11" t="s">
        <v>50</v>
      </c>
      <c r="AP580" s="10" t="s">
        <v>50</v>
      </c>
      <c r="AQ580" s="10" t="s">
        <v>50</v>
      </c>
      <c r="AR580" s="10" t="s">
        <v>50</v>
      </c>
      <c r="AS580" s="10" t="s">
        <v>50</v>
      </c>
      <c r="AT580" s="10" t="s">
        <v>50</v>
      </c>
      <c r="AU580" s="10" t="s">
        <v>50</v>
      </c>
      <c r="AV580" s="11"/>
      <c r="AW580" s="10" t="s">
        <v>66</v>
      </c>
      <c r="AX580" s="10"/>
      <c r="AY580" s="10" t="s">
        <v>66</v>
      </c>
    </row>
    <row r="581" ht="22.5" hidden="1" customHeight="1">
      <c r="A581" s="9" t="s">
        <v>6141</v>
      </c>
      <c r="B581" s="10" t="s">
        <v>6142</v>
      </c>
      <c r="C581" s="10" t="s">
        <v>43</v>
      </c>
      <c r="D581" s="10" t="s">
        <v>2402</v>
      </c>
      <c r="E581" s="10" t="s">
        <v>66</v>
      </c>
      <c r="F581" s="11">
        <v>1.0</v>
      </c>
      <c r="G581" s="11">
        <v>120.0</v>
      </c>
      <c r="H581" s="11"/>
      <c r="I581" s="11">
        <v>-20.4</v>
      </c>
      <c r="J581" s="11">
        <v>-19.95</v>
      </c>
      <c r="K581" s="11"/>
      <c r="L581" s="11">
        <v>86.85</v>
      </c>
      <c r="M581" s="10" t="s">
        <v>46</v>
      </c>
      <c r="N581" s="10" t="s">
        <v>50</v>
      </c>
      <c r="O581" s="10" t="s">
        <v>85</v>
      </c>
      <c r="P581" s="10" t="s">
        <v>86</v>
      </c>
      <c r="Q581" s="10" t="s">
        <v>87</v>
      </c>
      <c r="R581" s="10" t="s">
        <v>74</v>
      </c>
      <c r="S581" s="11">
        <v>120.0</v>
      </c>
      <c r="T581" s="11">
        <v>65.78</v>
      </c>
      <c r="U581" s="11" t="s">
        <v>51</v>
      </c>
      <c r="V581" s="10" t="s">
        <v>52</v>
      </c>
      <c r="W581" s="10" t="s">
        <v>6143</v>
      </c>
      <c r="X581" s="10" t="s">
        <v>6144</v>
      </c>
      <c r="Y581" s="10" t="s">
        <v>6145</v>
      </c>
      <c r="Z581" s="10" t="s">
        <v>50</v>
      </c>
      <c r="AA581" s="10" t="s">
        <v>50</v>
      </c>
      <c r="AB581" s="10" t="s">
        <v>6143</v>
      </c>
      <c r="AC581" s="10" t="s">
        <v>6146</v>
      </c>
      <c r="AD581" s="10" t="s">
        <v>6147</v>
      </c>
      <c r="AE581" s="10" t="s">
        <v>6148</v>
      </c>
      <c r="AF581" s="10" t="s">
        <v>323</v>
      </c>
      <c r="AG581" s="10" t="s">
        <v>6149</v>
      </c>
      <c r="AH581" s="10" t="s">
        <v>60</v>
      </c>
      <c r="AI581" s="10" t="s">
        <v>61</v>
      </c>
      <c r="AJ581" s="10" t="s">
        <v>6150</v>
      </c>
      <c r="AK581" s="10" t="s">
        <v>6151</v>
      </c>
      <c r="AL581" s="10" t="s">
        <v>64</v>
      </c>
      <c r="AM581" s="10" t="s">
        <v>6152</v>
      </c>
      <c r="AN581" s="10" t="s">
        <v>50</v>
      </c>
      <c r="AO581" s="11" t="s">
        <v>50</v>
      </c>
      <c r="AP581" s="10" t="s">
        <v>50</v>
      </c>
      <c r="AQ581" s="10" t="s">
        <v>50</v>
      </c>
      <c r="AR581" s="10" t="s">
        <v>50</v>
      </c>
      <c r="AS581" s="10" t="s">
        <v>50</v>
      </c>
      <c r="AT581" s="10" t="s">
        <v>50</v>
      </c>
      <c r="AU581" s="10" t="s">
        <v>50</v>
      </c>
      <c r="AV581" s="11"/>
      <c r="AW581" s="10" t="s">
        <v>66</v>
      </c>
      <c r="AX581" s="10"/>
      <c r="AY581" s="10" t="s">
        <v>66</v>
      </c>
    </row>
    <row r="582" ht="22.5" hidden="1" customHeight="1">
      <c r="A582" s="9" t="s">
        <v>6153</v>
      </c>
      <c r="B582" s="10" t="s">
        <v>6154</v>
      </c>
      <c r="C582" s="10" t="s">
        <v>43</v>
      </c>
      <c r="D582" s="10" t="s">
        <v>4506</v>
      </c>
      <c r="E582" s="10" t="s">
        <v>45</v>
      </c>
      <c r="F582" s="11">
        <v>2.0</v>
      </c>
      <c r="G582" s="11">
        <v>87.4</v>
      </c>
      <c r="H582" s="11"/>
      <c r="I582" s="11">
        <v>-26.86</v>
      </c>
      <c r="J582" s="11"/>
      <c r="K582" s="11"/>
      <c r="L582" s="11">
        <v>65.78</v>
      </c>
      <c r="M582" s="10" t="s">
        <v>46</v>
      </c>
      <c r="N582" s="10" t="s">
        <v>50</v>
      </c>
      <c r="O582" s="10" t="s">
        <v>176</v>
      </c>
      <c r="P582" s="10" t="s">
        <v>177</v>
      </c>
      <c r="Q582" s="10" t="s">
        <v>178</v>
      </c>
      <c r="R582" s="10" t="s">
        <v>74</v>
      </c>
      <c r="S582" s="11">
        <v>43.7</v>
      </c>
      <c r="T582" s="11">
        <f>2*22.58</f>
        <v>45.16</v>
      </c>
      <c r="U582" s="11" t="s">
        <v>51</v>
      </c>
      <c r="V582" s="10" t="s">
        <v>52</v>
      </c>
      <c r="W582" s="10" t="s">
        <v>6155</v>
      </c>
      <c r="X582" s="10" t="s">
        <v>6156</v>
      </c>
      <c r="Y582" s="10" t="s">
        <v>6157</v>
      </c>
      <c r="Z582" s="10" t="s">
        <v>50</v>
      </c>
      <c r="AA582" s="10" t="s">
        <v>50</v>
      </c>
      <c r="AB582" s="10" t="s">
        <v>6155</v>
      </c>
      <c r="AC582" s="10" t="s">
        <v>6158</v>
      </c>
      <c r="AD582" s="10" t="s">
        <v>6159</v>
      </c>
      <c r="AE582" s="10" t="s">
        <v>6160</v>
      </c>
      <c r="AF582" s="10" t="s">
        <v>185</v>
      </c>
      <c r="AG582" s="10" t="s">
        <v>6161</v>
      </c>
      <c r="AH582" s="10" t="s">
        <v>60</v>
      </c>
      <c r="AI582" s="10" t="s">
        <v>61</v>
      </c>
      <c r="AJ582" s="10" t="s">
        <v>5854</v>
      </c>
      <c r="AK582" s="10" t="s">
        <v>6162</v>
      </c>
      <c r="AL582" s="10" t="s">
        <v>64</v>
      </c>
      <c r="AM582" s="10" t="s">
        <v>6163</v>
      </c>
      <c r="AN582" s="10" t="s">
        <v>50</v>
      </c>
      <c r="AO582" s="11" t="s">
        <v>50</v>
      </c>
      <c r="AP582" s="10" t="s">
        <v>50</v>
      </c>
      <c r="AQ582" s="10" t="s">
        <v>50</v>
      </c>
      <c r="AR582" s="10" t="s">
        <v>50</v>
      </c>
      <c r="AS582" s="10" t="s">
        <v>50</v>
      </c>
      <c r="AT582" s="10" t="s">
        <v>50</v>
      </c>
      <c r="AU582" s="10" t="s">
        <v>50</v>
      </c>
      <c r="AV582" s="11"/>
      <c r="AW582" s="10" t="s">
        <v>66</v>
      </c>
      <c r="AX582" s="10"/>
      <c r="AY582" s="10" t="s">
        <v>66</v>
      </c>
    </row>
    <row r="583" ht="22.5" hidden="1" customHeight="1">
      <c r="A583" s="9" t="s">
        <v>6164</v>
      </c>
      <c r="B583" s="10" t="s">
        <v>6165</v>
      </c>
      <c r="C583" s="10" t="s">
        <v>43</v>
      </c>
      <c r="D583" s="10" t="s">
        <v>2402</v>
      </c>
      <c r="E583" s="10" t="s">
        <v>66</v>
      </c>
      <c r="F583" s="11">
        <v>1.0</v>
      </c>
      <c r="G583" s="11">
        <v>79.0</v>
      </c>
      <c r="H583" s="11"/>
      <c r="I583" s="11">
        <v>-13.43</v>
      </c>
      <c r="J583" s="11">
        <v>-20.45</v>
      </c>
      <c r="K583" s="11"/>
      <c r="L583" s="11">
        <v>45.12</v>
      </c>
      <c r="M583" s="10" t="s">
        <v>46</v>
      </c>
      <c r="N583" s="10" t="s">
        <v>45</v>
      </c>
      <c r="O583" s="10" t="s">
        <v>160</v>
      </c>
      <c r="P583" s="10" t="s">
        <v>161</v>
      </c>
      <c r="Q583" s="10" t="s">
        <v>162</v>
      </c>
      <c r="R583" s="10" t="s">
        <v>74</v>
      </c>
      <c r="S583" s="11">
        <v>79.0</v>
      </c>
      <c r="T583" s="11">
        <v>2.49</v>
      </c>
      <c r="U583" s="11" t="s">
        <v>51</v>
      </c>
      <c r="V583" s="10" t="s">
        <v>52</v>
      </c>
      <c r="W583" s="10" t="s">
        <v>6166</v>
      </c>
      <c r="X583" s="10" t="s">
        <v>6167</v>
      </c>
      <c r="Y583" s="10" t="s">
        <v>6168</v>
      </c>
      <c r="Z583" s="10" t="s">
        <v>50</v>
      </c>
      <c r="AA583" s="10" t="s">
        <v>50</v>
      </c>
      <c r="AB583" s="10" t="s">
        <v>6166</v>
      </c>
      <c r="AC583" s="10" t="s">
        <v>6169</v>
      </c>
      <c r="AD583" s="10" t="s">
        <v>6170</v>
      </c>
      <c r="AE583" s="10" t="s">
        <v>547</v>
      </c>
      <c r="AF583" s="10" t="s">
        <v>58</v>
      </c>
      <c r="AG583" s="10" t="s">
        <v>6171</v>
      </c>
      <c r="AH583" s="10" t="s">
        <v>60</v>
      </c>
      <c r="AI583" s="10" t="s">
        <v>61</v>
      </c>
      <c r="AJ583" s="10" t="s">
        <v>5810</v>
      </c>
      <c r="AK583" s="10" t="s">
        <v>6172</v>
      </c>
      <c r="AL583" s="10" t="s">
        <v>64</v>
      </c>
      <c r="AM583" s="10" t="s">
        <v>6173</v>
      </c>
      <c r="AN583" s="10" t="s">
        <v>50</v>
      </c>
      <c r="AO583" s="11" t="s">
        <v>50</v>
      </c>
      <c r="AP583" s="10" t="s">
        <v>50</v>
      </c>
      <c r="AQ583" s="10" t="s">
        <v>50</v>
      </c>
      <c r="AR583" s="10" t="s">
        <v>50</v>
      </c>
      <c r="AS583" s="10" t="s">
        <v>50</v>
      </c>
      <c r="AT583" s="10" t="s">
        <v>50</v>
      </c>
      <c r="AU583" s="10" t="s">
        <v>50</v>
      </c>
      <c r="AV583" s="11"/>
      <c r="AW583" s="10" t="s">
        <v>66</v>
      </c>
      <c r="AX583" s="10"/>
      <c r="AY583" s="10" t="s">
        <v>66</v>
      </c>
    </row>
    <row r="584" ht="22.5" hidden="1" customHeight="1">
      <c r="A584" s="12" t="s">
        <v>6174</v>
      </c>
      <c r="B584" s="13" t="s">
        <v>6175</v>
      </c>
      <c r="C584" s="13" t="s">
        <v>747</v>
      </c>
      <c r="D584" s="13" t="s">
        <v>50</v>
      </c>
      <c r="E584" s="13" t="s">
        <v>50</v>
      </c>
      <c r="F584" s="14"/>
      <c r="G584" s="14">
        <v>88.7</v>
      </c>
      <c r="H584" s="14"/>
      <c r="I584" s="14">
        <v>-24.83</v>
      </c>
      <c r="J584" s="14"/>
      <c r="K584" s="14"/>
      <c r="L584" s="14">
        <v>66.49</v>
      </c>
      <c r="M584" s="13" t="s">
        <v>46</v>
      </c>
      <c r="N584" s="13" t="s">
        <v>50</v>
      </c>
      <c r="O584" s="13" t="s">
        <v>50</v>
      </c>
      <c r="P584" s="13" t="s">
        <v>50</v>
      </c>
      <c r="Q584" s="13" t="s">
        <v>50</v>
      </c>
      <c r="R584" s="13" t="s">
        <v>50</v>
      </c>
      <c r="S584" s="14"/>
      <c r="T584" s="14"/>
      <c r="U584" s="14" t="s">
        <v>50</v>
      </c>
      <c r="V584" s="13" t="s">
        <v>52</v>
      </c>
      <c r="W584" s="13" t="s">
        <v>6176</v>
      </c>
      <c r="X584" s="13" t="s">
        <v>6177</v>
      </c>
      <c r="Y584" s="13" t="s">
        <v>6178</v>
      </c>
      <c r="Z584" s="13" t="s">
        <v>50</v>
      </c>
      <c r="AA584" s="13" t="s">
        <v>50</v>
      </c>
      <c r="AB584" s="13" t="s">
        <v>6176</v>
      </c>
      <c r="AC584" s="13" t="s">
        <v>6179</v>
      </c>
      <c r="AD584" s="13" t="s">
        <v>6180</v>
      </c>
      <c r="AE584" s="13" t="s">
        <v>373</v>
      </c>
      <c r="AF584" s="13" t="s">
        <v>58</v>
      </c>
      <c r="AG584" s="13" t="s">
        <v>6181</v>
      </c>
      <c r="AH584" s="13" t="s">
        <v>60</v>
      </c>
      <c r="AI584" s="13" t="s">
        <v>61</v>
      </c>
      <c r="AJ584" s="13" t="s">
        <v>5876</v>
      </c>
      <c r="AK584" s="13" t="s">
        <v>6182</v>
      </c>
      <c r="AL584" s="13" t="s">
        <v>64</v>
      </c>
      <c r="AM584" s="13" t="s">
        <v>6183</v>
      </c>
      <c r="AN584" s="13" t="s">
        <v>50</v>
      </c>
      <c r="AO584" s="15" t="s">
        <v>50</v>
      </c>
      <c r="AP584" s="13" t="s">
        <v>50</v>
      </c>
      <c r="AQ584" s="13" t="s">
        <v>50</v>
      </c>
      <c r="AR584" s="13" t="s">
        <v>50</v>
      </c>
      <c r="AS584" s="13" t="s">
        <v>50</v>
      </c>
      <c r="AT584" s="13" t="s">
        <v>50</v>
      </c>
      <c r="AU584" s="13" t="s">
        <v>50</v>
      </c>
      <c r="AV584" s="15"/>
      <c r="AW584" s="13" t="s">
        <v>50</v>
      </c>
      <c r="AX584" s="13"/>
      <c r="AY584" s="13" t="s">
        <v>50</v>
      </c>
    </row>
    <row r="585" ht="22.5" hidden="1" customHeight="1">
      <c r="A585" s="16" t="s">
        <v>6184</v>
      </c>
      <c r="B585" s="17" t="s">
        <v>6175</v>
      </c>
      <c r="C585" s="17" t="s">
        <v>43</v>
      </c>
      <c r="D585" s="17" t="s">
        <v>2402</v>
      </c>
      <c r="E585" s="17" t="s">
        <v>45</v>
      </c>
      <c r="F585" s="18">
        <v>1.0</v>
      </c>
      <c r="G585" s="18"/>
      <c r="H585" s="18"/>
      <c r="I585" s="18"/>
      <c r="J585" s="18"/>
      <c r="K585" s="18"/>
      <c r="L585" s="18"/>
      <c r="M585" s="17" t="s">
        <v>50</v>
      </c>
      <c r="N585" s="17" t="s">
        <v>50</v>
      </c>
      <c r="O585" s="17" t="s">
        <v>176</v>
      </c>
      <c r="P585" s="17" t="s">
        <v>177</v>
      </c>
      <c r="Q585" s="17" t="s">
        <v>178</v>
      </c>
      <c r="R585" s="17" t="s">
        <v>74</v>
      </c>
      <c r="S585" s="18">
        <v>43.7</v>
      </c>
      <c r="T585" s="18">
        <v>22.58</v>
      </c>
      <c r="U585" s="18" t="s">
        <v>51</v>
      </c>
      <c r="V585" s="17" t="s">
        <v>50</v>
      </c>
      <c r="W585" s="17" t="s">
        <v>50</v>
      </c>
      <c r="X585" s="17" t="s">
        <v>50</v>
      </c>
      <c r="Y585" s="17" t="s">
        <v>50</v>
      </c>
      <c r="Z585" s="17" t="s">
        <v>50</v>
      </c>
      <c r="AA585" s="17" t="s">
        <v>50</v>
      </c>
      <c r="AB585" s="17" t="s">
        <v>50</v>
      </c>
      <c r="AC585" s="17" t="s">
        <v>50</v>
      </c>
      <c r="AD585" s="17" t="s">
        <v>50</v>
      </c>
      <c r="AE585" s="17" t="s">
        <v>50</v>
      </c>
      <c r="AF585" s="17" t="s">
        <v>50</v>
      </c>
      <c r="AG585" s="17" t="s">
        <v>50</v>
      </c>
      <c r="AH585" s="17" t="s">
        <v>50</v>
      </c>
      <c r="AI585" s="17" t="s">
        <v>50</v>
      </c>
      <c r="AJ585" s="17" t="s">
        <v>50</v>
      </c>
      <c r="AK585" s="17" t="s">
        <v>50</v>
      </c>
      <c r="AL585" s="17" t="s">
        <v>50</v>
      </c>
      <c r="AM585" s="17" t="s">
        <v>50</v>
      </c>
      <c r="AN585" s="17" t="s">
        <v>50</v>
      </c>
      <c r="AO585" s="18" t="s">
        <v>50</v>
      </c>
      <c r="AP585" s="17" t="s">
        <v>50</v>
      </c>
      <c r="AQ585" s="17" t="s">
        <v>50</v>
      </c>
      <c r="AR585" s="17" t="s">
        <v>50</v>
      </c>
      <c r="AS585" s="17" t="s">
        <v>50</v>
      </c>
      <c r="AT585" s="17" t="s">
        <v>50</v>
      </c>
      <c r="AU585" s="17" t="s">
        <v>50</v>
      </c>
      <c r="AV585" s="18"/>
      <c r="AW585" s="17" t="s">
        <v>66</v>
      </c>
      <c r="AX585" s="17"/>
      <c r="AY585" s="17" t="s">
        <v>66</v>
      </c>
    </row>
    <row r="586" ht="22.5" hidden="1" customHeight="1">
      <c r="A586" s="16" t="s">
        <v>6185</v>
      </c>
      <c r="B586" s="17" t="s">
        <v>6175</v>
      </c>
      <c r="C586" s="17" t="s">
        <v>43</v>
      </c>
      <c r="D586" s="17" t="s">
        <v>2402</v>
      </c>
      <c r="E586" s="17" t="s">
        <v>45</v>
      </c>
      <c r="F586" s="18">
        <v>1.0</v>
      </c>
      <c r="G586" s="18"/>
      <c r="H586" s="18"/>
      <c r="I586" s="18"/>
      <c r="J586" s="18"/>
      <c r="K586" s="18"/>
      <c r="L586" s="18"/>
      <c r="M586" s="17" t="s">
        <v>50</v>
      </c>
      <c r="N586" s="17" t="s">
        <v>50</v>
      </c>
      <c r="O586" s="17" t="s">
        <v>6186</v>
      </c>
      <c r="P586" s="17" t="s">
        <v>6187</v>
      </c>
      <c r="Q586" s="17" t="s">
        <v>6188</v>
      </c>
      <c r="R586" s="17" t="s">
        <v>74</v>
      </c>
      <c r="S586" s="18">
        <v>45.0</v>
      </c>
      <c r="T586" s="18">
        <v>9.42</v>
      </c>
      <c r="U586" s="18" t="s">
        <v>194</v>
      </c>
      <c r="V586" s="17" t="s">
        <v>50</v>
      </c>
      <c r="W586" s="17" t="s">
        <v>50</v>
      </c>
      <c r="X586" s="17" t="s">
        <v>50</v>
      </c>
      <c r="Y586" s="17" t="s">
        <v>50</v>
      </c>
      <c r="Z586" s="17" t="s">
        <v>50</v>
      </c>
      <c r="AA586" s="17" t="s">
        <v>50</v>
      </c>
      <c r="AB586" s="17" t="s">
        <v>50</v>
      </c>
      <c r="AC586" s="17" t="s">
        <v>50</v>
      </c>
      <c r="AD586" s="17" t="s">
        <v>50</v>
      </c>
      <c r="AE586" s="17" t="s">
        <v>50</v>
      </c>
      <c r="AF586" s="17" t="s">
        <v>50</v>
      </c>
      <c r="AG586" s="17" t="s">
        <v>50</v>
      </c>
      <c r="AH586" s="17" t="s">
        <v>50</v>
      </c>
      <c r="AI586" s="17" t="s">
        <v>50</v>
      </c>
      <c r="AJ586" s="17" t="s">
        <v>50</v>
      </c>
      <c r="AK586" s="17" t="s">
        <v>50</v>
      </c>
      <c r="AL586" s="17" t="s">
        <v>50</v>
      </c>
      <c r="AM586" s="17" t="s">
        <v>50</v>
      </c>
      <c r="AN586" s="17" t="s">
        <v>50</v>
      </c>
      <c r="AO586" s="18" t="s">
        <v>50</v>
      </c>
      <c r="AP586" s="17" t="s">
        <v>50</v>
      </c>
      <c r="AQ586" s="17" t="s">
        <v>50</v>
      </c>
      <c r="AR586" s="17" t="s">
        <v>50</v>
      </c>
      <c r="AS586" s="17" t="s">
        <v>50</v>
      </c>
      <c r="AT586" s="17" t="s">
        <v>50</v>
      </c>
      <c r="AU586" s="17" t="s">
        <v>50</v>
      </c>
      <c r="AV586" s="18"/>
      <c r="AW586" s="17" t="s">
        <v>66</v>
      </c>
      <c r="AX586" s="17"/>
      <c r="AY586" s="17" t="s">
        <v>66</v>
      </c>
    </row>
    <row r="587" ht="22.5" hidden="1" customHeight="1">
      <c r="A587" s="9" t="s">
        <v>6189</v>
      </c>
      <c r="B587" s="10" t="s">
        <v>6190</v>
      </c>
      <c r="C587" s="10" t="s">
        <v>43</v>
      </c>
      <c r="D587" s="10" t="s">
        <v>2481</v>
      </c>
      <c r="E587" s="10" t="s">
        <v>66</v>
      </c>
      <c r="F587" s="11">
        <v>1.0</v>
      </c>
      <c r="G587" s="11">
        <v>43.7</v>
      </c>
      <c r="H587" s="11">
        <v>21.75</v>
      </c>
      <c r="I587" s="11">
        <v>-13.43</v>
      </c>
      <c r="J587" s="11">
        <v>-21.75</v>
      </c>
      <c r="K587" s="11"/>
      <c r="L587" s="11">
        <v>32.89</v>
      </c>
      <c r="M587" s="10" t="s">
        <v>46</v>
      </c>
      <c r="N587" s="10" t="s">
        <v>50</v>
      </c>
      <c r="O587" s="10" t="s">
        <v>176</v>
      </c>
      <c r="P587" s="10" t="s">
        <v>177</v>
      </c>
      <c r="Q587" s="10" t="s">
        <v>178</v>
      </c>
      <c r="R587" s="10" t="s">
        <v>74</v>
      </c>
      <c r="S587" s="11">
        <v>43.7</v>
      </c>
      <c r="T587" s="11">
        <v>22.58</v>
      </c>
      <c r="U587" s="11" t="s">
        <v>51</v>
      </c>
      <c r="V587" s="10" t="s">
        <v>52</v>
      </c>
      <c r="W587" s="10" t="s">
        <v>6191</v>
      </c>
      <c r="X587" s="10" t="s">
        <v>6192</v>
      </c>
      <c r="Y587" s="10" t="s">
        <v>6193</v>
      </c>
      <c r="Z587" s="10" t="s">
        <v>50</v>
      </c>
      <c r="AA587" s="10" t="s">
        <v>50</v>
      </c>
      <c r="AB587" s="10" t="s">
        <v>6191</v>
      </c>
      <c r="AC587" s="10" t="s">
        <v>6194</v>
      </c>
      <c r="AD587" s="10" t="s">
        <v>6195</v>
      </c>
      <c r="AE587" s="10" t="s">
        <v>1346</v>
      </c>
      <c r="AF587" s="10" t="s">
        <v>1347</v>
      </c>
      <c r="AG587" s="10" t="s">
        <v>6196</v>
      </c>
      <c r="AH587" s="10" t="s">
        <v>60</v>
      </c>
      <c r="AI587" s="10" t="s">
        <v>61</v>
      </c>
      <c r="AJ587" s="10" t="s">
        <v>6197</v>
      </c>
      <c r="AK587" s="10" t="s">
        <v>6198</v>
      </c>
      <c r="AL587" s="10" t="s">
        <v>64</v>
      </c>
      <c r="AM587" s="10" t="s">
        <v>6199</v>
      </c>
      <c r="AN587" s="10" t="s">
        <v>50</v>
      </c>
      <c r="AO587" s="11" t="s">
        <v>50</v>
      </c>
      <c r="AP587" s="10" t="s">
        <v>50</v>
      </c>
      <c r="AQ587" s="10" t="s">
        <v>50</v>
      </c>
      <c r="AR587" s="10" t="s">
        <v>50</v>
      </c>
      <c r="AS587" s="10" t="s">
        <v>50</v>
      </c>
      <c r="AT587" s="10" t="s">
        <v>50</v>
      </c>
      <c r="AU587" s="10" t="s">
        <v>50</v>
      </c>
      <c r="AV587" s="11"/>
      <c r="AW587" s="10" t="s">
        <v>66</v>
      </c>
      <c r="AX587" s="10"/>
      <c r="AY587" s="10" t="s">
        <v>66</v>
      </c>
    </row>
    <row r="588" ht="22.5" hidden="1" customHeight="1">
      <c r="A588" s="9" t="s">
        <v>6200</v>
      </c>
      <c r="B588" s="10" t="s">
        <v>6201</v>
      </c>
      <c r="C588" s="10" t="s">
        <v>43</v>
      </c>
      <c r="D588" s="10" t="s">
        <v>2402</v>
      </c>
      <c r="E588" s="10" t="s">
        <v>66</v>
      </c>
      <c r="F588" s="11">
        <v>1.0</v>
      </c>
      <c r="G588" s="11">
        <v>120.0</v>
      </c>
      <c r="H588" s="11"/>
      <c r="I588" s="11">
        <v>-20.4</v>
      </c>
      <c r="J588" s="11">
        <v>-19.95</v>
      </c>
      <c r="K588" s="11"/>
      <c r="L588" s="11">
        <v>86.85</v>
      </c>
      <c r="M588" s="10" t="s">
        <v>46</v>
      </c>
      <c r="N588" s="10" t="s">
        <v>50</v>
      </c>
      <c r="O588" s="10" t="s">
        <v>85</v>
      </c>
      <c r="P588" s="10" t="s">
        <v>86</v>
      </c>
      <c r="Q588" s="10" t="s">
        <v>87</v>
      </c>
      <c r="R588" s="10" t="s">
        <v>74</v>
      </c>
      <c r="S588" s="11">
        <v>120.0</v>
      </c>
      <c r="T588" s="11">
        <v>65.78</v>
      </c>
      <c r="U588" s="11" t="s">
        <v>51</v>
      </c>
      <c r="V588" s="10" t="s">
        <v>52</v>
      </c>
      <c r="W588" s="10" t="s">
        <v>6202</v>
      </c>
      <c r="X588" s="10" t="s">
        <v>6203</v>
      </c>
      <c r="Y588" s="10" t="s">
        <v>6204</v>
      </c>
      <c r="Z588" s="10" t="s">
        <v>50</v>
      </c>
      <c r="AA588" s="10" t="s">
        <v>50</v>
      </c>
      <c r="AB588" s="10" t="s">
        <v>6202</v>
      </c>
      <c r="AC588" s="10" t="s">
        <v>6205</v>
      </c>
      <c r="AD588" s="10" t="s">
        <v>6206</v>
      </c>
      <c r="AE588" s="10" t="s">
        <v>296</v>
      </c>
      <c r="AF588" s="10" t="s">
        <v>58</v>
      </c>
      <c r="AG588" s="10" t="s">
        <v>6207</v>
      </c>
      <c r="AH588" s="10" t="s">
        <v>60</v>
      </c>
      <c r="AI588" s="10" t="s">
        <v>61</v>
      </c>
      <c r="AJ588" s="10" t="s">
        <v>6208</v>
      </c>
      <c r="AK588" s="10" t="s">
        <v>6209</v>
      </c>
      <c r="AL588" s="10" t="s">
        <v>64</v>
      </c>
      <c r="AM588" s="10" t="s">
        <v>6210</v>
      </c>
      <c r="AN588" s="10" t="s">
        <v>50</v>
      </c>
      <c r="AO588" s="11" t="s">
        <v>50</v>
      </c>
      <c r="AP588" s="10" t="s">
        <v>50</v>
      </c>
      <c r="AQ588" s="10" t="s">
        <v>50</v>
      </c>
      <c r="AR588" s="10" t="s">
        <v>50</v>
      </c>
      <c r="AS588" s="10" t="s">
        <v>50</v>
      </c>
      <c r="AT588" s="10" t="s">
        <v>50</v>
      </c>
      <c r="AU588" s="10" t="s">
        <v>50</v>
      </c>
      <c r="AV588" s="11"/>
      <c r="AW588" s="10" t="s">
        <v>66</v>
      </c>
      <c r="AX588" s="10"/>
      <c r="AY588" s="10" t="s">
        <v>66</v>
      </c>
    </row>
    <row r="589" ht="22.5" hidden="1" customHeight="1">
      <c r="A589" s="9" t="s">
        <v>6211</v>
      </c>
      <c r="B589" s="10" t="s">
        <v>6212</v>
      </c>
      <c r="C589" s="10" t="s">
        <v>43</v>
      </c>
      <c r="D589" s="10" t="s">
        <v>2481</v>
      </c>
      <c r="E589" s="10" t="s">
        <v>45</v>
      </c>
      <c r="F589" s="11">
        <v>2.0</v>
      </c>
      <c r="G589" s="11">
        <v>87.4</v>
      </c>
      <c r="H589" s="11"/>
      <c r="I589" s="11">
        <v>-26.86</v>
      </c>
      <c r="J589" s="11"/>
      <c r="K589" s="11"/>
      <c r="L589" s="11">
        <v>65.78</v>
      </c>
      <c r="M589" s="10" t="s">
        <v>46</v>
      </c>
      <c r="N589" s="10" t="s">
        <v>45</v>
      </c>
      <c r="O589" s="10" t="s">
        <v>176</v>
      </c>
      <c r="P589" s="10" t="s">
        <v>177</v>
      </c>
      <c r="Q589" s="10" t="s">
        <v>178</v>
      </c>
      <c r="R589" s="10" t="s">
        <v>74</v>
      </c>
      <c r="S589" s="11">
        <v>43.7</v>
      </c>
      <c r="T589" s="11">
        <f>2*22.58</f>
        <v>45.16</v>
      </c>
      <c r="U589" s="11" t="s">
        <v>51</v>
      </c>
      <c r="V589" s="10" t="s">
        <v>52</v>
      </c>
      <c r="W589" s="10" t="s">
        <v>6213</v>
      </c>
      <c r="X589" s="10" t="s">
        <v>6214</v>
      </c>
      <c r="Y589" s="10" t="s">
        <v>6215</v>
      </c>
      <c r="Z589" s="10" t="s">
        <v>50</v>
      </c>
      <c r="AA589" s="10" t="s">
        <v>50</v>
      </c>
      <c r="AB589" s="10" t="s">
        <v>6213</v>
      </c>
      <c r="AC589" s="10" t="s">
        <v>6216</v>
      </c>
      <c r="AD589" s="10" t="s">
        <v>6217</v>
      </c>
      <c r="AE589" s="10" t="s">
        <v>1089</v>
      </c>
      <c r="AF589" s="10" t="s">
        <v>284</v>
      </c>
      <c r="AG589" s="10" t="s">
        <v>6218</v>
      </c>
      <c r="AH589" s="10" t="s">
        <v>60</v>
      </c>
      <c r="AI589" s="10" t="s">
        <v>61</v>
      </c>
      <c r="AJ589" s="10" t="s">
        <v>5842</v>
      </c>
      <c r="AK589" s="10" t="s">
        <v>6219</v>
      </c>
      <c r="AL589" s="10" t="s">
        <v>64</v>
      </c>
      <c r="AM589" s="10" t="s">
        <v>6220</v>
      </c>
      <c r="AN589" s="10" t="s">
        <v>50</v>
      </c>
      <c r="AO589" s="11" t="s">
        <v>50</v>
      </c>
      <c r="AP589" s="10" t="s">
        <v>50</v>
      </c>
      <c r="AQ589" s="10" t="s">
        <v>50</v>
      </c>
      <c r="AR589" s="10" t="s">
        <v>50</v>
      </c>
      <c r="AS589" s="10" t="s">
        <v>50</v>
      </c>
      <c r="AT589" s="10" t="s">
        <v>50</v>
      </c>
      <c r="AU589" s="10" t="s">
        <v>50</v>
      </c>
      <c r="AV589" s="11"/>
      <c r="AW589" s="10" t="s">
        <v>66</v>
      </c>
      <c r="AX589" s="10"/>
      <c r="AY589" s="10" t="s">
        <v>66</v>
      </c>
    </row>
    <row r="590" ht="22.5" hidden="1" customHeight="1">
      <c r="A590" s="9" t="s">
        <v>6221</v>
      </c>
      <c r="B590" s="10" t="s">
        <v>6222</v>
      </c>
      <c r="C590" s="10" t="s">
        <v>43</v>
      </c>
      <c r="D590" s="10" t="s">
        <v>4506</v>
      </c>
      <c r="E590" s="10" t="s">
        <v>66</v>
      </c>
      <c r="F590" s="11">
        <v>1.0</v>
      </c>
      <c r="G590" s="11">
        <v>120.0</v>
      </c>
      <c r="H590" s="11"/>
      <c r="I590" s="11">
        <v>-20.4</v>
      </c>
      <c r="J590" s="11">
        <v>-19.95</v>
      </c>
      <c r="K590" s="11"/>
      <c r="L590" s="11">
        <v>86.85</v>
      </c>
      <c r="M590" s="10" t="s">
        <v>46</v>
      </c>
      <c r="N590" s="10" t="s">
        <v>45</v>
      </c>
      <c r="O590" s="10" t="s">
        <v>85</v>
      </c>
      <c r="P590" s="10" t="s">
        <v>86</v>
      </c>
      <c r="Q590" s="10" t="s">
        <v>87</v>
      </c>
      <c r="R590" s="10" t="s">
        <v>74</v>
      </c>
      <c r="S590" s="11">
        <v>120.0</v>
      </c>
      <c r="T590" s="11">
        <v>65.78</v>
      </c>
      <c r="U590" s="11" t="s">
        <v>51</v>
      </c>
      <c r="V590" s="10" t="s">
        <v>52</v>
      </c>
      <c r="W590" s="10" t="s">
        <v>6223</v>
      </c>
      <c r="X590" s="10" t="s">
        <v>6224</v>
      </c>
      <c r="Y590" s="10" t="s">
        <v>6225</v>
      </c>
      <c r="Z590" s="10" t="s">
        <v>50</v>
      </c>
      <c r="AA590" s="10" t="s">
        <v>50</v>
      </c>
      <c r="AB590" s="10" t="s">
        <v>6223</v>
      </c>
      <c r="AC590" s="10" t="s">
        <v>6226</v>
      </c>
      <c r="AD590" s="10" t="s">
        <v>6227</v>
      </c>
      <c r="AE590" s="10" t="s">
        <v>3359</v>
      </c>
      <c r="AF590" s="10" t="s">
        <v>185</v>
      </c>
      <c r="AG590" s="10" t="s">
        <v>6228</v>
      </c>
      <c r="AH590" s="10" t="s">
        <v>60</v>
      </c>
      <c r="AI590" s="10" t="s">
        <v>61</v>
      </c>
      <c r="AJ590" s="10" t="s">
        <v>5888</v>
      </c>
      <c r="AK590" s="10" t="s">
        <v>6229</v>
      </c>
      <c r="AL590" s="10" t="s">
        <v>64</v>
      </c>
      <c r="AM590" s="10" t="s">
        <v>6230</v>
      </c>
      <c r="AN590" s="10" t="s">
        <v>50</v>
      </c>
      <c r="AO590" s="11" t="s">
        <v>50</v>
      </c>
      <c r="AP590" s="10" t="s">
        <v>50</v>
      </c>
      <c r="AQ590" s="10" t="s">
        <v>50</v>
      </c>
      <c r="AR590" s="10" t="s">
        <v>50</v>
      </c>
      <c r="AS590" s="10" t="s">
        <v>50</v>
      </c>
      <c r="AT590" s="10" t="s">
        <v>50</v>
      </c>
      <c r="AU590" s="10" t="s">
        <v>50</v>
      </c>
      <c r="AV590" s="11"/>
      <c r="AW590" s="10" t="s">
        <v>66</v>
      </c>
      <c r="AX590" s="10"/>
      <c r="AY590" s="10" t="s">
        <v>66</v>
      </c>
    </row>
    <row r="591" ht="22.5" hidden="1" customHeight="1">
      <c r="A591" s="9" t="s">
        <v>6231</v>
      </c>
      <c r="B591" s="10" t="s">
        <v>6232</v>
      </c>
      <c r="C591" s="10" t="s">
        <v>43</v>
      </c>
      <c r="D591" s="10" t="s">
        <v>2402</v>
      </c>
      <c r="E591" s="10" t="s">
        <v>66</v>
      </c>
      <c r="F591" s="11">
        <v>1.0</v>
      </c>
      <c r="G591" s="11">
        <v>80.0</v>
      </c>
      <c r="H591" s="11"/>
      <c r="I591" s="11">
        <v>-13.6</v>
      </c>
      <c r="J591" s="11">
        <v>-19.95</v>
      </c>
      <c r="K591" s="11"/>
      <c r="L591" s="11">
        <v>50.45</v>
      </c>
      <c r="M591" s="10" t="s">
        <v>46</v>
      </c>
      <c r="N591" s="10" t="s">
        <v>50</v>
      </c>
      <c r="O591" s="10" t="s">
        <v>1990</v>
      </c>
      <c r="P591" s="10" t="s">
        <v>1991</v>
      </c>
      <c r="Q591" s="10" t="s">
        <v>1992</v>
      </c>
      <c r="R591" s="10" t="s">
        <v>74</v>
      </c>
      <c r="S591" s="11">
        <v>80.0</v>
      </c>
      <c r="T591" s="11">
        <v>7.11</v>
      </c>
      <c r="U591" s="11" t="s">
        <v>51</v>
      </c>
      <c r="V591" s="10" t="s">
        <v>52</v>
      </c>
      <c r="W591" s="10" t="s">
        <v>6233</v>
      </c>
      <c r="X591" s="10" t="s">
        <v>6234</v>
      </c>
      <c r="Y591" s="10" t="s">
        <v>6235</v>
      </c>
      <c r="Z591" s="10" t="s">
        <v>50</v>
      </c>
      <c r="AA591" s="10" t="s">
        <v>50</v>
      </c>
      <c r="AB591" s="10" t="s">
        <v>6233</v>
      </c>
      <c r="AC591" s="10" t="s">
        <v>6236</v>
      </c>
      <c r="AD591" s="10" t="s">
        <v>6237</v>
      </c>
      <c r="AE591" s="10" t="s">
        <v>6238</v>
      </c>
      <c r="AF591" s="10" t="s">
        <v>151</v>
      </c>
      <c r="AG591" s="10" t="s">
        <v>6239</v>
      </c>
      <c r="AH591" s="10" t="s">
        <v>60</v>
      </c>
      <c r="AI591" s="10" t="s">
        <v>61</v>
      </c>
      <c r="AJ591" s="10" t="s">
        <v>6240</v>
      </c>
      <c r="AK591" s="10" t="s">
        <v>6241</v>
      </c>
      <c r="AL591" s="10" t="s">
        <v>64</v>
      </c>
      <c r="AM591" s="10" t="s">
        <v>6242</v>
      </c>
      <c r="AN591" s="10" t="s">
        <v>50</v>
      </c>
      <c r="AO591" s="11" t="s">
        <v>50</v>
      </c>
      <c r="AP591" s="10" t="s">
        <v>50</v>
      </c>
      <c r="AQ591" s="10" t="s">
        <v>50</v>
      </c>
      <c r="AR591" s="10" t="s">
        <v>50</v>
      </c>
      <c r="AS591" s="10" t="s">
        <v>50</v>
      </c>
      <c r="AT591" s="10" t="s">
        <v>50</v>
      </c>
      <c r="AU591" s="10" t="s">
        <v>50</v>
      </c>
      <c r="AV591" s="11"/>
      <c r="AW591" s="10" t="s">
        <v>66</v>
      </c>
      <c r="AX591" s="10"/>
      <c r="AY591" s="10" t="s">
        <v>66</v>
      </c>
    </row>
    <row r="592" ht="22.5" hidden="1" customHeight="1">
      <c r="A592" s="9" t="s">
        <v>6243</v>
      </c>
      <c r="B592" s="10" t="s">
        <v>6244</v>
      </c>
      <c r="C592" s="10" t="s">
        <v>43</v>
      </c>
      <c r="D592" s="10" t="s">
        <v>2481</v>
      </c>
      <c r="E592" s="10" t="s">
        <v>45</v>
      </c>
      <c r="F592" s="11">
        <v>1.0</v>
      </c>
      <c r="G592" s="11">
        <v>43.7</v>
      </c>
      <c r="H592" s="11">
        <v>21.75</v>
      </c>
      <c r="I592" s="11">
        <v>-13.43</v>
      </c>
      <c r="J592" s="11">
        <v>-21.75</v>
      </c>
      <c r="K592" s="11"/>
      <c r="L592" s="11">
        <v>32.89</v>
      </c>
      <c r="M592" s="10" t="s">
        <v>46</v>
      </c>
      <c r="N592" s="10" t="s">
        <v>50</v>
      </c>
      <c r="O592" s="10" t="s">
        <v>176</v>
      </c>
      <c r="P592" s="10" t="s">
        <v>177</v>
      </c>
      <c r="Q592" s="10" t="s">
        <v>178</v>
      </c>
      <c r="R592" s="10" t="s">
        <v>74</v>
      </c>
      <c r="S592" s="11">
        <v>43.7</v>
      </c>
      <c r="T592" s="11">
        <v>22.58</v>
      </c>
      <c r="U592" s="11" t="s">
        <v>51</v>
      </c>
      <c r="V592" s="10" t="s">
        <v>52</v>
      </c>
      <c r="W592" s="10" t="s">
        <v>6245</v>
      </c>
      <c r="X592" s="10" t="s">
        <v>6246</v>
      </c>
      <c r="Y592" s="10" t="s">
        <v>6247</v>
      </c>
      <c r="Z592" s="10" t="s">
        <v>50</v>
      </c>
      <c r="AA592" s="10" t="s">
        <v>50</v>
      </c>
      <c r="AB592" s="10" t="s">
        <v>6245</v>
      </c>
      <c r="AC592" s="10" t="s">
        <v>6248</v>
      </c>
      <c r="AD592" s="10" t="s">
        <v>6249</v>
      </c>
      <c r="AE592" s="10" t="s">
        <v>1346</v>
      </c>
      <c r="AF592" s="10" t="s">
        <v>1347</v>
      </c>
      <c r="AG592" s="10" t="s">
        <v>6250</v>
      </c>
      <c r="AH592" s="10" t="s">
        <v>60</v>
      </c>
      <c r="AI592" s="10" t="s">
        <v>61</v>
      </c>
      <c r="AJ592" s="10" t="s">
        <v>6197</v>
      </c>
      <c r="AK592" s="10" t="s">
        <v>6251</v>
      </c>
      <c r="AL592" s="10" t="s">
        <v>64</v>
      </c>
      <c r="AM592" s="10" t="s">
        <v>6252</v>
      </c>
      <c r="AN592" s="10" t="s">
        <v>50</v>
      </c>
      <c r="AO592" s="11" t="s">
        <v>50</v>
      </c>
      <c r="AP592" s="10" t="s">
        <v>50</v>
      </c>
      <c r="AQ592" s="10" t="s">
        <v>50</v>
      </c>
      <c r="AR592" s="10" t="s">
        <v>50</v>
      </c>
      <c r="AS592" s="10" t="s">
        <v>50</v>
      </c>
      <c r="AT592" s="10" t="s">
        <v>50</v>
      </c>
      <c r="AU592" s="10" t="s">
        <v>50</v>
      </c>
      <c r="AV592" s="11"/>
      <c r="AW592" s="10" t="s">
        <v>66</v>
      </c>
      <c r="AX592" s="10"/>
      <c r="AY592" s="10" t="s">
        <v>66</v>
      </c>
    </row>
    <row r="593" ht="22.5" hidden="1" customHeight="1">
      <c r="A593" s="9" t="s">
        <v>6253</v>
      </c>
      <c r="B593" s="10" t="s">
        <v>6254</v>
      </c>
      <c r="C593" s="10" t="s">
        <v>69</v>
      </c>
      <c r="D593" s="10" t="s">
        <v>2283</v>
      </c>
      <c r="E593" s="10" t="s">
        <v>66</v>
      </c>
      <c r="F593" s="11">
        <v>1.0</v>
      </c>
      <c r="G593" s="11">
        <v>120.0</v>
      </c>
      <c r="H593" s="11"/>
      <c r="I593" s="11">
        <v>-20.4</v>
      </c>
      <c r="J593" s="11">
        <v>-19.95</v>
      </c>
      <c r="K593" s="11">
        <v>-86.85</v>
      </c>
      <c r="L593" s="11">
        <v>0.0</v>
      </c>
      <c r="M593" s="10" t="s">
        <v>46</v>
      </c>
      <c r="N593" s="10" t="s">
        <v>45</v>
      </c>
      <c r="O593" s="10" t="s">
        <v>85</v>
      </c>
      <c r="P593" s="10" t="s">
        <v>86</v>
      </c>
      <c r="Q593" s="10" t="s">
        <v>87</v>
      </c>
      <c r="R593" s="10" t="s">
        <v>74</v>
      </c>
      <c r="S593" s="11">
        <v>120.0</v>
      </c>
      <c r="T593" s="11"/>
      <c r="U593" s="11" t="s">
        <v>51</v>
      </c>
      <c r="V593" s="10" t="s">
        <v>75</v>
      </c>
      <c r="W593" s="10" t="s">
        <v>6255</v>
      </c>
      <c r="X593" s="10" t="s">
        <v>6256</v>
      </c>
      <c r="Y593" s="10" t="s">
        <v>6257</v>
      </c>
      <c r="Z593" s="10" t="s">
        <v>50</v>
      </c>
      <c r="AA593" s="10" t="s">
        <v>50</v>
      </c>
      <c r="AB593" s="10" t="s">
        <v>6255</v>
      </c>
      <c r="AC593" s="10" t="s">
        <v>6258</v>
      </c>
      <c r="AD593" s="10" t="s">
        <v>50</v>
      </c>
      <c r="AE593" s="10" t="s">
        <v>6259</v>
      </c>
      <c r="AF593" s="10" t="s">
        <v>561</v>
      </c>
      <c r="AG593" s="10" t="s">
        <v>6260</v>
      </c>
      <c r="AH593" s="10" t="s">
        <v>60</v>
      </c>
      <c r="AI593" s="10" t="s">
        <v>61</v>
      </c>
      <c r="AJ593" s="10" t="s">
        <v>50</v>
      </c>
      <c r="AK593" s="10" t="s">
        <v>50</v>
      </c>
      <c r="AL593" s="10" t="s">
        <v>64</v>
      </c>
      <c r="AM593" s="10" t="s">
        <v>50</v>
      </c>
      <c r="AN593" s="10" t="s">
        <v>50</v>
      </c>
      <c r="AO593" s="11" t="s">
        <v>50</v>
      </c>
      <c r="AP593" s="10" t="s">
        <v>50</v>
      </c>
      <c r="AQ593" s="10" t="s">
        <v>50</v>
      </c>
      <c r="AR593" s="10" t="s">
        <v>50</v>
      </c>
      <c r="AS593" s="10" t="s">
        <v>50</v>
      </c>
      <c r="AT593" s="10" t="s">
        <v>50</v>
      </c>
      <c r="AU593" s="10" t="s">
        <v>50</v>
      </c>
      <c r="AV593" s="11"/>
      <c r="AW593" s="10" t="s">
        <v>66</v>
      </c>
      <c r="AX593" s="10"/>
      <c r="AY593" s="10" t="s">
        <v>66</v>
      </c>
    </row>
    <row r="594" ht="22.5" hidden="1" customHeight="1">
      <c r="A594" s="9" t="s">
        <v>6261</v>
      </c>
      <c r="B594" s="10" t="s">
        <v>6262</v>
      </c>
      <c r="C594" s="10" t="s">
        <v>43</v>
      </c>
      <c r="D594" s="10" t="s">
        <v>4592</v>
      </c>
      <c r="E594" s="10" t="s">
        <v>66</v>
      </c>
      <c r="F594" s="11">
        <v>1.0</v>
      </c>
      <c r="G594" s="11">
        <v>84.0</v>
      </c>
      <c r="H594" s="11">
        <v>17.03</v>
      </c>
      <c r="I594" s="11">
        <v>-14.28</v>
      </c>
      <c r="J594" s="11">
        <v>-37.48</v>
      </c>
      <c r="K594" s="11"/>
      <c r="L594" s="11">
        <v>49.27</v>
      </c>
      <c r="M594" s="10" t="s">
        <v>46</v>
      </c>
      <c r="N594" s="10" t="s">
        <v>45</v>
      </c>
      <c r="O594" s="10" t="s">
        <v>265</v>
      </c>
      <c r="P594" s="10" t="s">
        <v>266</v>
      </c>
      <c r="Q594" s="10" t="s">
        <v>267</v>
      </c>
      <c r="R594" s="10" t="s">
        <v>74</v>
      </c>
      <c r="S594" s="11">
        <v>84.0</v>
      </c>
      <c r="T594" s="11">
        <v>26.22</v>
      </c>
      <c r="U594" s="11" t="s">
        <v>51</v>
      </c>
      <c r="V594" s="10" t="s">
        <v>52</v>
      </c>
      <c r="W594" s="10" t="s">
        <v>6263</v>
      </c>
      <c r="X594" s="10" t="s">
        <v>6264</v>
      </c>
      <c r="Y594" s="10" t="s">
        <v>6265</v>
      </c>
      <c r="Z594" s="10" t="s">
        <v>50</v>
      </c>
      <c r="AA594" s="10" t="s">
        <v>50</v>
      </c>
      <c r="AB594" s="10" t="s">
        <v>6263</v>
      </c>
      <c r="AC594" s="10" t="s">
        <v>6266</v>
      </c>
      <c r="AD594" s="10" t="s">
        <v>6267</v>
      </c>
      <c r="AE594" s="10" t="s">
        <v>5864</v>
      </c>
      <c r="AF594" s="10" t="s">
        <v>561</v>
      </c>
      <c r="AG594" s="10" t="s">
        <v>6268</v>
      </c>
      <c r="AH594" s="10" t="s">
        <v>60</v>
      </c>
      <c r="AI594" s="10" t="s">
        <v>61</v>
      </c>
      <c r="AJ594" s="10" t="s">
        <v>2410</v>
      </c>
      <c r="AK594" s="10" t="s">
        <v>6269</v>
      </c>
      <c r="AL594" s="10" t="s">
        <v>64</v>
      </c>
      <c r="AM594" s="10" t="s">
        <v>6270</v>
      </c>
      <c r="AN594" s="10" t="s">
        <v>6271</v>
      </c>
      <c r="AO594" s="11" t="s">
        <v>50</v>
      </c>
      <c r="AP594" s="10" t="s">
        <v>50</v>
      </c>
      <c r="AQ594" s="10" t="s">
        <v>50</v>
      </c>
      <c r="AR594" s="10" t="s">
        <v>50</v>
      </c>
      <c r="AS594" s="10" t="s">
        <v>50</v>
      </c>
      <c r="AT594" s="10" t="s">
        <v>50</v>
      </c>
      <c r="AU594" s="10" t="s">
        <v>50</v>
      </c>
      <c r="AV594" s="11"/>
      <c r="AW594" s="10" t="s">
        <v>66</v>
      </c>
      <c r="AX594" s="10"/>
      <c r="AY594" s="10" t="s">
        <v>66</v>
      </c>
    </row>
    <row r="595" ht="22.5" hidden="1" customHeight="1">
      <c r="A595" s="9" t="s">
        <v>6272</v>
      </c>
      <c r="B595" s="10" t="s">
        <v>6273</v>
      </c>
      <c r="C595" s="10" t="s">
        <v>43</v>
      </c>
      <c r="D595" s="10" t="s">
        <v>2402</v>
      </c>
      <c r="E595" s="10" t="s">
        <v>45</v>
      </c>
      <c r="F595" s="11">
        <v>3.0</v>
      </c>
      <c r="G595" s="11">
        <v>131.1</v>
      </c>
      <c r="H595" s="11">
        <v>10.41</v>
      </c>
      <c r="I595" s="11">
        <v>-40.29</v>
      </c>
      <c r="J595" s="11">
        <v>-10.41</v>
      </c>
      <c r="K595" s="11"/>
      <c r="L595" s="11">
        <v>98.67</v>
      </c>
      <c r="M595" s="10" t="s">
        <v>46</v>
      </c>
      <c r="N595" s="10" t="s">
        <v>50</v>
      </c>
      <c r="O595" s="10" t="s">
        <v>176</v>
      </c>
      <c r="P595" s="10" t="s">
        <v>177</v>
      </c>
      <c r="Q595" s="10" t="s">
        <v>178</v>
      </c>
      <c r="R595" s="10" t="s">
        <v>74</v>
      </c>
      <c r="S595" s="11">
        <v>43.7</v>
      </c>
      <c r="T595" s="11">
        <f>3*22.58</f>
        <v>67.74</v>
      </c>
      <c r="U595" s="11" t="s">
        <v>51</v>
      </c>
      <c r="V595" s="10" t="s">
        <v>52</v>
      </c>
      <c r="W595" s="10" t="s">
        <v>6274</v>
      </c>
      <c r="X595" s="10" t="s">
        <v>6275</v>
      </c>
      <c r="Y595" s="10" t="s">
        <v>6276</v>
      </c>
      <c r="Z595" s="10" t="s">
        <v>50</v>
      </c>
      <c r="AA595" s="10" t="s">
        <v>50</v>
      </c>
      <c r="AB595" s="10" t="s">
        <v>6274</v>
      </c>
      <c r="AC595" s="10" t="s">
        <v>6277</v>
      </c>
      <c r="AD595" s="10" t="s">
        <v>6278</v>
      </c>
      <c r="AE595" s="10" t="s">
        <v>6279</v>
      </c>
      <c r="AF595" s="10" t="s">
        <v>136</v>
      </c>
      <c r="AG595" s="10" t="s">
        <v>6280</v>
      </c>
      <c r="AH595" s="10" t="s">
        <v>60</v>
      </c>
      <c r="AI595" s="10" t="s">
        <v>61</v>
      </c>
      <c r="AJ595" s="10" t="s">
        <v>2467</v>
      </c>
      <c r="AK595" s="10" t="s">
        <v>6281</v>
      </c>
      <c r="AL595" s="10" t="s">
        <v>64</v>
      </c>
      <c r="AM595" s="10" t="s">
        <v>6282</v>
      </c>
      <c r="AN595" s="10" t="s">
        <v>50</v>
      </c>
      <c r="AO595" s="11" t="s">
        <v>50</v>
      </c>
      <c r="AP595" s="10" t="s">
        <v>50</v>
      </c>
      <c r="AQ595" s="10" t="s">
        <v>50</v>
      </c>
      <c r="AR595" s="10" t="s">
        <v>50</v>
      </c>
      <c r="AS595" s="10" t="s">
        <v>50</v>
      </c>
      <c r="AT595" s="10" t="s">
        <v>50</v>
      </c>
      <c r="AU595" s="10" t="s">
        <v>50</v>
      </c>
      <c r="AV595" s="11"/>
      <c r="AW595" s="10" t="s">
        <v>66</v>
      </c>
      <c r="AX595" s="10"/>
      <c r="AY595" s="10" t="s">
        <v>66</v>
      </c>
    </row>
    <row r="596" ht="22.5" hidden="1" customHeight="1">
      <c r="A596" s="9" t="s">
        <v>6283</v>
      </c>
      <c r="B596" s="10" t="s">
        <v>6284</v>
      </c>
      <c r="C596" s="10" t="s">
        <v>43</v>
      </c>
      <c r="D596" s="10" t="s">
        <v>4592</v>
      </c>
      <c r="E596" s="10" t="s">
        <v>45</v>
      </c>
      <c r="F596" s="11">
        <v>1.0</v>
      </c>
      <c r="G596" s="11">
        <v>79.0</v>
      </c>
      <c r="H596" s="11"/>
      <c r="I596" s="11">
        <v>-13.43</v>
      </c>
      <c r="J596" s="11">
        <v>-20.45</v>
      </c>
      <c r="K596" s="11"/>
      <c r="L596" s="11">
        <v>45.12</v>
      </c>
      <c r="M596" s="10" t="s">
        <v>46</v>
      </c>
      <c r="N596" s="10" t="s">
        <v>45</v>
      </c>
      <c r="O596" s="10" t="s">
        <v>160</v>
      </c>
      <c r="P596" s="10" t="s">
        <v>161</v>
      </c>
      <c r="Q596" s="10" t="s">
        <v>162</v>
      </c>
      <c r="R596" s="10" t="s">
        <v>74</v>
      </c>
      <c r="S596" s="11">
        <v>79.0</v>
      </c>
      <c r="T596" s="11">
        <v>2.49</v>
      </c>
      <c r="U596" s="11" t="s">
        <v>51</v>
      </c>
      <c r="V596" s="10" t="s">
        <v>52</v>
      </c>
      <c r="W596" s="10" t="s">
        <v>6285</v>
      </c>
      <c r="X596" s="10" t="s">
        <v>6286</v>
      </c>
      <c r="Y596" s="10" t="s">
        <v>6287</v>
      </c>
      <c r="Z596" s="10" t="s">
        <v>50</v>
      </c>
      <c r="AA596" s="10" t="s">
        <v>50</v>
      </c>
      <c r="AB596" s="10" t="s">
        <v>6285</v>
      </c>
      <c r="AC596" s="10" t="s">
        <v>6288</v>
      </c>
      <c r="AD596" s="10" t="s">
        <v>6289</v>
      </c>
      <c r="AE596" s="10" t="s">
        <v>6290</v>
      </c>
      <c r="AF596" s="10" t="s">
        <v>323</v>
      </c>
      <c r="AG596" s="10" t="s">
        <v>6291</v>
      </c>
      <c r="AH596" s="10" t="s">
        <v>60</v>
      </c>
      <c r="AI596" s="10" t="s">
        <v>61</v>
      </c>
      <c r="AJ596" s="10" t="s">
        <v>2422</v>
      </c>
      <c r="AK596" s="10" t="s">
        <v>6292</v>
      </c>
      <c r="AL596" s="10" t="s">
        <v>64</v>
      </c>
      <c r="AM596" s="10" t="s">
        <v>6293</v>
      </c>
      <c r="AN596" s="10" t="s">
        <v>50</v>
      </c>
      <c r="AO596" s="11" t="s">
        <v>50</v>
      </c>
      <c r="AP596" s="10" t="s">
        <v>50</v>
      </c>
      <c r="AQ596" s="10" t="s">
        <v>50</v>
      </c>
      <c r="AR596" s="10" t="s">
        <v>50</v>
      </c>
      <c r="AS596" s="10" t="s">
        <v>50</v>
      </c>
      <c r="AT596" s="10" t="s">
        <v>50</v>
      </c>
      <c r="AU596" s="10" t="s">
        <v>50</v>
      </c>
      <c r="AV596" s="11"/>
      <c r="AW596" s="10" t="s">
        <v>66</v>
      </c>
      <c r="AX596" s="10"/>
      <c r="AY596" s="10" t="s">
        <v>66</v>
      </c>
    </row>
    <row r="597" ht="22.5" hidden="1" customHeight="1">
      <c r="A597" s="9" t="s">
        <v>6294</v>
      </c>
      <c r="B597" s="10" t="s">
        <v>6295</v>
      </c>
      <c r="C597" s="10" t="s">
        <v>43</v>
      </c>
      <c r="D597" s="10" t="s">
        <v>4592</v>
      </c>
      <c r="E597" s="10" t="s">
        <v>66</v>
      </c>
      <c r="F597" s="11">
        <v>1.0</v>
      </c>
      <c r="G597" s="11">
        <v>120.0</v>
      </c>
      <c r="H597" s="11"/>
      <c r="I597" s="11">
        <v>-20.4</v>
      </c>
      <c r="J597" s="11">
        <v>-19.95</v>
      </c>
      <c r="K597" s="11"/>
      <c r="L597" s="11">
        <v>86.85</v>
      </c>
      <c r="M597" s="10" t="s">
        <v>46</v>
      </c>
      <c r="N597" s="10" t="s">
        <v>45</v>
      </c>
      <c r="O597" s="10" t="s">
        <v>85</v>
      </c>
      <c r="P597" s="10" t="s">
        <v>86</v>
      </c>
      <c r="Q597" s="10" t="s">
        <v>87</v>
      </c>
      <c r="R597" s="10" t="s">
        <v>74</v>
      </c>
      <c r="S597" s="11">
        <v>120.0</v>
      </c>
      <c r="T597" s="11">
        <v>65.78</v>
      </c>
      <c r="U597" s="11" t="s">
        <v>51</v>
      </c>
      <c r="V597" s="10" t="s">
        <v>52</v>
      </c>
      <c r="W597" s="10" t="s">
        <v>6296</v>
      </c>
      <c r="X597" s="10" t="s">
        <v>6297</v>
      </c>
      <c r="Y597" s="10" t="s">
        <v>6298</v>
      </c>
      <c r="Z597" s="10" t="s">
        <v>50</v>
      </c>
      <c r="AA597" s="10" t="s">
        <v>50</v>
      </c>
      <c r="AB597" s="10" t="s">
        <v>6296</v>
      </c>
      <c r="AC597" s="10" t="s">
        <v>6299</v>
      </c>
      <c r="AD597" s="10" t="s">
        <v>6300</v>
      </c>
      <c r="AE597" s="10" t="s">
        <v>6301</v>
      </c>
      <c r="AF597" s="10" t="s">
        <v>775</v>
      </c>
      <c r="AG597" s="10" t="s">
        <v>6302</v>
      </c>
      <c r="AH597" s="10" t="s">
        <v>60</v>
      </c>
      <c r="AI597" s="10" t="s">
        <v>61</v>
      </c>
      <c r="AJ597" s="10" t="s">
        <v>2422</v>
      </c>
      <c r="AK597" s="10" t="s">
        <v>6303</v>
      </c>
      <c r="AL597" s="10" t="s">
        <v>64</v>
      </c>
      <c r="AM597" s="10" t="s">
        <v>6304</v>
      </c>
      <c r="AN597" s="10" t="s">
        <v>50</v>
      </c>
      <c r="AO597" s="11" t="s">
        <v>50</v>
      </c>
      <c r="AP597" s="10" t="s">
        <v>50</v>
      </c>
      <c r="AQ597" s="10" t="s">
        <v>50</v>
      </c>
      <c r="AR597" s="10" t="s">
        <v>50</v>
      </c>
      <c r="AS597" s="10" t="s">
        <v>50</v>
      </c>
      <c r="AT597" s="10" t="s">
        <v>50</v>
      </c>
      <c r="AU597" s="10" t="s">
        <v>50</v>
      </c>
      <c r="AV597" s="11"/>
      <c r="AW597" s="10" t="s">
        <v>66</v>
      </c>
      <c r="AX597" s="10"/>
      <c r="AY597" s="10" t="s">
        <v>66</v>
      </c>
    </row>
    <row r="598" ht="22.5" hidden="1" customHeight="1">
      <c r="A598" s="9" t="s">
        <v>6305</v>
      </c>
      <c r="B598" s="10" t="s">
        <v>6306</v>
      </c>
      <c r="C598" s="10" t="s">
        <v>43</v>
      </c>
      <c r="D598" s="10" t="s">
        <v>4592</v>
      </c>
      <c r="E598" s="10" t="s">
        <v>66</v>
      </c>
      <c r="F598" s="11">
        <v>1.0</v>
      </c>
      <c r="G598" s="11">
        <v>80.0</v>
      </c>
      <c r="H598" s="11">
        <v>10.75</v>
      </c>
      <c r="I598" s="11">
        <v>-13.6</v>
      </c>
      <c r="J598" s="11">
        <v>-30.7</v>
      </c>
      <c r="K598" s="11"/>
      <c r="L598" s="11">
        <v>50.45</v>
      </c>
      <c r="M598" s="10" t="s">
        <v>46</v>
      </c>
      <c r="N598" s="10" t="s">
        <v>45</v>
      </c>
      <c r="O598" s="10" t="s">
        <v>143</v>
      </c>
      <c r="P598" s="10" t="s">
        <v>144</v>
      </c>
      <c r="Q598" s="10" t="s">
        <v>145</v>
      </c>
      <c r="R598" s="10" t="s">
        <v>74</v>
      </c>
      <c r="S598" s="11">
        <v>80.0</v>
      </c>
      <c r="T598" s="11">
        <v>33.38</v>
      </c>
      <c r="U598" s="11" t="s">
        <v>51</v>
      </c>
      <c r="V598" s="10" t="s">
        <v>52</v>
      </c>
      <c r="W598" s="10" t="s">
        <v>6307</v>
      </c>
      <c r="X598" s="10" t="s">
        <v>6308</v>
      </c>
      <c r="Y598" s="10" t="s">
        <v>6309</v>
      </c>
      <c r="Z598" s="10" t="s">
        <v>50</v>
      </c>
      <c r="AA598" s="10" t="s">
        <v>50</v>
      </c>
      <c r="AB598" s="10" t="s">
        <v>6307</v>
      </c>
      <c r="AC598" s="10" t="s">
        <v>6310</v>
      </c>
      <c r="AD598" s="10" t="s">
        <v>6311</v>
      </c>
      <c r="AE598" s="10" t="s">
        <v>6312</v>
      </c>
      <c r="AF598" s="10" t="s">
        <v>408</v>
      </c>
      <c r="AG598" s="10" t="s">
        <v>6313</v>
      </c>
      <c r="AH598" s="10" t="s">
        <v>60</v>
      </c>
      <c r="AI598" s="10" t="s">
        <v>61</v>
      </c>
      <c r="AJ598" s="10" t="s">
        <v>5888</v>
      </c>
      <c r="AK598" s="10" t="s">
        <v>6314</v>
      </c>
      <c r="AL598" s="10" t="s">
        <v>64</v>
      </c>
      <c r="AM598" s="10" t="s">
        <v>6315</v>
      </c>
      <c r="AN598" s="10" t="s">
        <v>50</v>
      </c>
      <c r="AO598" s="11" t="s">
        <v>50</v>
      </c>
      <c r="AP598" s="10" t="s">
        <v>50</v>
      </c>
      <c r="AQ598" s="10" t="s">
        <v>50</v>
      </c>
      <c r="AR598" s="10" t="s">
        <v>50</v>
      </c>
      <c r="AS598" s="10" t="s">
        <v>50</v>
      </c>
      <c r="AT598" s="10" t="s">
        <v>50</v>
      </c>
      <c r="AU598" s="10" t="s">
        <v>50</v>
      </c>
      <c r="AV598" s="11"/>
      <c r="AW598" s="10" t="s">
        <v>66</v>
      </c>
      <c r="AX598" s="10"/>
      <c r="AY598" s="10" t="s">
        <v>66</v>
      </c>
    </row>
    <row r="599" ht="22.5" hidden="1" customHeight="1">
      <c r="A599" s="9" t="s">
        <v>6316</v>
      </c>
      <c r="B599" s="10" t="s">
        <v>6317</v>
      </c>
      <c r="C599" s="10" t="s">
        <v>43</v>
      </c>
      <c r="D599" s="10" t="s">
        <v>2402</v>
      </c>
      <c r="E599" s="10" t="s">
        <v>66</v>
      </c>
      <c r="F599" s="11">
        <v>1.0</v>
      </c>
      <c r="G599" s="11">
        <v>43.7</v>
      </c>
      <c r="H599" s="11">
        <v>14.15</v>
      </c>
      <c r="I599" s="11">
        <v>-13.43</v>
      </c>
      <c r="J599" s="11">
        <v>-14.15</v>
      </c>
      <c r="K599" s="11"/>
      <c r="L599" s="11">
        <v>32.89</v>
      </c>
      <c r="M599" s="10" t="s">
        <v>46</v>
      </c>
      <c r="N599" s="10" t="s">
        <v>50</v>
      </c>
      <c r="O599" s="10" t="s">
        <v>176</v>
      </c>
      <c r="P599" s="10" t="s">
        <v>177</v>
      </c>
      <c r="Q599" s="10" t="s">
        <v>178</v>
      </c>
      <c r="R599" s="10" t="s">
        <v>74</v>
      </c>
      <c r="S599" s="11">
        <v>43.7</v>
      </c>
      <c r="T599" s="11">
        <v>22.58</v>
      </c>
      <c r="U599" s="11" t="s">
        <v>51</v>
      </c>
      <c r="V599" s="10" t="s">
        <v>52</v>
      </c>
      <c r="W599" s="10" t="s">
        <v>6318</v>
      </c>
      <c r="X599" s="10" t="s">
        <v>6319</v>
      </c>
      <c r="Y599" s="10" t="s">
        <v>6320</v>
      </c>
      <c r="Z599" s="10" t="s">
        <v>50</v>
      </c>
      <c r="AA599" s="10" t="s">
        <v>50</v>
      </c>
      <c r="AB599" s="10" t="s">
        <v>6318</v>
      </c>
      <c r="AC599" s="10" t="s">
        <v>6321</v>
      </c>
      <c r="AD599" s="10" t="s">
        <v>6322</v>
      </c>
      <c r="AE599" s="10" t="s">
        <v>6323</v>
      </c>
      <c r="AF599" s="10" t="s">
        <v>58</v>
      </c>
      <c r="AG599" s="10" t="s">
        <v>6324</v>
      </c>
      <c r="AH599" s="10" t="s">
        <v>60</v>
      </c>
      <c r="AI599" s="10" t="s">
        <v>61</v>
      </c>
      <c r="AJ599" s="10" t="s">
        <v>2410</v>
      </c>
      <c r="AK599" s="10" t="s">
        <v>6325</v>
      </c>
      <c r="AL599" s="10" t="s">
        <v>64</v>
      </c>
      <c r="AM599" s="10" t="s">
        <v>6326</v>
      </c>
      <c r="AN599" s="10" t="s">
        <v>50</v>
      </c>
      <c r="AO599" s="11" t="s">
        <v>50</v>
      </c>
      <c r="AP599" s="10" t="s">
        <v>50</v>
      </c>
      <c r="AQ599" s="10" t="s">
        <v>50</v>
      </c>
      <c r="AR599" s="10" t="s">
        <v>50</v>
      </c>
      <c r="AS599" s="10" t="s">
        <v>50</v>
      </c>
      <c r="AT599" s="10" t="s">
        <v>50</v>
      </c>
      <c r="AU599" s="10" t="s">
        <v>50</v>
      </c>
      <c r="AV599" s="11"/>
      <c r="AW599" s="10" t="s">
        <v>66</v>
      </c>
      <c r="AX599" s="10"/>
      <c r="AY599" s="10" t="s">
        <v>66</v>
      </c>
    </row>
    <row r="600" ht="22.5" hidden="1" customHeight="1">
      <c r="A600" s="9" t="s">
        <v>6327</v>
      </c>
      <c r="B600" s="10" t="s">
        <v>6317</v>
      </c>
      <c r="C600" s="10" t="s">
        <v>43</v>
      </c>
      <c r="D600" s="10" t="s">
        <v>2402</v>
      </c>
      <c r="E600" s="10" t="s">
        <v>45</v>
      </c>
      <c r="F600" s="11">
        <v>3.0</v>
      </c>
      <c r="G600" s="11">
        <v>131.1</v>
      </c>
      <c r="H600" s="11"/>
      <c r="I600" s="11">
        <v>-40.29</v>
      </c>
      <c r="J600" s="11"/>
      <c r="K600" s="11"/>
      <c r="L600" s="11">
        <v>98.67</v>
      </c>
      <c r="M600" s="10" t="s">
        <v>46</v>
      </c>
      <c r="N600" s="10" t="s">
        <v>50</v>
      </c>
      <c r="O600" s="10" t="s">
        <v>176</v>
      </c>
      <c r="P600" s="10" t="s">
        <v>177</v>
      </c>
      <c r="Q600" s="10" t="s">
        <v>178</v>
      </c>
      <c r="R600" s="10" t="s">
        <v>74</v>
      </c>
      <c r="S600" s="11">
        <v>43.7</v>
      </c>
      <c r="T600" s="11">
        <f>3*22.58</f>
        <v>67.74</v>
      </c>
      <c r="U600" s="11" t="s">
        <v>51</v>
      </c>
      <c r="V600" s="10" t="s">
        <v>52</v>
      </c>
      <c r="W600" s="10" t="s">
        <v>6328</v>
      </c>
      <c r="X600" s="10" t="s">
        <v>6329</v>
      </c>
      <c r="Y600" s="10" t="s">
        <v>6330</v>
      </c>
      <c r="Z600" s="10" t="s">
        <v>50</v>
      </c>
      <c r="AA600" s="10" t="s">
        <v>50</v>
      </c>
      <c r="AB600" s="10" t="s">
        <v>6328</v>
      </c>
      <c r="AC600" s="10" t="s">
        <v>6331</v>
      </c>
      <c r="AD600" s="10" t="s">
        <v>6332</v>
      </c>
      <c r="AE600" s="10" t="s">
        <v>58</v>
      </c>
      <c r="AF600" s="10" t="s">
        <v>58</v>
      </c>
      <c r="AG600" s="10" t="s">
        <v>6333</v>
      </c>
      <c r="AH600" s="10" t="s">
        <v>60</v>
      </c>
      <c r="AI600" s="10" t="s">
        <v>61</v>
      </c>
      <c r="AJ600" s="10" t="s">
        <v>5876</v>
      </c>
      <c r="AK600" s="10" t="s">
        <v>5510</v>
      </c>
      <c r="AL600" s="10" t="s">
        <v>64</v>
      </c>
      <c r="AM600" s="10" t="s">
        <v>6334</v>
      </c>
      <c r="AN600" s="10" t="s">
        <v>50</v>
      </c>
      <c r="AO600" s="11" t="s">
        <v>50</v>
      </c>
      <c r="AP600" s="10" t="s">
        <v>50</v>
      </c>
      <c r="AQ600" s="10" t="s">
        <v>50</v>
      </c>
      <c r="AR600" s="10" t="s">
        <v>50</v>
      </c>
      <c r="AS600" s="10" t="s">
        <v>50</v>
      </c>
      <c r="AT600" s="10" t="s">
        <v>50</v>
      </c>
      <c r="AU600" s="10" t="s">
        <v>50</v>
      </c>
      <c r="AV600" s="11"/>
      <c r="AW600" s="10" t="s">
        <v>66</v>
      </c>
      <c r="AX600" s="10"/>
      <c r="AY600" s="10" t="s">
        <v>66</v>
      </c>
    </row>
    <row r="601" ht="22.5" hidden="1" customHeight="1">
      <c r="A601" s="9" t="s">
        <v>6335</v>
      </c>
      <c r="B601" s="10" t="s">
        <v>6336</v>
      </c>
      <c r="C601" s="10" t="s">
        <v>43</v>
      </c>
      <c r="D601" s="10" t="s">
        <v>2402</v>
      </c>
      <c r="E601" s="10" t="s">
        <v>45</v>
      </c>
      <c r="F601" s="11">
        <v>2.0</v>
      </c>
      <c r="G601" s="11">
        <v>87.4</v>
      </c>
      <c r="H601" s="11"/>
      <c r="I601" s="11">
        <v>-26.86</v>
      </c>
      <c r="J601" s="11"/>
      <c r="K601" s="11"/>
      <c r="L601" s="11">
        <v>65.78</v>
      </c>
      <c r="M601" s="10" t="s">
        <v>46</v>
      </c>
      <c r="N601" s="10" t="s">
        <v>50</v>
      </c>
      <c r="O601" s="10" t="s">
        <v>176</v>
      </c>
      <c r="P601" s="10" t="s">
        <v>177</v>
      </c>
      <c r="Q601" s="10" t="s">
        <v>178</v>
      </c>
      <c r="R601" s="10" t="s">
        <v>74</v>
      </c>
      <c r="S601" s="11">
        <v>43.7</v>
      </c>
      <c r="T601" s="11">
        <f>2*22.58</f>
        <v>45.16</v>
      </c>
      <c r="U601" s="11" t="s">
        <v>51</v>
      </c>
      <c r="V601" s="10" t="s">
        <v>52</v>
      </c>
      <c r="W601" s="10" t="s">
        <v>6337</v>
      </c>
      <c r="X601" s="10" t="s">
        <v>6338</v>
      </c>
      <c r="Y601" s="10" t="s">
        <v>6339</v>
      </c>
      <c r="Z601" s="10" t="s">
        <v>50</v>
      </c>
      <c r="AA601" s="10" t="s">
        <v>50</v>
      </c>
      <c r="AB601" s="10" t="s">
        <v>6337</v>
      </c>
      <c r="AC601" s="10" t="s">
        <v>6340</v>
      </c>
      <c r="AD601" s="10" t="s">
        <v>6341</v>
      </c>
      <c r="AE601" s="10" t="s">
        <v>58</v>
      </c>
      <c r="AF601" s="10" t="s">
        <v>58</v>
      </c>
      <c r="AG601" s="10" t="s">
        <v>6342</v>
      </c>
      <c r="AH601" s="10" t="s">
        <v>60</v>
      </c>
      <c r="AI601" s="10" t="s">
        <v>61</v>
      </c>
      <c r="AJ601" s="10" t="s">
        <v>5888</v>
      </c>
      <c r="AK601" s="10" t="s">
        <v>6343</v>
      </c>
      <c r="AL601" s="10" t="s">
        <v>64</v>
      </c>
      <c r="AM601" s="10" t="s">
        <v>6344</v>
      </c>
      <c r="AN601" s="10" t="s">
        <v>50</v>
      </c>
      <c r="AO601" s="11" t="s">
        <v>50</v>
      </c>
      <c r="AP601" s="10" t="s">
        <v>50</v>
      </c>
      <c r="AQ601" s="10" t="s">
        <v>50</v>
      </c>
      <c r="AR601" s="10" t="s">
        <v>50</v>
      </c>
      <c r="AS601" s="10" t="s">
        <v>50</v>
      </c>
      <c r="AT601" s="10" t="s">
        <v>50</v>
      </c>
      <c r="AU601" s="10" t="s">
        <v>50</v>
      </c>
      <c r="AV601" s="11"/>
      <c r="AW601" s="10" t="s">
        <v>66</v>
      </c>
      <c r="AX601" s="10"/>
      <c r="AY601" s="10" t="s">
        <v>66</v>
      </c>
    </row>
    <row r="602" ht="22.5" hidden="1" customHeight="1">
      <c r="A602" s="9" t="s">
        <v>6345</v>
      </c>
      <c r="B602" s="10" t="s">
        <v>6336</v>
      </c>
      <c r="C602" s="10" t="s">
        <v>43</v>
      </c>
      <c r="D602" s="10" t="s">
        <v>2402</v>
      </c>
      <c r="E602" s="10" t="s">
        <v>66</v>
      </c>
      <c r="F602" s="11">
        <v>1.0</v>
      </c>
      <c r="G602" s="11">
        <v>79.2</v>
      </c>
      <c r="H602" s="11"/>
      <c r="I602" s="11">
        <v>-13.46</v>
      </c>
      <c r="J602" s="11">
        <v>-20.45</v>
      </c>
      <c r="K602" s="11"/>
      <c r="L602" s="11">
        <v>50.04</v>
      </c>
      <c r="M602" s="10" t="s">
        <v>46</v>
      </c>
      <c r="N602" s="10" t="s">
        <v>50</v>
      </c>
      <c r="O602" s="10" t="s">
        <v>892</v>
      </c>
      <c r="P602" s="10" t="s">
        <v>893</v>
      </c>
      <c r="Q602" s="10" t="s">
        <v>894</v>
      </c>
      <c r="R602" s="10" t="s">
        <v>74</v>
      </c>
      <c r="S602" s="11">
        <v>79.2</v>
      </c>
      <c r="T602" s="11">
        <v>2.97</v>
      </c>
      <c r="U602" s="11" t="s">
        <v>51</v>
      </c>
      <c r="V602" s="10" t="s">
        <v>52</v>
      </c>
      <c r="W602" s="10" t="s">
        <v>6346</v>
      </c>
      <c r="X602" s="10" t="s">
        <v>6347</v>
      </c>
      <c r="Y602" s="10" t="s">
        <v>6348</v>
      </c>
      <c r="Z602" s="10" t="s">
        <v>50</v>
      </c>
      <c r="AA602" s="10" t="s">
        <v>50</v>
      </c>
      <c r="AB602" s="10" t="s">
        <v>6346</v>
      </c>
      <c r="AC602" s="10" t="s">
        <v>6349</v>
      </c>
      <c r="AD602" s="10" t="s">
        <v>6350</v>
      </c>
      <c r="AE602" s="10" t="s">
        <v>58</v>
      </c>
      <c r="AF602" s="10" t="s">
        <v>58</v>
      </c>
      <c r="AG602" s="10" t="s">
        <v>6351</v>
      </c>
      <c r="AH602" s="10" t="s">
        <v>60</v>
      </c>
      <c r="AI602" s="10" t="s">
        <v>61</v>
      </c>
      <c r="AJ602" s="10" t="s">
        <v>5962</v>
      </c>
      <c r="AK602" s="10" t="s">
        <v>6352</v>
      </c>
      <c r="AL602" s="10" t="s">
        <v>64</v>
      </c>
      <c r="AM602" s="10" t="s">
        <v>6353</v>
      </c>
      <c r="AN602" s="10" t="s">
        <v>50</v>
      </c>
      <c r="AO602" s="11" t="s">
        <v>50</v>
      </c>
      <c r="AP602" s="10" t="s">
        <v>50</v>
      </c>
      <c r="AQ602" s="10" t="s">
        <v>50</v>
      </c>
      <c r="AR602" s="10" t="s">
        <v>50</v>
      </c>
      <c r="AS602" s="10" t="s">
        <v>50</v>
      </c>
      <c r="AT602" s="10" t="s">
        <v>50</v>
      </c>
      <c r="AU602" s="10" t="s">
        <v>50</v>
      </c>
      <c r="AV602" s="11"/>
      <c r="AW602" s="10" t="s">
        <v>66</v>
      </c>
      <c r="AX602" s="10"/>
      <c r="AY602" s="10" t="s">
        <v>66</v>
      </c>
    </row>
    <row r="603" ht="22.5" hidden="1" customHeight="1">
      <c r="A603" s="12" t="s">
        <v>6354</v>
      </c>
      <c r="B603" s="13" t="s">
        <v>6355</v>
      </c>
      <c r="C603" s="13" t="s">
        <v>747</v>
      </c>
      <c r="D603" s="13" t="s">
        <v>50</v>
      </c>
      <c r="E603" s="13" t="s">
        <v>50</v>
      </c>
      <c r="F603" s="14"/>
      <c r="G603" s="14">
        <v>161.5</v>
      </c>
      <c r="H603" s="14"/>
      <c r="I603" s="14">
        <v>-27.45</v>
      </c>
      <c r="J603" s="14">
        <v>-40.9</v>
      </c>
      <c r="K603" s="14"/>
      <c r="L603" s="14">
        <v>93.15</v>
      </c>
      <c r="M603" s="13" t="s">
        <v>46</v>
      </c>
      <c r="N603" s="13" t="s">
        <v>50</v>
      </c>
      <c r="O603" s="13" t="s">
        <v>50</v>
      </c>
      <c r="P603" s="13" t="s">
        <v>50</v>
      </c>
      <c r="Q603" s="13" t="s">
        <v>50</v>
      </c>
      <c r="R603" s="13" t="s">
        <v>50</v>
      </c>
      <c r="S603" s="14"/>
      <c r="T603" s="14"/>
      <c r="U603" s="14" t="s">
        <v>50</v>
      </c>
      <c r="V603" s="13" t="s">
        <v>52</v>
      </c>
      <c r="W603" s="13" t="s">
        <v>6356</v>
      </c>
      <c r="X603" s="13" t="s">
        <v>6357</v>
      </c>
      <c r="Y603" s="13" t="s">
        <v>6358</v>
      </c>
      <c r="Z603" s="13" t="s">
        <v>50</v>
      </c>
      <c r="AA603" s="13" t="s">
        <v>50</v>
      </c>
      <c r="AB603" s="13" t="s">
        <v>6356</v>
      </c>
      <c r="AC603" s="13" t="s">
        <v>6359</v>
      </c>
      <c r="AD603" s="13" t="s">
        <v>6360</v>
      </c>
      <c r="AE603" s="13" t="s">
        <v>6040</v>
      </c>
      <c r="AF603" s="13" t="s">
        <v>119</v>
      </c>
      <c r="AG603" s="13" t="s">
        <v>6041</v>
      </c>
      <c r="AH603" s="13" t="s">
        <v>60</v>
      </c>
      <c r="AI603" s="13" t="s">
        <v>61</v>
      </c>
      <c r="AJ603" s="13" t="s">
        <v>5842</v>
      </c>
      <c r="AK603" s="13" t="s">
        <v>6361</v>
      </c>
      <c r="AL603" s="13" t="s">
        <v>64</v>
      </c>
      <c r="AM603" s="13" t="s">
        <v>6362</v>
      </c>
      <c r="AN603" s="13" t="s">
        <v>50</v>
      </c>
      <c r="AO603" s="15" t="s">
        <v>50</v>
      </c>
      <c r="AP603" s="13" t="s">
        <v>50</v>
      </c>
      <c r="AQ603" s="13" t="s">
        <v>50</v>
      </c>
      <c r="AR603" s="13" t="s">
        <v>50</v>
      </c>
      <c r="AS603" s="13" t="s">
        <v>50</v>
      </c>
      <c r="AT603" s="13" t="s">
        <v>50</v>
      </c>
      <c r="AU603" s="13" t="s">
        <v>50</v>
      </c>
      <c r="AV603" s="15"/>
      <c r="AW603" s="13" t="s">
        <v>50</v>
      </c>
      <c r="AX603" s="13"/>
      <c r="AY603" s="13" t="s">
        <v>50</v>
      </c>
    </row>
    <row r="604" ht="22.5" hidden="1" customHeight="1">
      <c r="A604" s="16" t="s">
        <v>6363</v>
      </c>
      <c r="B604" s="17" t="s">
        <v>6355</v>
      </c>
      <c r="C604" s="17" t="s">
        <v>43</v>
      </c>
      <c r="D604" s="17" t="s">
        <v>2402</v>
      </c>
      <c r="E604" s="17" t="s">
        <v>45</v>
      </c>
      <c r="F604" s="18">
        <v>1.0</v>
      </c>
      <c r="G604" s="18"/>
      <c r="H604" s="18"/>
      <c r="I604" s="18"/>
      <c r="J604" s="18"/>
      <c r="K604" s="18"/>
      <c r="L604" s="18"/>
      <c r="M604" s="17" t="s">
        <v>50</v>
      </c>
      <c r="N604" s="17" t="s">
        <v>45</v>
      </c>
      <c r="O604" s="17" t="s">
        <v>412</v>
      </c>
      <c r="P604" s="17" t="s">
        <v>413</v>
      </c>
      <c r="Q604" s="17" t="s">
        <v>414</v>
      </c>
      <c r="R604" s="17" t="s">
        <v>415</v>
      </c>
      <c r="S604" s="18">
        <v>82.5</v>
      </c>
      <c r="T604" s="18">
        <v>10.05</v>
      </c>
      <c r="U604" s="18" t="s">
        <v>51</v>
      </c>
      <c r="V604" s="17" t="s">
        <v>50</v>
      </c>
      <c r="W604" s="17" t="s">
        <v>50</v>
      </c>
      <c r="X604" s="17" t="s">
        <v>50</v>
      </c>
      <c r="Y604" s="17" t="s">
        <v>50</v>
      </c>
      <c r="Z604" s="17" t="s">
        <v>50</v>
      </c>
      <c r="AA604" s="17" t="s">
        <v>50</v>
      </c>
      <c r="AB604" s="17" t="s">
        <v>50</v>
      </c>
      <c r="AC604" s="17" t="s">
        <v>50</v>
      </c>
      <c r="AD604" s="17" t="s">
        <v>50</v>
      </c>
      <c r="AE604" s="17" t="s">
        <v>50</v>
      </c>
      <c r="AF604" s="17" t="s">
        <v>50</v>
      </c>
      <c r="AG604" s="17" t="s">
        <v>50</v>
      </c>
      <c r="AH604" s="17" t="s">
        <v>50</v>
      </c>
      <c r="AI604" s="17" t="s">
        <v>50</v>
      </c>
      <c r="AJ604" s="17" t="s">
        <v>50</v>
      </c>
      <c r="AK604" s="17" t="s">
        <v>50</v>
      </c>
      <c r="AL604" s="17" t="s">
        <v>50</v>
      </c>
      <c r="AM604" s="17" t="s">
        <v>50</v>
      </c>
      <c r="AN604" s="17" t="s">
        <v>50</v>
      </c>
      <c r="AO604" s="18" t="s">
        <v>50</v>
      </c>
      <c r="AP604" s="17" t="s">
        <v>50</v>
      </c>
      <c r="AQ604" s="17" t="s">
        <v>50</v>
      </c>
      <c r="AR604" s="17" t="s">
        <v>50</v>
      </c>
      <c r="AS604" s="17" t="s">
        <v>50</v>
      </c>
      <c r="AT604" s="17" t="s">
        <v>50</v>
      </c>
      <c r="AU604" s="17" t="s">
        <v>50</v>
      </c>
      <c r="AV604" s="18"/>
      <c r="AW604" s="17" t="s">
        <v>66</v>
      </c>
      <c r="AX604" s="17"/>
      <c r="AY604" s="17" t="s">
        <v>66</v>
      </c>
    </row>
    <row r="605" ht="22.5" hidden="1" customHeight="1">
      <c r="A605" s="16" t="s">
        <v>6364</v>
      </c>
      <c r="B605" s="17" t="s">
        <v>6355</v>
      </c>
      <c r="C605" s="17" t="s">
        <v>43</v>
      </c>
      <c r="D605" s="17" t="s">
        <v>2402</v>
      </c>
      <c r="E605" s="17" t="s">
        <v>45</v>
      </c>
      <c r="F605" s="18">
        <v>1.0</v>
      </c>
      <c r="G605" s="18"/>
      <c r="H605" s="18"/>
      <c r="I605" s="18"/>
      <c r="J605" s="18"/>
      <c r="K605" s="18"/>
      <c r="L605" s="18"/>
      <c r="M605" s="17" t="s">
        <v>50</v>
      </c>
      <c r="N605" s="17" t="s">
        <v>45</v>
      </c>
      <c r="O605" s="17" t="s">
        <v>160</v>
      </c>
      <c r="P605" s="17" t="s">
        <v>161</v>
      </c>
      <c r="Q605" s="17" t="s">
        <v>162</v>
      </c>
      <c r="R605" s="17" t="s">
        <v>74</v>
      </c>
      <c r="S605" s="18">
        <v>79.0</v>
      </c>
      <c r="T605" s="18">
        <v>2.49</v>
      </c>
      <c r="U605" s="18" t="s">
        <v>51</v>
      </c>
      <c r="V605" s="17" t="s">
        <v>50</v>
      </c>
      <c r="W605" s="17" t="s">
        <v>50</v>
      </c>
      <c r="X605" s="17" t="s">
        <v>50</v>
      </c>
      <c r="Y605" s="17" t="s">
        <v>50</v>
      </c>
      <c r="Z605" s="17" t="s">
        <v>50</v>
      </c>
      <c r="AA605" s="17" t="s">
        <v>50</v>
      </c>
      <c r="AB605" s="17" t="s">
        <v>50</v>
      </c>
      <c r="AC605" s="17" t="s">
        <v>50</v>
      </c>
      <c r="AD605" s="17" t="s">
        <v>50</v>
      </c>
      <c r="AE605" s="17" t="s">
        <v>50</v>
      </c>
      <c r="AF605" s="17" t="s">
        <v>50</v>
      </c>
      <c r="AG605" s="17" t="s">
        <v>50</v>
      </c>
      <c r="AH605" s="17" t="s">
        <v>50</v>
      </c>
      <c r="AI605" s="17" t="s">
        <v>50</v>
      </c>
      <c r="AJ605" s="17" t="s">
        <v>50</v>
      </c>
      <c r="AK605" s="17" t="s">
        <v>50</v>
      </c>
      <c r="AL605" s="17" t="s">
        <v>50</v>
      </c>
      <c r="AM605" s="17" t="s">
        <v>50</v>
      </c>
      <c r="AN605" s="17" t="s">
        <v>50</v>
      </c>
      <c r="AO605" s="18" t="s">
        <v>50</v>
      </c>
      <c r="AP605" s="17" t="s">
        <v>50</v>
      </c>
      <c r="AQ605" s="17" t="s">
        <v>50</v>
      </c>
      <c r="AR605" s="17" t="s">
        <v>50</v>
      </c>
      <c r="AS605" s="17" t="s">
        <v>50</v>
      </c>
      <c r="AT605" s="17" t="s">
        <v>50</v>
      </c>
      <c r="AU605" s="17" t="s">
        <v>50</v>
      </c>
      <c r="AV605" s="18"/>
      <c r="AW605" s="17" t="s">
        <v>66</v>
      </c>
      <c r="AX605" s="17"/>
      <c r="AY605" s="17" t="s">
        <v>66</v>
      </c>
    </row>
    <row r="606" ht="22.5" hidden="1" customHeight="1">
      <c r="A606" s="9" t="s">
        <v>6365</v>
      </c>
      <c r="B606" s="10" t="s">
        <v>6366</v>
      </c>
      <c r="C606" s="10" t="s">
        <v>43</v>
      </c>
      <c r="D606" s="10" t="s">
        <v>2402</v>
      </c>
      <c r="E606" s="10" t="s">
        <v>66</v>
      </c>
      <c r="F606" s="11">
        <v>1.0</v>
      </c>
      <c r="G606" s="11">
        <v>120.0</v>
      </c>
      <c r="H606" s="11"/>
      <c r="I606" s="11">
        <v>-20.4</v>
      </c>
      <c r="J606" s="11">
        <v>-19.95</v>
      </c>
      <c r="K606" s="11"/>
      <c r="L606" s="11">
        <v>86.85</v>
      </c>
      <c r="M606" s="10" t="s">
        <v>46</v>
      </c>
      <c r="N606" s="10" t="s">
        <v>45</v>
      </c>
      <c r="O606" s="10" t="s">
        <v>85</v>
      </c>
      <c r="P606" s="10" t="s">
        <v>86</v>
      </c>
      <c r="Q606" s="10" t="s">
        <v>87</v>
      </c>
      <c r="R606" s="10" t="s">
        <v>74</v>
      </c>
      <c r="S606" s="11">
        <v>120.0</v>
      </c>
      <c r="T606" s="11">
        <v>65.78</v>
      </c>
      <c r="U606" s="11" t="s">
        <v>51</v>
      </c>
      <c r="V606" s="10" t="s">
        <v>52</v>
      </c>
      <c r="W606" s="10" t="s">
        <v>6367</v>
      </c>
      <c r="X606" s="10" t="s">
        <v>6368</v>
      </c>
      <c r="Y606" s="10" t="s">
        <v>6369</v>
      </c>
      <c r="Z606" s="10" t="s">
        <v>50</v>
      </c>
      <c r="AA606" s="10" t="s">
        <v>50</v>
      </c>
      <c r="AB606" s="10" t="s">
        <v>6367</v>
      </c>
      <c r="AC606" s="10" t="s">
        <v>6370</v>
      </c>
      <c r="AD606" s="10" t="s">
        <v>6371</v>
      </c>
      <c r="AE606" s="10" t="s">
        <v>4203</v>
      </c>
      <c r="AF606" s="10" t="s">
        <v>58</v>
      </c>
      <c r="AG606" s="10" t="s">
        <v>6372</v>
      </c>
      <c r="AH606" s="10" t="s">
        <v>60</v>
      </c>
      <c r="AI606" s="10" t="s">
        <v>61</v>
      </c>
      <c r="AJ606" s="10" t="s">
        <v>6373</v>
      </c>
      <c r="AK606" s="10" t="s">
        <v>6374</v>
      </c>
      <c r="AL606" s="10" t="s">
        <v>64</v>
      </c>
      <c r="AM606" s="10" t="s">
        <v>6375</v>
      </c>
      <c r="AN606" s="10" t="s">
        <v>50</v>
      </c>
      <c r="AO606" s="11" t="s">
        <v>50</v>
      </c>
      <c r="AP606" s="10" t="s">
        <v>50</v>
      </c>
      <c r="AQ606" s="10" t="s">
        <v>50</v>
      </c>
      <c r="AR606" s="10" t="s">
        <v>50</v>
      </c>
      <c r="AS606" s="10" t="s">
        <v>50</v>
      </c>
      <c r="AT606" s="10" t="s">
        <v>50</v>
      </c>
      <c r="AU606" s="10" t="s">
        <v>50</v>
      </c>
      <c r="AV606" s="11"/>
      <c r="AW606" s="10" t="s">
        <v>66</v>
      </c>
      <c r="AX606" s="10"/>
      <c r="AY606" s="10" t="s">
        <v>66</v>
      </c>
    </row>
    <row r="607" ht="22.5" hidden="1" customHeight="1">
      <c r="A607" s="9" t="s">
        <v>6376</v>
      </c>
      <c r="B607" s="10" t="s">
        <v>6377</v>
      </c>
      <c r="C607" s="10" t="s">
        <v>43</v>
      </c>
      <c r="D607" s="10" t="s">
        <v>2402</v>
      </c>
      <c r="E607" s="10" t="s">
        <v>45</v>
      </c>
      <c r="F607" s="11">
        <v>2.0</v>
      </c>
      <c r="G607" s="11">
        <v>87.4</v>
      </c>
      <c r="H607" s="11">
        <v>6.41</v>
      </c>
      <c r="I607" s="11">
        <v>-26.86</v>
      </c>
      <c r="J607" s="11">
        <v>-6.41</v>
      </c>
      <c r="K607" s="11"/>
      <c r="L607" s="11">
        <v>65.78</v>
      </c>
      <c r="M607" s="10" t="s">
        <v>46</v>
      </c>
      <c r="N607" s="10" t="s">
        <v>50</v>
      </c>
      <c r="O607" s="10" t="s">
        <v>176</v>
      </c>
      <c r="P607" s="10" t="s">
        <v>177</v>
      </c>
      <c r="Q607" s="10" t="s">
        <v>178</v>
      </c>
      <c r="R607" s="10" t="s">
        <v>74</v>
      </c>
      <c r="S607" s="11">
        <v>43.7</v>
      </c>
      <c r="T607" s="11">
        <f>2*22.58</f>
        <v>45.16</v>
      </c>
      <c r="U607" s="11" t="s">
        <v>51</v>
      </c>
      <c r="V607" s="10" t="s">
        <v>52</v>
      </c>
      <c r="W607" s="10" t="s">
        <v>6378</v>
      </c>
      <c r="X607" s="10" t="s">
        <v>6379</v>
      </c>
      <c r="Y607" s="10" t="s">
        <v>6380</v>
      </c>
      <c r="Z607" s="10" t="s">
        <v>50</v>
      </c>
      <c r="AA607" s="10" t="s">
        <v>50</v>
      </c>
      <c r="AB607" s="10" t="s">
        <v>6378</v>
      </c>
      <c r="AC607" s="10" t="s">
        <v>6381</v>
      </c>
      <c r="AD607" s="10" t="s">
        <v>6382</v>
      </c>
      <c r="AE607" s="10" t="s">
        <v>6383</v>
      </c>
      <c r="AF607" s="10" t="s">
        <v>323</v>
      </c>
      <c r="AG607" s="10" t="s">
        <v>6384</v>
      </c>
      <c r="AH607" s="10" t="s">
        <v>60</v>
      </c>
      <c r="AI607" s="10" t="s">
        <v>61</v>
      </c>
      <c r="AJ607" s="10" t="s">
        <v>6385</v>
      </c>
      <c r="AK607" s="10" t="s">
        <v>6386</v>
      </c>
      <c r="AL607" s="10" t="s">
        <v>64</v>
      </c>
      <c r="AM607" s="10" t="s">
        <v>6387</v>
      </c>
      <c r="AN607" s="10" t="s">
        <v>50</v>
      </c>
      <c r="AO607" s="11" t="s">
        <v>50</v>
      </c>
      <c r="AP607" s="10" t="s">
        <v>50</v>
      </c>
      <c r="AQ607" s="10" t="s">
        <v>50</v>
      </c>
      <c r="AR607" s="10" t="s">
        <v>50</v>
      </c>
      <c r="AS607" s="10" t="s">
        <v>50</v>
      </c>
      <c r="AT607" s="10" t="s">
        <v>50</v>
      </c>
      <c r="AU607" s="10" t="s">
        <v>50</v>
      </c>
      <c r="AV607" s="11"/>
      <c r="AW607" s="10" t="s">
        <v>66</v>
      </c>
      <c r="AX607" s="10"/>
      <c r="AY607" s="10" t="s">
        <v>66</v>
      </c>
    </row>
    <row r="608" ht="22.5" hidden="1" customHeight="1">
      <c r="A608" s="9" t="s">
        <v>6388</v>
      </c>
      <c r="B608" s="10" t="s">
        <v>6389</v>
      </c>
      <c r="C608" s="10" t="s">
        <v>43</v>
      </c>
      <c r="D608" s="10" t="s">
        <v>2402</v>
      </c>
      <c r="E608" s="10" t="s">
        <v>66</v>
      </c>
      <c r="F608" s="11">
        <v>1.0</v>
      </c>
      <c r="G608" s="11">
        <v>43.7</v>
      </c>
      <c r="H608" s="11">
        <v>14.15</v>
      </c>
      <c r="I608" s="11">
        <v>-13.43</v>
      </c>
      <c r="J608" s="11">
        <v>-14.15</v>
      </c>
      <c r="K608" s="11"/>
      <c r="L608" s="11">
        <v>32.89</v>
      </c>
      <c r="M608" s="10" t="s">
        <v>46</v>
      </c>
      <c r="N608" s="10" t="s">
        <v>50</v>
      </c>
      <c r="O608" s="10" t="s">
        <v>176</v>
      </c>
      <c r="P608" s="10" t="s">
        <v>177</v>
      </c>
      <c r="Q608" s="10" t="s">
        <v>178</v>
      </c>
      <c r="R608" s="10" t="s">
        <v>74</v>
      </c>
      <c r="S608" s="11">
        <v>43.7</v>
      </c>
      <c r="T608" s="11">
        <v>22.58</v>
      </c>
      <c r="U608" s="11" t="s">
        <v>51</v>
      </c>
      <c r="V608" s="10" t="s">
        <v>52</v>
      </c>
      <c r="W608" s="10" t="s">
        <v>6390</v>
      </c>
      <c r="X608" s="10" t="s">
        <v>6391</v>
      </c>
      <c r="Y608" s="10" t="s">
        <v>6392</v>
      </c>
      <c r="Z608" s="10" t="s">
        <v>50</v>
      </c>
      <c r="AA608" s="10" t="s">
        <v>50</v>
      </c>
      <c r="AB608" s="10" t="s">
        <v>6390</v>
      </c>
      <c r="AC608" s="10" t="s">
        <v>6393</v>
      </c>
      <c r="AD608" s="10" t="s">
        <v>6394</v>
      </c>
      <c r="AE608" s="10" t="s">
        <v>6395</v>
      </c>
      <c r="AF608" s="10" t="s">
        <v>58</v>
      </c>
      <c r="AG608" s="10" t="s">
        <v>6396</v>
      </c>
      <c r="AH608" s="10" t="s">
        <v>60</v>
      </c>
      <c r="AI608" s="10" t="s">
        <v>61</v>
      </c>
      <c r="AJ608" s="10" t="s">
        <v>5888</v>
      </c>
      <c r="AK608" s="10" t="s">
        <v>6397</v>
      </c>
      <c r="AL608" s="10" t="s">
        <v>64</v>
      </c>
      <c r="AM608" s="10" t="s">
        <v>6398</v>
      </c>
      <c r="AN608" s="10" t="s">
        <v>50</v>
      </c>
      <c r="AO608" s="11" t="s">
        <v>50</v>
      </c>
      <c r="AP608" s="10" t="s">
        <v>50</v>
      </c>
      <c r="AQ608" s="10" t="s">
        <v>50</v>
      </c>
      <c r="AR608" s="10" t="s">
        <v>50</v>
      </c>
      <c r="AS608" s="10" t="s">
        <v>50</v>
      </c>
      <c r="AT608" s="10" t="s">
        <v>50</v>
      </c>
      <c r="AU608" s="10" t="s">
        <v>50</v>
      </c>
      <c r="AV608" s="11"/>
      <c r="AW608" s="10" t="s">
        <v>66</v>
      </c>
      <c r="AX608" s="10"/>
      <c r="AY608" s="10" t="s">
        <v>66</v>
      </c>
    </row>
    <row r="609" ht="22.5" hidden="1" customHeight="1">
      <c r="A609" s="9" t="s">
        <v>6399</v>
      </c>
      <c r="B609" s="10" t="s">
        <v>6400</v>
      </c>
      <c r="C609" s="10" t="s">
        <v>43</v>
      </c>
      <c r="D609" s="10" t="s">
        <v>3477</v>
      </c>
      <c r="E609" s="10" t="s">
        <v>45</v>
      </c>
      <c r="F609" s="11">
        <v>1.0</v>
      </c>
      <c r="G609" s="11">
        <v>120.0</v>
      </c>
      <c r="H609" s="11"/>
      <c r="I609" s="11">
        <v>-20.4</v>
      </c>
      <c r="J609" s="11">
        <v>-19.95</v>
      </c>
      <c r="K609" s="11"/>
      <c r="L609" s="11">
        <v>86.85</v>
      </c>
      <c r="M609" s="10" t="s">
        <v>46</v>
      </c>
      <c r="N609" s="10" t="s">
        <v>45</v>
      </c>
      <c r="O609" s="10" t="s">
        <v>85</v>
      </c>
      <c r="P609" s="10" t="s">
        <v>86</v>
      </c>
      <c r="Q609" s="10" t="s">
        <v>87</v>
      </c>
      <c r="R609" s="10" t="s">
        <v>74</v>
      </c>
      <c r="S609" s="11">
        <v>120.0</v>
      </c>
      <c r="T609" s="11">
        <v>65.78</v>
      </c>
      <c r="U609" s="11" t="s">
        <v>51</v>
      </c>
      <c r="V609" s="10" t="s">
        <v>52</v>
      </c>
      <c r="W609" s="10" t="s">
        <v>6401</v>
      </c>
      <c r="X609" s="10" t="s">
        <v>6402</v>
      </c>
      <c r="Y609" s="10" t="s">
        <v>6403</v>
      </c>
      <c r="Z609" s="10" t="s">
        <v>50</v>
      </c>
      <c r="AA609" s="10" t="s">
        <v>50</v>
      </c>
      <c r="AB609" s="10" t="s">
        <v>6401</v>
      </c>
      <c r="AC609" s="10" t="s">
        <v>6404</v>
      </c>
      <c r="AD609" s="10" t="s">
        <v>6405</v>
      </c>
      <c r="AE609" s="10" t="s">
        <v>322</v>
      </c>
      <c r="AF609" s="10" t="s">
        <v>323</v>
      </c>
      <c r="AG609" s="10" t="s">
        <v>6406</v>
      </c>
      <c r="AH609" s="10" t="s">
        <v>60</v>
      </c>
      <c r="AI609" s="10" t="s">
        <v>61</v>
      </c>
      <c r="AJ609" s="10" t="s">
        <v>6129</v>
      </c>
      <c r="AK609" s="10" t="s">
        <v>6407</v>
      </c>
      <c r="AL609" s="10" t="s">
        <v>64</v>
      </c>
      <c r="AM609" s="10" t="s">
        <v>6408</v>
      </c>
      <c r="AN609" s="10" t="s">
        <v>50</v>
      </c>
      <c r="AO609" s="11" t="s">
        <v>50</v>
      </c>
      <c r="AP609" s="10" t="s">
        <v>50</v>
      </c>
      <c r="AQ609" s="10" t="s">
        <v>50</v>
      </c>
      <c r="AR609" s="10" t="s">
        <v>50</v>
      </c>
      <c r="AS609" s="10" t="s">
        <v>50</v>
      </c>
      <c r="AT609" s="10" t="s">
        <v>50</v>
      </c>
      <c r="AU609" s="10" t="s">
        <v>50</v>
      </c>
      <c r="AV609" s="11"/>
      <c r="AW609" s="10" t="s">
        <v>66</v>
      </c>
      <c r="AX609" s="10"/>
      <c r="AY609" s="10" t="s">
        <v>66</v>
      </c>
    </row>
    <row r="610" ht="22.5" hidden="1" customHeight="1">
      <c r="A610" s="9" t="s">
        <v>6409</v>
      </c>
      <c r="B610" s="10" t="s">
        <v>6410</v>
      </c>
      <c r="C610" s="10" t="s">
        <v>43</v>
      </c>
      <c r="D610" s="10" t="s">
        <v>2402</v>
      </c>
      <c r="E610" s="10" t="s">
        <v>66</v>
      </c>
      <c r="F610" s="11">
        <v>1.0</v>
      </c>
      <c r="G610" s="11">
        <v>120.0</v>
      </c>
      <c r="H610" s="11"/>
      <c r="I610" s="11">
        <v>-20.4</v>
      </c>
      <c r="J610" s="11">
        <v>-19.95</v>
      </c>
      <c r="K610" s="11"/>
      <c r="L610" s="11">
        <v>86.85</v>
      </c>
      <c r="M610" s="10" t="s">
        <v>46</v>
      </c>
      <c r="N610" s="10" t="s">
        <v>50</v>
      </c>
      <c r="O610" s="10" t="s">
        <v>85</v>
      </c>
      <c r="P610" s="10" t="s">
        <v>86</v>
      </c>
      <c r="Q610" s="10" t="s">
        <v>87</v>
      </c>
      <c r="R610" s="10" t="s">
        <v>74</v>
      </c>
      <c r="S610" s="11">
        <v>120.0</v>
      </c>
      <c r="T610" s="11">
        <v>65.78</v>
      </c>
      <c r="U610" s="11" t="s">
        <v>51</v>
      </c>
      <c r="V610" s="10" t="s">
        <v>52</v>
      </c>
      <c r="W610" s="10" t="s">
        <v>6411</v>
      </c>
      <c r="X610" s="10" t="s">
        <v>6412</v>
      </c>
      <c r="Y610" s="10" t="s">
        <v>6413</v>
      </c>
      <c r="Z610" s="10" t="s">
        <v>50</v>
      </c>
      <c r="AA610" s="10" t="s">
        <v>50</v>
      </c>
      <c r="AB610" s="10" t="s">
        <v>6411</v>
      </c>
      <c r="AC610" s="10" t="s">
        <v>6414</v>
      </c>
      <c r="AD610" s="10" t="s">
        <v>6415</v>
      </c>
      <c r="AE610" s="10" t="s">
        <v>6416</v>
      </c>
      <c r="AF610" s="10" t="s">
        <v>58</v>
      </c>
      <c r="AG610" s="10" t="s">
        <v>6417</v>
      </c>
      <c r="AH610" s="10" t="s">
        <v>60</v>
      </c>
      <c r="AI610" s="10" t="s">
        <v>61</v>
      </c>
      <c r="AJ610" s="10" t="s">
        <v>5810</v>
      </c>
      <c r="AK610" s="10" t="s">
        <v>6418</v>
      </c>
      <c r="AL610" s="10" t="s">
        <v>64</v>
      </c>
      <c r="AM610" s="10" t="s">
        <v>6419</v>
      </c>
      <c r="AN610" s="10" t="s">
        <v>50</v>
      </c>
      <c r="AO610" s="11" t="s">
        <v>50</v>
      </c>
      <c r="AP610" s="10" t="s">
        <v>50</v>
      </c>
      <c r="AQ610" s="10" t="s">
        <v>50</v>
      </c>
      <c r="AR610" s="10" t="s">
        <v>50</v>
      </c>
      <c r="AS610" s="10" t="s">
        <v>50</v>
      </c>
      <c r="AT610" s="10" t="s">
        <v>50</v>
      </c>
      <c r="AU610" s="10" t="s">
        <v>50</v>
      </c>
      <c r="AV610" s="11"/>
      <c r="AW610" s="10" t="s">
        <v>66</v>
      </c>
      <c r="AX610" s="10"/>
      <c r="AY610" s="10" t="s">
        <v>66</v>
      </c>
    </row>
    <row r="611" ht="22.5" hidden="1" customHeight="1">
      <c r="A611" s="9" t="s">
        <v>6420</v>
      </c>
      <c r="B611" s="10" t="s">
        <v>6421</v>
      </c>
      <c r="C611" s="10" t="s">
        <v>43</v>
      </c>
      <c r="D611" s="10" t="s">
        <v>2402</v>
      </c>
      <c r="E611" s="10" t="s">
        <v>45</v>
      </c>
      <c r="F611" s="11">
        <v>1.0</v>
      </c>
      <c r="G611" s="11">
        <v>79.2</v>
      </c>
      <c r="H611" s="11"/>
      <c r="I611" s="11">
        <v>-13.46</v>
      </c>
      <c r="J611" s="11">
        <v>-20.45</v>
      </c>
      <c r="K611" s="11"/>
      <c r="L611" s="11">
        <v>45.29</v>
      </c>
      <c r="M611" s="10" t="s">
        <v>46</v>
      </c>
      <c r="N611" s="10" t="s">
        <v>50</v>
      </c>
      <c r="O611" s="10" t="s">
        <v>127</v>
      </c>
      <c r="P611" s="10" t="s">
        <v>128</v>
      </c>
      <c r="Q611" s="10" t="s">
        <v>129</v>
      </c>
      <c r="R611" s="10" t="s">
        <v>74</v>
      </c>
      <c r="S611" s="11">
        <v>79.2</v>
      </c>
      <c r="T611" s="11">
        <v>17.68</v>
      </c>
      <c r="U611" s="11" t="s">
        <v>51</v>
      </c>
      <c r="V611" s="10" t="s">
        <v>52</v>
      </c>
      <c r="W611" s="10" t="s">
        <v>6422</v>
      </c>
      <c r="X611" s="10" t="s">
        <v>6423</v>
      </c>
      <c r="Y611" s="10" t="s">
        <v>6424</v>
      </c>
      <c r="Z611" s="10" t="s">
        <v>50</v>
      </c>
      <c r="AA611" s="10" t="s">
        <v>50</v>
      </c>
      <c r="AB611" s="10" t="s">
        <v>6422</v>
      </c>
      <c r="AC611" s="10" t="s">
        <v>6425</v>
      </c>
      <c r="AD611" s="10" t="s">
        <v>6426</v>
      </c>
      <c r="AE611" s="10" t="s">
        <v>58</v>
      </c>
      <c r="AF611" s="10" t="s">
        <v>58</v>
      </c>
      <c r="AG611" s="10" t="s">
        <v>6427</v>
      </c>
      <c r="AH611" s="10" t="s">
        <v>60</v>
      </c>
      <c r="AI611" s="10" t="s">
        <v>61</v>
      </c>
      <c r="AJ611" s="10" t="s">
        <v>5888</v>
      </c>
      <c r="AK611" s="10" t="s">
        <v>6428</v>
      </c>
      <c r="AL611" s="10" t="s">
        <v>64</v>
      </c>
      <c r="AM611" s="10" t="s">
        <v>6429</v>
      </c>
      <c r="AN611" s="10" t="s">
        <v>50</v>
      </c>
      <c r="AO611" s="11" t="s">
        <v>50</v>
      </c>
      <c r="AP611" s="10" t="s">
        <v>50</v>
      </c>
      <c r="AQ611" s="10" t="s">
        <v>50</v>
      </c>
      <c r="AR611" s="10" t="s">
        <v>50</v>
      </c>
      <c r="AS611" s="10" t="s">
        <v>50</v>
      </c>
      <c r="AT611" s="10" t="s">
        <v>50</v>
      </c>
      <c r="AU611" s="10" t="s">
        <v>50</v>
      </c>
      <c r="AV611" s="11"/>
      <c r="AW611" s="10" t="s">
        <v>66</v>
      </c>
      <c r="AX611" s="10"/>
      <c r="AY611" s="10" t="s">
        <v>66</v>
      </c>
    </row>
    <row r="612" ht="22.5" hidden="1" customHeight="1">
      <c r="A612" s="9" t="s">
        <v>6430</v>
      </c>
      <c r="B612" s="10" t="s">
        <v>6431</v>
      </c>
      <c r="C612" s="10" t="s">
        <v>43</v>
      </c>
      <c r="D612" s="10" t="s">
        <v>4592</v>
      </c>
      <c r="E612" s="10" t="s">
        <v>66</v>
      </c>
      <c r="F612" s="11">
        <v>1.0</v>
      </c>
      <c r="G612" s="11">
        <v>120.0</v>
      </c>
      <c r="H612" s="11">
        <v>7.55</v>
      </c>
      <c r="I612" s="11">
        <v>-20.4</v>
      </c>
      <c r="J612" s="11">
        <v>-27.5</v>
      </c>
      <c r="K612" s="11"/>
      <c r="L612" s="11">
        <v>86.85</v>
      </c>
      <c r="M612" s="10" t="s">
        <v>46</v>
      </c>
      <c r="N612" s="10" t="s">
        <v>50</v>
      </c>
      <c r="O612" s="10" t="s">
        <v>85</v>
      </c>
      <c r="P612" s="10" t="s">
        <v>86</v>
      </c>
      <c r="Q612" s="10" t="s">
        <v>87</v>
      </c>
      <c r="R612" s="10" t="s">
        <v>74</v>
      </c>
      <c r="S612" s="11">
        <v>120.0</v>
      </c>
      <c r="T612" s="11">
        <v>65.78</v>
      </c>
      <c r="U612" s="11" t="s">
        <v>51</v>
      </c>
      <c r="V612" s="10" t="s">
        <v>52</v>
      </c>
      <c r="W612" s="10" t="s">
        <v>6432</v>
      </c>
      <c r="X612" s="10" t="s">
        <v>6433</v>
      </c>
      <c r="Y612" s="10" t="s">
        <v>6434</v>
      </c>
      <c r="Z612" s="10" t="s">
        <v>50</v>
      </c>
      <c r="AA612" s="10" t="s">
        <v>50</v>
      </c>
      <c r="AB612" s="10" t="s">
        <v>6432</v>
      </c>
      <c r="AC612" s="10" t="s">
        <v>6435</v>
      </c>
      <c r="AD612" s="10" t="s">
        <v>6436</v>
      </c>
      <c r="AE612" s="10" t="s">
        <v>6437</v>
      </c>
      <c r="AF612" s="10" t="s">
        <v>2873</v>
      </c>
      <c r="AG612" s="10" t="s">
        <v>6438</v>
      </c>
      <c r="AH612" s="10" t="s">
        <v>60</v>
      </c>
      <c r="AI612" s="10" t="s">
        <v>61</v>
      </c>
      <c r="AJ612" s="10" t="s">
        <v>5888</v>
      </c>
      <c r="AK612" s="10" t="s">
        <v>6439</v>
      </c>
      <c r="AL612" s="10" t="s">
        <v>64</v>
      </c>
      <c r="AM612" s="10" t="s">
        <v>6440</v>
      </c>
      <c r="AN612" s="10" t="s">
        <v>50</v>
      </c>
      <c r="AO612" s="11" t="s">
        <v>50</v>
      </c>
      <c r="AP612" s="10" t="s">
        <v>50</v>
      </c>
      <c r="AQ612" s="10" t="s">
        <v>50</v>
      </c>
      <c r="AR612" s="10" t="s">
        <v>50</v>
      </c>
      <c r="AS612" s="10" t="s">
        <v>50</v>
      </c>
      <c r="AT612" s="10" t="s">
        <v>50</v>
      </c>
      <c r="AU612" s="10" t="s">
        <v>50</v>
      </c>
      <c r="AV612" s="11"/>
      <c r="AW612" s="10" t="s">
        <v>66</v>
      </c>
      <c r="AX612" s="10"/>
      <c r="AY612" s="10" t="s">
        <v>66</v>
      </c>
    </row>
    <row r="613" ht="22.5" hidden="1" customHeight="1">
      <c r="A613" s="9" t="s">
        <v>6441</v>
      </c>
      <c r="B613" s="10" t="s">
        <v>6442</v>
      </c>
      <c r="C613" s="10" t="s">
        <v>43</v>
      </c>
      <c r="D613" s="10" t="s">
        <v>3477</v>
      </c>
      <c r="E613" s="10" t="s">
        <v>66</v>
      </c>
      <c r="F613" s="11">
        <v>1.0</v>
      </c>
      <c r="G613" s="11">
        <v>120.0</v>
      </c>
      <c r="H613" s="11"/>
      <c r="I613" s="11">
        <v>-20.4</v>
      </c>
      <c r="J613" s="11">
        <v>-19.95</v>
      </c>
      <c r="K613" s="11"/>
      <c r="L613" s="11">
        <v>86.85</v>
      </c>
      <c r="M613" s="10" t="s">
        <v>46</v>
      </c>
      <c r="N613" s="10" t="s">
        <v>45</v>
      </c>
      <c r="O613" s="10" t="s">
        <v>85</v>
      </c>
      <c r="P613" s="10" t="s">
        <v>86</v>
      </c>
      <c r="Q613" s="10" t="s">
        <v>87</v>
      </c>
      <c r="R613" s="10" t="s">
        <v>74</v>
      </c>
      <c r="S613" s="11">
        <v>120.0</v>
      </c>
      <c r="T613" s="11">
        <v>65.78</v>
      </c>
      <c r="U613" s="11" t="s">
        <v>51</v>
      </c>
      <c r="V613" s="10" t="s">
        <v>52</v>
      </c>
      <c r="W613" s="10" t="s">
        <v>6443</v>
      </c>
      <c r="X613" s="10" t="s">
        <v>6444</v>
      </c>
      <c r="Y613" s="10" t="s">
        <v>6445</v>
      </c>
      <c r="Z613" s="10" t="s">
        <v>50</v>
      </c>
      <c r="AA613" s="10" t="s">
        <v>50</v>
      </c>
      <c r="AB613" s="10" t="s">
        <v>6443</v>
      </c>
      <c r="AC613" s="10" t="s">
        <v>6446</v>
      </c>
      <c r="AD613" s="10" t="s">
        <v>6447</v>
      </c>
      <c r="AE613" s="10" t="s">
        <v>5821</v>
      </c>
      <c r="AF613" s="10" t="s">
        <v>151</v>
      </c>
      <c r="AG613" s="10" t="s">
        <v>6448</v>
      </c>
      <c r="AH613" s="10" t="s">
        <v>60</v>
      </c>
      <c r="AI613" s="10" t="s">
        <v>61</v>
      </c>
      <c r="AJ613" s="10" t="s">
        <v>5799</v>
      </c>
      <c r="AK613" s="10" t="s">
        <v>6449</v>
      </c>
      <c r="AL613" s="10" t="s">
        <v>64</v>
      </c>
      <c r="AM613" s="10" t="s">
        <v>6450</v>
      </c>
      <c r="AN613" s="10" t="s">
        <v>50</v>
      </c>
      <c r="AO613" s="11" t="s">
        <v>50</v>
      </c>
      <c r="AP613" s="10" t="s">
        <v>50</v>
      </c>
      <c r="AQ613" s="10" t="s">
        <v>50</v>
      </c>
      <c r="AR613" s="10" t="s">
        <v>50</v>
      </c>
      <c r="AS613" s="10" t="s">
        <v>50</v>
      </c>
      <c r="AT613" s="10" t="s">
        <v>50</v>
      </c>
      <c r="AU613" s="10" t="s">
        <v>50</v>
      </c>
      <c r="AV613" s="11"/>
      <c r="AW613" s="10" t="s">
        <v>66</v>
      </c>
      <c r="AX613" s="10"/>
      <c r="AY613" s="10" t="s">
        <v>66</v>
      </c>
    </row>
    <row r="614" ht="22.5" hidden="1" customHeight="1">
      <c r="A614" s="9" t="s">
        <v>6451</v>
      </c>
      <c r="B614" s="10" t="s">
        <v>6452</v>
      </c>
      <c r="C614" s="10" t="s">
        <v>43</v>
      </c>
      <c r="D614" s="10" t="s">
        <v>4592</v>
      </c>
      <c r="E614" s="10" t="s">
        <v>66</v>
      </c>
      <c r="F614" s="11">
        <v>1.0</v>
      </c>
      <c r="G614" s="11">
        <v>120.0</v>
      </c>
      <c r="H614" s="11"/>
      <c r="I614" s="11">
        <v>-20.4</v>
      </c>
      <c r="J614" s="11">
        <v>-19.95</v>
      </c>
      <c r="K614" s="11"/>
      <c r="L614" s="11">
        <v>86.85</v>
      </c>
      <c r="M614" s="10" t="s">
        <v>46</v>
      </c>
      <c r="N614" s="10" t="s">
        <v>45</v>
      </c>
      <c r="O614" s="10" t="s">
        <v>85</v>
      </c>
      <c r="P614" s="10" t="s">
        <v>86</v>
      </c>
      <c r="Q614" s="10" t="s">
        <v>87</v>
      </c>
      <c r="R614" s="10" t="s">
        <v>74</v>
      </c>
      <c r="S614" s="11">
        <v>120.0</v>
      </c>
      <c r="T614" s="11">
        <v>65.78</v>
      </c>
      <c r="U614" s="11" t="s">
        <v>51</v>
      </c>
      <c r="V614" s="10" t="s">
        <v>52</v>
      </c>
      <c r="W614" s="10" t="s">
        <v>6453</v>
      </c>
      <c r="X614" s="10" t="s">
        <v>6454</v>
      </c>
      <c r="Y614" s="10" t="s">
        <v>6455</v>
      </c>
      <c r="Z614" s="10" t="s">
        <v>50</v>
      </c>
      <c r="AA614" s="10" t="s">
        <v>50</v>
      </c>
      <c r="AB614" s="10" t="s">
        <v>6453</v>
      </c>
      <c r="AC614" s="10" t="s">
        <v>6456</v>
      </c>
      <c r="AD614" s="10" t="s">
        <v>6457</v>
      </c>
      <c r="AE614" s="10" t="s">
        <v>6458</v>
      </c>
      <c r="AF614" s="10" t="s">
        <v>214</v>
      </c>
      <c r="AG614" s="10" t="s">
        <v>6459</v>
      </c>
      <c r="AH614" s="10" t="s">
        <v>60</v>
      </c>
      <c r="AI614" s="10" t="s">
        <v>61</v>
      </c>
      <c r="AJ614" s="10" t="s">
        <v>5842</v>
      </c>
      <c r="AK614" s="10" t="s">
        <v>6460</v>
      </c>
      <c r="AL614" s="10" t="s">
        <v>64</v>
      </c>
      <c r="AM614" s="10" t="s">
        <v>6461</v>
      </c>
      <c r="AN614" s="10" t="s">
        <v>50</v>
      </c>
      <c r="AO614" s="11" t="s">
        <v>50</v>
      </c>
      <c r="AP614" s="10" t="s">
        <v>50</v>
      </c>
      <c r="AQ614" s="10" t="s">
        <v>50</v>
      </c>
      <c r="AR614" s="10" t="s">
        <v>50</v>
      </c>
      <c r="AS614" s="10" t="s">
        <v>50</v>
      </c>
      <c r="AT614" s="10" t="s">
        <v>50</v>
      </c>
      <c r="AU614" s="10" t="s">
        <v>50</v>
      </c>
      <c r="AV614" s="11"/>
      <c r="AW614" s="10" t="s">
        <v>66</v>
      </c>
      <c r="AX614" s="10"/>
      <c r="AY614" s="10" t="s">
        <v>66</v>
      </c>
    </row>
    <row r="615" ht="22.5" hidden="1" customHeight="1">
      <c r="A615" s="9" t="s">
        <v>6462</v>
      </c>
      <c r="B615" s="10" t="s">
        <v>6463</v>
      </c>
      <c r="C615" s="10" t="s">
        <v>43</v>
      </c>
      <c r="D615" s="10" t="s">
        <v>1262</v>
      </c>
      <c r="E615" s="10" t="s">
        <v>45</v>
      </c>
      <c r="F615" s="11">
        <v>1.0</v>
      </c>
      <c r="G615" s="11">
        <v>79.2</v>
      </c>
      <c r="H615" s="11"/>
      <c r="I615" s="11">
        <v>-13.46</v>
      </c>
      <c r="J615" s="11">
        <v>-20.45</v>
      </c>
      <c r="K615" s="11"/>
      <c r="L615" s="11">
        <v>50.04</v>
      </c>
      <c r="M615" s="10" t="s">
        <v>46</v>
      </c>
      <c r="N615" s="10" t="s">
        <v>45</v>
      </c>
      <c r="O615" s="10" t="s">
        <v>892</v>
      </c>
      <c r="P615" s="10" t="s">
        <v>893</v>
      </c>
      <c r="Q615" s="10" t="s">
        <v>894</v>
      </c>
      <c r="R615" s="10" t="s">
        <v>74</v>
      </c>
      <c r="S615" s="11">
        <v>79.2</v>
      </c>
      <c r="T615" s="11">
        <v>2.97</v>
      </c>
      <c r="U615" s="11" t="s">
        <v>51</v>
      </c>
      <c r="V615" s="10" t="s">
        <v>52</v>
      </c>
      <c r="W615" s="10" t="s">
        <v>6464</v>
      </c>
      <c r="X615" s="10" t="s">
        <v>6465</v>
      </c>
      <c r="Y615" s="10" t="s">
        <v>6466</v>
      </c>
      <c r="Z615" s="10" t="s">
        <v>50</v>
      </c>
      <c r="AA615" s="10" t="s">
        <v>50</v>
      </c>
      <c r="AB615" s="10" t="s">
        <v>6464</v>
      </c>
      <c r="AC615" s="10" t="s">
        <v>6467</v>
      </c>
      <c r="AD615" s="10" t="s">
        <v>6468</v>
      </c>
      <c r="AE615" s="10" t="s">
        <v>857</v>
      </c>
      <c r="AF615" s="10" t="s">
        <v>58</v>
      </c>
      <c r="AG615" s="10" t="s">
        <v>6469</v>
      </c>
      <c r="AH615" s="10" t="s">
        <v>60</v>
      </c>
      <c r="AI615" s="10" t="s">
        <v>61</v>
      </c>
      <c r="AJ615" s="10" t="s">
        <v>5854</v>
      </c>
      <c r="AK615" s="10" t="s">
        <v>6470</v>
      </c>
      <c r="AL615" s="10" t="s">
        <v>64</v>
      </c>
      <c r="AM615" s="10" t="s">
        <v>6471</v>
      </c>
      <c r="AN615" s="10" t="s">
        <v>6472</v>
      </c>
      <c r="AO615" s="11" t="s">
        <v>50</v>
      </c>
      <c r="AP615" s="10" t="s">
        <v>50</v>
      </c>
      <c r="AQ615" s="10" t="s">
        <v>50</v>
      </c>
      <c r="AR615" s="10" t="s">
        <v>50</v>
      </c>
      <c r="AS615" s="10" t="s">
        <v>50</v>
      </c>
      <c r="AT615" s="10" t="s">
        <v>50</v>
      </c>
      <c r="AU615" s="10" t="s">
        <v>50</v>
      </c>
      <c r="AV615" s="11"/>
      <c r="AW615" s="10" t="s">
        <v>66</v>
      </c>
      <c r="AX615" s="10"/>
      <c r="AY615" s="10" t="s">
        <v>66</v>
      </c>
    </row>
    <row r="616" ht="22.5" hidden="1" customHeight="1">
      <c r="A616" s="9" t="s">
        <v>6473</v>
      </c>
      <c r="B616" s="10" t="s">
        <v>6474</v>
      </c>
      <c r="C616" s="10" t="s">
        <v>43</v>
      </c>
      <c r="D616" s="10" t="s">
        <v>2326</v>
      </c>
      <c r="E616" s="10" t="s">
        <v>45</v>
      </c>
      <c r="F616" s="11">
        <v>1.0</v>
      </c>
      <c r="G616" s="11">
        <v>79.0</v>
      </c>
      <c r="H616" s="11"/>
      <c r="I616" s="11">
        <v>-13.43</v>
      </c>
      <c r="J616" s="11">
        <v>-19.95</v>
      </c>
      <c r="K616" s="11"/>
      <c r="L616" s="11">
        <v>45.62</v>
      </c>
      <c r="M616" s="10" t="s">
        <v>46</v>
      </c>
      <c r="N616" s="10" t="s">
        <v>45</v>
      </c>
      <c r="O616" s="10" t="s">
        <v>766</v>
      </c>
      <c r="P616" s="10" t="s">
        <v>767</v>
      </c>
      <c r="Q616" s="10" t="s">
        <v>768</v>
      </c>
      <c r="R616" s="10" t="s">
        <v>74</v>
      </c>
      <c r="S616" s="11">
        <v>79.0</v>
      </c>
      <c r="T616" s="11">
        <v>13.62</v>
      </c>
      <c r="U616" s="11" t="s">
        <v>51</v>
      </c>
      <c r="V616" s="10" t="s">
        <v>52</v>
      </c>
      <c r="W616" s="10" t="s">
        <v>6475</v>
      </c>
      <c r="X616" s="10" t="s">
        <v>6476</v>
      </c>
      <c r="Y616" s="10" t="s">
        <v>6477</v>
      </c>
      <c r="Z616" s="10" t="s">
        <v>50</v>
      </c>
      <c r="AA616" s="10" t="s">
        <v>50</v>
      </c>
      <c r="AB616" s="10" t="s">
        <v>6475</v>
      </c>
      <c r="AC616" s="10" t="s">
        <v>6478</v>
      </c>
      <c r="AD616" s="10" t="s">
        <v>6479</v>
      </c>
      <c r="AE616" s="10" t="s">
        <v>6480</v>
      </c>
      <c r="AF616" s="10" t="s">
        <v>185</v>
      </c>
      <c r="AG616" s="10" t="s">
        <v>6481</v>
      </c>
      <c r="AH616" s="10" t="s">
        <v>60</v>
      </c>
      <c r="AI616" s="10" t="s">
        <v>61</v>
      </c>
      <c r="AJ616" s="10" t="s">
        <v>2410</v>
      </c>
      <c r="AK616" s="10" t="s">
        <v>6482</v>
      </c>
      <c r="AL616" s="10" t="s">
        <v>64</v>
      </c>
      <c r="AM616" s="10" t="s">
        <v>6483</v>
      </c>
      <c r="AN616" s="10" t="s">
        <v>50</v>
      </c>
      <c r="AO616" s="11" t="s">
        <v>50</v>
      </c>
      <c r="AP616" s="10" t="s">
        <v>50</v>
      </c>
      <c r="AQ616" s="10" t="s">
        <v>50</v>
      </c>
      <c r="AR616" s="10" t="s">
        <v>50</v>
      </c>
      <c r="AS616" s="10" t="s">
        <v>50</v>
      </c>
      <c r="AT616" s="10" t="s">
        <v>50</v>
      </c>
      <c r="AU616" s="10" t="s">
        <v>50</v>
      </c>
      <c r="AV616" s="11"/>
      <c r="AW616" s="10" t="s">
        <v>66</v>
      </c>
      <c r="AX616" s="10"/>
      <c r="AY616" s="10" t="s">
        <v>66</v>
      </c>
    </row>
    <row r="617" ht="22.5" hidden="1" customHeight="1">
      <c r="A617" s="9" t="s">
        <v>6484</v>
      </c>
      <c r="B617" s="10" t="s">
        <v>6474</v>
      </c>
      <c r="C617" s="10" t="s">
        <v>43</v>
      </c>
      <c r="D617" s="10" t="s">
        <v>2402</v>
      </c>
      <c r="E617" s="10" t="s">
        <v>66</v>
      </c>
      <c r="F617" s="11">
        <v>1.0</v>
      </c>
      <c r="G617" s="11">
        <v>79.0</v>
      </c>
      <c r="H617" s="11"/>
      <c r="I617" s="11">
        <v>-13.43</v>
      </c>
      <c r="J617" s="11">
        <v>-19.95</v>
      </c>
      <c r="K617" s="11"/>
      <c r="L617" s="11">
        <v>45.62</v>
      </c>
      <c r="M617" s="10" t="s">
        <v>46</v>
      </c>
      <c r="N617" s="10" t="s">
        <v>45</v>
      </c>
      <c r="O617" s="10" t="s">
        <v>766</v>
      </c>
      <c r="P617" s="10" t="s">
        <v>767</v>
      </c>
      <c r="Q617" s="10" t="s">
        <v>768</v>
      </c>
      <c r="R617" s="10" t="s">
        <v>74</v>
      </c>
      <c r="S617" s="11">
        <v>79.0</v>
      </c>
      <c r="T617" s="11">
        <v>2.49</v>
      </c>
      <c r="U617" s="11" t="s">
        <v>51</v>
      </c>
      <c r="V617" s="10" t="s">
        <v>52</v>
      </c>
      <c r="W617" s="10" t="s">
        <v>6485</v>
      </c>
      <c r="X617" s="10" t="s">
        <v>6486</v>
      </c>
      <c r="Y617" s="10" t="s">
        <v>6487</v>
      </c>
      <c r="Z617" s="10" t="s">
        <v>50</v>
      </c>
      <c r="AA617" s="10" t="s">
        <v>50</v>
      </c>
      <c r="AB617" s="10" t="s">
        <v>6485</v>
      </c>
      <c r="AC617" s="10" t="s">
        <v>6488</v>
      </c>
      <c r="AD617" s="10" t="s">
        <v>6489</v>
      </c>
      <c r="AE617" s="10" t="s">
        <v>2443</v>
      </c>
      <c r="AF617" s="10" t="s">
        <v>58</v>
      </c>
      <c r="AG617" s="10" t="s">
        <v>6490</v>
      </c>
      <c r="AH617" s="10" t="s">
        <v>60</v>
      </c>
      <c r="AI617" s="10" t="s">
        <v>61</v>
      </c>
      <c r="AJ617" s="10" t="s">
        <v>2410</v>
      </c>
      <c r="AK617" s="10" t="s">
        <v>6491</v>
      </c>
      <c r="AL617" s="10" t="s">
        <v>64</v>
      </c>
      <c r="AM617" s="10" t="s">
        <v>6492</v>
      </c>
      <c r="AN617" s="10" t="s">
        <v>50</v>
      </c>
      <c r="AO617" s="11" t="s">
        <v>50</v>
      </c>
      <c r="AP617" s="10" t="s">
        <v>50</v>
      </c>
      <c r="AQ617" s="10" t="s">
        <v>50</v>
      </c>
      <c r="AR617" s="10" t="s">
        <v>50</v>
      </c>
      <c r="AS617" s="10" t="s">
        <v>50</v>
      </c>
      <c r="AT617" s="10" t="s">
        <v>50</v>
      </c>
      <c r="AU617" s="10" t="s">
        <v>50</v>
      </c>
      <c r="AV617" s="11"/>
      <c r="AW617" s="10" t="s">
        <v>66</v>
      </c>
      <c r="AX617" s="10"/>
      <c r="AY617" s="10" t="s">
        <v>66</v>
      </c>
    </row>
    <row r="618" ht="22.5" hidden="1" customHeight="1">
      <c r="A618" s="9" t="s">
        <v>6493</v>
      </c>
      <c r="B618" s="10" t="s">
        <v>6474</v>
      </c>
      <c r="C618" s="10" t="s">
        <v>39</v>
      </c>
      <c r="D618" s="10" t="s">
        <v>948</v>
      </c>
      <c r="E618" s="10" t="s">
        <v>66</v>
      </c>
      <c r="F618" s="11">
        <v>1.0</v>
      </c>
      <c r="G618" s="11">
        <v>120.0</v>
      </c>
      <c r="H618" s="11"/>
      <c r="I618" s="11">
        <v>-20.4</v>
      </c>
      <c r="J618" s="11">
        <v>-19.95</v>
      </c>
      <c r="K618" s="11"/>
      <c r="L618" s="11">
        <v>86.85</v>
      </c>
      <c r="M618" s="10" t="s">
        <v>46</v>
      </c>
      <c r="N618" s="10" t="s">
        <v>45</v>
      </c>
      <c r="O618" s="10" t="s">
        <v>85</v>
      </c>
      <c r="P618" s="10" t="s">
        <v>86</v>
      </c>
      <c r="Q618" s="10" t="s">
        <v>87</v>
      </c>
      <c r="R618" s="10" t="s">
        <v>74</v>
      </c>
      <c r="S618" s="11">
        <v>120.0</v>
      </c>
      <c r="T618" s="11">
        <v>65.78</v>
      </c>
      <c r="U618" s="11" t="s">
        <v>51</v>
      </c>
      <c r="V618" s="10" t="s">
        <v>52</v>
      </c>
      <c r="W618" s="10" t="s">
        <v>6494</v>
      </c>
      <c r="X618" s="10" t="s">
        <v>6495</v>
      </c>
      <c r="Y618" s="10" t="s">
        <v>6496</v>
      </c>
      <c r="Z618" s="10" t="s">
        <v>50</v>
      </c>
      <c r="AA618" s="10" t="s">
        <v>50</v>
      </c>
      <c r="AB618" s="10" t="s">
        <v>6494</v>
      </c>
      <c r="AC618" s="10" t="s">
        <v>6497</v>
      </c>
      <c r="AD618" s="10" t="s">
        <v>6498</v>
      </c>
      <c r="AE618" s="10" t="s">
        <v>6499</v>
      </c>
      <c r="AF618" s="10" t="s">
        <v>323</v>
      </c>
      <c r="AG618" s="10" t="s">
        <v>6500</v>
      </c>
      <c r="AH618" s="10" t="s">
        <v>60</v>
      </c>
      <c r="AI618" s="10" t="s">
        <v>61</v>
      </c>
      <c r="AJ618" s="10" t="s">
        <v>2422</v>
      </c>
      <c r="AK618" s="10" t="s">
        <v>6501</v>
      </c>
      <c r="AL618" s="10" t="s">
        <v>64</v>
      </c>
      <c r="AM618" s="10" t="s">
        <v>6502</v>
      </c>
      <c r="AN618" s="10" t="s">
        <v>50</v>
      </c>
      <c r="AO618" s="11" t="s">
        <v>50</v>
      </c>
      <c r="AP618" s="10" t="s">
        <v>50</v>
      </c>
      <c r="AQ618" s="10" t="s">
        <v>50</v>
      </c>
      <c r="AR618" s="10" t="s">
        <v>50</v>
      </c>
      <c r="AS618" s="10" t="s">
        <v>50</v>
      </c>
      <c r="AT618" s="10" t="s">
        <v>50</v>
      </c>
      <c r="AU618" s="10" t="s">
        <v>50</v>
      </c>
      <c r="AV618" s="11"/>
      <c r="AW618" s="10" t="s">
        <v>66</v>
      </c>
      <c r="AX618" s="10">
        <v>1.0</v>
      </c>
      <c r="AY618" s="10" t="s">
        <v>66</v>
      </c>
    </row>
    <row r="619" ht="22.5" hidden="1" customHeight="1">
      <c r="A619" s="9" t="s">
        <v>6503</v>
      </c>
      <c r="B619" s="10" t="s">
        <v>6504</v>
      </c>
      <c r="C619" s="10" t="s">
        <v>43</v>
      </c>
      <c r="D619" s="10" t="s">
        <v>2402</v>
      </c>
      <c r="E619" s="10" t="s">
        <v>45</v>
      </c>
      <c r="F619" s="11">
        <v>1.0</v>
      </c>
      <c r="G619" s="11">
        <v>79.3</v>
      </c>
      <c r="H619" s="11"/>
      <c r="I619" s="11">
        <v>-13.48</v>
      </c>
      <c r="J619" s="11">
        <v>-19.95</v>
      </c>
      <c r="K619" s="11"/>
      <c r="L619" s="11">
        <v>45.87</v>
      </c>
      <c r="M619" s="10" t="s">
        <v>46</v>
      </c>
      <c r="N619" s="10" t="s">
        <v>50</v>
      </c>
      <c r="O619" s="10" t="s">
        <v>314</v>
      </c>
      <c r="P619" s="10" t="s">
        <v>315</v>
      </c>
      <c r="Q619" s="10" t="s">
        <v>316</v>
      </c>
      <c r="R619" s="10" t="s">
        <v>74</v>
      </c>
      <c r="S619" s="11">
        <v>79.3</v>
      </c>
      <c r="T619" s="11">
        <v>6.66</v>
      </c>
      <c r="U619" s="11" t="s">
        <v>51</v>
      </c>
      <c r="V619" s="10" t="s">
        <v>52</v>
      </c>
      <c r="W619" s="10" t="s">
        <v>6505</v>
      </c>
      <c r="X619" s="10" t="s">
        <v>6506</v>
      </c>
      <c r="Y619" s="10" t="s">
        <v>6507</v>
      </c>
      <c r="Z619" s="10" t="s">
        <v>50</v>
      </c>
      <c r="AA619" s="10" t="s">
        <v>50</v>
      </c>
      <c r="AB619" s="10" t="s">
        <v>6505</v>
      </c>
      <c r="AC619" s="10" t="s">
        <v>6508</v>
      </c>
      <c r="AD619" s="10" t="s">
        <v>6509</v>
      </c>
      <c r="AE619" s="10" t="s">
        <v>58</v>
      </c>
      <c r="AF619" s="10" t="s">
        <v>58</v>
      </c>
      <c r="AG619" s="10" t="s">
        <v>6510</v>
      </c>
      <c r="AH619" s="10" t="s">
        <v>60</v>
      </c>
      <c r="AI619" s="10" t="s">
        <v>61</v>
      </c>
      <c r="AJ619" s="10" t="s">
        <v>5962</v>
      </c>
      <c r="AK619" s="10" t="s">
        <v>6511</v>
      </c>
      <c r="AL619" s="10" t="s">
        <v>64</v>
      </c>
      <c r="AM619" s="10" t="s">
        <v>6512</v>
      </c>
      <c r="AN619" s="10" t="s">
        <v>50</v>
      </c>
      <c r="AO619" s="11" t="s">
        <v>50</v>
      </c>
      <c r="AP619" s="10" t="s">
        <v>50</v>
      </c>
      <c r="AQ619" s="10" t="s">
        <v>50</v>
      </c>
      <c r="AR619" s="10" t="s">
        <v>50</v>
      </c>
      <c r="AS619" s="10" t="s">
        <v>50</v>
      </c>
      <c r="AT619" s="10" t="s">
        <v>50</v>
      </c>
      <c r="AU619" s="10" t="s">
        <v>50</v>
      </c>
      <c r="AV619" s="11"/>
      <c r="AW619" s="10" t="s">
        <v>66</v>
      </c>
      <c r="AX619" s="10"/>
      <c r="AY619" s="10" t="s">
        <v>66</v>
      </c>
    </row>
    <row r="620" ht="22.5" hidden="1" customHeight="1">
      <c r="A620" s="12" t="s">
        <v>6513</v>
      </c>
      <c r="B620" s="13" t="s">
        <v>6514</v>
      </c>
      <c r="C620" s="13" t="s">
        <v>747</v>
      </c>
      <c r="D620" s="13" t="s">
        <v>50</v>
      </c>
      <c r="E620" s="13" t="s">
        <v>50</v>
      </c>
      <c r="F620" s="14"/>
      <c r="G620" s="14">
        <v>91.7</v>
      </c>
      <c r="H620" s="14"/>
      <c r="I620" s="14">
        <v>-27.59</v>
      </c>
      <c r="J620" s="14"/>
      <c r="K620" s="14"/>
      <c r="L620" s="14">
        <v>69.13</v>
      </c>
      <c r="M620" s="13" t="s">
        <v>46</v>
      </c>
      <c r="N620" s="13" t="s">
        <v>50</v>
      </c>
      <c r="O620" s="13" t="s">
        <v>50</v>
      </c>
      <c r="P620" s="13" t="s">
        <v>50</v>
      </c>
      <c r="Q620" s="13" t="s">
        <v>50</v>
      </c>
      <c r="R620" s="13" t="s">
        <v>50</v>
      </c>
      <c r="S620" s="14"/>
      <c r="T620" s="14"/>
      <c r="U620" s="14" t="s">
        <v>50</v>
      </c>
      <c r="V620" s="13" t="s">
        <v>52</v>
      </c>
      <c r="W620" s="13" t="s">
        <v>6515</v>
      </c>
      <c r="X620" s="13" t="s">
        <v>6516</v>
      </c>
      <c r="Y620" s="13" t="s">
        <v>6517</v>
      </c>
      <c r="Z620" s="13" t="s">
        <v>50</v>
      </c>
      <c r="AA620" s="13" t="s">
        <v>50</v>
      </c>
      <c r="AB620" s="13" t="s">
        <v>6515</v>
      </c>
      <c r="AC620" s="13" t="s">
        <v>6518</v>
      </c>
      <c r="AD620" s="13" t="s">
        <v>6519</v>
      </c>
      <c r="AE620" s="13" t="s">
        <v>6520</v>
      </c>
      <c r="AF620" s="13" t="s">
        <v>58</v>
      </c>
      <c r="AG620" s="13" t="s">
        <v>6521</v>
      </c>
      <c r="AH620" s="13" t="s">
        <v>60</v>
      </c>
      <c r="AI620" s="13" t="s">
        <v>61</v>
      </c>
      <c r="AJ620" s="13" t="s">
        <v>5888</v>
      </c>
      <c r="AK620" s="13" t="s">
        <v>6522</v>
      </c>
      <c r="AL620" s="13" t="s">
        <v>64</v>
      </c>
      <c r="AM620" s="13" t="s">
        <v>6523</v>
      </c>
      <c r="AN620" s="13" t="s">
        <v>50</v>
      </c>
      <c r="AO620" s="15" t="s">
        <v>50</v>
      </c>
      <c r="AP620" s="13" t="s">
        <v>50</v>
      </c>
      <c r="AQ620" s="13" t="s">
        <v>50</v>
      </c>
      <c r="AR620" s="13" t="s">
        <v>50</v>
      </c>
      <c r="AS620" s="13" t="s">
        <v>50</v>
      </c>
      <c r="AT620" s="13" t="s">
        <v>50</v>
      </c>
      <c r="AU620" s="13" t="s">
        <v>50</v>
      </c>
      <c r="AV620" s="15"/>
      <c r="AW620" s="13" t="s">
        <v>50</v>
      </c>
      <c r="AX620" s="13"/>
      <c r="AY620" s="13" t="s">
        <v>50</v>
      </c>
    </row>
    <row r="621" ht="22.5" hidden="1" customHeight="1">
      <c r="A621" s="16" t="s">
        <v>6524</v>
      </c>
      <c r="B621" s="17" t="s">
        <v>6514</v>
      </c>
      <c r="C621" s="17" t="s">
        <v>43</v>
      </c>
      <c r="D621" s="17" t="s">
        <v>2402</v>
      </c>
      <c r="E621" s="17" t="s">
        <v>45</v>
      </c>
      <c r="F621" s="18">
        <v>1.0</v>
      </c>
      <c r="G621" s="18"/>
      <c r="H621" s="18"/>
      <c r="I621" s="18"/>
      <c r="J621" s="18"/>
      <c r="K621" s="18"/>
      <c r="L621" s="18"/>
      <c r="M621" s="17" t="s">
        <v>50</v>
      </c>
      <c r="N621" s="17" t="s">
        <v>45</v>
      </c>
      <c r="O621" s="17" t="s">
        <v>1821</v>
      </c>
      <c r="P621" s="17" t="s">
        <v>1822</v>
      </c>
      <c r="Q621" s="17" t="s">
        <v>1823</v>
      </c>
      <c r="R621" s="17" t="s">
        <v>74</v>
      </c>
      <c r="S621" s="18">
        <v>48.0</v>
      </c>
      <c r="T621" s="18">
        <v>6.28</v>
      </c>
      <c r="U621" s="18" t="s">
        <v>51</v>
      </c>
      <c r="V621" s="17" t="s">
        <v>50</v>
      </c>
      <c r="W621" s="17" t="s">
        <v>50</v>
      </c>
      <c r="X621" s="17" t="s">
        <v>50</v>
      </c>
      <c r="Y621" s="17" t="s">
        <v>50</v>
      </c>
      <c r="Z621" s="17" t="s">
        <v>50</v>
      </c>
      <c r="AA621" s="17" t="s">
        <v>50</v>
      </c>
      <c r="AB621" s="17" t="s">
        <v>50</v>
      </c>
      <c r="AC621" s="17" t="s">
        <v>50</v>
      </c>
      <c r="AD621" s="17" t="s">
        <v>50</v>
      </c>
      <c r="AE621" s="17" t="s">
        <v>50</v>
      </c>
      <c r="AF621" s="17" t="s">
        <v>50</v>
      </c>
      <c r="AG621" s="17" t="s">
        <v>50</v>
      </c>
      <c r="AH621" s="17" t="s">
        <v>50</v>
      </c>
      <c r="AI621" s="17" t="s">
        <v>50</v>
      </c>
      <c r="AJ621" s="17" t="s">
        <v>50</v>
      </c>
      <c r="AK621" s="17" t="s">
        <v>50</v>
      </c>
      <c r="AL621" s="17" t="s">
        <v>50</v>
      </c>
      <c r="AM621" s="17" t="s">
        <v>50</v>
      </c>
      <c r="AN621" s="17" t="s">
        <v>50</v>
      </c>
      <c r="AO621" s="18" t="s">
        <v>50</v>
      </c>
      <c r="AP621" s="17" t="s">
        <v>50</v>
      </c>
      <c r="AQ621" s="17" t="s">
        <v>50</v>
      </c>
      <c r="AR621" s="17" t="s">
        <v>50</v>
      </c>
      <c r="AS621" s="17" t="s">
        <v>50</v>
      </c>
      <c r="AT621" s="17" t="s">
        <v>50</v>
      </c>
      <c r="AU621" s="17" t="s">
        <v>50</v>
      </c>
      <c r="AV621" s="18"/>
      <c r="AW621" s="17" t="s">
        <v>66</v>
      </c>
      <c r="AX621" s="17"/>
      <c r="AY621" s="17" t="s">
        <v>66</v>
      </c>
    </row>
    <row r="622" ht="22.5" hidden="1" customHeight="1">
      <c r="A622" s="16" t="s">
        <v>6525</v>
      </c>
      <c r="B622" s="17" t="s">
        <v>6514</v>
      </c>
      <c r="C622" s="17" t="s">
        <v>43</v>
      </c>
      <c r="D622" s="17" t="s">
        <v>2402</v>
      </c>
      <c r="E622" s="17" t="s">
        <v>45</v>
      </c>
      <c r="F622" s="18">
        <v>1.0</v>
      </c>
      <c r="G622" s="18"/>
      <c r="H622" s="18"/>
      <c r="I622" s="18"/>
      <c r="J622" s="18"/>
      <c r="K622" s="18"/>
      <c r="L622" s="18"/>
      <c r="M622" s="17" t="s">
        <v>50</v>
      </c>
      <c r="N622" s="17" t="s">
        <v>45</v>
      </c>
      <c r="O622" s="17" t="s">
        <v>176</v>
      </c>
      <c r="P622" s="17" t="s">
        <v>177</v>
      </c>
      <c r="Q622" s="17" t="s">
        <v>178</v>
      </c>
      <c r="R622" s="17" t="s">
        <v>74</v>
      </c>
      <c r="S622" s="18">
        <v>43.7</v>
      </c>
      <c r="T622" s="18">
        <v>22.58</v>
      </c>
      <c r="U622" s="18" t="s">
        <v>51</v>
      </c>
      <c r="V622" s="17" t="s">
        <v>50</v>
      </c>
      <c r="W622" s="17" t="s">
        <v>50</v>
      </c>
      <c r="X622" s="17" t="s">
        <v>50</v>
      </c>
      <c r="Y622" s="17" t="s">
        <v>50</v>
      </c>
      <c r="Z622" s="17" t="s">
        <v>50</v>
      </c>
      <c r="AA622" s="17" t="s">
        <v>50</v>
      </c>
      <c r="AB622" s="17" t="s">
        <v>50</v>
      </c>
      <c r="AC622" s="17" t="s">
        <v>50</v>
      </c>
      <c r="AD622" s="17" t="s">
        <v>50</v>
      </c>
      <c r="AE622" s="17" t="s">
        <v>50</v>
      </c>
      <c r="AF622" s="17" t="s">
        <v>50</v>
      </c>
      <c r="AG622" s="17" t="s">
        <v>50</v>
      </c>
      <c r="AH622" s="17" t="s">
        <v>50</v>
      </c>
      <c r="AI622" s="17" t="s">
        <v>50</v>
      </c>
      <c r="AJ622" s="17" t="s">
        <v>50</v>
      </c>
      <c r="AK622" s="17" t="s">
        <v>50</v>
      </c>
      <c r="AL622" s="17" t="s">
        <v>50</v>
      </c>
      <c r="AM622" s="17" t="s">
        <v>50</v>
      </c>
      <c r="AN622" s="17" t="s">
        <v>50</v>
      </c>
      <c r="AO622" s="18" t="s">
        <v>50</v>
      </c>
      <c r="AP622" s="17" t="s">
        <v>50</v>
      </c>
      <c r="AQ622" s="17" t="s">
        <v>50</v>
      </c>
      <c r="AR622" s="17" t="s">
        <v>50</v>
      </c>
      <c r="AS622" s="17" t="s">
        <v>50</v>
      </c>
      <c r="AT622" s="17" t="s">
        <v>50</v>
      </c>
      <c r="AU622" s="17" t="s">
        <v>50</v>
      </c>
      <c r="AV622" s="18"/>
      <c r="AW622" s="17" t="s">
        <v>66</v>
      </c>
      <c r="AX622" s="17"/>
      <c r="AY622" s="17" t="s">
        <v>66</v>
      </c>
    </row>
    <row r="623" ht="22.5" hidden="1" customHeight="1">
      <c r="A623" s="9" t="s">
        <v>6526</v>
      </c>
      <c r="B623" s="10" t="s">
        <v>6527</v>
      </c>
      <c r="C623" s="10" t="s">
        <v>43</v>
      </c>
      <c r="D623" s="10" t="s">
        <v>4592</v>
      </c>
      <c r="E623" s="10" t="s">
        <v>66</v>
      </c>
      <c r="F623" s="11">
        <v>1.0</v>
      </c>
      <c r="G623" s="11">
        <v>120.0</v>
      </c>
      <c r="H623" s="11">
        <v>7.55</v>
      </c>
      <c r="I623" s="11">
        <v>-20.4</v>
      </c>
      <c r="J623" s="11">
        <v>-27.5</v>
      </c>
      <c r="K623" s="11"/>
      <c r="L623" s="11">
        <v>86.85</v>
      </c>
      <c r="M623" s="10" t="s">
        <v>46</v>
      </c>
      <c r="N623" s="10" t="s">
        <v>45</v>
      </c>
      <c r="O623" s="10" t="s">
        <v>85</v>
      </c>
      <c r="P623" s="10" t="s">
        <v>86</v>
      </c>
      <c r="Q623" s="10" t="s">
        <v>87</v>
      </c>
      <c r="R623" s="10" t="s">
        <v>74</v>
      </c>
      <c r="S623" s="11">
        <v>120.0</v>
      </c>
      <c r="T623" s="11">
        <v>65.78</v>
      </c>
      <c r="U623" s="11" t="s">
        <v>51</v>
      </c>
      <c r="V623" s="10" t="s">
        <v>52</v>
      </c>
      <c r="W623" s="10" t="s">
        <v>6528</v>
      </c>
      <c r="X623" s="10" t="s">
        <v>6529</v>
      </c>
      <c r="Y623" s="10" t="s">
        <v>6530</v>
      </c>
      <c r="Z623" s="10" t="s">
        <v>50</v>
      </c>
      <c r="AA623" s="10" t="s">
        <v>50</v>
      </c>
      <c r="AB623" s="10" t="s">
        <v>6528</v>
      </c>
      <c r="AC623" s="10" t="s">
        <v>6531</v>
      </c>
      <c r="AD623" s="10" t="s">
        <v>6532</v>
      </c>
      <c r="AE623" s="10" t="s">
        <v>6533</v>
      </c>
      <c r="AF623" s="10" t="s">
        <v>1417</v>
      </c>
      <c r="AG623" s="10" t="s">
        <v>6534</v>
      </c>
      <c r="AH623" s="10" t="s">
        <v>60</v>
      </c>
      <c r="AI623" s="10" t="s">
        <v>61</v>
      </c>
      <c r="AJ623" s="10" t="s">
        <v>2410</v>
      </c>
      <c r="AK623" s="10" t="s">
        <v>6535</v>
      </c>
      <c r="AL623" s="10" t="s">
        <v>64</v>
      </c>
      <c r="AM623" s="10" t="s">
        <v>6536</v>
      </c>
      <c r="AN623" s="10" t="s">
        <v>50</v>
      </c>
      <c r="AO623" s="11" t="s">
        <v>50</v>
      </c>
      <c r="AP623" s="10" t="s">
        <v>50</v>
      </c>
      <c r="AQ623" s="10" t="s">
        <v>50</v>
      </c>
      <c r="AR623" s="10" t="s">
        <v>50</v>
      </c>
      <c r="AS623" s="10" t="s">
        <v>50</v>
      </c>
      <c r="AT623" s="10" t="s">
        <v>50</v>
      </c>
      <c r="AU623" s="10" t="s">
        <v>50</v>
      </c>
      <c r="AV623" s="11"/>
      <c r="AW623" s="10" t="s">
        <v>66</v>
      </c>
      <c r="AX623" s="10"/>
      <c r="AY623" s="10" t="s">
        <v>66</v>
      </c>
    </row>
    <row r="624" ht="22.5" hidden="1" customHeight="1">
      <c r="A624" s="9" t="s">
        <v>6537</v>
      </c>
      <c r="B624" s="10" t="s">
        <v>6538</v>
      </c>
      <c r="C624" s="10" t="s">
        <v>43</v>
      </c>
      <c r="D624" s="10" t="s">
        <v>6539</v>
      </c>
      <c r="E624" s="10" t="s">
        <v>66</v>
      </c>
      <c r="F624" s="11">
        <v>1.0</v>
      </c>
      <c r="G624" s="11">
        <v>43.7</v>
      </c>
      <c r="H624" s="11">
        <v>18.9</v>
      </c>
      <c r="I624" s="11">
        <v>-13.43</v>
      </c>
      <c r="J624" s="11">
        <v>-18.9</v>
      </c>
      <c r="K624" s="11"/>
      <c r="L624" s="11">
        <v>32.89</v>
      </c>
      <c r="M624" s="10" t="s">
        <v>46</v>
      </c>
      <c r="N624" s="10" t="s">
        <v>45</v>
      </c>
      <c r="O624" s="10" t="s">
        <v>176</v>
      </c>
      <c r="P624" s="10" t="s">
        <v>177</v>
      </c>
      <c r="Q624" s="10" t="s">
        <v>178</v>
      </c>
      <c r="R624" s="10" t="s">
        <v>74</v>
      </c>
      <c r="S624" s="11">
        <v>43.7</v>
      </c>
      <c r="T624" s="11">
        <v>22.58</v>
      </c>
      <c r="U624" s="11" t="s">
        <v>51</v>
      </c>
      <c r="V624" s="10" t="s">
        <v>52</v>
      </c>
      <c r="W624" s="10" t="s">
        <v>6540</v>
      </c>
      <c r="X624" s="10" t="s">
        <v>6541</v>
      </c>
      <c r="Y624" s="10" t="s">
        <v>6542</v>
      </c>
      <c r="Z624" s="10" t="s">
        <v>50</v>
      </c>
      <c r="AA624" s="10" t="s">
        <v>50</v>
      </c>
      <c r="AB624" s="10" t="s">
        <v>6540</v>
      </c>
      <c r="AC624" s="10" t="s">
        <v>6543</v>
      </c>
      <c r="AD624" s="10" t="s">
        <v>6544</v>
      </c>
      <c r="AE624" s="10" t="s">
        <v>6545</v>
      </c>
      <c r="AF624" s="10" t="s">
        <v>151</v>
      </c>
      <c r="AG624" s="10" t="s">
        <v>6546</v>
      </c>
      <c r="AH624" s="10" t="s">
        <v>60</v>
      </c>
      <c r="AI624" s="10" t="s">
        <v>61</v>
      </c>
      <c r="AJ624" s="10" t="s">
        <v>6547</v>
      </c>
      <c r="AK624" s="10" t="s">
        <v>6548</v>
      </c>
      <c r="AL624" s="10" t="s">
        <v>64</v>
      </c>
      <c r="AM624" s="10" t="s">
        <v>6549</v>
      </c>
      <c r="AN624" s="10" t="s">
        <v>50</v>
      </c>
      <c r="AO624" s="11" t="s">
        <v>50</v>
      </c>
      <c r="AP624" s="10" t="s">
        <v>50</v>
      </c>
      <c r="AQ624" s="10" t="s">
        <v>50</v>
      </c>
      <c r="AR624" s="10" t="s">
        <v>50</v>
      </c>
      <c r="AS624" s="10" t="s">
        <v>50</v>
      </c>
      <c r="AT624" s="10" t="s">
        <v>50</v>
      </c>
      <c r="AU624" s="10" t="s">
        <v>50</v>
      </c>
      <c r="AV624" s="11"/>
      <c r="AW624" s="10" t="s">
        <v>66</v>
      </c>
      <c r="AX624" s="10"/>
      <c r="AY624" s="10" t="s">
        <v>66</v>
      </c>
    </row>
    <row r="625" ht="22.5" hidden="1" customHeight="1">
      <c r="A625" s="9" t="s">
        <v>6550</v>
      </c>
      <c r="B625" s="10" t="s">
        <v>6551</v>
      </c>
      <c r="C625" s="10" t="s">
        <v>43</v>
      </c>
      <c r="D625" s="10" t="s">
        <v>3477</v>
      </c>
      <c r="E625" s="10" t="s">
        <v>66</v>
      </c>
      <c r="F625" s="11">
        <v>1.0</v>
      </c>
      <c r="G625" s="11">
        <v>80.0</v>
      </c>
      <c r="H625" s="11"/>
      <c r="I625" s="11">
        <v>-13.6</v>
      </c>
      <c r="J625" s="11">
        <v>-19.95</v>
      </c>
      <c r="K625" s="11"/>
      <c r="L625" s="11">
        <v>50.45</v>
      </c>
      <c r="M625" s="10" t="s">
        <v>46</v>
      </c>
      <c r="N625" s="10" t="s">
        <v>45</v>
      </c>
      <c r="O625" s="10" t="s">
        <v>143</v>
      </c>
      <c r="P625" s="10" t="s">
        <v>144</v>
      </c>
      <c r="Q625" s="10" t="s">
        <v>145</v>
      </c>
      <c r="R625" s="10" t="s">
        <v>74</v>
      </c>
      <c r="S625" s="11">
        <v>80.0</v>
      </c>
      <c r="T625" s="11">
        <v>33.38</v>
      </c>
      <c r="U625" s="11" t="s">
        <v>51</v>
      </c>
      <c r="V625" s="10" t="s">
        <v>52</v>
      </c>
      <c r="W625" s="10" t="s">
        <v>6552</v>
      </c>
      <c r="X625" s="10" t="s">
        <v>6553</v>
      </c>
      <c r="Y625" s="10" t="s">
        <v>6554</v>
      </c>
      <c r="Z625" s="10" t="s">
        <v>50</v>
      </c>
      <c r="AA625" s="10" t="s">
        <v>50</v>
      </c>
      <c r="AB625" s="10" t="s">
        <v>6552</v>
      </c>
      <c r="AC625" s="10" t="s">
        <v>6555</v>
      </c>
      <c r="AD625" s="10" t="s">
        <v>6556</v>
      </c>
      <c r="AE625" s="10" t="s">
        <v>6557</v>
      </c>
      <c r="AF625" s="10" t="s">
        <v>136</v>
      </c>
      <c r="AG625" s="10" t="s">
        <v>6558</v>
      </c>
      <c r="AH625" s="10" t="s">
        <v>60</v>
      </c>
      <c r="AI625" s="10" t="s">
        <v>61</v>
      </c>
      <c r="AJ625" s="10" t="s">
        <v>6559</v>
      </c>
      <c r="AK625" s="10" t="s">
        <v>6560</v>
      </c>
      <c r="AL625" s="10" t="s">
        <v>64</v>
      </c>
      <c r="AM625" s="10" t="s">
        <v>6561</v>
      </c>
      <c r="AN625" s="10" t="s">
        <v>50</v>
      </c>
      <c r="AO625" s="11" t="s">
        <v>50</v>
      </c>
      <c r="AP625" s="10" t="s">
        <v>50</v>
      </c>
      <c r="AQ625" s="10" t="s">
        <v>50</v>
      </c>
      <c r="AR625" s="10" t="s">
        <v>50</v>
      </c>
      <c r="AS625" s="10" t="s">
        <v>50</v>
      </c>
      <c r="AT625" s="10" t="s">
        <v>50</v>
      </c>
      <c r="AU625" s="10" t="s">
        <v>50</v>
      </c>
      <c r="AV625" s="11"/>
      <c r="AW625" s="10" t="s">
        <v>66</v>
      </c>
      <c r="AX625" s="10"/>
      <c r="AY625" s="10" t="s">
        <v>66</v>
      </c>
    </row>
    <row r="626" ht="22.5" hidden="1" customHeight="1">
      <c r="A626" s="12" t="s">
        <v>6562</v>
      </c>
      <c r="B626" s="13" t="s">
        <v>6563</v>
      </c>
      <c r="C626" s="13" t="s">
        <v>747</v>
      </c>
      <c r="D626" s="13" t="s">
        <v>50</v>
      </c>
      <c r="E626" s="13" t="s">
        <v>50</v>
      </c>
      <c r="F626" s="14"/>
      <c r="G626" s="14">
        <v>159.0</v>
      </c>
      <c r="H626" s="14"/>
      <c r="I626" s="14">
        <v>-27.03</v>
      </c>
      <c r="J626" s="14">
        <v>-40.4</v>
      </c>
      <c r="K626" s="14"/>
      <c r="L626" s="14">
        <v>95.57</v>
      </c>
      <c r="M626" s="13" t="s">
        <v>46</v>
      </c>
      <c r="N626" s="13" t="s">
        <v>50</v>
      </c>
      <c r="O626" s="13" t="s">
        <v>50</v>
      </c>
      <c r="P626" s="13" t="s">
        <v>50</v>
      </c>
      <c r="Q626" s="13" t="s">
        <v>50</v>
      </c>
      <c r="R626" s="13" t="s">
        <v>50</v>
      </c>
      <c r="S626" s="14"/>
      <c r="T626" s="14"/>
      <c r="U626" s="14" t="s">
        <v>50</v>
      </c>
      <c r="V626" s="13" t="s">
        <v>52</v>
      </c>
      <c r="W626" s="13" t="s">
        <v>6564</v>
      </c>
      <c r="X626" s="13" t="s">
        <v>6565</v>
      </c>
      <c r="Y626" s="13" t="s">
        <v>6566</v>
      </c>
      <c r="Z626" s="13" t="s">
        <v>50</v>
      </c>
      <c r="AA626" s="13" t="s">
        <v>50</v>
      </c>
      <c r="AB626" s="13" t="s">
        <v>6564</v>
      </c>
      <c r="AC626" s="13" t="s">
        <v>6567</v>
      </c>
      <c r="AD626" s="13" t="s">
        <v>6568</v>
      </c>
      <c r="AE626" s="13" t="s">
        <v>6569</v>
      </c>
      <c r="AF626" s="13" t="s">
        <v>1417</v>
      </c>
      <c r="AG626" s="13" t="s">
        <v>6570</v>
      </c>
      <c r="AH626" s="13" t="s">
        <v>60</v>
      </c>
      <c r="AI626" s="13" t="s">
        <v>61</v>
      </c>
      <c r="AJ626" s="13" t="s">
        <v>6571</v>
      </c>
      <c r="AK626" s="13" t="s">
        <v>4829</v>
      </c>
      <c r="AL626" s="13" t="s">
        <v>64</v>
      </c>
      <c r="AM626" s="13" t="s">
        <v>6572</v>
      </c>
      <c r="AN626" s="13" t="s">
        <v>50</v>
      </c>
      <c r="AO626" s="15" t="s">
        <v>50</v>
      </c>
      <c r="AP626" s="13" t="s">
        <v>50</v>
      </c>
      <c r="AQ626" s="13" t="s">
        <v>50</v>
      </c>
      <c r="AR626" s="13" t="s">
        <v>50</v>
      </c>
      <c r="AS626" s="13" t="s">
        <v>50</v>
      </c>
      <c r="AT626" s="13" t="s">
        <v>50</v>
      </c>
      <c r="AU626" s="13" t="s">
        <v>50</v>
      </c>
      <c r="AV626" s="15"/>
      <c r="AW626" s="13" t="s">
        <v>50</v>
      </c>
      <c r="AX626" s="13"/>
      <c r="AY626" s="13" t="s">
        <v>50</v>
      </c>
    </row>
    <row r="627" ht="22.5" hidden="1" customHeight="1">
      <c r="A627" s="16" t="s">
        <v>6573</v>
      </c>
      <c r="B627" s="17" t="s">
        <v>6563</v>
      </c>
      <c r="C627" s="17" t="s">
        <v>43</v>
      </c>
      <c r="D627" s="17" t="s">
        <v>4506</v>
      </c>
      <c r="E627" s="17" t="s">
        <v>45</v>
      </c>
      <c r="F627" s="18">
        <v>1.0</v>
      </c>
      <c r="G627" s="18"/>
      <c r="H627" s="18"/>
      <c r="I627" s="18"/>
      <c r="J627" s="18"/>
      <c r="K627" s="18"/>
      <c r="L627" s="18"/>
      <c r="M627" s="17" t="s">
        <v>50</v>
      </c>
      <c r="N627" s="17" t="s">
        <v>45</v>
      </c>
      <c r="O627" s="17" t="s">
        <v>160</v>
      </c>
      <c r="P627" s="17" t="s">
        <v>161</v>
      </c>
      <c r="Q627" s="17" t="s">
        <v>162</v>
      </c>
      <c r="R627" s="17" t="s">
        <v>74</v>
      </c>
      <c r="S627" s="18">
        <v>79.0</v>
      </c>
      <c r="T627" s="18">
        <v>2.49</v>
      </c>
      <c r="U627" s="18" t="s">
        <v>51</v>
      </c>
      <c r="V627" s="17" t="s">
        <v>50</v>
      </c>
      <c r="W627" s="17" t="s">
        <v>50</v>
      </c>
      <c r="X627" s="17" t="s">
        <v>50</v>
      </c>
      <c r="Y627" s="17" t="s">
        <v>50</v>
      </c>
      <c r="Z627" s="17" t="s">
        <v>50</v>
      </c>
      <c r="AA627" s="17" t="s">
        <v>50</v>
      </c>
      <c r="AB627" s="17" t="s">
        <v>50</v>
      </c>
      <c r="AC627" s="17" t="s">
        <v>50</v>
      </c>
      <c r="AD627" s="17" t="s">
        <v>50</v>
      </c>
      <c r="AE627" s="17" t="s">
        <v>50</v>
      </c>
      <c r="AF627" s="17" t="s">
        <v>50</v>
      </c>
      <c r="AG627" s="17" t="s">
        <v>50</v>
      </c>
      <c r="AH627" s="17" t="s">
        <v>50</v>
      </c>
      <c r="AI627" s="17" t="s">
        <v>50</v>
      </c>
      <c r="AJ627" s="17" t="s">
        <v>50</v>
      </c>
      <c r="AK627" s="17" t="s">
        <v>50</v>
      </c>
      <c r="AL627" s="17" t="s">
        <v>50</v>
      </c>
      <c r="AM627" s="17" t="s">
        <v>50</v>
      </c>
      <c r="AN627" s="17" t="s">
        <v>50</v>
      </c>
      <c r="AO627" s="18" t="s">
        <v>50</v>
      </c>
      <c r="AP627" s="17" t="s">
        <v>50</v>
      </c>
      <c r="AQ627" s="17" t="s">
        <v>50</v>
      </c>
      <c r="AR627" s="17" t="s">
        <v>50</v>
      </c>
      <c r="AS627" s="17" t="s">
        <v>50</v>
      </c>
      <c r="AT627" s="17" t="s">
        <v>50</v>
      </c>
      <c r="AU627" s="17" t="s">
        <v>50</v>
      </c>
      <c r="AV627" s="18"/>
      <c r="AW627" s="17" t="s">
        <v>66</v>
      </c>
      <c r="AX627" s="17"/>
      <c r="AY627" s="17" t="s">
        <v>66</v>
      </c>
    </row>
    <row r="628" ht="22.5" hidden="1" customHeight="1">
      <c r="A628" s="16" t="s">
        <v>6574</v>
      </c>
      <c r="B628" s="17" t="s">
        <v>6563</v>
      </c>
      <c r="C628" s="17" t="s">
        <v>43</v>
      </c>
      <c r="D628" s="17" t="s">
        <v>4506</v>
      </c>
      <c r="E628" s="17" t="s">
        <v>45</v>
      </c>
      <c r="F628" s="18">
        <v>1.0</v>
      </c>
      <c r="G628" s="18"/>
      <c r="H628" s="18"/>
      <c r="I628" s="18"/>
      <c r="J628" s="18"/>
      <c r="K628" s="18"/>
      <c r="L628" s="18"/>
      <c r="M628" s="17" t="s">
        <v>50</v>
      </c>
      <c r="N628" s="17" t="s">
        <v>45</v>
      </c>
      <c r="O628" s="17" t="s">
        <v>143</v>
      </c>
      <c r="P628" s="17" t="s">
        <v>144</v>
      </c>
      <c r="Q628" s="17" t="s">
        <v>145</v>
      </c>
      <c r="R628" s="17" t="s">
        <v>74</v>
      </c>
      <c r="S628" s="18">
        <v>80.0</v>
      </c>
      <c r="T628" s="18">
        <v>33.38</v>
      </c>
      <c r="U628" s="18" t="s">
        <v>51</v>
      </c>
      <c r="V628" s="17" t="s">
        <v>50</v>
      </c>
      <c r="W628" s="17" t="s">
        <v>50</v>
      </c>
      <c r="X628" s="17" t="s">
        <v>50</v>
      </c>
      <c r="Y628" s="17" t="s">
        <v>50</v>
      </c>
      <c r="Z628" s="17" t="s">
        <v>50</v>
      </c>
      <c r="AA628" s="17" t="s">
        <v>50</v>
      </c>
      <c r="AB628" s="17" t="s">
        <v>50</v>
      </c>
      <c r="AC628" s="17" t="s">
        <v>50</v>
      </c>
      <c r="AD628" s="17" t="s">
        <v>50</v>
      </c>
      <c r="AE628" s="17" t="s">
        <v>50</v>
      </c>
      <c r="AF628" s="17" t="s">
        <v>50</v>
      </c>
      <c r="AG628" s="17" t="s">
        <v>50</v>
      </c>
      <c r="AH628" s="17" t="s">
        <v>50</v>
      </c>
      <c r="AI628" s="17" t="s">
        <v>50</v>
      </c>
      <c r="AJ628" s="17" t="s">
        <v>50</v>
      </c>
      <c r="AK628" s="17" t="s">
        <v>50</v>
      </c>
      <c r="AL628" s="17" t="s">
        <v>50</v>
      </c>
      <c r="AM628" s="17" t="s">
        <v>50</v>
      </c>
      <c r="AN628" s="17" t="s">
        <v>50</v>
      </c>
      <c r="AO628" s="18" t="s">
        <v>50</v>
      </c>
      <c r="AP628" s="17" t="s">
        <v>50</v>
      </c>
      <c r="AQ628" s="17" t="s">
        <v>50</v>
      </c>
      <c r="AR628" s="17" t="s">
        <v>50</v>
      </c>
      <c r="AS628" s="17" t="s">
        <v>50</v>
      </c>
      <c r="AT628" s="17" t="s">
        <v>50</v>
      </c>
      <c r="AU628" s="17" t="s">
        <v>50</v>
      </c>
      <c r="AV628" s="18"/>
      <c r="AW628" s="17" t="s">
        <v>66</v>
      </c>
      <c r="AX628" s="17"/>
      <c r="AY628" s="17" t="s">
        <v>66</v>
      </c>
    </row>
    <row r="629" ht="22.5" hidden="1" customHeight="1">
      <c r="A629" s="9" t="s">
        <v>6575</v>
      </c>
      <c r="B629" s="10" t="s">
        <v>6576</v>
      </c>
      <c r="C629" s="10" t="s">
        <v>69</v>
      </c>
      <c r="D629" s="10" t="s">
        <v>402</v>
      </c>
      <c r="E629" s="10" t="s">
        <v>66</v>
      </c>
      <c r="F629" s="11">
        <v>1.0</v>
      </c>
      <c r="G629" s="11">
        <v>84.0</v>
      </c>
      <c r="H629" s="11"/>
      <c r="I629" s="11">
        <v>-14.28</v>
      </c>
      <c r="J629" s="11">
        <v>-20.45</v>
      </c>
      <c r="K629" s="11">
        <v>-49.27</v>
      </c>
      <c r="L629" s="11">
        <v>0.0</v>
      </c>
      <c r="M629" s="10" t="s">
        <v>46</v>
      </c>
      <c r="N629" s="10" t="s">
        <v>45</v>
      </c>
      <c r="O629" s="10" t="s">
        <v>265</v>
      </c>
      <c r="P629" s="10" t="s">
        <v>266</v>
      </c>
      <c r="Q629" s="10" t="s">
        <v>267</v>
      </c>
      <c r="R629" s="10" t="s">
        <v>74</v>
      </c>
      <c r="S629" s="11">
        <v>84.0</v>
      </c>
      <c r="T629" s="11"/>
      <c r="U629" s="11" t="s">
        <v>51</v>
      </c>
      <c r="V629" s="10" t="s">
        <v>52</v>
      </c>
      <c r="W629" s="10" t="s">
        <v>6577</v>
      </c>
      <c r="X629" s="10" t="s">
        <v>6578</v>
      </c>
      <c r="Y629" s="10" t="s">
        <v>6579</v>
      </c>
      <c r="Z629" s="10" t="s">
        <v>50</v>
      </c>
      <c r="AA629" s="10" t="s">
        <v>50</v>
      </c>
      <c r="AB629" s="10" t="s">
        <v>6577</v>
      </c>
      <c r="AC629" s="10" t="s">
        <v>6580</v>
      </c>
      <c r="AD629" s="10" t="s">
        <v>50</v>
      </c>
      <c r="AE629" s="10" t="s">
        <v>58</v>
      </c>
      <c r="AF629" s="10" t="s">
        <v>58</v>
      </c>
      <c r="AG629" s="10" t="s">
        <v>6581</v>
      </c>
      <c r="AH629" s="10" t="s">
        <v>60</v>
      </c>
      <c r="AI629" s="10" t="s">
        <v>61</v>
      </c>
      <c r="AJ629" s="10" t="s">
        <v>50</v>
      </c>
      <c r="AK629" s="10" t="s">
        <v>50</v>
      </c>
      <c r="AL629" s="10" t="s">
        <v>64</v>
      </c>
      <c r="AM629" s="10" t="s">
        <v>6582</v>
      </c>
      <c r="AN629" s="10" t="s">
        <v>50</v>
      </c>
      <c r="AO629" s="11" t="s">
        <v>50</v>
      </c>
      <c r="AP629" s="10" t="s">
        <v>50</v>
      </c>
      <c r="AQ629" s="10" t="s">
        <v>50</v>
      </c>
      <c r="AR629" s="10" t="s">
        <v>50</v>
      </c>
      <c r="AS629" s="10" t="s">
        <v>50</v>
      </c>
      <c r="AT629" s="10" t="s">
        <v>50</v>
      </c>
      <c r="AU629" s="10" t="s">
        <v>50</v>
      </c>
      <c r="AV629" s="11"/>
      <c r="AW629" s="10" t="s">
        <v>66</v>
      </c>
      <c r="AX629" s="10"/>
      <c r="AY629" s="10" t="s">
        <v>66</v>
      </c>
    </row>
    <row r="630" ht="22.5" hidden="1" customHeight="1">
      <c r="A630" s="9" t="s">
        <v>6583</v>
      </c>
      <c r="B630" s="10" t="s">
        <v>6584</v>
      </c>
      <c r="C630" s="10" t="s">
        <v>43</v>
      </c>
      <c r="D630" s="10" t="s">
        <v>3477</v>
      </c>
      <c r="E630" s="10" t="s">
        <v>45</v>
      </c>
      <c r="F630" s="11">
        <v>1.0</v>
      </c>
      <c r="G630" s="11">
        <v>79.0</v>
      </c>
      <c r="H630" s="11"/>
      <c r="I630" s="11">
        <v>-13.43</v>
      </c>
      <c r="J630" s="11">
        <v>-20.45</v>
      </c>
      <c r="K630" s="11"/>
      <c r="L630" s="11">
        <v>45.12</v>
      </c>
      <c r="M630" s="10" t="s">
        <v>46</v>
      </c>
      <c r="N630" s="10" t="s">
        <v>45</v>
      </c>
      <c r="O630" s="10" t="s">
        <v>160</v>
      </c>
      <c r="P630" s="10" t="s">
        <v>161</v>
      </c>
      <c r="Q630" s="10" t="s">
        <v>162</v>
      </c>
      <c r="R630" s="10" t="s">
        <v>74</v>
      </c>
      <c r="S630" s="11">
        <v>79.0</v>
      </c>
      <c r="T630" s="18">
        <v>2.49</v>
      </c>
      <c r="U630" s="11" t="s">
        <v>51</v>
      </c>
      <c r="V630" s="10" t="s">
        <v>52</v>
      </c>
      <c r="W630" s="10" t="s">
        <v>6585</v>
      </c>
      <c r="X630" s="10" t="s">
        <v>6586</v>
      </c>
      <c r="Y630" s="10" t="s">
        <v>6587</v>
      </c>
      <c r="Z630" s="10" t="s">
        <v>50</v>
      </c>
      <c r="AA630" s="10" t="s">
        <v>50</v>
      </c>
      <c r="AB630" s="10" t="s">
        <v>6585</v>
      </c>
      <c r="AC630" s="10" t="s">
        <v>6588</v>
      </c>
      <c r="AD630" s="10" t="s">
        <v>6589</v>
      </c>
      <c r="AE630" s="10" t="s">
        <v>4665</v>
      </c>
      <c r="AF630" s="10" t="s">
        <v>214</v>
      </c>
      <c r="AG630" s="10" t="s">
        <v>6590</v>
      </c>
      <c r="AH630" s="10" t="s">
        <v>60</v>
      </c>
      <c r="AI630" s="10" t="s">
        <v>61</v>
      </c>
      <c r="AJ630" s="10" t="s">
        <v>6591</v>
      </c>
      <c r="AK630" s="10" t="s">
        <v>6592</v>
      </c>
      <c r="AL630" s="10" t="s">
        <v>64</v>
      </c>
      <c r="AM630" s="10" t="s">
        <v>6593</v>
      </c>
      <c r="AN630" s="10" t="s">
        <v>50</v>
      </c>
      <c r="AO630" s="11" t="s">
        <v>50</v>
      </c>
      <c r="AP630" s="10" t="s">
        <v>50</v>
      </c>
      <c r="AQ630" s="10" t="s">
        <v>50</v>
      </c>
      <c r="AR630" s="10" t="s">
        <v>50</v>
      </c>
      <c r="AS630" s="10" t="s">
        <v>50</v>
      </c>
      <c r="AT630" s="10" t="s">
        <v>50</v>
      </c>
      <c r="AU630" s="10" t="s">
        <v>50</v>
      </c>
      <c r="AV630" s="11"/>
      <c r="AW630" s="10" t="s">
        <v>66</v>
      </c>
      <c r="AX630" s="10"/>
      <c r="AY630" s="10" t="s">
        <v>66</v>
      </c>
    </row>
    <row r="631" ht="22.5" hidden="1" customHeight="1">
      <c r="A631" s="9" t="s">
        <v>6594</v>
      </c>
      <c r="B631" s="10" t="s">
        <v>6595</v>
      </c>
      <c r="C631" s="10" t="s">
        <v>6596</v>
      </c>
      <c r="D631" s="10" t="s">
        <v>6597</v>
      </c>
      <c r="E631" s="10" t="s">
        <v>45</v>
      </c>
      <c r="F631" s="11">
        <v>2.0</v>
      </c>
      <c r="G631" s="11">
        <v>87.4</v>
      </c>
      <c r="H631" s="11"/>
      <c r="I631" s="11">
        <v>-26.86</v>
      </c>
      <c r="J631" s="11"/>
      <c r="K631" s="11"/>
      <c r="L631" s="11">
        <v>65.78</v>
      </c>
      <c r="M631" s="10" t="s">
        <v>46</v>
      </c>
      <c r="N631" s="10" t="s">
        <v>45</v>
      </c>
      <c r="O631" s="10" t="s">
        <v>176</v>
      </c>
      <c r="P631" s="10" t="s">
        <v>177</v>
      </c>
      <c r="Q631" s="10" t="s">
        <v>178</v>
      </c>
      <c r="R631" s="10" t="s">
        <v>74</v>
      </c>
      <c r="S631" s="11">
        <v>43.7</v>
      </c>
      <c r="T631" s="11">
        <f>2*22.58</f>
        <v>45.16</v>
      </c>
      <c r="U631" s="11" t="s">
        <v>51</v>
      </c>
      <c r="V631" s="10" t="s">
        <v>52</v>
      </c>
      <c r="W631" s="10" t="s">
        <v>6598</v>
      </c>
      <c r="X631" s="10" t="s">
        <v>6599</v>
      </c>
      <c r="Y631" s="10" t="s">
        <v>6600</v>
      </c>
      <c r="Z631" s="10" t="s">
        <v>50</v>
      </c>
      <c r="AA631" s="10" t="s">
        <v>50</v>
      </c>
      <c r="AB631" s="10" t="s">
        <v>6598</v>
      </c>
      <c r="AC631" s="10" t="s">
        <v>6601</v>
      </c>
      <c r="AD631" s="10" t="s">
        <v>1391</v>
      </c>
      <c r="AE631" s="10" t="s">
        <v>151</v>
      </c>
      <c r="AF631" s="10" t="s">
        <v>151</v>
      </c>
      <c r="AG631" s="10" t="s">
        <v>1392</v>
      </c>
      <c r="AH631" s="10" t="s">
        <v>60</v>
      </c>
      <c r="AI631" s="10" t="s">
        <v>61</v>
      </c>
      <c r="AJ631" s="10" t="s">
        <v>50</v>
      </c>
      <c r="AK631" s="10" t="s">
        <v>50</v>
      </c>
      <c r="AL631" s="10" t="s">
        <v>64</v>
      </c>
      <c r="AM631" s="10" t="s">
        <v>50</v>
      </c>
      <c r="AN631" s="10" t="s">
        <v>50</v>
      </c>
      <c r="AO631" s="11" t="s">
        <v>50</v>
      </c>
      <c r="AP631" s="10" t="s">
        <v>50</v>
      </c>
      <c r="AQ631" s="10" t="s">
        <v>50</v>
      </c>
      <c r="AR631" s="10" t="s">
        <v>50</v>
      </c>
      <c r="AS631" s="10" t="s">
        <v>50</v>
      </c>
      <c r="AT631" s="10" t="s">
        <v>50</v>
      </c>
      <c r="AU631" s="10" t="s">
        <v>50</v>
      </c>
      <c r="AV631" s="11">
        <v>1.0</v>
      </c>
      <c r="AW631" s="9" t="s">
        <v>45</v>
      </c>
      <c r="AX631" s="10"/>
      <c r="AY631" s="10" t="s">
        <v>66</v>
      </c>
    </row>
    <row r="632" ht="22.5" hidden="1" customHeight="1">
      <c r="A632" s="9" t="s">
        <v>6602</v>
      </c>
      <c r="B632" s="10" t="s">
        <v>6603</v>
      </c>
      <c r="C632" s="10" t="s">
        <v>6604</v>
      </c>
      <c r="D632" s="10" t="s">
        <v>6605</v>
      </c>
      <c r="E632" s="10" t="s">
        <v>66</v>
      </c>
      <c r="F632" s="11">
        <v>1.0</v>
      </c>
      <c r="G632" s="11">
        <v>80.0</v>
      </c>
      <c r="H632" s="11"/>
      <c r="I632" s="11">
        <v>-53.5</v>
      </c>
      <c r="J632" s="11">
        <v>-19.95</v>
      </c>
      <c r="K632" s="11"/>
      <c r="L632" s="11">
        <v>10.55</v>
      </c>
      <c r="M632" s="10" t="s">
        <v>46</v>
      </c>
      <c r="N632" s="10" t="s">
        <v>50</v>
      </c>
      <c r="O632" s="10" t="s">
        <v>143</v>
      </c>
      <c r="P632" s="10" t="s">
        <v>144</v>
      </c>
      <c r="Q632" s="10" t="s">
        <v>145</v>
      </c>
      <c r="R632" s="10" t="s">
        <v>74</v>
      </c>
      <c r="S632" s="11">
        <v>80.0</v>
      </c>
      <c r="T632" s="11">
        <v>33.38</v>
      </c>
      <c r="U632" s="11" t="s">
        <v>51</v>
      </c>
      <c r="V632" s="10" t="s">
        <v>52</v>
      </c>
      <c r="W632" s="10" t="s">
        <v>6606</v>
      </c>
      <c r="X632" s="10" t="s">
        <v>6607</v>
      </c>
      <c r="Y632" s="10" t="s">
        <v>6608</v>
      </c>
      <c r="Z632" s="10" t="s">
        <v>50</v>
      </c>
      <c r="AA632" s="10" t="s">
        <v>50</v>
      </c>
      <c r="AB632" s="10" t="s">
        <v>6606</v>
      </c>
      <c r="AC632" s="10" t="s">
        <v>6609</v>
      </c>
      <c r="AD632" s="10" t="s">
        <v>1391</v>
      </c>
      <c r="AE632" s="10" t="s">
        <v>151</v>
      </c>
      <c r="AF632" s="10" t="s">
        <v>151</v>
      </c>
      <c r="AG632" s="10" t="s">
        <v>1392</v>
      </c>
      <c r="AH632" s="10" t="s">
        <v>60</v>
      </c>
      <c r="AI632" s="10" t="s">
        <v>61</v>
      </c>
      <c r="AJ632" s="10" t="s">
        <v>6610</v>
      </c>
      <c r="AK632" s="10" t="s">
        <v>6611</v>
      </c>
      <c r="AL632" s="10" t="s">
        <v>64</v>
      </c>
      <c r="AM632" s="10" t="s">
        <v>6612</v>
      </c>
      <c r="AN632" s="10" t="s">
        <v>50</v>
      </c>
      <c r="AO632" s="11" t="s">
        <v>50</v>
      </c>
      <c r="AP632" s="10" t="s">
        <v>50</v>
      </c>
      <c r="AQ632" s="10" t="s">
        <v>50</v>
      </c>
      <c r="AR632" s="10" t="s">
        <v>50</v>
      </c>
      <c r="AS632" s="10" t="s">
        <v>50</v>
      </c>
      <c r="AT632" s="10" t="s">
        <v>50</v>
      </c>
      <c r="AU632" s="10" t="s">
        <v>50</v>
      </c>
      <c r="AV632" s="11"/>
      <c r="AW632" s="9" t="s">
        <v>45</v>
      </c>
      <c r="AX632" s="10"/>
      <c r="AY632" s="10" t="s">
        <v>66</v>
      </c>
    </row>
    <row r="633" ht="22.5" hidden="1" customHeight="1">
      <c r="A633" s="9" t="s">
        <v>6613</v>
      </c>
      <c r="B633" s="10" t="s">
        <v>6614</v>
      </c>
      <c r="C633" s="10" t="s">
        <v>43</v>
      </c>
      <c r="D633" s="10" t="s">
        <v>3477</v>
      </c>
      <c r="E633" s="10" t="s">
        <v>66</v>
      </c>
      <c r="F633" s="11">
        <v>1.0</v>
      </c>
      <c r="G633" s="11">
        <v>79.2</v>
      </c>
      <c r="H633" s="11"/>
      <c r="I633" s="11">
        <v>-13.46</v>
      </c>
      <c r="J633" s="11">
        <v>-20.45</v>
      </c>
      <c r="K633" s="11"/>
      <c r="L633" s="11">
        <v>45.29</v>
      </c>
      <c r="M633" s="10" t="s">
        <v>46</v>
      </c>
      <c r="N633" s="10" t="s">
        <v>45</v>
      </c>
      <c r="O633" s="10" t="s">
        <v>127</v>
      </c>
      <c r="P633" s="10" t="s">
        <v>128</v>
      </c>
      <c r="Q633" s="10" t="s">
        <v>129</v>
      </c>
      <c r="R633" s="10" t="s">
        <v>74</v>
      </c>
      <c r="S633" s="11">
        <v>79.2</v>
      </c>
      <c r="T633" s="11">
        <v>17.68</v>
      </c>
      <c r="U633" s="11" t="s">
        <v>51</v>
      </c>
      <c r="V633" s="10" t="s">
        <v>52</v>
      </c>
      <c r="W633" s="10" t="s">
        <v>6615</v>
      </c>
      <c r="X633" s="10" t="s">
        <v>6616</v>
      </c>
      <c r="Y633" s="10" t="s">
        <v>6617</v>
      </c>
      <c r="Z633" s="10" t="s">
        <v>50</v>
      </c>
      <c r="AA633" s="10" t="s">
        <v>50</v>
      </c>
      <c r="AB633" s="10" t="s">
        <v>6615</v>
      </c>
      <c r="AC633" s="10" t="s">
        <v>6618</v>
      </c>
      <c r="AD633" s="10" t="s">
        <v>6619</v>
      </c>
      <c r="AE633" s="10" t="s">
        <v>4203</v>
      </c>
      <c r="AF633" s="10" t="s">
        <v>58</v>
      </c>
      <c r="AG633" s="10" t="s">
        <v>6620</v>
      </c>
      <c r="AH633" s="10" t="s">
        <v>60</v>
      </c>
      <c r="AI633" s="10" t="s">
        <v>61</v>
      </c>
      <c r="AJ633" s="10" t="s">
        <v>3484</v>
      </c>
      <c r="AK633" s="10" t="s">
        <v>6621</v>
      </c>
      <c r="AL633" s="10" t="s">
        <v>64</v>
      </c>
      <c r="AM633" s="10" t="s">
        <v>6622</v>
      </c>
      <c r="AN633" s="10" t="s">
        <v>50</v>
      </c>
      <c r="AO633" s="11" t="s">
        <v>50</v>
      </c>
      <c r="AP633" s="10" t="s">
        <v>50</v>
      </c>
      <c r="AQ633" s="10" t="s">
        <v>50</v>
      </c>
      <c r="AR633" s="10" t="s">
        <v>50</v>
      </c>
      <c r="AS633" s="10" t="s">
        <v>50</v>
      </c>
      <c r="AT633" s="10" t="s">
        <v>50</v>
      </c>
      <c r="AU633" s="10" t="s">
        <v>50</v>
      </c>
      <c r="AV633" s="11"/>
      <c r="AW633" s="10" t="s">
        <v>66</v>
      </c>
      <c r="AX633" s="10"/>
      <c r="AY633" s="10" t="s">
        <v>66</v>
      </c>
    </row>
    <row r="634" ht="22.5" hidden="1" customHeight="1">
      <c r="A634" s="9" t="s">
        <v>6623</v>
      </c>
      <c r="B634" s="10" t="s">
        <v>6624</v>
      </c>
      <c r="C634" s="10" t="s">
        <v>43</v>
      </c>
      <c r="D634" s="10" t="s">
        <v>4506</v>
      </c>
      <c r="E634" s="10" t="s">
        <v>45</v>
      </c>
      <c r="F634" s="11">
        <v>2.0</v>
      </c>
      <c r="G634" s="11">
        <v>203.0</v>
      </c>
      <c r="H634" s="11"/>
      <c r="I634" s="11">
        <v>-38.56</v>
      </c>
      <c r="J634" s="11">
        <v>-39.9</v>
      </c>
      <c r="K634" s="11"/>
      <c r="L634" s="11">
        <v>124.54</v>
      </c>
      <c r="M634" s="10" t="s">
        <v>46</v>
      </c>
      <c r="N634" s="10" t="s">
        <v>45</v>
      </c>
      <c r="O634" s="10" t="s">
        <v>100</v>
      </c>
      <c r="P634" s="10" t="s">
        <v>101</v>
      </c>
      <c r="Q634" s="10" t="s">
        <v>102</v>
      </c>
      <c r="R634" s="10" t="s">
        <v>50</v>
      </c>
      <c r="S634" s="11">
        <v>101.5</v>
      </c>
      <c r="T634" s="11">
        <v>38.61</v>
      </c>
      <c r="U634" s="11" t="s">
        <v>51</v>
      </c>
      <c r="V634" s="10" t="s">
        <v>52</v>
      </c>
      <c r="W634" s="10" t="s">
        <v>6625</v>
      </c>
      <c r="X634" s="10" t="s">
        <v>6626</v>
      </c>
      <c r="Y634" s="10" t="s">
        <v>6627</v>
      </c>
      <c r="Z634" s="10" t="s">
        <v>50</v>
      </c>
      <c r="AA634" s="10" t="s">
        <v>50</v>
      </c>
      <c r="AB634" s="10" t="s">
        <v>6625</v>
      </c>
      <c r="AC634" s="10" t="s">
        <v>6628</v>
      </c>
      <c r="AD634" s="10" t="s">
        <v>6629</v>
      </c>
      <c r="AE634" s="10" t="s">
        <v>4547</v>
      </c>
      <c r="AF634" s="10" t="s">
        <v>2648</v>
      </c>
      <c r="AG634" s="10" t="s">
        <v>6630</v>
      </c>
      <c r="AH634" s="10" t="s">
        <v>60</v>
      </c>
      <c r="AI634" s="10" t="s">
        <v>61</v>
      </c>
      <c r="AJ634" s="10" t="s">
        <v>6631</v>
      </c>
      <c r="AK634" s="10" t="s">
        <v>6632</v>
      </c>
      <c r="AL634" s="10" t="s">
        <v>64</v>
      </c>
      <c r="AM634" s="10" t="s">
        <v>6633</v>
      </c>
      <c r="AN634" s="10" t="s">
        <v>50</v>
      </c>
      <c r="AO634" s="11" t="s">
        <v>50</v>
      </c>
      <c r="AP634" s="10" t="s">
        <v>50</v>
      </c>
      <c r="AQ634" s="10" t="s">
        <v>50</v>
      </c>
      <c r="AR634" s="10" t="s">
        <v>50</v>
      </c>
      <c r="AS634" s="10" t="s">
        <v>50</v>
      </c>
      <c r="AT634" s="10" t="s">
        <v>50</v>
      </c>
      <c r="AU634" s="10" t="s">
        <v>50</v>
      </c>
      <c r="AV634" s="11"/>
      <c r="AW634" s="10" t="s">
        <v>66</v>
      </c>
      <c r="AX634" s="10"/>
      <c r="AY634" s="10" t="s">
        <v>66</v>
      </c>
    </row>
    <row r="635" ht="22.5" hidden="1" customHeight="1">
      <c r="A635" s="9" t="s">
        <v>6634</v>
      </c>
      <c r="B635" s="10" t="s">
        <v>6635</v>
      </c>
      <c r="C635" s="10" t="s">
        <v>43</v>
      </c>
      <c r="D635" s="10" t="s">
        <v>2402</v>
      </c>
      <c r="E635" s="10" t="s">
        <v>45</v>
      </c>
      <c r="F635" s="11">
        <v>1.0</v>
      </c>
      <c r="G635" s="11">
        <v>79.2</v>
      </c>
      <c r="H635" s="11">
        <v>13.91</v>
      </c>
      <c r="I635" s="11">
        <v>-13.46</v>
      </c>
      <c r="J635" s="11">
        <v>-34.36</v>
      </c>
      <c r="K635" s="11"/>
      <c r="L635" s="11">
        <v>50.04</v>
      </c>
      <c r="M635" s="10" t="s">
        <v>46</v>
      </c>
      <c r="N635" s="10" t="s">
        <v>50</v>
      </c>
      <c r="O635" s="10" t="s">
        <v>892</v>
      </c>
      <c r="P635" s="10" t="s">
        <v>893</v>
      </c>
      <c r="Q635" s="10" t="s">
        <v>894</v>
      </c>
      <c r="R635" s="10" t="s">
        <v>74</v>
      </c>
      <c r="S635" s="11">
        <v>79.2</v>
      </c>
      <c r="T635" s="11">
        <v>2.97</v>
      </c>
      <c r="U635" s="11" t="s">
        <v>51</v>
      </c>
      <c r="V635" s="10" t="s">
        <v>52</v>
      </c>
      <c r="W635" s="10" t="s">
        <v>6636</v>
      </c>
      <c r="X635" s="10" t="s">
        <v>6637</v>
      </c>
      <c r="Y635" s="10" t="s">
        <v>6638</v>
      </c>
      <c r="Z635" s="10" t="s">
        <v>50</v>
      </c>
      <c r="AA635" s="10" t="s">
        <v>50</v>
      </c>
      <c r="AB635" s="10" t="s">
        <v>6636</v>
      </c>
      <c r="AC635" s="10" t="s">
        <v>6639</v>
      </c>
      <c r="AD635" s="10" t="s">
        <v>6640</v>
      </c>
      <c r="AE635" s="10" t="s">
        <v>6641</v>
      </c>
      <c r="AF635" s="10" t="s">
        <v>775</v>
      </c>
      <c r="AG635" s="10" t="s">
        <v>6642</v>
      </c>
      <c r="AH635" s="10" t="s">
        <v>60</v>
      </c>
      <c r="AI635" s="10" t="s">
        <v>61</v>
      </c>
      <c r="AJ635" s="10" t="s">
        <v>6643</v>
      </c>
      <c r="AK635" s="10" t="s">
        <v>6644</v>
      </c>
      <c r="AL635" s="10" t="s">
        <v>64</v>
      </c>
      <c r="AM635" s="10" t="s">
        <v>6645</v>
      </c>
      <c r="AN635" s="10" t="s">
        <v>50</v>
      </c>
      <c r="AO635" s="11" t="s">
        <v>50</v>
      </c>
      <c r="AP635" s="10" t="s">
        <v>50</v>
      </c>
      <c r="AQ635" s="10" t="s">
        <v>50</v>
      </c>
      <c r="AR635" s="10" t="s">
        <v>50</v>
      </c>
      <c r="AS635" s="10" t="s">
        <v>50</v>
      </c>
      <c r="AT635" s="10" t="s">
        <v>50</v>
      </c>
      <c r="AU635" s="10" t="s">
        <v>50</v>
      </c>
      <c r="AV635" s="11"/>
      <c r="AW635" s="10" t="s">
        <v>66</v>
      </c>
      <c r="AX635" s="10"/>
      <c r="AY635" s="10" t="s">
        <v>66</v>
      </c>
    </row>
    <row r="636" ht="22.5" hidden="1" customHeight="1">
      <c r="A636" s="9" t="s">
        <v>6646</v>
      </c>
      <c r="B636" s="10" t="s">
        <v>6647</v>
      </c>
      <c r="C636" s="10" t="s">
        <v>43</v>
      </c>
      <c r="D636" s="10" t="s">
        <v>3477</v>
      </c>
      <c r="E636" s="10" t="s">
        <v>45</v>
      </c>
      <c r="F636" s="11">
        <v>1.0</v>
      </c>
      <c r="G636" s="11">
        <v>79.2</v>
      </c>
      <c r="H636" s="11"/>
      <c r="I636" s="11">
        <v>-13.46</v>
      </c>
      <c r="J636" s="11">
        <v>-20.45</v>
      </c>
      <c r="K636" s="11"/>
      <c r="L636" s="11">
        <v>45.29</v>
      </c>
      <c r="M636" s="10" t="s">
        <v>46</v>
      </c>
      <c r="N636" s="10" t="s">
        <v>50</v>
      </c>
      <c r="O636" s="10" t="s">
        <v>127</v>
      </c>
      <c r="P636" s="10" t="s">
        <v>128</v>
      </c>
      <c r="Q636" s="10" t="s">
        <v>129</v>
      </c>
      <c r="R636" s="10" t="s">
        <v>74</v>
      </c>
      <c r="S636" s="11">
        <v>79.2</v>
      </c>
      <c r="T636" s="11">
        <v>17.68</v>
      </c>
      <c r="U636" s="11" t="s">
        <v>51</v>
      </c>
      <c r="V636" s="10" t="s">
        <v>52</v>
      </c>
      <c r="W636" s="10" t="s">
        <v>6648</v>
      </c>
      <c r="X636" s="10" t="s">
        <v>6649</v>
      </c>
      <c r="Y636" s="10" t="s">
        <v>6650</v>
      </c>
      <c r="Z636" s="10" t="s">
        <v>50</v>
      </c>
      <c r="AA636" s="10" t="s">
        <v>50</v>
      </c>
      <c r="AB636" s="10" t="s">
        <v>6648</v>
      </c>
      <c r="AC636" s="10" t="s">
        <v>6651</v>
      </c>
      <c r="AD636" s="10" t="s">
        <v>6652</v>
      </c>
      <c r="AE636" s="10" t="s">
        <v>740</v>
      </c>
      <c r="AF636" s="10" t="s">
        <v>119</v>
      </c>
      <c r="AG636" s="10" t="s">
        <v>6653</v>
      </c>
      <c r="AH636" s="10" t="s">
        <v>60</v>
      </c>
      <c r="AI636" s="10" t="s">
        <v>61</v>
      </c>
      <c r="AJ636" s="10" t="s">
        <v>6654</v>
      </c>
      <c r="AK636" s="10" t="s">
        <v>6655</v>
      </c>
      <c r="AL636" s="10" t="s">
        <v>64</v>
      </c>
      <c r="AM636" s="10" t="s">
        <v>6656</v>
      </c>
      <c r="AN636" s="10" t="s">
        <v>50</v>
      </c>
      <c r="AO636" s="11" t="s">
        <v>50</v>
      </c>
      <c r="AP636" s="10" t="s">
        <v>50</v>
      </c>
      <c r="AQ636" s="10" t="s">
        <v>50</v>
      </c>
      <c r="AR636" s="10" t="s">
        <v>50</v>
      </c>
      <c r="AS636" s="10" t="s">
        <v>50</v>
      </c>
      <c r="AT636" s="10" t="s">
        <v>50</v>
      </c>
      <c r="AU636" s="10" t="s">
        <v>50</v>
      </c>
      <c r="AV636" s="11"/>
      <c r="AW636" s="10" t="s">
        <v>66</v>
      </c>
      <c r="AX636" s="10"/>
      <c r="AY636" s="10" t="s">
        <v>66</v>
      </c>
    </row>
    <row r="637" ht="22.5" hidden="1" customHeight="1">
      <c r="A637" s="9" t="s">
        <v>6657</v>
      </c>
      <c r="B637" s="10" t="s">
        <v>6658</v>
      </c>
      <c r="C637" s="10" t="s">
        <v>43</v>
      </c>
      <c r="D637" s="10" t="s">
        <v>4506</v>
      </c>
      <c r="E637" s="10" t="s">
        <v>45</v>
      </c>
      <c r="F637" s="11">
        <v>2.0</v>
      </c>
      <c r="G637" s="11">
        <v>87.4</v>
      </c>
      <c r="H637" s="11">
        <v>26.41</v>
      </c>
      <c r="I637" s="11">
        <v>-26.86</v>
      </c>
      <c r="J637" s="11">
        <v>-26.41</v>
      </c>
      <c r="K637" s="11"/>
      <c r="L637" s="11">
        <v>65.78</v>
      </c>
      <c r="M637" s="10" t="s">
        <v>46</v>
      </c>
      <c r="N637" s="10" t="s">
        <v>50</v>
      </c>
      <c r="O637" s="10" t="s">
        <v>176</v>
      </c>
      <c r="P637" s="10" t="s">
        <v>177</v>
      </c>
      <c r="Q637" s="10" t="s">
        <v>178</v>
      </c>
      <c r="R637" s="10" t="s">
        <v>74</v>
      </c>
      <c r="S637" s="11">
        <v>43.7</v>
      </c>
      <c r="T637" s="11">
        <f>2*22.58</f>
        <v>45.16</v>
      </c>
      <c r="U637" s="11" t="s">
        <v>51</v>
      </c>
      <c r="V637" s="10" t="s">
        <v>52</v>
      </c>
      <c r="W637" s="10" t="s">
        <v>6659</v>
      </c>
      <c r="X637" s="10" t="s">
        <v>6660</v>
      </c>
      <c r="Y637" s="10" t="s">
        <v>6661</v>
      </c>
      <c r="Z637" s="10" t="s">
        <v>50</v>
      </c>
      <c r="AA637" s="10" t="s">
        <v>50</v>
      </c>
      <c r="AB637" s="10" t="s">
        <v>6659</v>
      </c>
      <c r="AC637" s="10" t="s">
        <v>6662</v>
      </c>
      <c r="AD637" s="10" t="s">
        <v>6663</v>
      </c>
      <c r="AE637" s="10" t="s">
        <v>6664</v>
      </c>
      <c r="AF637" s="10" t="s">
        <v>169</v>
      </c>
      <c r="AG637" s="10" t="s">
        <v>6665</v>
      </c>
      <c r="AH637" s="10" t="s">
        <v>60</v>
      </c>
      <c r="AI637" s="10" t="s">
        <v>61</v>
      </c>
      <c r="AJ637" s="10" t="s">
        <v>6666</v>
      </c>
      <c r="AK637" s="10" t="s">
        <v>6667</v>
      </c>
      <c r="AL637" s="10" t="s">
        <v>64</v>
      </c>
      <c r="AM637" s="10" t="s">
        <v>6668</v>
      </c>
      <c r="AN637" s="10" t="s">
        <v>50</v>
      </c>
      <c r="AO637" s="11" t="s">
        <v>50</v>
      </c>
      <c r="AP637" s="10" t="s">
        <v>50</v>
      </c>
      <c r="AQ637" s="10" t="s">
        <v>50</v>
      </c>
      <c r="AR637" s="10" t="s">
        <v>50</v>
      </c>
      <c r="AS637" s="10" t="s">
        <v>50</v>
      </c>
      <c r="AT637" s="10" t="s">
        <v>50</v>
      </c>
      <c r="AU637" s="10" t="s">
        <v>50</v>
      </c>
      <c r="AV637" s="11"/>
      <c r="AW637" s="10" t="s">
        <v>66</v>
      </c>
      <c r="AX637" s="10"/>
      <c r="AY637" s="10" t="s">
        <v>66</v>
      </c>
    </row>
    <row r="638" ht="22.5" hidden="1" customHeight="1">
      <c r="A638" s="9" t="s">
        <v>6669</v>
      </c>
      <c r="B638" s="10" t="s">
        <v>6670</v>
      </c>
      <c r="C638" s="10" t="s">
        <v>43</v>
      </c>
      <c r="D638" s="10" t="s">
        <v>4592</v>
      </c>
      <c r="E638" s="10" t="s">
        <v>66</v>
      </c>
      <c r="F638" s="11">
        <v>1.0</v>
      </c>
      <c r="G638" s="11">
        <v>80.0</v>
      </c>
      <c r="H638" s="11"/>
      <c r="I638" s="11">
        <v>-13.6</v>
      </c>
      <c r="J638" s="11">
        <v>-19.95</v>
      </c>
      <c r="K638" s="11"/>
      <c r="L638" s="11">
        <v>50.45</v>
      </c>
      <c r="M638" s="10" t="s">
        <v>46</v>
      </c>
      <c r="N638" s="10" t="s">
        <v>50</v>
      </c>
      <c r="O638" s="10" t="s">
        <v>143</v>
      </c>
      <c r="P638" s="10" t="s">
        <v>144</v>
      </c>
      <c r="Q638" s="10" t="s">
        <v>145</v>
      </c>
      <c r="R638" s="10" t="s">
        <v>74</v>
      </c>
      <c r="S638" s="11">
        <v>80.0</v>
      </c>
      <c r="T638" s="11">
        <v>33.38</v>
      </c>
      <c r="U638" s="11" t="s">
        <v>51</v>
      </c>
      <c r="V638" s="10" t="s">
        <v>52</v>
      </c>
      <c r="W638" s="10" t="s">
        <v>6671</v>
      </c>
      <c r="X638" s="10" t="s">
        <v>6672</v>
      </c>
      <c r="Y638" s="10" t="s">
        <v>6673</v>
      </c>
      <c r="Z638" s="10" t="s">
        <v>50</v>
      </c>
      <c r="AA638" s="10" t="s">
        <v>50</v>
      </c>
      <c r="AB638" s="10" t="s">
        <v>6671</v>
      </c>
      <c r="AC638" s="10" t="s">
        <v>6674</v>
      </c>
      <c r="AD638" s="10" t="s">
        <v>6675</v>
      </c>
      <c r="AE638" s="10" t="s">
        <v>6676</v>
      </c>
      <c r="AF638" s="10" t="s">
        <v>1593</v>
      </c>
      <c r="AG638" s="10" t="s">
        <v>6677</v>
      </c>
      <c r="AH638" s="10" t="s">
        <v>60</v>
      </c>
      <c r="AI638" s="10" t="s">
        <v>61</v>
      </c>
      <c r="AJ638" s="10" t="s">
        <v>6678</v>
      </c>
      <c r="AK638" s="10" t="s">
        <v>6075</v>
      </c>
      <c r="AL638" s="10" t="s">
        <v>64</v>
      </c>
      <c r="AM638" s="10" t="s">
        <v>6679</v>
      </c>
      <c r="AN638" s="10" t="s">
        <v>50</v>
      </c>
      <c r="AO638" s="11" t="s">
        <v>50</v>
      </c>
      <c r="AP638" s="10" t="s">
        <v>50</v>
      </c>
      <c r="AQ638" s="10" t="s">
        <v>50</v>
      </c>
      <c r="AR638" s="10" t="s">
        <v>50</v>
      </c>
      <c r="AS638" s="10" t="s">
        <v>50</v>
      </c>
      <c r="AT638" s="10" t="s">
        <v>50</v>
      </c>
      <c r="AU638" s="10" t="s">
        <v>50</v>
      </c>
      <c r="AV638" s="11"/>
      <c r="AW638" s="10" t="s">
        <v>66</v>
      </c>
      <c r="AX638" s="10"/>
      <c r="AY638" s="10" t="s">
        <v>66</v>
      </c>
    </row>
    <row r="639" ht="22.5" hidden="1" customHeight="1">
      <c r="A639" s="9" t="s">
        <v>6680</v>
      </c>
      <c r="B639" s="10" t="s">
        <v>6681</v>
      </c>
      <c r="C639" s="10" t="s">
        <v>43</v>
      </c>
      <c r="D639" s="10" t="s">
        <v>2402</v>
      </c>
      <c r="E639" s="10" t="s">
        <v>45</v>
      </c>
      <c r="F639" s="11">
        <v>1.0</v>
      </c>
      <c r="G639" s="11">
        <v>79.0</v>
      </c>
      <c r="H639" s="11"/>
      <c r="I639" s="11">
        <v>-13.43</v>
      </c>
      <c r="J639" s="11">
        <v>-20.45</v>
      </c>
      <c r="K639" s="11"/>
      <c r="L639" s="11">
        <v>45.12</v>
      </c>
      <c r="M639" s="10" t="s">
        <v>46</v>
      </c>
      <c r="N639" s="10" t="s">
        <v>45</v>
      </c>
      <c r="O639" s="10" t="s">
        <v>160</v>
      </c>
      <c r="P639" s="10" t="s">
        <v>161</v>
      </c>
      <c r="Q639" s="10" t="s">
        <v>162</v>
      </c>
      <c r="R639" s="10" t="s">
        <v>74</v>
      </c>
      <c r="S639" s="11">
        <v>79.0</v>
      </c>
      <c r="T639" s="18">
        <v>2.49</v>
      </c>
      <c r="U639" s="11" t="s">
        <v>51</v>
      </c>
      <c r="V639" s="10" t="s">
        <v>52</v>
      </c>
      <c r="W639" s="10" t="s">
        <v>6682</v>
      </c>
      <c r="X639" s="10" t="s">
        <v>6683</v>
      </c>
      <c r="Y639" s="10" t="s">
        <v>6684</v>
      </c>
      <c r="Z639" s="10" t="s">
        <v>50</v>
      </c>
      <c r="AA639" s="10" t="s">
        <v>50</v>
      </c>
      <c r="AB639" s="10" t="s">
        <v>6682</v>
      </c>
      <c r="AC639" s="10" t="s">
        <v>6685</v>
      </c>
      <c r="AD639" s="10" t="s">
        <v>6686</v>
      </c>
      <c r="AE639" s="10" t="s">
        <v>1346</v>
      </c>
      <c r="AF639" s="10" t="s">
        <v>1347</v>
      </c>
      <c r="AG639" s="10" t="s">
        <v>6250</v>
      </c>
      <c r="AH639" s="10" t="s">
        <v>60</v>
      </c>
      <c r="AI639" s="10" t="s">
        <v>61</v>
      </c>
      <c r="AJ639" s="10" t="s">
        <v>6643</v>
      </c>
      <c r="AK639" s="10" t="s">
        <v>6687</v>
      </c>
      <c r="AL639" s="10" t="s">
        <v>64</v>
      </c>
      <c r="AM639" s="10" t="s">
        <v>6688</v>
      </c>
      <c r="AN639" s="10" t="s">
        <v>50</v>
      </c>
      <c r="AO639" s="11" t="s">
        <v>50</v>
      </c>
      <c r="AP639" s="10" t="s">
        <v>50</v>
      </c>
      <c r="AQ639" s="10" t="s">
        <v>50</v>
      </c>
      <c r="AR639" s="10" t="s">
        <v>50</v>
      </c>
      <c r="AS639" s="10" t="s">
        <v>50</v>
      </c>
      <c r="AT639" s="10" t="s">
        <v>50</v>
      </c>
      <c r="AU639" s="10" t="s">
        <v>50</v>
      </c>
      <c r="AV639" s="11"/>
      <c r="AW639" s="10" t="s">
        <v>66</v>
      </c>
      <c r="AX639" s="10"/>
      <c r="AY639" s="10" t="s">
        <v>66</v>
      </c>
    </row>
    <row r="640" ht="22.5" hidden="1" customHeight="1">
      <c r="A640" s="9" t="s">
        <v>6689</v>
      </c>
      <c r="B640" s="10" t="s">
        <v>6690</v>
      </c>
      <c r="C640" s="10" t="s">
        <v>43</v>
      </c>
      <c r="D640" s="10" t="s">
        <v>4506</v>
      </c>
      <c r="E640" s="10" t="s">
        <v>66</v>
      </c>
      <c r="F640" s="11">
        <v>1.0</v>
      </c>
      <c r="G640" s="11">
        <v>80.5</v>
      </c>
      <c r="H640" s="11">
        <v>16.61</v>
      </c>
      <c r="I640" s="11">
        <v>-15.3</v>
      </c>
      <c r="J640" s="11">
        <v>-36.56</v>
      </c>
      <c r="K640" s="11"/>
      <c r="L640" s="11">
        <v>45.25</v>
      </c>
      <c r="M640" s="10" t="s">
        <v>46</v>
      </c>
      <c r="N640" s="10" t="s">
        <v>45</v>
      </c>
      <c r="O640" s="10" t="s">
        <v>47</v>
      </c>
      <c r="P640" s="10" t="s">
        <v>48</v>
      </c>
      <c r="Q640" s="10" t="s">
        <v>49</v>
      </c>
      <c r="R640" s="10" t="s">
        <v>50</v>
      </c>
      <c r="S640" s="11">
        <v>80.5</v>
      </c>
      <c r="T640" s="11">
        <v>12.45</v>
      </c>
      <c r="U640" s="11" t="s">
        <v>51</v>
      </c>
      <c r="V640" s="10" t="s">
        <v>52</v>
      </c>
      <c r="W640" s="10" t="s">
        <v>6691</v>
      </c>
      <c r="X640" s="10" t="s">
        <v>6692</v>
      </c>
      <c r="Y640" s="10" t="s">
        <v>6693</v>
      </c>
      <c r="Z640" s="10" t="s">
        <v>50</v>
      </c>
      <c r="AA640" s="10" t="s">
        <v>50</v>
      </c>
      <c r="AB640" s="10" t="s">
        <v>6691</v>
      </c>
      <c r="AC640" s="10" t="s">
        <v>6694</v>
      </c>
      <c r="AD640" s="10" t="s">
        <v>6695</v>
      </c>
      <c r="AE640" s="10" t="s">
        <v>6696</v>
      </c>
      <c r="AF640" s="10" t="s">
        <v>2636</v>
      </c>
      <c r="AG640" s="10" t="s">
        <v>6697</v>
      </c>
      <c r="AH640" s="10" t="s">
        <v>60</v>
      </c>
      <c r="AI640" s="10" t="s">
        <v>61</v>
      </c>
      <c r="AJ640" s="10" t="s">
        <v>6571</v>
      </c>
      <c r="AK640" s="10" t="s">
        <v>6698</v>
      </c>
      <c r="AL640" s="10" t="s">
        <v>64</v>
      </c>
      <c r="AM640" s="10" t="s">
        <v>6699</v>
      </c>
      <c r="AN640" s="10" t="s">
        <v>50</v>
      </c>
      <c r="AO640" s="11" t="s">
        <v>50</v>
      </c>
      <c r="AP640" s="10" t="s">
        <v>50</v>
      </c>
      <c r="AQ640" s="10" t="s">
        <v>50</v>
      </c>
      <c r="AR640" s="10" t="s">
        <v>50</v>
      </c>
      <c r="AS640" s="10" t="s">
        <v>50</v>
      </c>
      <c r="AT640" s="10" t="s">
        <v>50</v>
      </c>
      <c r="AU640" s="10" t="s">
        <v>50</v>
      </c>
      <c r="AV640" s="11"/>
      <c r="AW640" s="10" t="s">
        <v>66</v>
      </c>
      <c r="AX640" s="10"/>
      <c r="AY640" s="10" t="s">
        <v>66</v>
      </c>
    </row>
    <row r="641" ht="22.5" hidden="1" customHeight="1">
      <c r="A641" s="9" t="s">
        <v>6700</v>
      </c>
      <c r="B641" s="10" t="s">
        <v>6701</v>
      </c>
      <c r="C641" s="10" t="s">
        <v>43</v>
      </c>
      <c r="D641" s="10" t="s">
        <v>2481</v>
      </c>
      <c r="E641" s="10" t="s">
        <v>66</v>
      </c>
      <c r="F641" s="11">
        <v>1.0</v>
      </c>
      <c r="G641" s="11">
        <v>79.0</v>
      </c>
      <c r="H641" s="11"/>
      <c r="I641" s="11">
        <v>-13.43</v>
      </c>
      <c r="J641" s="11">
        <v>-20.45</v>
      </c>
      <c r="K641" s="11"/>
      <c r="L641" s="11">
        <v>45.12</v>
      </c>
      <c r="M641" s="10" t="s">
        <v>46</v>
      </c>
      <c r="N641" s="10" t="s">
        <v>50</v>
      </c>
      <c r="O641" s="10" t="s">
        <v>461</v>
      </c>
      <c r="P641" s="10" t="s">
        <v>462</v>
      </c>
      <c r="Q641" s="10" t="s">
        <v>463</v>
      </c>
      <c r="R641" s="10" t="s">
        <v>74</v>
      </c>
      <c r="S641" s="11">
        <v>79.0</v>
      </c>
      <c r="T641" s="11">
        <v>10.09</v>
      </c>
      <c r="U641" s="11" t="s">
        <v>51</v>
      </c>
      <c r="V641" s="10" t="s">
        <v>52</v>
      </c>
      <c r="W641" s="10" t="s">
        <v>6702</v>
      </c>
      <c r="X641" s="10" t="s">
        <v>6703</v>
      </c>
      <c r="Y641" s="10" t="s">
        <v>6704</v>
      </c>
      <c r="Z641" s="10" t="s">
        <v>50</v>
      </c>
      <c r="AA641" s="10" t="s">
        <v>50</v>
      </c>
      <c r="AB641" s="10" t="s">
        <v>6702</v>
      </c>
      <c r="AC641" s="10" t="s">
        <v>6705</v>
      </c>
      <c r="AD641" s="10" t="s">
        <v>6706</v>
      </c>
      <c r="AE641" s="10" t="s">
        <v>913</v>
      </c>
      <c r="AF641" s="10" t="s">
        <v>185</v>
      </c>
      <c r="AG641" s="10" t="s">
        <v>914</v>
      </c>
      <c r="AH641" s="10" t="s">
        <v>60</v>
      </c>
      <c r="AI641" s="10" t="s">
        <v>61</v>
      </c>
      <c r="AJ641" s="10" t="s">
        <v>6707</v>
      </c>
      <c r="AK641" s="10" t="s">
        <v>6708</v>
      </c>
      <c r="AL641" s="10" t="s">
        <v>64</v>
      </c>
      <c r="AM641" s="10" t="s">
        <v>6709</v>
      </c>
      <c r="AN641" s="10" t="s">
        <v>50</v>
      </c>
      <c r="AO641" s="11" t="s">
        <v>50</v>
      </c>
      <c r="AP641" s="10" t="s">
        <v>50</v>
      </c>
      <c r="AQ641" s="10" t="s">
        <v>50</v>
      </c>
      <c r="AR641" s="10" t="s">
        <v>50</v>
      </c>
      <c r="AS641" s="10" t="s">
        <v>50</v>
      </c>
      <c r="AT641" s="10" t="s">
        <v>50</v>
      </c>
      <c r="AU641" s="10" t="s">
        <v>50</v>
      </c>
      <c r="AV641" s="11"/>
      <c r="AW641" s="10" t="s">
        <v>66</v>
      </c>
      <c r="AX641" s="10"/>
      <c r="AY641" s="10" t="s">
        <v>66</v>
      </c>
    </row>
    <row r="642" ht="22.5" hidden="1" customHeight="1">
      <c r="A642" s="9" t="s">
        <v>6710</v>
      </c>
      <c r="B642" s="10" t="s">
        <v>6711</v>
      </c>
      <c r="C642" s="10" t="s">
        <v>43</v>
      </c>
      <c r="D642" s="10" t="s">
        <v>3477</v>
      </c>
      <c r="E642" s="10" t="s">
        <v>66</v>
      </c>
      <c r="F642" s="11">
        <v>1.0</v>
      </c>
      <c r="G642" s="11">
        <v>43.7</v>
      </c>
      <c r="H642" s="11">
        <v>11.11</v>
      </c>
      <c r="I642" s="11">
        <v>-13.43</v>
      </c>
      <c r="J642" s="11">
        <v>-11.11</v>
      </c>
      <c r="K642" s="11"/>
      <c r="L642" s="11">
        <v>32.89</v>
      </c>
      <c r="M642" s="10" t="s">
        <v>46</v>
      </c>
      <c r="N642" s="10" t="s">
        <v>45</v>
      </c>
      <c r="O642" s="10" t="s">
        <v>176</v>
      </c>
      <c r="P642" s="10" t="s">
        <v>177</v>
      </c>
      <c r="Q642" s="10" t="s">
        <v>178</v>
      </c>
      <c r="R642" s="10" t="s">
        <v>74</v>
      </c>
      <c r="S642" s="11">
        <v>43.7</v>
      </c>
      <c r="T642" s="11">
        <v>22.58</v>
      </c>
      <c r="U642" s="11" t="s">
        <v>51</v>
      </c>
      <c r="V642" s="10" t="s">
        <v>52</v>
      </c>
      <c r="W642" s="10" t="s">
        <v>6712</v>
      </c>
      <c r="X642" s="10" t="s">
        <v>6713</v>
      </c>
      <c r="Y642" s="10" t="s">
        <v>6714</v>
      </c>
      <c r="Z642" s="10" t="s">
        <v>50</v>
      </c>
      <c r="AA642" s="10" t="s">
        <v>50</v>
      </c>
      <c r="AB642" s="10" t="s">
        <v>6712</v>
      </c>
      <c r="AC642" s="10" t="s">
        <v>6715</v>
      </c>
      <c r="AD642" s="10" t="s">
        <v>6716</v>
      </c>
      <c r="AE642" s="10" t="s">
        <v>58</v>
      </c>
      <c r="AF642" s="10" t="s">
        <v>58</v>
      </c>
      <c r="AG642" s="10" t="s">
        <v>6717</v>
      </c>
      <c r="AH642" s="10" t="s">
        <v>60</v>
      </c>
      <c r="AI642" s="10" t="s">
        <v>61</v>
      </c>
      <c r="AJ642" s="10" t="s">
        <v>3484</v>
      </c>
      <c r="AK642" s="10" t="s">
        <v>6718</v>
      </c>
      <c r="AL642" s="10" t="s">
        <v>64</v>
      </c>
      <c r="AM642" s="10" t="s">
        <v>6719</v>
      </c>
      <c r="AN642" s="10" t="s">
        <v>50</v>
      </c>
      <c r="AO642" s="11" t="s">
        <v>50</v>
      </c>
      <c r="AP642" s="10" t="s">
        <v>50</v>
      </c>
      <c r="AQ642" s="10" t="s">
        <v>50</v>
      </c>
      <c r="AR642" s="10" t="s">
        <v>50</v>
      </c>
      <c r="AS642" s="10" t="s">
        <v>50</v>
      </c>
      <c r="AT642" s="10" t="s">
        <v>50</v>
      </c>
      <c r="AU642" s="10" t="s">
        <v>50</v>
      </c>
      <c r="AV642" s="11"/>
      <c r="AW642" s="10" t="s">
        <v>66</v>
      </c>
      <c r="AX642" s="10"/>
      <c r="AY642" s="10" t="s">
        <v>66</v>
      </c>
    </row>
    <row r="643" ht="22.5" hidden="1" customHeight="1">
      <c r="A643" s="9" t="s">
        <v>6720</v>
      </c>
      <c r="B643" s="10" t="s">
        <v>6721</v>
      </c>
      <c r="C643" s="10" t="s">
        <v>43</v>
      </c>
      <c r="D643" s="10" t="s">
        <v>4506</v>
      </c>
      <c r="E643" s="10" t="s">
        <v>66</v>
      </c>
      <c r="F643" s="11">
        <v>1.0</v>
      </c>
      <c r="G643" s="11">
        <v>80.0</v>
      </c>
      <c r="H643" s="11">
        <v>16.65</v>
      </c>
      <c r="I643" s="11">
        <v>-13.6</v>
      </c>
      <c r="J643" s="11">
        <v>-36.6</v>
      </c>
      <c r="K643" s="11"/>
      <c r="L643" s="11">
        <v>50.45</v>
      </c>
      <c r="M643" s="10" t="s">
        <v>46</v>
      </c>
      <c r="N643" s="10" t="s">
        <v>50</v>
      </c>
      <c r="O643" s="10" t="s">
        <v>143</v>
      </c>
      <c r="P643" s="10" t="s">
        <v>144</v>
      </c>
      <c r="Q643" s="10" t="s">
        <v>145</v>
      </c>
      <c r="R643" s="10" t="s">
        <v>74</v>
      </c>
      <c r="S643" s="11">
        <v>80.0</v>
      </c>
      <c r="T643" s="11">
        <v>33.38</v>
      </c>
      <c r="U643" s="11" t="s">
        <v>51</v>
      </c>
      <c r="V643" s="10" t="s">
        <v>52</v>
      </c>
      <c r="W643" s="10" t="s">
        <v>6722</v>
      </c>
      <c r="X643" s="10" t="s">
        <v>6723</v>
      </c>
      <c r="Y643" s="10" t="s">
        <v>6724</v>
      </c>
      <c r="Z643" s="10" t="s">
        <v>50</v>
      </c>
      <c r="AA643" s="10" t="s">
        <v>50</v>
      </c>
      <c r="AB643" s="10" t="s">
        <v>6722</v>
      </c>
      <c r="AC643" s="10" t="s">
        <v>6725</v>
      </c>
      <c r="AD643" s="10" t="s">
        <v>6726</v>
      </c>
      <c r="AE643" s="10" t="s">
        <v>6727</v>
      </c>
      <c r="AF643" s="10" t="s">
        <v>6728</v>
      </c>
      <c r="AG643" s="10" t="s">
        <v>6729</v>
      </c>
      <c r="AH643" s="10" t="s">
        <v>60</v>
      </c>
      <c r="AI643" s="10" t="s">
        <v>61</v>
      </c>
      <c r="AJ643" s="10" t="s">
        <v>6571</v>
      </c>
      <c r="AK643" s="10" t="s">
        <v>6730</v>
      </c>
      <c r="AL643" s="10" t="s">
        <v>64</v>
      </c>
      <c r="AM643" s="10" t="s">
        <v>6731</v>
      </c>
      <c r="AN643" s="10" t="s">
        <v>50</v>
      </c>
      <c r="AO643" s="11" t="s">
        <v>50</v>
      </c>
      <c r="AP643" s="10" t="s">
        <v>50</v>
      </c>
      <c r="AQ643" s="10" t="s">
        <v>50</v>
      </c>
      <c r="AR643" s="10" t="s">
        <v>50</v>
      </c>
      <c r="AS643" s="10" t="s">
        <v>50</v>
      </c>
      <c r="AT643" s="10" t="s">
        <v>50</v>
      </c>
      <c r="AU643" s="10" t="s">
        <v>50</v>
      </c>
      <c r="AV643" s="11"/>
      <c r="AW643" s="10" t="s">
        <v>66</v>
      </c>
      <c r="AX643" s="10"/>
      <c r="AY643" s="10" t="s">
        <v>66</v>
      </c>
    </row>
    <row r="644" ht="22.5" hidden="1" customHeight="1">
      <c r="A644" s="9" t="s">
        <v>6732</v>
      </c>
      <c r="B644" s="10" t="s">
        <v>6733</v>
      </c>
      <c r="C644" s="10" t="s">
        <v>43</v>
      </c>
      <c r="D644" s="10" t="s">
        <v>2402</v>
      </c>
      <c r="E644" s="10" t="s">
        <v>66</v>
      </c>
      <c r="F644" s="11">
        <v>1.0</v>
      </c>
      <c r="G644" s="11">
        <v>120.0</v>
      </c>
      <c r="H644" s="11"/>
      <c r="I644" s="11">
        <v>-20.4</v>
      </c>
      <c r="J644" s="11">
        <v>-19.95</v>
      </c>
      <c r="K644" s="11"/>
      <c r="L644" s="11">
        <v>86.85</v>
      </c>
      <c r="M644" s="10" t="s">
        <v>46</v>
      </c>
      <c r="N644" s="10" t="s">
        <v>50</v>
      </c>
      <c r="O644" s="10" t="s">
        <v>85</v>
      </c>
      <c r="P644" s="10" t="s">
        <v>86</v>
      </c>
      <c r="Q644" s="10" t="s">
        <v>87</v>
      </c>
      <c r="R644" s="10" t="s">
        <v>74</v>
      </c>
      <c r="S644" s="11">
        <v>120.0</v>
      </c>
      <c r="T644" s="11">
        <v>65.78</v>
      </c>
      <c r="U644" s="11" t="s">
        <v>51</v>
      </c>
      <c r="V644" s="10" t="s">
        <v>52</v>
      </c>
      <c r="W644" s="10" t="s">
        <v>6734</v>
      </c>
      <c r="X644" s="10" t="s">
        <v>6735</v>
      </c>
      <c r="Y644" s="10" t="s">
        <v>6736</v>
      </c>
      <c r="Z644" s="10" t="s">
        <v>50</v>
      </c>
      <c r="AA644" s="10" t="s">
        <v>50</v>
      </c>
      <c r="AB644" s="10" t="s">
        <v>6734</v>
      </c>
      <c r="AC644" s="10" t="s">
        <v>6737</v>
      </c>
      <c r="AD644" s="10" t="s">
        <v>6738</v>
      </c>
      <c r="AE644" s="10" t="s">
        <v>775</v>
      </c>
      <c r="AF644" s="10" t="s">
        <v>775</v>
      </c>
      <c r="AG644" s="10" t="s">
        <v>6739</v>
      </c>
      <c r="AH644" s="10" t="s">
        <v>60</v>
      </c>
      <c r="AI644" s="10" t="s">
        <v>61</v>
      </c>
      <c r="AJ644" s="10" t="s">
        <v>6643</v>
      </c>
      <c r="AK644" s="10" t="s">
        <v>6740</v>
      </c>
      <c r="AL644" s="10" t="s">
        <v>64</v>
      </c>
      <c r="AM644" s="10" t="s">
        <v>6741</v>
      </c>
      <c r="AN644" s="10" t="s">
        <v>50</v>
      </c>
      <c r="AO644" s="11" t="s">
        <v>50</v>
      </c>
      <c r="AP644" s="10" t="s">
        <v>50</v>
      </c>
      <c r="AQ644" s="10" t="s">
        <v>50</v>
      </c>
      <c r="AR644" s="10" t="s">
        <v>50</v>
      </c>
      <c r="AS644" s="10" t="s">
        <v>50</v>
      </c>
      <c r="AT644" s="10" t="s">
        <v>50</v>
      </c>
      <c r="AU644" s="10" t="s">
        <v>50</v>
      </c>
      <c r="AV644" s="11"/>
      <c r="AW644" s="10" t="s">
        <v>66</v>
      </c>
      <c r="AX644" s="10"/>
      <c r="AY644" s="10" t="s">
        <v>66</v>
      </c>
    </row>
    <row r="645" ht="22.5" hidden="1" customHeight="1">
      <c r="A645" s="9" t="s">
        <v>6742</v>
      </c>
      <c r="B645" s="10" t="s">
        <v>6743</v>
      </c>
      <c r="C645" s="10" t="s">
        <v>43</v>
      </c>
      <c r="D645" s="10" t="s">
        <v>2402</v>
      </c>
      <c r="E645" s="10" t="s">
        <v>66</v>
      </c>
      <c r="F645" s="11">
        <v>1.0</v>
      </c>
      <c r="G645" s="11">
        <v>79.0</v>
      </c>
      <c r="H645" s="11"/>
      <c r="I645" s="11">
        <v>-13.43</v>
      </c>
      <c r="J645" s="11">
        <v>-20.45</v>
      </c>
      <c r="K645" s="11"/>
      <c r="L645" s="11">
        <v>45.12</v>
      </c>
      <c r="M645" s="10" t="s">
        <v>46</v>
      </c>
      <c r="N645" s="10" t="s">
        <v>50</v>
      </c>
      <c r="O645" s="10" t="s">
        <v>160</v>
      </c>
      <c r="P645" s="10" t="s">
        <v>161</v>
      </c>
      <c r="Q645" s="10" t="s">
        <v>162</v>
      </c>
      <c r="R645" s="10" t="s">
        <v>74</v>
      </c>
      <c r="S645" s="11">
        <v>79.0</v>
      </c>
      <c r="T645" s="18">
        <v>2.49</v>
      </c>
      <c r="U645" s="11" t="s">
        <v>51</v>
      </c>
      <c r="V645" s="10" t="s">
        <v>52</v>
      </c>
      <c r="W645" s="10" t="s">
        <v>6744</v>
      </c>
      <c r="X645" s="10" t="s">
        <v>6745</v>
      </c>
      <c r="Y645" s="10" t="s">
        <v>6746</v>
      </c>
      <c r="Z645" s="10" t="s">
        <v>50</v>
      </c>
      <c r="AA645" s="10" t="s">
        <v>50</v>
      </c>
      <c r="AB645" s="10" t="s">
        <v>6744</v>
      </c>
      <c r="AC645" s="10" t="s">
        <v>6747</v>
      </c>
      <c r="AD645" s="10" t="s">
        <v>6748</v>
      </c>
      <c r="AE645" s="10" t="s">
        <v>6749</v>
      </c>
      <c r="AF645" s="10" t="s">
        <v>119</v>
      </c>
      <c r="AG645" s="10" t="s">
        <v>6750</v>
      </c>
      <c r="AH645" s="10" t="s">
        <v>60</v>
      </c>
      <c r="AI645" s="10" t="s">
        <v>61</v>
      </c>
      <c r="AJ645" s="10" t="s">
        <v>6751</v>
      </c>
      <c r="AK645" s="10" t="s">
        <v>6752</v>
      </c>
      <c r="AL645" s="10" t="s">
        <v>64</v>
      </c>
      <c r="AM645" s="10" t="s">
        <v>6753</v>
      </c>
      <c r="AN645" s="10" t="s">
        <v>50</v>
      </c>
      <c r="AO645" s="11" t="s">
        <v>50</v>
      </c>
      <c r="AP645" s="10" t="s">
        <v>50</v>
      </c>
      <c r="AQ645" s="10" t="s">
        <v>50</v>
      </c>
      <c r="AR645" s="10" t="s">
        <v>50</v>
      </c>
      <c r="AS645" s="10" t="s">
        <v>50</v>
      </c>
      <c r="AT645" s="10" t="s">
        <v>50</v>
      </c>
      <c r="AU645" s="10" t="s">
        <v>50</v>
      </c>
      <c r="AV645" s="11"/>
      <c r="AW645" s="10" t="s">
        <v>66</v>
      </c>
      <c r="AX645" s="10"/>
      <c r="AY645" s="10" t="s">
        <v>66</v>
      </c>
    </row>
    <row r="646" ht="22.5" hidden="1" customHeight="1">
      <c r="A646" s="9" t="s">
        <v>6754</v>
      </c>
      <c r="B646" s="10" t="s">
        <v>6755</v>
      </c>
      <c r="C646" s="10" t="s">
        <v>43</v>
      </c>
      <c r="D646" s="10" t="s">
        <v>3477</v>
      </c>
      <c r="E646" s="10" t="s">
        <v>66</v>
      </c>
      <c r="F646" s="11">
        <v>1.0</v>
      </c>
      <c r="G646" s="11">
        <v>43.2</v>
      </c>
      <c r="H646" s="11">
        <v>13.77</v>
      </c>
      <c r="I646" s="11">
        <v>-13.34</v>
      </c>
      <c r="J646" s="11">
        <v>-13.77</v>
      </c>
      <c r="K646" s="11"/>
      <c r="L646" s="11">
        <v>29.86</v>
      </c>
      <c r="M646" s="10" t="s">
        <v>46</v>
      </c>
      <c r="N646" s="10" t="s">
        <v>50</v>
      </c>
      <c r="O646" s="10" t="s">
        <v>4556</v>
      </c>
      <c r="P646" s="10" t="s">
        <v>4557</v>
      </c>
      <c r="Q646" s="10" t="s">
        <v>4558</v>
      </c>
      <c r="R646" s="10" t="s">
        <v>74</v>
      </c>
      <c r="S646" s="11">
        <v>43.2</v>
      </c>
      <c r="T646" s="11">
        <v>8.73</v>
      </c>
      <c r="U646" s="11" t="s">
        <v>51</v>
      </c>
      <c r="V646" s="10" t="s">
        <v>52</v>
      </c>
      <c r="W646" s="10" t="s">
        <v>6756</v>
      </c>
      <c r="X646" s="10" t="s">
        <v>6757</v>
      </c>
      <c r="Y646" s="10" t="s">
        <v>6758</v>
      </c>
      <c r="Z646" s="10" t="s">
        <v>50</v>
      </c>
      <c r="AA646" s="10" t="s">
        <v>50</v>
      </c>
      <c r="AB646" s="10" t="s">
        <v>6756</v>
      </c>
      <c r="AC646" s="10" t="s">
        <v>6759</v>
      </c>
      <c r="AD646" s="10" t="s">
        <v>6760</v>
      </c>
      <c r="AE646" s="10" t="s">
        <v>6761</v>
      </c>
      <c r="AF646" s="10" t="s">
        <v>323</v>
      </c>
      <c r="AG646" s="10" t="s">
        <v>6762</v>
      </c>
      <c r="AH646" s="10" t="s">
        <v>60</v>
      </c>
      <c r="AI646" s="10" t="s">
        <v>61</v>
      </c>
      <c r="AJ646" s="10" t="s">
        <v>6763</v>
      </c>
      <c r="AK646" s="10" t="s">
        <v>6764</v>
      </c>
      <c r="AL646" s="10" t="s">
        <v>64</v>
      </c>
      <c r="AM646" s="10" t="s">
        <v>6765</v>
      </c>
      <c r="AN646" s="10" t="s">
        <v>50</v>
      </c>
      <c r="AO646" s="11" t="s">
        <v>50</v>
      </c>
      <c r="AP646" s="10" t="s">
        <v>50</v>
      </c>
      <c r="AQ646" s="10" t="s">
        <v>50</v>
      </c>
      <c r="AR646" s="10" t="s">
        <v>50</v>
      </c>
      <c r="AS646" s="10" t="s">
        <v>50</v>
      </c>
      <c r="AT646" s="10" t="s">
        <v>50</v>
      </c>
      <c r="AU646" s="10" t="s">
        <v>50</v>
      </c>
      <c r="AV646" s="11"/>
      <c r="AW646" s="10" t="s">
        <v>66</v>
      </c>
      <c r="AX646" s="10"/>
      <c r="AY646" s="10" t="s">
        <v>66</v>
      </c>
    </row>
    <row r="647" ht="22.5" hidden="1" customHeight="1">
      <c r="A647" s="9" t="s">
        <v>6766</v>
      </c>
      <c r="B647" s="10" t="s">
        <v>6767</v>
      </c>
      <c r="C647" s="10" t="s">
        <v>43</v>
      </c>
      <c r="D647" s="10" t="s">
        <v>4592</v>
      </c>
      <c r="E647" s="10" t="s">
        <v>45</v>
      </c>
      <c r="F647" s="11">
        <v>1.0</v>
      </c>
      <c r="G647" s="11">
        <v>84.0</v>
      </c>
      <c r="H647" s="11">
        <v>8.73</v>
      </c>
      <c r="I647" s="11">
        <v>-14.28</v>
      </c>
      <c r="J647" s="11">
        <v>-29.18</v>
      </c>
      <c r="K647" s="11"/>
      <c r="L647" s="11">
        <v>49.27</v>
      </c>
      <c r="M647" s="10" t="s">
        <v>46</v>
      </c>
      <c r="N647" s="10" t="s">
        <v>45</v>
      </c>
      <c r="O647" s="10" t="s">
        <v>265</v>
      </c>
      <c r="P647" s="10" t="s">
        <v>266</v>
      </c>
      <c r="Q647" s="10" t="s">
        <v>267</v>
      </c>
      <c r="R647" s="10" t="s">
        <v>74</v>
      </c>
      <c r="S647" s="11">
        <v>84.0</v>
      </c>
      <c r="T647" s="11">
        <v>26.22</v>
      </c>
      <c r="U647" s="11" t="s">
        <v>51</v>
      </c>
      <c r="V647" s="10" t="s">
        <v>52</v>
      </c>
      <c r="W647" s="10" t="s">
        <v>6768</v>
      </c>
      <c r="X647" s="10" t="s">
        <v>6769</v>
      </c>
      <c r="Y647" s="10" t="s">
        <v>6770</v>
      </c>
      <c r="Z647" s="10" t="s">
        <v>50</v>
      </c>
      <c r="AA647" s="10" t="s">
        <v>50</v>
      </c>
      <c r="AB647" s="10" t="s">
        <v>6768</v>
      </c>
      <c r="AC647" s="10" t="s">
        <v>6771</v>
      </c>
      <c r="AD647" s="10" t="s">
        <v>6772</v>
      </c>
      <c r="AE647" s="10" t="s">
        <v>6773</v>
      </c>
      <c r="AF647" s="10" t="s">
        <v>1593</v>
      </c>
      <c r="AG647" s="10" t="s">
        <v>6774</v>
      </c>
      <c r="AH647" s="10" t="s">
        <v>60</v>
      </c>
      <c r="AI647" s="10" t="s">
        <v>61</v>
      </c>
      <c r="AJ647" s="10" t="s">
        <v>6775</v>
      </c>
      <c r="AK647" s="10" t="s">
        <v>6776</v>
      </c>
      <c r="AL647" s="10" t="s">
        <v>64</v>
      </c>
      <c r="AM647" s="10" t="s">
        <v>6777</v>
      </c>
      <c r="AN647" s="10" t="s">
        <v>50</v>
      </c>
      <c r="AO647" s="11" t="s">
        <v>50</v>
      </c>
      <c r="AP647" s="10" t="s">
        <v>50</v>
      </c>
      <c r="AQ647" s="10" t="s">
        <v>50</v>
      </c>
      <c r="AR647" s="10" t="s">
        <v>50</v>
      </c>
      <c r="AS647" s="10" t="s">
        <v>50</v>
      </c>
      <c r="AT647" s="10" t="s">
        <v>50</v>
      </c>
      <c r="AU647" s="10" t="s">
        <v>50</v>
      </c>
      <c r="AV647" s="11"/>
      <c r="AW647" s="10" t="s">
        <v>66</v>
      </c>
      <c r="AX647" s="10"/>
      <c r="AY647" s="10" t="s">
        <v>66</v>
      </c>
    </row>
    <row r="648" ht="22.5" hidden="1" customHeight="1">
      <c r="A648" s="9" t="s">
        <v>6778</v>
      </c>
      <c r="B648" s="10" t="s">
        <v>6779</v>
      </c>
      <c r="C648" s="10" t="s">
        <v>69</v>
      </c>
      <c r="D648" s="10" t="s">
        <v>70</v>
      </c>
      <c r="E648" s="10" t="s">
        <v>45</v>
      </c>
      <c r="F648" s="11">
        <v>1.0</v>
      </c>
      <c r="G648" s="11">
        <v>100.0</v>
      </c>
      <c r="H648" s="11"/>
      <c r="I648" s="11">
        <v>-17.0</v>
      </c>
      <c r="J648" s="11">
        <v>-19.95</v>
      </c>
      <c r="K648" s="11">
        <v>-63.05</v>
      </c>
      <c r="L648" s="11">
        <v>0.0</v>
      </c>
      <c r="M648" s="10" t="s">
        <v>46</v>
      </c>
      <c r="N648" s="10" t="s">
        <v>45</v>
      </c>
      <c r="O648" s="10" t="s">
        <v>766</v>
      </c>
      <c r="P648" s="10" t="s">
        <v>767</v>
      </c>
      <c r="Q648" s="10" t="s">
        <v>768</v>
      </c>
      <c r="R648" s="10" t="s">
        <v>74</v>
      </c>
      <c r="S648" s="11">
        <v>100.0</v>
      </c>
      <c r="T648" s="11"/>
      <c r="U648" s="11" t="s">
        <v>51</v>
      </c>
      <c r="V648" s="10" t="s">
        <v>75</v>
      </c>
      <c r="W648" s="10" t="s">
        <v>6475</v>
      </c>
      <c r="X648" s="10" t="s">
        <v>6476</v>
      </c>
      <c r="Y648" s="10" t="s">
        <v>6780</v>
      </c>
      <c r="Z648" s="10" t="s">
        <v>50</v>
      </c>
      <c r="AA648" s="10" t="s">
        <v>50</v>
      </c>
      <c r="AB648" s="10" t="s">
        <v>6475</v>
      </c>
      <c r="AC648" s="10" t="s">
        <v>6478</v>
      </c>
      <c r="AD648" s="10" t="s">
        <v>50</v>
      </c>
      <c r="AE648" s="10" t="s">
        <v>6480</v>
      </c>
      <c r="AF648" s="10" t="s">
        <v>185</v>
      </c>
      <c r="AG648" s="10" t="s">
        <v>6481</v>
      </c>
      <c r="AH648" s="10" t="s">
        <v>60</v>
      </c>
      <c r="AI648" s="10" t="s">
        <v>61</v>
      </c>
      <c r="AJ648" s="10" t="s">
        <v>50</v>
      </c>
      <c r="AK648" s="10" t="s">
        <v>50</v>
      </c>
      <c r="AL648" s="10" t="s">
        <v>64</v>
      </c>
      <c r="AM648" s="10" t="s">
        <v>50</v>
      </c>
      <c r="AN648" s="10" t="s">
        <v>50</v>
      </c>
      <c r="AO648" s="11" t="s">
        <v>50</v>
      </c>
      <c r="AP648" s="10" t="s">
        <v>50</v>
      </c>
      <c r="AQ648" s="10" t="s">
        <v>50</v>
      </c>
      <c r="AR648" s="10" t="s">
        <v>50</v>
      </c>
      <c r="AS648" s="10" t="s">
        <v>50</v>
      </c>
      <c r="AT648" s="10" t="s">
        <v>50</v>
      </c>
      <c r="AU648" s="10" t="s">
        <v>50</v>
      </c>
      <c r="AV648" s="11"/>
      <c r="AW648" s="10" t="s">
        <v>66</v>
      </c>
      <c r="AX648" s="10"/>
      <c r="AY648" s="10" t="s">
        <v>66</v>
      </c>
    </row>
    <row r="649" ht="22.5" hidden="1" customHeight="1">
      <c r="A649" s="9" t="s">
        <v>6781</v>
      </c>
      <c r="B649" s="10" t="s">
        <v>6782</v>
      </c>
      <c r="C649" s="10" t="s">
        <v>43</v>
      </c>
      <c r="D649" s="10" t="s">
        <v>2402</v>
      </c>
      <c r="E649" s="10" t="s">
        <v>45</v>
      </c>
      <c r="F649" s="11">
        <v>2.0</v>
      </c>
      <c r="G649" s="11">
        <v>87.4</v>
      </c>
      <c r="H649" s="11"/>
      <c r="I649" s="11">
        <v>-26.86</v>
      </c>
      <c r="J649" s="11"/>
      <c r="K649" s="11"/>
      <c r="L649" s="11">
        <v>65.78</v>
      </c>
      <c r="M649" s="10" t="s">
        <v>46</v>
      </c>
      <c r="N649" s="10" t="s">
        <v>50</v>
      </c>
      <c r="O649" s="10" t="s">
        <v>176</v>
      </c>
      <c r="P649" s="10" t="s">
        <v>177</v>
      </c>
      <c r="Q649" s="10" t="s">
        <v>178</v>
      </c>
      <c r="R649" s="10" t="s">
        <v>74</v>
      </c>
      <c r="S649" s="11">
        <v>43.7</v>
      </c>
      <c r="T649" s="11">
        <f>2*22.58</f>
        <v>45.16</v>
      </c>
      <c r="U649" s="11" t="s">
        <v>51</v>
      </c>
      <c r="V649" s="10" t="s">
        <v>52</v>
      </c>
      <c r="W649" s="10" t="s">
        <v>6783</v>
      </c>
      <c r="X649" s="10" t="s">
        <v>6784</v>
      </c>
      <c r="Y649" s="10" t="s">
        <v>6785</v>
      </c>
      <c r="Z649" s="10" t="s">
        <v>50</v>
      </c>
      <c r="AA649" s="10" t="s">
        <v>50</v>
      </c>
      <c r="AB649" s="10" t="s">
        <v>6783</v>
      </c>
      <c r="AC649" s="10" t="s">
        <v>6786</v>
      </c>
      <c r="AD649" s="10" t="s">
        <v>6787</v>
      </c>
      <c r="AE649" s="10" t="s">
        <v>6788</v>
      </c>
      <c r="AF649" s="10" t="s">
        <v>185</v>
      </c>
      <c r="AG649" s="10" t="s">
        <v>6789</v>
      </c>
      <c r="AH649" s="10" t="s">
        <v>60</v>
      </c>
      <c r="AI649" s="10" t="s">
        <v>61</v>
      </c>
      <c r="AJ649" s="10" t="s">
        <v>6790</v>
      </c>
      <c r="AK649" s="10" t="s">
        <v>6791</v>
      </c>
      <c r="AL649" s="10" t="s">
        <v>64</v>
      </c>
      <c r="AM649" s="10" t="s">
        <v>6792</v>
      </c>
      <c r="AN649" s="10" t="s">
        <v>50</v>
      </c>
      <c r="AO649" s="11" t="s">
        <v>50</v>
      </c>
      <c r="AP649" s="10" t="s">
        <v>50</v>
      </c>
      <c r="AQ649" s="10" t="s">
        <v>50</v>
      </c>
      <c r="AR649" s="10" t="s">
        <v>50</v>
      </c>
      <c r="AS649" s="10" t="s">
        <v>50</v>
      </c>
      <c r="AT649" s="10" t="s">
        <v>50</v>
      </c>
      <c r="AU649" s="10" t="s">
        <v>50</v>
      </c>
      <c r="AV649" s="11"/>
      <c r="AW649" s="10" t="s">
        <v>66</v>
      </c>
      <c r="AX649" s="10"/>
      <c r="AY649" s="10" t="s">
        <v>66</v>
      </c>
    </row>
    <row r="650" ht="22.5" hidden="1" customHeight="1">
      <c r="A650" s="9" t="s">
        <v>6793</v>
      </c>
      <c r="B650" s="10" t="s">
        <v>6794</v>
      </c>
      <c r="C650" s="10" t="s">
        <v>69</v>
      </c>
      <c r="D650" s="10" t="s">
        <v>70</v>
      </c>
      <c r="E650" s="10" t="s">
        <v>66</v>
      </c>
      <c r="F650" s="11">
        <v>1.0</v>
      </c>
      <c r="G650" s="11">
        <v>80.0</v>
      </c>
      <c r="H650" s="11"/>
      <c r="I650" s="11">
        <v>-13.6</v>
      </c>
      <c r="J650" s="11">
        <v>-19.95</v>
      </c>
      <c r="K650" s="11">
        <v>-50.45</v>
      </c>
      <c r="L650" s="11">
        <v>0.0</v>
      </c>
      <c r="M650" s="10" t="s">
        <v>46</v>
      </c>
      <c r="N650" s="10" t="s">
        <v>50</v>
      </c>
      <c r="O650" s="10" t="s">
        <v>143</v>
      </c>
      <c r="P650" s="10" t="s">
        <v>144</v>
      </c>
      <c r="Q650" s="10" t="s">
        <v>145</v>
      </c>
      <c r="R650" s="10" t="s">
        <v>74</v>
      </c>
      <c r="S650" s="11">
        <v>80.0</v>
      </c>
      <c r="T650" s="11"/>
      <c r="U650" s="11" t="s">
        <v>51</v>
      </c>
      <c r="V650" s="10" t="s">
        <v>75</v>
      </c>
      <c r="W650" s="10" t="s">
        <v>5514</v>
      </c>
      <c r="X650" s="10" t="s">
        <v>5515</v>
      </c>
      <c r="Y650" s="10" t="s">
        <v>5516</v>
      </c>
      <c r="Z650" s="10" t="s">
        <v>50</v>
      </c>
      <c r="AA650" s="10" t="s">
        <v>50</v>
      </c>
      <c r="AB650" s="10" t="s">
        <v>5514</v>
      </c>
      <c r="AC650" s="10" t="s">
        <v>5517</v>
      </c>
      <c r="AD650" s="10" t="s">
        <v>50</v>
      </c>
      <c r="AE650" s="10" t="s">
        <v>3359</v>
      </c>
      <c r="AF650" s="10" t="s">
        <v>185</v>
      </c>
      <c r="AG650" s="10" t="s">
        <v>5519</v>
      </c>
      <c r="AH650" s="10" t="s">
        <v>60</v>
      </c>
      <c r="AI650" s="10" t="s">
        <v>61</v>
      </c>
      <c r="AJ650" s="10" t="s">
        <v>50</v>
      </c>
      <c r="AK650" s="10" t="s">
        <v>50</v>
      </c>
      <c r="AL650" s="10" t="s">
        <v>64</v>
      </c>
      <c r="AM650" s="10" t="s">
        <v>50</v>
      </c>
      <c r="AN650" s="10" t="s">
        <v>50</v>
      </c>
      <c r="AO650" s="11" t="s">
        <v>50</v>
      </c>
      <c r="AP650" s="10" t="s">
        <v>50</v>
      </c>
      <c r="AQ650" s="10" t="s">
        <v>50</v>
      </c>
      <c r="AR650" s="10" t="s">
        <v>50</v>
      </c>
      <c r="AS650" s="10" t="s">
        <v>50</v>
      </c>
      <c r="AT650" s="10" t="s">
        <v>50</v>
      </c>
      <c r="AU650" s="10" t="s">
        <v>50</v>
      </c>
      <c r="AV650" s="11"/>
      <c r="AW650" s="10" t="s">
        <v>66</v>
      </c>
      <c r="AX650" s="10"/>
      <c r="AY650" s="10" t="s">
        <v>66</v>
      </c>
    </row>
    <row r="651" ht="22.5" hidden="1" customHeight="1">
      <c r="A651" s="9" t="s">
        <v>6795</v>
      </c>
      <c r="B651" s="10" t="s">
        <v>6796</v>
      </c>
      <c r="C651" s="10" t="s">
        <v>43</v>
      </c>
      <c r="D651" s="10" t="s">
        <v>3477</v>
      </c>
      <c r="E651" s="10" t="s">
        <v>45</v>
      </c>
      <c r="F651" s="11">
        <v>2.0</v>
      </c>
      <c r="G651" s="11">
        <v>87.4</v>
      </c>
      <c r="H651" s="11"/>
      <c r="I651" s="11">
        <v>-26.86</v>
      </c>
      <c r="J651" s="11"/>
      <c r="K651" s="11"/>
      <c r="L651" s="11">
        <v>65.78</v>
      </c>
      <c r="M651" s="10" t="s">
        <v>46</v>
      </c>
      <c r="N651" s="10" t="s">
        <v>50</v>
      </c>
      <c r="O651" s="10" t="s">
        <v>176</v>
      </c>
      <c r="P651" s="10" t="s">
        <v>177</v>
      </c>
      <c r="Q651" s="10" t="s">
        <v>178</v>
      </c>
      <c r="R651" s="10" t="s">
        <v>74</v>
      </c>
      <c r="S651" s="11">
        <v>43.7</v>
      </c>
      <c r="T651" s="11">
        <f>2*22.58</f>
        <v>45.16</v>
      </c>
      <c r="U651" s="11" t="s">
        <v>51</v>
      </c>
      <c r="V651" s="10" t="s">
        <v>52</v>
      </c>
      <c r="W651" s="10" t="s">
        <v>6797</v>
      </c>
      <c r="X651" s="10" t="s">
        <v>6798</v>
      </c>
      <c r="Y651" s="10" t="s">
        <v>6799</v>
      </c>
      <c r="Z651" s="10" t="s">
        <v>50</v>
      </c>
      <c r="AA651" s="10" t="s">
        <v>50</v>
      </c>
      <c r="AB651" s="10" t="s">
        <v>6797</v>
      </c>
      <c r="AC651" s="10" t="s">
        <v>6800</v>
      </c>
      <c r="AD651" s="10" t="s">
        <v>6801</v>
      </c>
      <c r="AE651" s="10" t="s">
        <v>2443</v>
      </c>
      <c r="AF651" s="10" t="s">
        <v>58</v>
      </c>
      <c r="AG651" s="10" t="s">
        <v>6802</v>
      </c>
      <c r="AH651" s="10" t="s">
        <v>60</v>
      </c>
      <c r="AI651" s="10" t="s">
        <v>61</v>
      </c>
      <c r="AJ651" s="10" t="s">
        <v>6571</v>
      </c>
      <c r="AK651" s="10" t="s">
        <v>6803</v>
      </c>
      <c r="AL651" s="10" t="s">
        <v>64</v>
      </c>
      <c r="AM651" s="10" t="s">
        <v>6804</v>
      </c>
      <c r="AN651" s="10" t="s">
        <v>50</v>
      </c>
      <c r="AO651" s="11" t="s">
        <v>50</v>
      </c>
      <c r="AP651" s="10" t="s">
        <v>50</v>
      </c>
      <c r="AQ651" s="10" t="s">
        <v>50</v>
      </c>
      <c r="AR651" s="10" t="s">
        <v>50</v>
      </c>
      <c r="AS651" s="10" t="s">
        <v>50</v>
      </c>
      <c r="AT651" s="10" t="s">
        <v>50</v>
      </c>
      <c r="AU651" s="10" t="s">
        <v>50</v>
      </c>
      <c r="AV651" s="11"/>
      <c r="AW651" s="10" t="s">
        <v>66</v>
      </c>
      <c r="AX651" s="10"/>
      <c r="AY651" s="10" t="s">
        <v>66</v>
      </c>
    </row>
    <row r="652" ht="22.5" hidden="1" customHeight="1">
      <c r="A652" s="9" t="s">
        <v>6805</v>
      </c>
      <c r="B652" s="10" t="s">
        <v>6806</v>
      </c>
      <c r="C652" s="10" t="s">
        <v>43</v>
      </c>
      <c r="D652" s="10" t="s">
        <v>3477</v>
      </c>
      <c r="E652" s="10" t="s">
        <v>66</v>
      </c>
      <c r="F652" s="11">
        <v>1.0</v>
      </c>
      <c r="G652" s="11">
        <v>115.0</v>
      </c>
      <c r="H652" s="11"/>
      <c r="I652" s="11">
        <v>-21.85</v>
      </c>
      <c r="J652" s="11">
        <v>-19.95</v>
      </c>
      <c r="K652" s="11"/>
      <c r="L652" s="11">
        <v>73.2</v>
      </c>
      <c r="M652" s="10" t="s">
        <v>46</v>
      </c>
      <c r="N652" s="10" t="s">
        <v>45</v>
      </c>
      <c r="O652" s="10" t="s">
        <v>47</v>
      </c>
      <c r="P652" s="10" t="s">
        <v>48</v>
      </c>
      <c r="Q652" s="10" t="s">
        <v>49</v>
      </c>
      <c r="R652" s="10" t="s">
        <v>50</v>
      </c>
      <c r="S652" s="11">
        <v>115.0</v>
      </c>
      <c r="T652" s="11">
        <v>12.45</v>
      </c>
      <c r="U652" s="11" t="s">
        <v>51</v>
      </c>
      <c r="V652" s="10" t="s">
        <v>52</v>
      </c>
      <c r="W652" s="10" t="s">
        <v>6807</v>
      </c>
      <c r="X652" s="10" t="s">
        <v>6808</v>
      </c>
      <c r="Y652" s="10" t="s">
        <v>6809</v>
      </c>
      <c r="Z652" s="10" t="s">
        <v>50</v>
      </c>
      <c r="AA652" s="10" t="s">
        <v>50</v>
      </c>
      <c r="AB652" s="10" t="s">
        <v>6807</v>
      </c>
      <c r="AC652" s="10" t="s">
        <v>6810</v>
      </c>
      <c r="AD652" s="10" t="s">
        <v>6811</v>
      </c>
      <c r="AE652" s="10" t="s">
        <v>6812</v>
      </c>
      <c r="AF652" s="10" t="s">
        <v>58</v>
      </c>
      <c r="AG652" s="10" t="s">
        <v>6813</v>
      </c>
      <c r="AH652" s="10" t="s">
        <v>60</v>
      </c>
      <c r="AI652" s="10" t="s">
        <v>61</v>
      </c>
      <c r="AJ652" s="10" t="s">
        <v>6571</v>
      </c>
      <c r="AK652" s="10" t="s">
        <v>6814</v>
      </c>
      <c r="AL652" s="10" t="s">
        <v>64</v>
      </c>
      <c r="AM652" s="10" t="s">
        <v>6815</v>
      </c>
      <c r="AN652" s="10" t="s">
        <v>50</v>
      </c>
      <c r="AO652" s="11" t="s">
        <v>50</v>
      </c>
      <c r="AP652" s="10" t="s">
        <v>50</v>
      </c>
      <c r="AQ652" s="10" t="s">
        <v>50</v>
      </c>
      <c r="AR652" s="10" t="s">
        <v>50</v>
      </c>
      <c r="AS652" s="10" t="s">
        <v>50</v>
      </c>
      <c r="AT652" s="10" t="s">
        <v>50</v>
      </c>
      <c r="AU652" s="10" t="s">
        <v>50</v>
      </c>
      <c r="AV652" s="11"/>
      <c r="AW652" s="10" t="s">
        <v>66</v>
      </c>
      <c r="AX652" s="10"/>
      <c r="AY652" s="10" t="s">
        <v>66</v>
      </c>
    </row>
    <row r="653" ht="22.5" hidden="1" customHeight="1">
      <c r="A653" s="9" t="s">
        <v>6816</v>
      </c>
      <c r="B653" s="10" t="s">
        <v>6817</v>
      </c>
      <c r="C653" s="10" t="s">
        <v>43</v>
      </c>
      <c r="D653" s="10" t="s">
        <v>2481</v>
      </c>
      <c r="E653" s="10" t="s">
        <v>66</v>
      </c>
      <c r="F653" s="11">
        <v>1.0</v>
      </c>
      <c r="G653" s="11">
        <v>80.0</v>
      </c>
      <c r="H653" s="11"/>
      <c r="I653" s="11">
        <v>-13.6</v>
      </c>
      <c r="J653" s="11">
        <v>-19.95</v>
      </c>
      <c r="K653" s="11"/>
      <c r="L653" s="11">
        <v>50.45</v>
      </c>
      <c r="M653" s="10" t="s">
        <v>46</v>
      </c>
      <c r="N653" s="10" t="s">
        <v>50</v>
      </c>
      <c r="O653" s="10" t="s">
        <v>143</v>
      </c>
      <c r="P653" s="10" t="s">
        <v>144</v>
      </c>
      <c r="Q653" s="10" t="s">
        <v>145</v>
      </c>
      <c r="R653" s="10" t="s">
        <v>74</v>
      </c>
      <c r="S653" s="11">
        <v>80.0</v>
      </c>
      <c r="T653" s="11">
        <v>33.38</v>
      </c>
      <c r="U653" s="11" t="s">
        <v>51</v>
      </c>
      <c r="V653" s="10" t="s">
        <v>52</v>
      </c>
      <c r="W653" s="10" t="s">
        <v>6818</v>
      </c>
      <c r="X653" s="10" t="s">
        <v>6819</v>
      </c>
      <c r="Y653" s="10" t="s">
        <v>6820</v>
      </c>
      <c r="Z653" s="10" t="s">
        <v>50</v>
      </c>
      <c r="AA653" s="10" t="s">
        <v>50</v>
      </c>
      <c r="AB653" s="10" t="s">
        <v>6818</v>
      </c>
      <c r="AC653" s="10" t="s">
        <v>6821</v>
      </c>
      <c r="AD653" s="10" t="s">
        <v>6822</v>
      </c>
      <c r="AE653" s="10" t="s">
        <v>6823</v>
      </c>
      <c r="AF653" s="10" t="s">
        <v>185</v>
      </c>
      <c r="AG653" s="10" t="s">
        <v>6824</v>
      </c>
      <c r="AH653" s="10" t="s">
        <v>60</v>
      </c>
      <c r="AI653" s="10" t="s">
        <v>61</v>
      </c>
      <c r="AJ653" s="10" t="s">
        <v>6825</v>
      </c>
      <c r="AK653" s="10" t="s">
        <v>6826</v>
      </c>
      <c r="AL653" s="10" t="s">
        <v>64</v>
      </c>
      <c r="AM653" s="10" t="s">
        <v>6827</v>
      </c>
      <c r="AN653" s="10" t="s">
        <v>50</v>
      </c>
      <c r="AO653" s="11" t="s">
        <v>50</v>
      </c>
      <c r="AP653" s="10" t="s">
        <v>50</v>
      </c>
      <c r="AQ653" s="10" t="s">
        <v>50</v>
      </c>
      <c r="AR653" s="10" t="s">
        <v>50</v>
      </c>
      <c r="AS653" s="10" t="s">
        <v>50</v>
      </c>
      <c r="AT653" s="10" t="s">
        <v>50</v>
      </c>
      <c r="AU653" s="10" t="s">
        <v>50</v>
      </c>
      <c r="AV653" s="11"/>
      <c r="AW653" s="10" t="s">
        <v>66</v>
      </c>
      <c r="AX653" s="10"/>
      <c r="AY653" s="10" t="s">
        <v>66</v>
      </c>
    </row>
    <row r="654" ht="22.5" hidden="1" customHeight="1">
      <c r="A654" s="9" t="s">
        <v>6828</v>
      </c>
      <c r="B654" s="10" t="s">
        <v>6829</v>
      </c>
      <c r="C654" s="10" t="s">
        <v>69</v>
      </c>
      <c r="D654" s="10" t="s">
        <v>402</v>
      </c>
      <c r="E654" s="10" t="s">
        <v>66</v>
      </c>
      <c r="F654" s="11">
        <v>1.0</v>
      </c>
      <c r="G654" s="11">
        <v>43.7</v>
      </c>
      <c r="H654" s="11">
        <v>14.63</v>
      </c>
      <c r="I654" s="11">
        <v>-13.43</v>
      </c>
      <c r="J654" s="11">
        <v>-14.63</v>
      </c>
      <c r="K654" s="11">
        <v>-32.89</v>
      </c>
      <c r="L654" s="11">
        <v>0.0</v>
      </c>
      <c r="M654" s="10" t="s">
        <v>46</v>
      </c>
      <c r="N654" s="10" t="s">
        <v>50</v>
      </c>
      <c r="O654" s="10" t="s">
        <v>176</v>
      </c>
      <c r="P654" s="10" t="s">
        <v>177</v>
      </c>
      <c r="Q654" s="10" t="s">
        <v>178</v>
      </c>
      <c r="R654" s="10" t="s">
        <v>74</v>
      </c>
      <c r="S654" s="11">
        <v>43.7</v>
      </c>
      <c r="T654" s="11"/>
      <c r="U654" s="11" t="s">
        <v>51</v>
      </c>
      <c r="V654" s="10" t="s">
        <v>75</v>
      </c>
      <c r="W654" s="10" t="s">
        <v>6830</v>
      </c>
      <c r="X654" s="10" t="s">
        <v>6831</v>
      </c>
      <c r="Y654" s="10" t="s">
        <v>6832</v>
      </c>
      <c r="Z654" s="10" t="s">
        <v>50</v>
      </c>
      <c r="AA654" s="10" t="s">
        <v>50</v>
      </c>
      <c r="AB654" s="10" t="s">
        <v>6830</v>
      </c>
      <c r="AC654" s="10" t="s">
        <v>6833</v>
      </c>
      <c r="AD654" s="10" t="s">
        <v>50</v>
      </c>
      <c r="AE654" s="10" t="s">
        <v>58</v>
      </c>
      <c r="AF654" s="10" t="s">
        <v>58</v>
      </c>
      <c r="AG654" s="10" t="s">
        <v>6834</v>
      </c>
      <c r="AH654" s="10" t="s">
        <v>60</v>
      </c>
      <c r="AI654" s="10" t="s">
        <v>61</v>
      </c>
      <c r="AJ654" s="10" t="s">
        <v>50</v>
      </c>
      <c r="AK654" s="10" t="s">
        <v>50</v>
      </c>
      <c r="AL654" s="10" t="s">
        <v>64</v>
      </c>
      <c r="AM654" s="10" t="s">
        <v>50</v>
      </c>
      <c r="AN654" s="10" t="s">
        <v>50</v>
      </c>
      <c r="AO654" s="11" t="s">
        <v>50</v>
      </c>
      <c r="AP654" s="10" t="s">
        <v>50</v>
      </c>
      <c r="AQ654" s="10" t="s">
        <v>50</v>
      </c>
      <c r="AR654" s="10" t="s">
        <v>50</v>
      </c>
      <c r="AS654" s="10" t="s">
        <v>50</v>
      </c>
      <c r="AT654" s="10" t="s">
        <v>50</v>
      </c>
      <c r="AU654" s="10" t="s">
        <v>50</v>
      </c>
      <c r="AV654" s="11"/>
      <c r="AW654" s="10" t="s">
        <v>66</v>
      </c>
      <c r="AX654" s="10"/>
      <c r="AY654" s="10" t="s">
        <v>66</v>
      </c>
    </row>
    <row r="655" ht="22.5" hidden="1" customHeight="1">
      <c r="A655" s="9" t="s">
        <v>6835</v>
      </c>
      <c r="B655" s="10" t="s">
        <v>6836</v>
      </c>
      <c r="C655" s="10" t="s">
        <v>43</v>
      </c>
      <c r="D655" s="10" t="s">
        <v>3477</v>
      </c>
      <c r="E655" s="10" t="s">
        <v>66</v>
      </c>
      <c r="F655" s="11">
        <v>1.0</v>
      </c>
      <c r="G655" s="11">
        <v>43.7</v>
      </c>
      <c r="H655" s="11">
        <v>14.15</v>
      </c>
      <c r="I655" s="11">
        <v>-13.43</v>
      </c>
      <c r="J655" s="11">
        <v>-14.15</v>
      </c>
      <c r="K655" s="11"/>
      <c r="L655" s="11">
        <v>32.89</v>
      </c>
      <c r="M655" s="10" t="s">
        <v>46</v>
      </c>
      <c r="N655" s="10" t="s">
        <v>50</v>
      </c>
      <c r="O655" s="10" t="s">
        <v>176</v>
      </c>
      <c r="P655" s="10" t="s">
        <v>177</v>
      </c>
      <c r="Q655" s="10" t="s">
        <v>178</v>
      </c>
      <c r="R655" s="10" t="s">
        <v>74</v>
      </c>
      <c r="S655" s="11">
        <v>43.7</v>
      </c>
      <c r="T655" s="11">
        <v>22.58</v>
      </c>
      <c r="U655" s="11" t="s">
        <v>51</v>
      </c>
      <c r="V655" s="10" t="s">
        <v>52</v>
      </c>
      <c r="W655" s="10" t="s">
        <v>6837</v>
      </c>
      <c r="X655" s="10" t="s">
        <v>6838</v>
      </c>
      <c r="Y655" s="10" t="s">
        <v>6839</v>
      </c>
      <c r="Z655" s="10" t="s">
        <v>50</v>
      </c>
      <c r="AA655" s="10" t="s">
        <v>50</v>
      </c>
      <c r="AB655" s="10" t="s">
        <v>6837</v>
      </c>
      <c r="AC655" s="10" t="s">
        <v>6840</v>
      </c>
      <c r="AD655" s="10" t="s">
        <v>6841</v>
      </c>
      <c r="AE655" s="10" t="s">
        <v>6842</v>
      </c>
      <c r="AF655" s="10" t="s">
        <v>58</v>
      </c>
      <c r="AG655" s="10" t="s">
        <v>6843</v>
      </c>
      <c r="AH655" s="10" t="s">
        <v>60</v>
      </c>
      <c r="AI655" s="10" t="s">
        <v>61</v>
      </c>
      <c r="AJ655" s="10" t="s">
        <v>6825</v>
      </c>
      <c r="AK655" s="10" t="s">
        <v>6844</v>
      </c>
      <c r="AL655" s="10" t="s">
        <v>64</v>
      </c>
      <c r="AM655" s="10" t="s">
        <v>6845</v>
      </c>
      <c r="AN655" s="10" t="s">
        <v>50</v>
      </c>
      <c r="AO655" s="11" t="s">
        <v>50</v>
      </c>
      <c r="AP655" s="10" t="s">
        <v>50</v>
      </c>
      <c r="AQ655" s="10" t="s">
        <v>50</v>
      </c>
      <c r="AR655" s="10" t="s">
        <v>50</v>
      </c>
      <c r="AS655" s="10" t="s">
        <v>50</v>
      </c>
      <c r="AT655" s="10" t="s">
        <v>50</v>
      </c>
      <c r="AU655" s="10" t="s">
        <v>50</v>
      </c>
      <c r="AV655" s="11"/>
      <c r="AW655" s="10" t="s">
        <v>66</v>
      </c>
      <c r="AX655" s="10"/>
      <c r="AY655" s="10" t="s">
        <v>66</v>
      </c>
    </row>
    <row r="656" ht="22.5" hidden="1" customHeight="1">
      <c r="A656" s="9" t="s">
        <v>6846</v>
      </c>
      <c r="B656" s="10" t="s">
        <v>6847</v>
      </c>
      <c r="C656" s="10" t="s">
        <v>43</v>
      </c>
      <c r="D656" s="10" t="s">
        <v>2402</v>
      </c>
      <c r="E656" s="10" t="s">
        <v>45</v>
      </c>
      <c r="F656" s="11">
        <v>1.0</v>
      </c>
      <c r="G656" s="11">
        <v>43.7</v>
      </c>
      <c r="H656" s="11">
        <v>40.85</v>
      </c>
      <c r="I656" s="11">
        <v>-13.43</v>
      </c>
      <c r="J656" s="11">
        <v>-40.85</v>
      </c>
      <c r="K656" s="11"/>
      <c r="L656" s="11">
        <v>32.89</v>
      </c>
      <c r="M656" s="10" t="s">
        <v>46</v>
      </c>
      <c r="N656" s="10" t="s">
        <v>50</v>
      </c>
      <c r="O656" s="10" t="s">
        <v>176</v>
      </c>
      <c r="P656" s="10" t="s">
        <v>177</v>
      </c>
      <c r="Q656" s="10" t="s">
        <v>178</v>
      </c>
      <c r="R656" s="10" t="s">
        <v>74</v>
      </c>
      <c r="S656" s="11">
        <v>43.7</v>
      </c>
      <c r="T656" s="11">
        <v>22.58</v>
      </c>
      <c r="U656" s="11" t="s">
        <v>51</v>
      </c>
      <c r="V656" s="10" t="s">
        <v>52</v>
      </c>
      <c r="W656" s="10" t="s">
        <v>6848</v>
      </c>
      <c r="X656" s="10" t="s">
        <v>6849</v>
      </c>
      <c r="Y656" s="10" t="s">
        <v>6850</v>
      </c>
      <c r="Z656" s="10" t="s">
        <v>50</v>
      </c>
      <c r="AA656" s="10" t="s">
        <v>50</v>
      </c>
      <c r="AB656" s="10" t="s">
        <v>6848</v>
      </c>
      <c r="AC656" s="10" t="s">
        <v>6851</v>
      </c>
      <c r="AD656" s="10" t="s">
        <v>6852</v>
      </c>
      <c r="AE656" s="10" t="s">
        <v>6853</v>
      </c>
      <c r="AF656" s="10" t="s">
        <v>2648</v>
      </c>
      <c r="AG656" s="10" t="s">
        <v>6854</v>
      </c>
      <c r="AH656" s="10" t="s">
        <v>60</v>
      </c>
      <c r="AI656" s="10" t="s">
        <v>61</v>
      </c>
      <c r="AJ656" s="10" t="s">
        <v>6855</v>
      </c>
      <c r="AK656" s="10" t="s">
        <v>6856</v>
      </c>
      <c r="AL656" s="10" t="s">
        <v>64</v>
      </c>
      <c r="AM656" s="10" t="s">
        <v>6857</v>
      </c>
      <c r="AN656" s="10" t="s">
        <v>50</v>
      </c>
      <c r="AO656" s="11" t="s">
        <v>50</v>
      </c>
      <c r="AP656" s="10" t="s">
        <v>50</v>
      </c>
      <c r="AQ656" s="10" t="s">
        <v>50</v>
      </c>
      <c r="AR656" s="10" t="s">
        <v>50</v>
      </c>
      <c r="AS656" s="10" t="s">
        <v>50</v>
      </c>
      <c r="AT656" s="10" t="s">
        <v>50</v>
      </c>
      <c r="AU656" s="10" t="s">
        <v>50</v>
      </c>
      <c r="AV656" s="11"/>
      <c r="AW656" s="10" t="s">
        <v>66</v>
      </c>
      <c r="AX656" s="10"/>
      <c r="AY656" s="10" t="s">
        <v>66</v>
      </c>
    </row>
    <row r="657" ht="22.5" hidden="1" customHeight="1">
      <c r="A657" s="9" t="s">
        <v>6858</v>
      </c>
      <c r="B657" s="10" t="s">
        <v>6859</v>
      </c>
      <c r="C657" s="10" t="s">
        <v>43</v>
      </c>
      <c r="D657" s="10" t="s">
        <v>4506</v>
      </c>
      <c r="E657" s="10" t="s">
        <v>45</v>
      </c>
      <c r="F657" s="11">
        <v>1.0</v>
      </c>
      <c r="G657" s="11">
        <v>84.0</v>
      </c>
      <c r="H657" s="11">
        <v>26.73</v>
      </c>
      <c r="I657" s="11">
        <v>-14.28</v>
      </c>
      <c r="J657" s="11">
        <v>-47.18</v>
      </c>
      <c r="K657" s="11"/>
      <c r="L657" s="11">
        <v>49.27</v>
      </c>
      <c r="M657" s="10" t="s">
        <v>46</v>
      </c>
      <c r="N657" s="10" t="s">
        <v>45</v>
      </c>
      <c r="O657" s="10" t="s">
        <v>265</v>
      </c>
      <c r="P657" s="10" t="s">
        <v>266</v>
      </c>
      <c r="Q657" s="10" t="s">
        <v>267</v>
      </c>
      <c r="R657" s="10" t="s">
        <v>74</v>
      </c>
      <c r="S657" s="11">
        <v>84.0</v>
      </c>
      <c r="T657" s="11">
        <v>26.22</v>
      </c>
      <c r="U657" s="11" t="s">
        <v>51</v>
      </c>
      <c r="V657" s="10" t="s">
        <v>52</v>
      </c>
      <c r="W657" s="10" t="s">
        <v>6860</v>
      </c>
      <c r="X657" s="10" t="s">
        <v>6861</v>
      </c>
      <c r="Y657" s="10" t="s">
        <v>6862</v>
      </c>
      <c r="Z657" s="10" t="s">
        <v>50</v>
      </c>
      <c r="AA657" s="10" t="s">
        <v>50</v>
      </c>
      <c r="AB657" s="10" t="s">
        <v>6860</v>
      </c>
      <c r="AC657" s="10" t="s">
        <v>6863</v>
      </c>
      <c r="AD657" s="10" t="s">
        <v>6864</v>
      </c>
      <c r="AE657" s="10" t="s">
        <v>6865</v>
      </c>
      <c r="AF657" s="10" t="s">
        <v>2636</v>
      </c>
      <c r="AG657" s="10" t="s">
        <v>6866</v>
      </c>
      <c r="AH657" s="10" t="s">
        <v>60</v>
      </c>
      <c r="AI657" s="10" t="s">
        <v>61</v>
      </c>
      <c r="AJ657" s="10" t="s">
        <v>6571</v>
      </c>
      <c r="AK657" s="10" t="s">
        <v>6867</v>
      </c>
      <c r="AL657" s="10" t="s">
        <v>64</v>
      </c>
      <c r="AM657" s="10" t="s">
        <v>6868</v>
      </c>
      <c r="AN657" s="10" t="s">
        <v>50</v>
      </c>
      <c r="AO657" s="11" t="s">
        <v>50</v>
      </c>
      <c r="AP657" s="10" t="s">
        <v>50</v>
      </c>
      <c r="AQ657" s="10" t="s">
        <v>50</v>
      </c>
      <c r="AR657" s="10" t="s">
        <v>50</v>
      </c>
      <c r="AS657" s="10" t="s">
        <v>50</v>
      </c>
      <c r="AT657" s="10" t="s">
        <v>50</v>
      </c>
      <c r="AU657" s="10" t="s">
        <v>50</v>
      </c>
      <c r="AV657" s="11"/>
      <c r="AW657" s="10" t="s">
        <v>66</v>
      </c>
      <c r="AX657" s="10"/>
      <c r="AY657" s="10" t="s">
        <v>66</v>
      </c>
    </row>
    <row r="658" ht="22.5" hidden="1" customHeight="1">
      <c r="A658" s="9" t="s">
        <v>6869</v>
      </c>
      <c r="B658" s="10" t="s">
        <v>6870</v>
      </c>
      <c r="C658" s="10" t="s">
        <v>43</v>
      </c>
      <c r="D658" s="10" t="s">
        <v>6539</v>
      </c>
      <c r="E658" s="10" t="s">
        <v>66</v>
      </c>
      <c r="F658" s="11">
        <v>1.0</v>
      </c>
      <c r="G658" s="11">
        <v>43.7</v>
      </c>
      <c r="H658" s="11">
        <v>13.77</v>
      </c>
      <c r="I658" s="11">
        <v>-13.43</v>
      </c>
      <c r="J658" s="11">
        <v>-13.77</v>
      </c>
      <c r="K658" s="11"/>
      <c r="L658" s="11">
        <v>32.89</v>
      </c>
      <c r="M658" s="10" t="s">
        <v>46</v>
      </c>
      <c r="N658" s="10" t="s">
        <v>50</v>
      </c>
      <c r="O658" s="10" t="s">
        <v>176</v>
      </c>
      <c r="P658" s="10" t="s">
        <v>177</v>
      </c>
      <c r="Q658" s="10" t="s">
        <v>178</v>
      </c>
      <c r="R658" s="10" t="s">
        <v>74</v>
      </c>
      <c r="S658" s="11">
        <v>43.7</v>
      </c>
      <c r="T658" s="11">
        <v>22.58</v>
      </c>
      <c r="U658" s="11" t="s">
        <v>51</v>
      </c>
      <c r="V658" s="10" t="s">
        <v>52</v>
      </c>
      <c r="W658" s="10" t="s">
        <v>6871</v>
      </c>
      <c r="X658" s="10" t="s">
        <v>6872</v>
      </c>
      <c r="Y658" s="10" t="s">
        <v>6873</v>
      </c>
      <c r="Z658" s="10" t="s">
        <v>50</v>
      </c>
      <c r="AA658" s="10" t="s">
        <v>50</v>
      </c>
      <c r="AB658" s="10" t="s">
        <v>6871</v>
      </c>
      <c r="AC658" s="10" t="s">
        <v>6874</v>
      </c>
      <c r="AD658" s="10" t="s">
        <v>6875</v>
      </c>
      <c r="AE658" s="10" t="s">
        <v>6876</v>
      </c>
      <c r="AF658" s="10" t="s">
        <v>323</v>
      </c>
      <c r="AG658" s="10" t="s">
        <v>6877</v>
      </c>
      <c r="AH658" s="10" t="s">
        <v>60</v>
      </c>
      <c r="AI658" s="10" t="s">
        <v>61</v>
      </c>
      <c r="AJ658" s="10" t="s">
        <v>6878</v>
      </c>
      <c r="AK658" s="10" t="s">
        <v>6879</v>
      </c>
      <c r="AL658" s="10" t="s">
        <v>64</v>
      </c>
      <c r="AM658" s="10" t="s">
        <v>6880</v>
      </c>
      <c r="AN658" s="10" t="s">
        <v>50</v>
      </c>
      <c r="AO658" s="11" t="s">
        <v>50</v>
      </c>
      <c r="AP658" s="10" t="s">
        <v>50</v>
      </c>
      <c r="AQ658" s="10" t="s">
        <v>50</v>
      </c>
      <c r="AR658" s="10" t="s">
        <v>50</v>
      </c>
      <c r="AS658" s="10" t="s">
        <v>50</v>
      </c>
      <c r="AT658" s="10" t="s">
        <v>50</v>
      </c>
      <c r="AU658" s="10" t="s">
        <v>50</v>
      </c>
      <c r="AV658" s="11"/>
      <c r="AW658" s="10" t="s">
        <v>66</v>
      </c>
      <c r="AX658" s="10"/>
      <c r="AY658" s="10" t="s">
        <v>66</v>
      </c>
    </row>
    <row r="659" ht="22.5" hidden="1" customHeight="1">
      <c r="A659" s="9" t="s">
        <v>6881</v>
      </c>
      <c r="B659" s="10" t="s">
        <v>6882</v>
      </c>
      <c r="C659" s="10" t="s">
        <v>43</v>
      </c>
      <c r="D659" s="10" t="s">
        <v>2481</v>
      </c>
      <c r="E659" s="10" t="s">
        <v>66</v>
      </c>
      <c r="F659" s="11">
        <v>1.0</v>
      </c>
      <c r="G659" s="11">
        <v>82.5</v>
      </c>
      <c r="H659" s="11"/>
      <c r="I659" s="11">
        <v>-14.02</v>
      </c>
      <c r="J659" s="11">
        <v>-20.45</v>
      </c>
      <c r="K659" s="11"/>
      <c r="L659" s="11">
        <v>48.03</v>
      </c>
      <c r="M659" s="10" t="s">
        <v>46</v>
      </c>
      <c r="N659" s="10" t="s">
        <v>50</v>
      </c>
      <c r="O659" s="10" t="s">
        <v>412</v>
      </c>
      <c r="P659" s="10" t="s">
        <v>413</v>
      </c>
      <c r="Q659" s="10" t="s">
        <v>414</v>
      </c>
      <c r="R659" s="10" t="s">
        <v>415</v>
      </c>
      <c r="S659" s="11">
        <v>82.5</v>
      </c>
      <c r="T659" s="11">
        <v>10.05</v>
      </c>
      <c r="U659" s="11" t="s">
        <v>51</v>
      </c>
      <c r="V659" s="10" t="s">
        <v>52</v>
      </c>
      <c r="W659" s="10" t="s">
        <v>6883</v>
      </c>
      <c r="X659" s="10" t="s">
        <v>6884</v>
      </c>
      <c r="Y659" s="10" t="s">
        <v>6885</v>
      </c>
      <c r="Z659" s="10" t="s">
        <v>50</v>
      </c>
      <c r="AA659" s="10" t="s">
        <v>50</v>
      </c>
      <c r="AB659" s="10" t="s">
        <v>6883</v>
      </c>
      <c r="AC659" s="10" t="s">
        <v>6886</v>
      </c>
      <c r="AD659" s="10" t="s">
        <v>6887</v>
      </c>
      <c r="AE659" s="10" t="s">
        <v>6888</v>
      </c>
      <c r="AF659" s="10" t="s">
        <v>185</v>
      </c>
      <c r="AG659" s="10" t="s">
        <v>6889</v>
      </c>
      <c r="AH659" s="10" t="s">
        <v>60</v>
      </c>
      <c r="AI659" s="10" t="s">
        <v>61</v>
      </c>
      <c r="AJ659" s="10" t="s">
        <v>6571</v>
      </c>
      <c r="AK659" s="10" t="s">
        <v>6890</v>
      </c>
      <c r="AL659" s="10" t="s">
        <v>64</v>
      </c>
      <c r="AM659" s="10" t="s">
        <v>6891</v>
      </c>
      <c r="AN659" s="10" t="s">
        <v>50</v>
      </c>
      <c r="AO659" s="11" t="s">
        <v>50</v>
      </c>
      <c r="AP659" s="10" t="s">
        <v>50</v>
      </c>
      <c r="AQ659" s="10" t="s">
        <v>50</v>
      </c>
      <c r="AR659" s="10" t="s">
        <v>50</v>
      </c>
      <c r="AS659" s="10" t="s">
        <v>50</v>
      </c>
      <c r="AT659" s="10" t="s">
        <v>50</v>
      </c>
      <c r="AU659" s="10" t="s">
        <v>50</v>
      </c>
      <c r="AV659" s="11"/>
      <c r="AW659" s="10" t="s">
        <v>66</v>
      </c>
      <c r="AX659" s="10"/>
      <c r="AY659" s="10" t="s">
        <v>66</v>
      </c>
    </row>
    <row r="660" ht="22.5" hidden="1" customHeight="1">
      <c r="A660" s="9" t="s">
        <v>6892</v>
      </c>
      <c r="B660" s="10" t="s">
        <v>6893</v>
      </c>
      <c r="C660" s="10" t="s">
        <v>43</v>
      </c>
      <c r="D660" s="10" t="s">
        <v>3477</v>
      </c>
      <c r="E660" s="10" t="s">
        <v>66</v>
      </c>
      <c r="F660" s="11">
        <v>1.0</v>
      </c>
      <c r="G660" s="11">
        <v>43.7</v>
      </c>
      <c r="H660" s="11">
        <v>11.11</v>
      </c>
      <c r="I660" s="11">
        <v>-13.43</v>
      </c>
      <c r="J660" s="11">
        <v>-11.11</v>
      </c>
      <c r="K660" s="11"/>
      <c r="L660" s="11">
        <v>32.89</v>
      </c>
      <c r="M660" s="10" t="s">
        <v>46</v>
      </c>
      <c r="N660" s="10" t="s">
        <v>50</v>
      </c>
      <c r="O660" s="10" t="s">
        <v>176</v>
      </c>
      <c r="P660" s="10" t="s">
        <v>177</v>
      </c>
      <c r="Q660" s="10" t="s">
        <v>178</v>
      </c>
      <c r="R660" s="10" t="s">
        <v>74</v>
      </c>
      <c r="S660" s="11">
        <v>43.7</v>
      </c>
      <c r="T660" s="11">
        <v>22.58</v>
      </c>
      <c r="U660" s="11" t="s">
        <v>51</v>
      </c>
      <c r="V660" s="10" t="s">
        <v>52</v>
      </c>
      <c r="W660" s="10" t="s">
        <v>6894</v>
      </c>
      <c r="X660" s="10" t="s">
        <v>6895</v>
      </c>
      <c r="Y660" s="10" t="s">
        <v>6896</v>
      </c>
      <c r="Z660" s="10" t="s">
        <v>50</v>
      </c>
      <c r="AA660" s="10" t="s">
        <v>50</v>
      </c>
      <c r="AB660" s="10" t="s">
        <v>6894</v>
      </c>
      <c r="AC660" s="10" t="s">
        <v>6897</v>
      </c>
      <c r="AD660" s="10" t="s">
        <v>6898</v>
      </c>
      <c r="AE660" s="10" t="s">
        <v>5747</v>
      </c>
      <c r="AF660" s="10" t="s">
        <v>58</v>
      </c>
      <c r="AG660" s="10" t="s">
        <v>6899</v>
      </c>
      <c r="AH660" s="10" t="s">
        <v>60</v>
      </c>
      <c r="AI660" s="10" t="s">
        <v>61</v>
      </c>
      <c r="AJ660" s="10" t="s">
        <v>6825</v>
      </c>
      <c r="AK660" s="10" t="s">
        <v>6900</v>
      </c>
      <c r="AL660" s="10" t="s">
        <v>64</v>
      </c>
      <c r="AM660" s="10" t="s">
        <v>6901</v>
      </c>
      <c r="AN660" s="10" t="s">
        <v>50</v>
      </c>
      <c r="AO660" s="11" t="s">
        <v>50</v>
      </c>
      <c r="AP660" s="10" t="s">
        <v>50</v>
      </c>
      <c r="AQ660" s="10" t="s">
        <v>50</v>
      </c>
      <c r="AR660" s="10" t="s">
        <v>50</v>
      </c>
      <c r="AS660" s="10" t="s">
        <v>50</v>
      </c>
      <c r="AT660" s="10" t="s">
        <v>50</v>
      </c>
      <c r="AU660" s="10" t="s">
        <v>50</v>
      </c>
      <c r="AV660" s="11"/>
      <c r="AW660" s="10" t="s">
        <v>66</v>
      </c>
      <c r="AX660" s="10"/>
      <c r="AY660" s="10" t="s">
        <v>66</v>
      </c>
    </row>
    <row r="661" ht="22.5" hidden="1" customHeight="1">
      <c r="A661" s="9" t="s">
        <v>6902</v>
      </c>
      <c r="B661" s="10" t="s">
        <v>6903</v>
      </c>
      <c r="C661" s="10" t="s">
        <v>43</v>
      </c>
      <c r="D661" s="10" t="s">
        <v>2402</v>
      </c>
      <c r="E661" s="10" t="s">
        <v>66</v>
      </c>
      <c r="F661" s="11">
        <v>1.0</v>
      </c>
      <c r="G661" s="11">
        <v>100.0</v>
      </c>
      <c r="H661" s="11"/>
      <c r="I661" s="11">
        <v>-17.0</v>
      </c>
      <c r="J661" s="11">
        <v>-19.95</v>
      </c>
      <c r="K661" s="11"/>
      <c r="L661" s="11">
        <v>63.05</v>
      </c>
      <c r="M661" s="10" t="s">
        <v>46</v>
      </c>
      <c r="N661" s="10" t="s">
        <v>50</v>
      </c>
      <c r="O661" s="10" t="s">
        <v>766</v>
      </c>
      <c r="P661" s="10" t="s">
        <v>767</v>
      </c>
      <c r="Q661" s="10" t="s">
        <v>768</v>
      </c>
      <c r="R661" s="10" t="s">
        <v>74</v>
      </c>
      <c r="S661" s="11">
        <v>100.0</v>
      </c>
      <c r="T661" s="11">
        <v>13.62</v>
      </c>
      <c r="U661" s="11" t="s">
        <v>51</v>
      </c>
      <c r="V661" s="10" t="s">
        <v>52</v>
      </c>
      <c r="W661" s="10" t="s">
        <v>6904</v>
      </c>
      <c r="X661" s="10" t="s">
        <v>6905</v>
      </c>
      <c r="Y661" s="10" t="s">
        <v>6906</v>
      </c>
      <c r="Z661" s="10" t="s">
        <v>50</v>
      </c>
      <c r="AA661" s="10" t="s">
        <v>50</v>
      </c>
      <c r="AB661" s="10" t="s">
        <v>6904</v>
      </c>
      <c r="AC661" s="10" t="s">
        <v>6907</v>
      </c>
      <c r="AD661" s="10" t="s">
        <v>6908</v>
      </c>
      <c r="AE661" s="10" t="s">
        <v>6909</v>
      </c>
      <c r="AF661" s="10" t="s">
        <v>214</v>
      </c>
      <c r="AG661" s="10" t="s">
        <v>6910</v>
      </c>
      <c r="AH661" s="10" t="s">
        <v>60</v>
      </c>
      <c r="AI661" s="10" t="s">
        <v>61</v>
      </c>
      <c r="AJ661" s="10" t="s">
        <v>6751</v>
      </c>
      <c r="AK661" s="10" t="s">
        <v>6911</v>
      </c>
      <c r="AL661" s="10" t="s">
        <v>64</v>
      </c>
      <c r="AM661" s="10" t="s">
        <v>6912</v>
      </c>
      <c r="AN661" s="10" t="s">
        <v>50</v>
      </c>
      <c r="AO661" s="11" t="s">
        <v>50</v>
      </c>
      <c r="AP661" s="10" t="s">
        <v>50</v>
      </c>
      <c r="AQ661" s="10" t="s">
        <v>50</v>
      </c>
      <c r="AR661" s="10" t="s">
        <v>50</v>
      </c>
      <c r="AS661" s="10" t="s">
        <v>50</v>
      </c>
      <c r="AT661" s="10" t="s">
        <v>50</v>
      </c>
      <c r="AU661" s="10" t="s">
        <v>50</v>
      </c>
      <c r="AV661" s="11"/>
      <c r="AW661" s="10" t="s">
        <v>66</v>
      </c>
      <c r="AX661" s="10"/>
      <c r="AY661" s="10" t="s">
        <v>66</v>
      </c>
    </row>
    <row r="662" ht="22.5" hidden="1" customHeight="1">
      <c r="A662" s="9" t="s">
        <v>6913</v>
      </c>
      <c r="B662" s="10" t="s">
        <v>6914</v>
      </c>
      <c r="C662" s="10" t="s">
        <v>69</v>
      </c>
      <c r="D662" s="10" t="s">
        <v>402</v>
      </c>
      <c r="E662" s="10" t="s">
        <v>45</v>
      </c>
      <c r="F662" s="11">
        <v>1.0</v>
      </c>
      <c r="G662" s="11">
        <v>84.0</v>
      </c>
      <c r="H662" s="11"/>
      <c r="I662" s="11">
        <v>-14.28</v>
      </c>
      <c r="J662" s="11">
        <v>-20.45</v>
      </c>
      <c r="K662" s="11">
        <v>-49.27</v>
      </c>
      <c r="L662" s="11">
        <v>0.0</v>
      </c>
      <c r="M662" s="10" t="s">
        <v>46</v>
      </c>
      <c r="N662" s="10" t="s">
        <v>50</v>
      </c>
      <c r="O662" s="10" t="s">
        <v>265</v>
      </c>
      <c r="P662" s="10" t="s">
        <v>266</v>
      </c>
      <c r="Q662" s="10" t="s">
        <v>267</v>
      </c>
      <c r="R662" s="10" t="s">
        <v>74</v>
      </c>
      <c r="S662" s="11">
        <v>84.0</v>
      </c>
      <c r="T662" s="11"/>
      <c r="U662" s="11" t="s">
        <v>51</v>
      </c>
      <c r="V662" s="10" t="s">
        <v>52</v>
      </c>
      <c r="W662" s="10" t="s">
        <v>6915</v>
      </c>
      <c r="X662" s="10" t="s">
        <v>6916</v>
      </c>
      <c r="Y662" s="10" t="s">
        <v>6917</v>
      </c>
      <c r="Z662" s="10" t="s">
        <v>50</v>
      </c>
      <c r="AA662" s="10" t="s">
        <v>50</v>
      </c>
      <c r="AB662" s="10" t="s">
        <v>6915</v>
      </c>
      <c r="AC662" s="10" t="s">
        <v>6918</v>
      </c>
      <c r="AD662" s="10" t="s">
        <v>50</v>
      </c>
      <c r="AE662" s="10" t="s">
        <v>6919</v>
      </c>
      <c r="AF662" s="10" t="s">
        <v>775</v>
      </c>
      <c r="AG662" s="10" t="s">
        <v>6920</v>
      </c>
      <c r="AH662" s="10" t="s">
        <v>60</v>
      </c>
      <c r="AI662" s="10" t="s">
        <v>61</v>
      </c>
      <c r="AJ662" s="10" t="s">
        <v>50</v>
      </c>
      <c r="AK662" s="10" t="s">
        <v>50</v>
      </c>
      <c r="AL662" s="10" t="s">
        <v>64</v>
      </c>
      <c r="AM662" s="10" t="s">
        <v>6921</v>
      </c>
      <c r="AN662" s="10" t="s">
        <v>50</v>
      </c>
      <c r="AO662" s="11" t="s">
        <v>50</v>
      </c>
      <c r="AP662" s="10" t="s">
        <v>50</v>
      </c>
      <c r="AQ662" s="10" t="s">
        <v>50</v>
      </c>
      <c r="AR662" s="10" t="s">
        <v>50</v>
      </c>
      <c r="AS662" s="10" t="s">
        <v>50</v>
      </c>
      <c r="AT662" s="10" t="s">
        <v>50</v>
      </c>
      <c r="AU662" s="10" t="s">
        <v>50</v>
      </c>
      <c r="AV662" s="11"/>
      <c r="AW662" s="10" t="s">
        <v>66</v>
      </c>
      <c r="AX662" s="10"/>
      <c r="AY662" s="10" t="s">
        <v>66</v>
      </c>
    </row>
    <row r="663" ht="22.5" hidden="1" customHeight="1">
      <c r="A663" s="9" t="s">
        <v>6922</v>
      </c>
      <c r="B663" s="10" t="s">
        <v>6923</v>
      </c>
      <c r="C663" s="10" t="s">
        <v>43</v>
      </c>
      <c r="D663" s="10" t="s">
        <v>3477</v>
      </c>
      <c r="E663" s="10" t="s">
        <v>66</v>
      </c>
      <c r="F663" s="11">
        <v>1.0</v>
      </c>
      <c r="G663" s="11">
        <v>120.0</v>
      </c>
      <c r="H663" s="11"/>
      <c r="I663" s="11">
        <v>-20.4</v>
      </c>
      <c r="J663" s="11">
        <v>-19.95</v>
      </c>
      <c r="K663" s="11"/>
      <c r="L663" s="11">
        <v>86.85</v>
      </c>
      <c r="M663" s="10" t="s">
        <v>46</v>
      </c>
      <c r="N663" s="10" t="s">
        <v>45</v>
      </c>
      <c r="O663" s="10" t="s">
        <v>85</v>
      </c>
      <c r="P663" s="10" t="s">
        <v>86</v>
      </c>
      <c r="Q663" s="10" t="s">
        <v>87</v>
      </c>
      <c r="R663" s="10" t="s">
        <v>74</v>
      </c>
      <c r="S663" s="11">
        <v>120.0</v>
      </c>
      <c r="T663" s="11">
        <v>65.78</v>
      </c>
      <c r="U663" s="11" t="s">
        <v>51</v>
      </c>
      <c r="V663" s="10" t="s">
        <v>52</v>
      </c>
      <c r="W663" s="10" t="s">
        <v>6924</v>
      </c>
      <c r="X663" s="10" t="s">
        <v>6925</v>
      </c>
      <c r="Y663" s="10" t="s">
        <v>6926</v>
      </c>
      <c r="Z663" s="10" t="s">
        <v>50</v>
      </c>
      <c r="AA663" s="10" t="s">
        <v>50</v>
      </c>
      <c r="AB663" s="10" t="s">
        <v>6924</v>
      </c>
      <c r="AC663" s="10" t="s">
        <v>6927</v>
      </c>
      <c r="AD663" s="10" t="s">
        <v>6928</v>
      </c>
      <c r="AE663" s="10" t="s">
        <v>6929</v>
      </c>
      <c r="AF663" s="10" t="s">
        <v>775</v>
      </c>
      <c r="AG663" s="10" t="s">
        <v>6930</v>
      </c>
      <c r="AH663" s="10" t="s">
        <v>60</v>
      </c>
      <c r="AI663" s="10" t="s">
        <v>61</v>
      </c>
      <c r="AJ663" s="10" t="s">
        <v>6643</v>
      </c>
      <c r="AK663" s="10" t="s">
        <v>6931</v>
      </c>
      <c r="AL663" s="10" t="s">
        <v>64</v>
      </c>
      <c r="AM663" s="10" t="s">
        <v>6932</v>
      </c>
      <c r="AN663" s="10" t="s">
        <v>50</v>
      </c>
      <c r="AO663" s="11" t="s">
        <v>50</v>
      </c>
      <c r="AP663" s="10" t="s">
        <v>50</v>
      </c>
      <c r="AQ663" s="10" t="s">
        <v>50</v>
      </c>
      <c r="AR663" s="10" t="s">
        <v>50</v>
      </c>
      <c r="AS663" s="10" t="s">
        <v>50</v>
      </c>
      <c r="AT663" s="10" t="s">
        <v>50</v>
      </c>
      <c r="AU663" s="10" t="s">
        <v>50</v>
      </c>
      <c r="AV663" s="11"/>
      <c r="AW663" s="10" t="s">
        <v>66</v>
      </c>
      <c r="AX663" s="10"/>
      <c r="AY663" s="10" t="s">
        <v>66</v>
      </c>
    </row>
    <row r="664" ht="22.5" hidden="1" customHeight="1">
      <c r="A664" s="9" t="s">
        <v>6933</v>
      </c>
      <c r="B664" s="10" t="s">
        <v>6934</v>
      </c>
      <c r="C664" s="10" t="s">
        <v>43</v>
      </c>
      <c r="D664" s="10" t="s">
        <v>6539</v>
      </c>
      <c r="E664" s="10" t="s">
        <v>66</v>
      </c>
      <c r="F664" s="11">
        <v>1.0</v>
      </c>
      <c r="G664" s="11">
        <v>120.0</v>
      </c>
      <c r="H664" s="11"/>
      <c r="I664" s="11">
        <v>-20.4</v>
      </c>
      <c r="J664" s="11">
        <v>-19.95</v>
      </c>
      <c r="K664" s="11"/>
      <c r="L664" s="11">
        <v>86.85</v>
      </c>
      <c r="M664" s="10" t="s">
        <v>46</v>
      </c>
      <c r="N664" s="10" t="s">
        <v>45</v>
      </c>
      <c r="O664" s="10" t="s">
        <v>85</v>
      </c>
      <c r="P664" s="10" t="s">
        <v>86</v>
      </c>
      <c r="Q664" s="10" t="s">
        <v>87</v>
      </c>
      <c r="R664" s="10" t="s">
        <v>74</v>
      </c>
      <c r="S664" s="11">
        <v>120.0</v>
      </c>
      <c r="T664" s="11">
        <v>65.78</v>
      </c>
      <c r="U664" s="11" t="s">
        <v>51</v>
      </c>
      <c r="V664" s="10" t="s">
        <v>52</v>
      </c>
      <c r="W664" s="10" t="s">
        <v>6935</v>
      </c>
      <c r="X664" s="10" t="s">
        <v>6936</v>
      </c>
      <c r="Y664" s="10" t="s">
        <v>6937</v>
      </c>
      <c r="Z664" s="10" t="s">
        <v>50</v>
      </c>
      <c r="AA664" s="10" t="s">
        <v>50</v>
      </c>
      <c r="AB664" s="10" t="s">
        <v>6935</v>
      </c>
      <c r="AC664" s="10" t="s">
        <v>6938</v>
      </c>
      <c r="AD664" s="10" t="s">
        <v>6939</v>
      </c>
      <c r="AE664" s="10" t="s">
        <v>151</v>
      </c>
      <c r="AF664" s="10" t="s">
        <v>151</v>
      </c>
      <c r="AG664" s="10" t="s">
        <v>6940</v>
      </c>
      <c r="AH664" s="10" t="s">
        <v>60</v>
      </c>
      <c r="AI664" s="10" t="s">
        <v>61</v>
      </c>
      <c r="AJ664" s="10" t="s">
        <v>6941</v>
      </c>
      <c r="AK664" s="10" t="s">
        <v>6942</v>
      </c>
      <c r="AL664" s="10" t="s">
        <v>64</v>
      </c>
      <c r="AM664" s="10" t="s">
        <v>6943</v>
      </c>
      <c r="AN664" s="10" t="s">
        <v>50</v>
      </c>
      <c r="AO664" s="11" t="s">
        <v>50</v>
      </c>
      <c r="AP664" s="10" t="s">
        <v>50</v>
      </c>
      <c r="AQ664" s="10" t="s">
        <v>50</v>
      </c>
      <c r="AR664" s="10" t="s">
        <v>50</v>
      </c>
      <c r="AS664" s="10" t="s">
        <v>50</v>
      </c>
      <c r="AT664" s="10" t="s">
        <v>50</v>
      </c>
      <c r="AU664" s="10" t="s">
        <v>50</v>
      </c>
      <c r="AV664" s="11"/>
      <c r="AW664" s="10" t="s">
        <v>66</v>
      </c>
      <c r="AX664" s="10"/>
      <c r="AY664" s="10" t="s">
        <v>66</v>
      </c>
    </row>
    <row r="665" ht="22.5" hidden="1" customHeight="1">
      <c r="A665" s="9" t="s">
        <v>6944</v>
      </c>
      <c r="B665" s="10" t="s">
        <v>6945</v>
      </c>
      <c r="C665" s="10" t="s">
        <v>43</v>
      </c>
      <c r="D665" s="10" t="s">
        <v>3477</v>
      </c>
      <c r="E665" s="10" t="s">
        <v>45</v>
      </c>
      <c r="F665" s="11">
        <v>2.0</v>
      </c>
      <c r="G665" s="11">
        <v>87.4</v>
      </c>
      <c r="H665" s="11"/>
      <c r="I665" s="11">
        <v>-26.86</v>
      </c>
      <c r="J665" s="11"/>
      <c r="K665" s="11"/>
      <c r="L665" s="11">
        <v>65.78</v>
      </c>
      <c r="M665" s="10" t="s">
        <v>46</v>
      </c>
      <c r="N665" s="10" t="s">
        <v>50</v>
      </c>
      <c r="O665" s="10" t="s">
        <v>176</v>
      </c>
      <c r="P665" s="10" t="s">
        <v>177</v>
      </c>
      <c r="Q665" s="10" t="s">
        <v>178</v>
      </c>
      <c r="R665" s="10" t="s">
        <v>74</v>
      </c>
      <c r="S665" s="11">
        <v>43.7</v>
      </c>
      <c r="T665" s="11">
        <f t="shared" ref="T665:T668" si="3">2*22.58</f>
        <v>45.16</v>
      </c>
      <c r="U665" s="11" t="s">
        <v>51</v>
      </c>
      <c r="V665" s="10" t="s">
        <v>52</v>
      </c>
      <c r="W665" s="10" t="s">
        <v>6946</v>
      </c>
      <c r="X665" s="10" t="s">
        <v>6947</v>
      </c>
      <c r="Y665" s="10" t="s">
        <v>6948</v>
      </c>
      <c r="Z665" s="10" t="s">
        <v>50</v>
      </c>
      <c r="AA665" s="10" t="s">
        <v>50</v>
      </c>
      <c r="AB665" s="10" t="s">
        <v>6946</v>
      </c>
      <c r="AC665" s="10" t="s">
        <v>6949</v>
      </c>
      <c r="AD665" s="10" t="s">
        <v>6950</v>
      </c>
      <c r="AE665" s="10" t="s">
        <v>6951</v>
      </c>
      <c r="AF665" s="10" t="s">
        <v>58</v>
      </c>
      <c r="AG665" s="10" t="s">
        <v>6952</v>
      </c>
      <c r="AH665" s="10" t="s">
        <v>60</v>
      </c>
      <c r="AI665" s="10" t="s">
        <v>61</v>
      </c>
      <c r="AJ665" s="10" t="s">
        <v>6825</v>
      </c>
      <c r="AK665" s="10" t="s">
        <v>6953</v>
      </c>
      <c r="AL665" s="10" t="s">
        <v>64</v>
      </c>
      <c r="AM665" s="10" t="s">
        <v>6954</v>
      </c>
      <c r="AN665" s="10" t="s">
        <v>50</v>
      </c>
      <c r="AO665" s="11" t="s">
        <v>50</v>
      </c>
      <c r="AP665" s="10" t="s">
        <v>50</v>
      </c>
      <c r="AQ665" s="10" t="s">
        <v>50</v>
      </c>
      <c r="AR665" s="10" t="s">
        <v>50</v>
      </c>
      <c r="AS665" s="10" t="s">
        <v>50</v>
      </c>
      <c r="AT665" s="10" t="s">
        <v>50</v>
      </c>
      <c r="AU665" s="10" t="s">
        <v>50</v>
      </c>
      <c r="AV665" s="11"/>
      <c r="AW665" s="10" t="s">
        <v>66</v>
      </c>
      <c r="AX665" s="10"/>
      <c r="AY665" s="10" t="s">
        <v>66</v>
      </c>
    </row>
    <row r="666" ht="22.5" hidden="1" customHeight="1">
      <c r="A666" s="9" t="s">
        <v>6955</v>
      </c>
      <c r="B666" s="10" t="s">
        <v>6956</v>
      </c>
      <c r="C666" s="10" t="s">
        <v>43</v>
      </c>
      <c r="D666" s="10" t="s">
        <v>3477</v>
      </c>
      <c r="E666" s="10" t="s">
        <v>45</v>
      </c>
      <c r="F666" s="11">
        <v>2.0</v>
      </c>
      <c r="G666" s="11">
        <v>87.4</v>
      </c>
      <c r="H666" s="11">
        <v>5.21</v>
      </c>
      <c r="I666" s="11">
        <v>-26.86</v>
      </c>
      <c r="J666" s="11">
        <v>-5.21</v>
      </c>
      <c r="K666" s="11"/>
      <c r="L666" s="11">
        <v>65.78</v>
      </c>
      <c r="M666" s="10" t="s">
        <v>46</v>
      </c>
      <c r="N666" s="10" t="s">
        <v>45</v>
      </c>
      <c r="O666" s="10" t="s">
        <v>176</v>
      </c>
      <c r="P666" s="10" t="s">
        <v>177</v>
      </c>
      <c r="Q666" s="10" t="s">
        <v>178</v>
      </c>
      <c r="R666" s="10" t="s">
        <v>74</v>
      </c>
      <c r="S666" s="11">
        <v>43.7</v>
      </c>
      <c r="T666" s="11">
        <f t="shared" si="3"/>
        <v>45.16</v>
      </c>
      <c r="U666" s="11" t="s">
        <v>51</v>
      </c>
      <c r="V666" s="10" t="s">
        <v>52</v>
      </c>
      <c r="W666" s="10" t="s">
        <v>6957</v>
      </c>
      <c r="X666" s="10" t="s">
        <v>6958</v>
      </c>
      <c r="Y666" s="10" t="s">
        <v>6959</v>
      </c>
      <c r="Z666" s="10" t="s">
        <v>50</v>
      </c>
      <c r="AA666" s="10" t="s">
        <v>50</v>
      </c>
      <c r="AB666" s="10" t="s">
        <v>6957</v>
      </c>
      <c r="AC666" s="10" t="s">
        <v>6960</v>
      </c>
      <c r="AD666" s="10" t="s">
        <v>6961</v>
      </c>
      <c r="AE666" s="10" t="s">
        <v>6962</v>
      </c>
      <c r="AF666" s="10" t="s">
        <v>201</v>
      </c>
      <c r="AG666" s="10" t="s">
        <v>6963</v>
      </c>
      <c r="AH666" s="10" t="s">
        <v>60</v>
      </c>
      <c r="AI666" s="10" t="s">
        <v>61</v>
      </c>
      <c r="AJ666" s="10" t="s">
        <v>6643</v>
      </c>
      <c r="AK666" s="10" t="s">
        <v>6964</v>
      </c>
      <c r="AL666" s="10" t="s">
        <v>64</v>
      </c>
      <c r="AM666" s="10" t="s">
        <v>6965</v>
      </c>
      <c r="AN666" s="10" t="s">
        <v>50</v>
      </c>
      <c r="AO666" s="11" t="s">
        <v>50</v>
      </c>
      <c r="AP666" s="10" t="s">
        <v>50</v>
      </c>
      <c r="AQ666" s="10" t="s">
        <v>50</v>
      </c>
      <c r="AR666" s="10" t="s">
        <v>50</v>
      </c>
      <c r="AS666" s="10" t="s">
        <v>50</v>
      </c>
      <c r="AT666" s="10" t="s">
        <v>50</v>
      </c>
      <c r="AU666" s="10" t="s">
        <v>50</v>
      </c>
      <c r="AV666" s="11"/>
      <c r="AW666" s="10" t="s">
        <v>66</v>
      </c>
      <c r="AX666" s="10"/>
      <c r="AY666" s="10" t="s">
        <v>66</v>
      </c>
    </row>
    <row r="667" ht="22.5" hidden="1" customHeight="1">
      <c r="A667" s="9" t="s">
        <v>6966</v>
      </c>
      <c r="B667" s="10" t="s">
        <v>6967</v>
      </c>
      <c r="C667" s="10" t="s">
        <v>43</v>
      </c>
      <c r="D667" s="10" t="s">
        <v>3477</v>
      </c>
      <c r="E667" s="10" t="s">
        <v>45</v>
      </c>
      <c r="F667" s="11">
        <v>2.0</v>
      </c>
      <c r="G667" s="11">
        <v>87.4</v>
      </c>
      <c r="H667" s="11"/>
      <c r="I667" s="11">
        <v>-26.86</v>
      </c>
      <c r="J667" s="11"/>
      <c r="K667" s="11"/>
      <c r="L667" s="11">
        <v>65.78</v>
      </c>
      <c r="M667" s="10" t="s">
        <v>46</v>
      </c>
      <c r="N667" s="10" t="s">
        <v>45</v>
      </c>
      <c r="O667" s="10" t="s">
        <v>176</v>
      </c>
      <c r="P667" s="10" t="s">
        <v>177</v>
      </c>
      <c r="Q667" s="10" t="s">
        <v>178</v>
      </c>
      <c r="R667" s="10" t="s">
        <v>74</v>
      </c>
      <c r="S667" s="11">
        <v>43.7</v>
      </c>
      <c r="T667" s="11">
        <f t="shared" si="3"/>
        <v>45.16</v>
      </c>
      <c r="U667" s="11" t="s">
        <v>51</v>
      </c>
      <c r="V667" s="10" t="s">
        <v>52</v>
      </c>
      <c r="W667" s="10" t="s">
        <v>6968</v>
      </c>
      <c r="X667" s="10" t="s">
        <v>6969</v>
      </c>
      <c r="Y667" s="10" t="s">
        <v>6970</v>
      </c>
      <c r="Z667" s="10" t="s">
        <v>50</v>
      </c>
      <c r="AA667" s="10" t="s">
        <v>50</v>
      </c>
      <c r="AB667" s="10" t="s">
        <v>6968</v>
      </c>
      <c r="AC667" s="10" t="s">
        <v>6971</v>
      </c>
      <c r="AD667" s="10" t="s">
        <v>6972</v>
      </c>
      <c r="AE667" s="10" t="s">
        <v>740</v>
      </c>
      <c r="AF667" s="10" t="s">
        <v>119</v>
      </c>
      <c r="AG667" s="10" t="s">
        <v>6973</v>
      </c>
      <c r="AH667" s="10" t="s">
        <v>60</v>
      </c>
      <c r="AI667" s="10" t="s">
        <v>61</v>
      </c>
      <c r="AJ667" s="10" t="s">
        <v>6654</v>
      </c>
      <c r="AK667" s="10" t="s">
        <v>6974</v>
      </c>
      <c r="AL667" s="10" t="s">
        <v>64</v>
      </c>
      <c r="AM667" s="10" t="s">
        <v>6975</v>
      </c>
      <c r="AN667" s="10" t="s">
        <v>50</v>
      </c>
      <c r="AO667" s="11" t="s">
        <v>50</v>
      </c>
      <c r="AP667" s="10" t="s">
        <v>50</v>
      </c>
      <c r="AQ667" s="10" t="s">
        <v>50</v>
      </c>
      <c r="AR667" s="10" t="s">
        <v>50</v>
      </c>
      <c r="AS667" s="10" t="s">
        <v>50</v>
      </c>
      <c r="AT667" s="10" t="s">
        <v>50</v>
      </c>
      <c r="AU667" s="10" t="s">
        <v>50</v>
      </c>
      <c r="AV667" s="11"/>
      <c r="AW667" s="10" t="s">
        <v>66</v>
      </c>
      <c r="AX667" s="10"/>
      <c r="AY667" s="10" t="s">
        <v>66</v>
      </c>
    </row>
    <row r="668" ht="22.5" hidden="1" customHeight="1">
      <c r="A668" s="9" t="s">
        <v>6976</v>
      </c>
      <c r="B668" s="10" t="s">
        <v>6977</v>
      </c>
      <c r="C668" s="10" t="s">
        <v>43</v>
      </c>
      <c r="D668" s="10" t="s">
        <v>3477</v>
      </c>
      <c r="E668" s="10" t="s">
        <v>45</v>
      </c>
      <c r="F668" s="11">
        <v>2.0</v>
      </c>
      <c r="G668" s="11">
        <v>87.4</v>
      </c>
      <c r="H668" s="11"/>
      <c r="I668" s="11">
        <v>-26.86</v>
      </c>
      <c r="J668" s="11"/>
      <c r="K668" s="11"/>
      <c r="L668" s="11">
        <v>65.78</v>
      </c>
      <c r="M668" s="10" t="s">
        <v>46</v>
      </c>
      <c r="N668" s="10" t="s">
        <v>45</v>
      </c>
      <c r="O668" s="10" t="s">
        <v>176</v>
      </c>
      <c r="P668" s="10" t="s">
        <v>177</v>
      </c>
      <c r="Q668" s="10" t="s">
        <v>178</v>
      </c>
      <c r="R668" s="10" t="s">
        <v>74</v>
      </c>
      <c r="S668" s="11">
        <v>43.7</v>
      </c>
      <c r="T668" s="11">
        <f t="shared" si="3"/>
        <v>45.16</v>
      </c>
      <c r="U668" s="11" t="s">
        <v>51</v>
      </c>
      <c r="V668" s="10" t="s">
        <v>52</v>
      </c>
      <c r="W668" s="10" t="s">
        <v>6978</v>
      </c>
      <c r="X668" s="10" t="s">
        <v>6979</v>
      </c>
      <c r="Y668" s="10" t="s">
        <v>6980</v>
      </c>
      <c r="Z668" s="10" t="s">
        <v>50</v>
      </c>
      <c r="AA668" s="10" t="s">
        <v>50</v>
      </c>
      <c r="AB668" s="10" t="s">
        <v>6978</v>
      </c>
      <c r="AC668" s="10" t="s">
        <v>6981</v>
      </c>
      <c r="AD668" s="10" t="s">
        <v>6982</v>
      </c>
      <c r="AE668" s="10" t="s">
        <v>6983</v>
      </c>
      <c r="AF668" s="10" t="s">
        <v>58</v>
      </c>
      <c r="AG668" s="10" t="s">
        <v>6984</v>
      </c>
      <c r="AH668" s="10" t="s">
        <v>60</v>
      </c>
      <c r="AI668" s="10" t="s">
        <v>61</v>
      </c>
      <c r="AJ668" s="10" t="s">
        <v>6678</v>
      </c>
      <c r="AK668" s="10" t="s">
        <v>6985</v>
      </c>
      <c r="AL668" s="10" t="s">
        <v>64</v>
      </c>
      <c r="AM668" s="10" t="s">
        <v>6986</v>
      </c>
      <c r="AN668" s="10" t="s">
        <v>50</v>
      </c>
      <c r="AO668" s="11" t="s">
        <v>50</v>
      </c>
      <c r="AP668" s="10" t="s">
        <v>50</v>
      </c>
      <c r="AQ668" s="10" t="s">
        <v>50</v>
      </c>
      <c r="AR668" s="10" t="s">
        <v>50</v>
      </c>
      <c r="AS668" s="10" t="s">
        <v>50</v>
      </c>
      <c r="AT668" s="10" t="s">
        <v>50</v>
      </c>
      <c r="AU668" s="10" t="s">
        <v>50</v>
      </c>
      <c r="AV668" s="11"/>
      <c r="AW668" s="10" t="s">
        <v>66</v>
      </c>
      <c r="AX668" s="10"/>
      <c r="AY668" s="10" t="s">
        <v>66</v>
      </c>
    </row>
    <row r="669" ht="22.5" hidden="1" customHeight="1">
      <c r="A669" s="9" t="s">
        <v>6987</v>
      </c>
      <c r="B669" s="10" t="s">
        <v>6988</v>
      </c>
      <c r="C669" s="10" t="s">
        <v>43</v>
      </c>
      <c r="D669" s="10" t="s">
        <v>2402</v>
      </c>
      <c r="E669" s="10" t="s">
        <v>66</v>
      </c>
      <c r="F669" s="11">
        <v>1.0</v>
      </c>
      <c r="G669" s="11">
        <v>79.2</v>
      </c>
      <c r="H669" s="11"/>
      <c r="I669" s="11">
        <v>-13.46</v>
      </c>
      <c r="J669" s="11">
        <v>-20.45</v>
      </c>
      <c r="K669" s="11"/>
      <c r="L669" s="11">
        <v>45.29</v>
      </c>
      <c r="M669" s="10" t="s">
        <v>46</v>
      </c>
      <c r="N669" s="10" t="s">
        <v>50</v>
      </c>
      <c r="O669" s="10" t="s">
        <v>892</v>
      </c>
      <c r="P669" s="10" t="s">
        <v>893</v>
      </c>
      <c r="Q669" s="10" t="s">
        <v>894</v>
      </c>
      <c r="R669" s="10" t="s">
        <v>74</v>
      </c>
      <c r="S669" s="11">
        <v>79.2</v>
      </c>
      <c r="T669" s="11">
        <v>2.97</v>
      </c>
      <c r="U669" s="11" t="s">
        <v>51</v>
      </c>
      <c r="V669" s="10" t="s">
        <v>52</v>
      </c>
      <c r="W669" s="10" t="s">
        <v>6989</v>
      </c>
      <c r="X669" s="10" t="s">
        <v>6990</v>
      </c>
      <c r="Y669" s="10" t="s">
        <v>6991</v>
      </c>
      <c r="Z669" s="10" t="s">
        <v>50</v>
      </c>
      <c r="AA669" s="10" t="s">
        <v>50</v>
      </c>
      <c r="AB669" s="10" t="s">
        <v>6989</v>
      </c>
      <c r="AC669" s="10" t="s">
        <v>6992</v>
      </c>
      <c r="AD669" s="10" t="s">
        <v>6993</v>
      </c>
      <c r="AE669" s="10" t="s">
        <v>6994</v>
      </c>
      <c r="AF669" s="10" t="s">
        <v>119</v>
      </c>
      <c r="AG669" s="10" t="s">
        <v>6995</v>
      </c>
      <c r="AH669" s="10" t="s">
        <v>60</v>
      </c>
      <c r="AI669" s="10" t="s">
        <v>61</v>
      </c>
      <c r="AJ669" s="10" t="s">
        <v>6751</v>
      </c>
      <c r="AK669" s="10" t="s">
        <v>6996</v>
      </c>
      <c r="AL669" s="10" t="s">
        <v>64</v>
      </c>
      <c r="AM669" s="10" t="s">
        <v>6997</v>
      </c>
      <c r="AN669" s="10" t="s">
        <v>50</v>
      </c>
      <c r="AO669" s="11" t="s">
        <v>50</v>
      </c>
      <c r="AP669" s="10" t="s">
        <v>50</v>
      </c>
      <c r="AQ669" s="10" t="s">
        <v>50</v>
      </c>
      <c r="AR669" s="10" t="s">
        <v>50</v>
      </c>
      <c r="AS669" s="10" t="s">
        <v>50</v>
      </c>
      <c r="AT669" s="10" t="s">
        <v>50</v>
      </c>
      <c r="AU669" s="10" t="s">
        <v>50</v>
      </c>
      <c r="AV669" s="11"/>
      <c r="AW669" s="10" t="s">
        <v>66</v>
      </c>
      <c r="AX669" s="10"/>
      <c r="AY669" s="10" t="s">
        <v>66</v>
      </c>
    </row>
    <row r="670" ht="22.5" hidden="1" customHeight="1">
      <c r="A670" s="9" t="s">
        <v>6998</v>
      </c>
      <c r="B670" s="10" t="s">
        <v>6999</v>
      </c>
      <c r="C670" s="10" t="s">
        <v>43</v>
      </c>
      <c r="D670" s="10" t="s">
        <v>4506</v>
      </c>
      <c r="E670" s="10" t="s">
        <v>66</v>
      </c>
      <c r="F670" s="11">
        <v>1.0</v>
      </c>
      <c r="G670" s="11">
        <v>88.35</v>
      </c>
      <c r="H670" s="11">
        <v>21.68</v>
      </c>
      <c r="I670" s="11">
        <v>-10.6</v>
      </c>
      <c r="J670" s="11">
        <v>-43.13</v>
      </c>
      <c r="K670" s="11"/>
      <c r="L670" s="11">
        <v>61.6</v>
      </c>
      <c r="M670" s="10" t="s">
        <v>46</v>
      </c>
      <c r="N670" s="10" t="s">
        <v>45</v>
      </c>
      <c r="O670" s="10" t="s">
        <v>7000</v>
      </c>
      <c r="P670" s="10" t="s">
        <v>7001</v>
      </c>
      <c r="Q670" s="10" t="s">
        <v>7002</v>
      </c>
      <c r="R670" s="10" t="s">
        <v>74</v>
      </c>
      <c r="S670" s="11">
        <v>88.35</v>
      </c>
      <c r="T670" s="11">
        <v>48.16</v>
      </c>
      <c r="U670" s="11" t="s">
        <v>194</v>
      </c>
      <c r="V670" s="10" t="s">
        <v>52</v>
      </c>
      <c r="W670" s="10" t="s">
        <v>7003</v>
      </c>
      <c r="X670" s="10" t="s">
        <v>7004</v>
      </c>
      <c r="Y670" s="10" t="s">
        <v>7005</v>
      </c>
      <c r="Z670" s="10" t="s">
        <v>50</v>
      </c>
      <c r="AA670" s="10" t="s">
        <v>50</v>
      </c>
      <c r="AB670" s="10" t="s">
        <v>7003</v>
      </c>
      <c r="AC670" s="10" t="s">
        <v>7006</v>
      </c>
      <c r="AD670" s="10" t="s">
        <v>7007</v>
      </c>
      <c r="AE670" s="10" t="s">
        <v>1416</v>
      </c>
      <c r="AF670" s="10" t="s">
        <v>1417</v>
      </c>
      <c r="AG670" s="10" t="s">
        <v>7008</v>
      </c>
      <c r="AH670" s="10" t="s">
        <v>60</v>
      </c>
      <c r="AI670" s="10" t="s">
        <v>61</v>
      </c>
      <c r="AJ670" s="10" t="s">
        <v>6571</v>
      </c>
      <c r="AK670" s="10" t="s">
        <v>7009</v>
      </c>
      <c r="AL670" s="10" t="s">
        <v>64</v>
      </c>
      <c r="AM670" s="10" t="s">
        <v>7010</v>
      </c>
      <c r="AN670" s="10" t="s">
        <v>50</v>
      </c>
      <c r="AO670" s="11" t="s">
        <v>50</v>
      </c>
      <c r="AP670" s="10" t="s">
        <v>50</v>
      </c>
      <c r="AQ670" s="10" t="s">
        <v>50</v>
      </c>
      <c r="AR670" s="10" t="s">
        <v>50</v>
      </c>
      <c r="AS670" s="10" t="s">
        <v>50</v>
      </c>
      <c r="AT670" s="10" t="s">
        <v>50</v>
      </c>
      <c r="AU670" s="10" t="s">
        <v>50</v>
      </c>
      <c r="AV670" s="11"/>
      <c r="AW670" s="10" t="s">
        <v>66</v>
      </c>
      <c r="AX670" s="10"/>
      <c r="AY670" s="10" t="s">
        <v>66</v>
      </c>
    </row>
    <row r="671" ht="22.5" hidden="1" customHeight="1">
      <c r="A671" s="12" t="s">
        <v>7011</v>
      </c>
      <c r="B671" s="13" t="s">
        <v>7012</v>
      </c>
      <c r="C671" s="13" t="s">
        <v>747</v>
      </c>
      <c r="D671" s="13" t="s">
        <v>50</v>
      </c>
      <c r="E671" s="13" t="s">
        <v>50</v>
      </c>
      <c r="F671" s="14"/>
      <c r="G671" s="14">
        <v>163.2</v>
      </c>
      <c r="H671" s="14"/>
      <c r="I671" s="14">
        <v>-27.74</v>
      </c>
      <c r="J671" s="14">
        <v>-40.9</v>
      </c>
      <c r="K671" s="14"/>
      <c r="L671" s="14">
        <v>99.31</v>
      </c>
      <c r="M671" s="13" t="s">
        <v>46</v>
      </c>
      <c r="N671" s="13" t="s">
        <v>50</v>
      </c>
      <c r="O671" s="13" t="s">
        <v>50</v>
      </c>
      <c r="P671" s="13" t="s">
        <v>50</v>
      </c>
      <c r="Q671" s="13" t="s">
        <v>50</v>
      </c>
      <c r="R671" s="13" t="s">
        <v>50</v>
      </c>
      <c r="S671" s="14"/>
      <c r="T671" s="14"/>
      <c r="U671" s="14" t="s">
        <v>50</v>
      </c>
      <c r="V671" s="13" t="s">
        <v>52</v>
      </c>
      <c r="W671" s="13" t="s">
        <v>7013</v>
      </c>
      <c r="X671" s="13" t="s">
        <v>7014</v>
      </c>
      <c r="Y671" s="13" t="s">
        <v>7015</v>
      </c>
      <c r="Z671" s="13" t="s">
        <v>50</v>
      </c>
      <c r="AA671" s="13" t="s">
        <v>50</v>
      </c>
      <c r="AB671" s="13" t="s">
        <v>7013</v>
      </c>
      <c r="AC671" s="13" t="s">
        <v>7016</v>
      </c>
      <c r="AD671" s="13" t="s">
        <v>7017</v>
      </c>
      <c r="AE671" s="13" t="s">
        <v>1629</v>
      </c>
      <c r="AF671" s="13" t="s">
        <v>58</v>
      </c>
      <c r="AG671" s="13" t="s">
        <v>7018</v>
      </c>
      <c r="AH671" s="13" t="s">
        <v>60</v>
      </c>
      <c r="AI671" s="13" t="s">
        <v>61</v>
      </c>
      <c r="AJ671" s="13" t="s">
        <v>6825</v>
      </c>
      <c r="AK671" s="13" t="s">
        <v>7019</v>
      </c>
      <c r="AL671" s="13" t="s">
        <v>64</v>
      </c>
      <c r="AM671" s="13" t="s">
        <v>7020</v>
      </c>
      <c r="AN671" s="13" t="s">
        <v>7021</v>
      </c>
      <c r="AO671" s="15" t="s">
        <v>50</v>
      </c>
      <c r="AP671" s="13" t="s">
        <v>50</v>
      </c>
      <c r="AQ671" s="13" t="s">
        <v>50</v>
      </c>
      <c r="AR671" s="13" t="s">
        <v>50</v>
      </c>
      <c r="AS671" s="13" t="s">
        <v>50</v>
      </c>
      <c r="AT671" s="13" t="s">
        <v>50</v>
      </c>
      <c r="AU671" s="13" t="s">
        <v>50</v>
      </c>
      <c r="AV671" s="15"/>
      <c r="AW671" s="13" t="s">
        <v>50</v>
      </c>
      <c r="AX671" s="13"/>
      <c r="AY671" s="13" t="s">
        <v>50</v>
      </c>
    </row>
    <row r="672" ht="22.5" hidden="1" customHeight="1">
      <c r="A672" s="16" t="s">
        <v>7022</v>
      </c>
      <c r="B672" s="17" t="s">
        <v>7012</v>
      </c>
      <c r="C672" s="17" t="s">
        <v>43</v>
      </c>
      <c r="D672" s="17" t="s">
        <v>2402</v>
      </c>
      <c r="E672" s="17" t="s">
        <v>45</v>
      </c>
      <c r="F672" s="18">
        <v>1.0</v>
      </c>
      <c r="G672" s="18"/>
      <c r="H672" s="18"/>
      <c r="I672" s="18"/>
      <c r="J672" s="18"/>
      <c r="K672" s="18"/>
      <c r="L672" s="18"/>
      <c r="M672" s="17" t="s">
        <v>50</v>
      </c>
      <c r="N672" s="17" t="s">
        <v>45</v>
      </c>
      <c r="O672" s="17" t="s">
        <v>892</v>
      </c>
      <c r="P672" s="17" t="s">
        <v>893</v>
      </c>
      <c r="Q672" s="17" t="s">
        <v>894</v>
      </c>
      <c r="R672" s="17" t="s">
        <v>74</v>
      </c>
      <c r="S672" s="18">
        <v>79.2</v>
      </c>
      <c r="T672" s="18">
        <v>2.97</v>
      </c>
      <c r="U672" s="18" t="s">
        <v>51</v>
      </c>
      <c r="V672" s="17" t="s">
        <v>50</v>
      </c>
      <c r="W672" s="17" t="s">
        <v>50</v>
      </c>
      <c r="X672" s="17" t="s">
        <v>50</v>
      </c>
      <c r="Y672" s="17" t="s">
        <v>50</v>
      </c>
      <c r="Z672" s="17" t="s">
        <v>50</v>
      </c>
      <c r="AA672" s="17" t="s">
        <v>50</v>
      </c>
      <c r="AB672" s="17" t="s">
        <v>50</v>
      </c>
      <c r="AC672" s="17" t="s">
        <v>50</v>
      </c>
      <c r="AD672" s="17" t="s">
        <v>50</v>
      </c>
      <c r="AE672" s="17" t="s">
        <v>50</v>
      </c>
      <c r="AF672" s="17" t="s">
        <v>50</v>
      </c>
      <c r="AG672" s="17" t="s">
        <v>50</v>
      </c>
      <c r="AH672" s="17" t="s">
        <v>50</v>
      </c>
      <c r="AI672" s="17" t="s">
        <v>50</v>
      </c>
      <c r="AJ672" s="17" t="s">
        <v>50</v>
      </c>
      <c r="AK672" s="17" t="s">
        <v>50</v>
      </c>
      <c r="AL672" s="17" t="s">
        <v>50</v>
      </c>
      <c r="AM672" s="17" t="s">
        <v>50</v>
      </c>
      <c r="AN672" s="17" t="s">
        <v>50</v>
      </c>
      <c r="AO672" s="18" t="s">
        <v>50</v>
      </c>
      <c r="AP672" s="17" t="s">
        <v>50</v>
      </c>
      <c r="AQ672" s="17" t="s">
        <v>50</v>
      </c>
      <c r="AR672" s="17" t="s">
        <v>50</v>
      </c>
      <c r="AS672" s="17" t="s">
        <v>50</v>
      </c>
      <c r="AT672" s="17" t="s">
        <v>50</v>
      </c>
      <c r="AU672" s="17" t="s">
        <v>50</v>
      </c>
      <c r="AV672" s="18"/>
      <c r="AW672" s="17" t="s">
        <v>66</v>
      </c>
      <c r="AX672" s="17"/>
      <c r="AY672" s="17" t="s">
        <v>66</v>
      </c>
    </row>
    <row r="673" ht="22.5" hidden="1" customHeight="1">
      <c r="A673" s="16" t="s">
        <v>7023</v>
      </c>
      <c r="B673" s="17" t="s">
        <v>7012</v>
      </c>
      <c r="C673" s="17" t="s">
        <v>43</v>
      </c>
      <c r="D673" s="17" t="s">
        <v>2402</v>
      </c>
      <c r="E673" s="17" t="s">
        <v>45</v>
      </c>
      <c r="F673" s="18">
        <v>1.0</v>
      </c>
      <c r="G673" s="18"/>
      <c r="H673" s="18"/>
      <c r="I673" s="18"/>
      <c r="J673" s="18"/>
      <c r="K673" s="18"/>
      <c r="L673" s="18"/>
      <c r="M673" s="17" t="s">
        <v>50</v>
      </c>
      <c r="N673" s="17" t="s">
        <v>45</v>
      </c>
      <c r="O673" s="17" t="s">
        <v>265</v>
      </c>
      <c r="P673" s="17" t="s">
        <v>266</v>
      </c>
      <c r="Q673" s="17" t="s">
        <v>267</v>
      </c>
      <c r="R673" s="17" t="s">
        <v>74</v>
      </c>
      <c r="S673" s="18">
        <v>84.0</v>
      </c>
      <c r="T673" s="18">
        <v>26.22</v>
      </c>
      <c r="U673" s="18" t="s">
        <v>51</v>
      </c>
      <c r="V673" s="17" t="s">
        <v>50</v>
      </c>
      <c r="W673" s="17" t="s">
        <v>50</v>
      </c>
      <c r="X673" s="17" t="s">
        <v>50</v>
      </c>
      <c r="Y673" s="17" t="s">
        <v>50</v>
      </c>
      <c r="Z673" s="17" t="s">
        <v>50</v>
      </c>
      <c r="AA673" s="17" t="s">
        <v>50</v>
      </c>
      <c r="AB673" s="17" t="s">
        <v>50</v>
      </c>
      <c r="AC673" s="17" t="s">
        <v>50</v>
      </c>
      <c r="AD673" s="17" t="s">
        <v>50</v>
      </c>
      <c r="AE673" s="17" t="s">
        <v>50</v>
      </c>
      <c r="AF673" s="17" t="s">
        <v>50</v>
      </c>
      <c r="AG673" s="17" t="s">
        <v>50</v>
      </c>
      <c r="AH673" s="17" t="s">
        <v>50</v>
      </c>
      <c r="AI673" s="17" t="s">
        <v>50</v>
      </c>
      <c r="AJ673" s="17" t="s">
        <v>50</v>
      </c>
      <c r="AK673" s="17" t="s">
        <v>50</v>
      </c>
      <c r="AL673" s="17" t="s">
        <v>50</v>
      </c>
      <c r="AM673" s="17" t="s">
        <v>50</v>
      </c>
      <c r="AN673" s="17" t="s">
        <v>50</v>
      </c>
      <c r="AO673" s="18" t="s">
        <v>50</v>
      </c>
      <c r="AP673" s="17" t="s">
        <v>50</v>
      </c>
      <c r="AQ673" s="17" t="s">
        <v>50</v>
      </c>
      <c r="AR673" s="17" t="s">
        <v>50</v>
      </c>
      <c r="AS673" s="17" t="s">
        <v>50</v>
      </c>
      <c r="AT673" s="17" t="s">
        <v>50</v>
      </c>
      <c r="AU673" s="17" t="s">
        <v>50</v>
      </c>
      <c r="AV673" s="18"/>
      <c r="AW673" s="17" t="s">
        <v>66</v>
      </c>
      <c r="AX673" s="17"/>
      <c r="AY673" s="17" t="s">
        <v>66</v>
      </c>
    </row>
    <row r="674" ht="22.5" hidden="1" customHeight="1">
      <c r="A674" s="9" t="s">
        <v>7024</v>
      </c>
      <c r="B674" s="10" t="s">
        <v>7025</v>
      </c>
      <c r="C674" s="10" t="s">
        <v>43</v>
      </c>
      <c r="D674" s="10" t="s">
        <v>3477</v>
      </c>
      <c r="E674" s="10" t="s">
        <v>66</v>
      </c>
      <c r="F674" s="11">
        <v>1.0</v>
      </c>
      <c r="G674" s="11">
        <v>105.0</v>
      </c>
      <c r="H674" s="11"/>
      <c r="I674" s="11">
        <v>-19.95</v>
      </c>
      <c r="J674" s="11">
        <v>-19.95</v>
      </c>
      <c r="K674" s="11"/>
      <c r="L674" s="11">
        <v>71.4</v>
      </c>
      <c r="M674" s="10" t="s">
        <v>46</v>
      </c>
      <c r="N674" s="10" t="s">
        <v>45</v>
      </c>
      <c r="O674" s="10" t="s">
        <v>100</v>
      </c>
      <c r="P674" s="10" t="s">
        <v>101</v>
      </c>
      <c r="Q674" s="10" t="s">
        <v>102</v>
      </c>
      <c r="R674" s="10" t="s">
        <v>50</v>
      </c>
      <c r="S674" s="11">
        <v>105.0</v>
      </c>
      <c r="T674" s="11">
        <v>38.61</v>
      </c>
      <c r="U674" s="11" t="s">
        <v>51</v>
      </c>
      <c r="V674" s="10" t="s">
        <v>52</v>
      </c>
      <c r="W674" s="10" t="s">
        <v>7026</v>
      </c>
      <c r="X674" s="10" t="s">
        <v>7027</v>
      </c>
      <c r="Y674" s="10" t="s">
        <v>7028</v>
      </c>
      <c r="Z674" s="10" t="s">
        <v>50</v>
      </c>
      <c r="AA674" s="10" t="s">
        <v>50</v>
      </c>
      <c r="AB674" s="10" t="s">
        <v>7026</v>
      </c>
      <c r="AC674" s="10" t="s">
        <v>7029</v>
      </c>
      <c r="AD674" s="10" t="s">
        <v>7030</v>
      </c>
      <c r="AE674" s="10" t="s">
        <v>1346</v>
      </c>
      <c r="AF674" s="10" t="s">
        <v>1347</v>
      </c>
      <c r="AG674" s="10" t="s">
        <v>7031</v>
      </c>
      <c r="AH674" s="10" t="s">
        <v>60</v>
      </c>
      <c r="AI674" s="10" t="s">
        <v>61</v>
      </c>
      <c r="AJ674" s="10" t="s">
        <v>6643</v>
      </c>
      <c r="AK674" s="10" t="s">
        <v>7032</v>
      </c>
      <c r="AL674" s="10" t="s">
        <v>64</v>
      </c>
      <c r="AM674" s="10" t="s">
        <v>7033</v>
      </c>
      <c r="AN674" s="10" t="s">
        <v>50</v>
      </c>
      <c r="AO674" s="11" t="s">
        <v>50</v>
      </c>
      <c r="AP674" s="10" t="s">
        <v>50</v>
      </c>
      <c r="AQ674" s="10" t="s">
        <v>50</v>
      </c>
      <c r="AR674" s="10" t="s">
        <v>50</v>
      </c>
      <c r="AS674" s="10" t="s">
        <v>50</v>
      </c>
      <c r="AT674" s="10" t="s">
        <v>50</v>
      </c>
      <c r="AU674" s="10" t="s">
        <v>50</v>
      </c>
      <c r="AV674" s="11"/>
      <c r="AW674" s="10" t="s">
        <v>66</v>
      </c>
      <c r="AX674" s="10"/>
      <c r="AY674" s="10" t="s">
        <v>66</v>
      </c>
    </row>
    <row r="675" ht="22.5" hidden="1" customHeight="1">
      <c r="A675" s="9" t="s">
        <v>7034</v>
      </c>
      <c r="B675" s="10" t="s">
        <v>7035</v>
      </c>
      <c r="C675" s="10" t="s">
        <v>43</v>
      </c>
      <c r="D675" s="10" t="s">
        <v>3477</v>
      </c>
      <c r="E675" s="10" t="s">
        <v>66</v>
      </c>
      <c r="F675" s="11">
        <v>1.0</v>
      </c>
      <c r="G675" s="11">
        <v>120.0</v>
      </c>
      <c r="H675" s="11"/>
      <c r="I675" s="11">
        <v>-20.4</v>
      </c>
      <c r="J675" s="11">
        <v>-19.95</v>
      </c>
      <c r="K675" s="11"/>
      <c r="L675" s="11">
        <v>86.85</v>
      </c>
      <c r="M675" s="10" t="s">
        <v>46</v>
      </c>
      <c r="N675" s="10" t="s">
        <v>50</v>
      </c>
      <c r="O675" s="10" t="s">
        <v>85</v>
      </c>
      <c r="P675" s="10" t="s">
        <v>86</v>
      </c>
      <c r="Q675" s="10" t="s">
        <v>87</v>
      </c>
      <c r="R675" s="10" t="s">
        <v>74</v>
      </c>
      <c r="S675" s="11">
        <v>120.0</v>
      </c>
      <c r="T675" s="11">
        <v>65.78</v>
      </c>
      <c r="U675" s="11" t="s">
        <v>51</v>
      </c>
      <c r="V675" s="10" t="s">
        <v>52</v>
      </c>
      <c r="W675" s="10" t="s">
        <v>7036</v>
      </c>
      <c r="X675" s="10" t="s">
        <v>7037</v>
      </c>
      <c r="Y675" s="10" t="s">
        <v>7038</v>
      </c>
      <c r="Z675" s="10" t="s">
        <v>50</v>
      </c>
      <c r="AA675" s="10" t="s">
        <v>50</v>
      </c>
      <c r="AB675" s="10" t="s">
        <v>7036</v>
      </c>
      <c r="AC675" s="10" t="s">
        <v>7039</v>
      </c>
      <c r="AD675" s="10" t="s">
        <v>7040</v>
      </c>
      <c r="AE675" s="10" t="s">
        <v>296</v>
      </c>
      <c r="AF675" s="10" t="s">
        <v>58</v>
      </c>
      <c r="AG675" s="10" t="s">
        <v>7041</v>
      </c>
      <c r="AH675" s="10" t="s">
        <v>60</v>
      </c>
      <c r="AI675" s="10" t="s">
        <v>61</v>
      </c>
      <c r="AJ675" s="10" t="s">
        <v>6825</v>
      </c>
      <c r="AK675" s="10" t="s">
        <v>7042</v>
      </c>
      <c r="AL675" s="10" t="s">
        <v>64</v>
      </c>
      <c r="AM675" s="10" t="s">
        <v>7043</v>
      </c>
      <c r="AN675" s="10" t="s">
        <v>50</v>
      </c>
      <c r="AO675" s="11" t="s">
        <v>50</v>
      </c>
      <c r="AP675" s="10" t="s">
        <v>50</v>
      </c>
      <c r="AQ675" s="10" t="s">
        <v>50</v>
      </c>
      <c r="AR675" s="10" t="s">
        <v>50</v>
      </c>
      <c r="AS675" s="10" t="s">
        <v>50</v>
      </c>
      <c r="AT675" s="10" t="s">
        <v>50</v>
      </c>
      <c r="AU675" s="10" t="s">
        <v>50</v>
      </c>
      <c r="AV675" s="11"/>
      <c r="AW675" s="10" t="s">
        <v>66</v>
      </c>
      <c r="AX675" s="10"/>
      <c r="AY675" s="10" t="s">
        <v>66</v>
      </c>
    </row>
    <row r="676" ht="22.5" hidden="1" customHeight="1">
      <c r="A676" s="9" t="s">
        <v>7044</v>
      </c>
      <c r="B676" s="10" t="s">
        <v>7045</v>
      </c>
      <c r="C676" s="10" t="s">
        <v>43</v>
      </c>
      <c r="D676" s="10" t="s">
        <v>2481</v>
      </c>
      <c r="E676" s="10" t="s">
        <v>66</v>
      </c>
      <c r="F676" s="11">
        <v>1.0</v>
      </c>
      <c r="G676" s="11">
        <v>80.0</v>
      </c>
      <c r="H676" s="11"/>
      <c r="I676" s="11">
        <v>-13.6</v>
      </c>
      <c r="J676" s="11">
        <v>-19.95</v>
      </c>
      <c r="K676" s="11"/>
      <c r="L676" s="11">
        <v>50.45</v>
      </c>
      <c r="M676" s="10" t="s">
        <v>46</v>
      </c>
      <c r="N676" s="10" t="s">
        <v>50</v>
      </c>
      <c r="O676" s="10" t="s">
        <v>143</v>
      </c>
      <c r="P676" s="10" t="s">
        <v>144</v>
      </c>
      <c r="Q676" s="10" t="s">
        <v>145</v>
      </c>
      <c r="R676" s="10" t="s">
        <v>74</v>
      </c>
      <c r="S676" s="11">
        <v>80.0</v>
      </c>
      <c r="T676" s="11">
        <v>33.38</v>
      </c>
      <c r="U676" s="11" t="s">
        <v>51</v>
      </c>
      <c r="V676" s="10" t="s">
        <v>52</v>
      </c>
      <c r="W676" s="10" t="s">
        <v>7046</v>
      </c>
      <c r="X676" s="10" t="s">
        <v>7047</v>
      </c>
      <c r="Y676" s="10" t="s">
        <v>7048</v>
      </c>
      <c r="Z676" s="10" t="s">
        <v>50</v>
      </c>
      <c r="AA676" s="10" t="s">
        <v>50</v>
      </c>
      <c r="AB676" s="10" t="s">
        <v>7046</v>
      </c>
      <c r="AC676" s="10" t="s">
        <v>7049</v>
      </c>
      <c r="AD676" s="10" t="s">
        <v>7050</v>
      </c>
      <c r="AE676" s="10" t="s">
        <v>7051</v>
      </c>
      <c r="AF676" s="10" t="s">
        <v>185</v>
      </c>
      <c r="AG676" s="10" t="s">
        <v>7052</v>
      </c>
      <c r="AH676" s="10" t="s">
        <v>60</v>
      </c>
      <c r="AI676" s="10" t="s">
        <v>61</v>
      </c>
      <c r="AJ676" s="10" t="s">
        <v>6571</v>
      </c>
      <c r="AK676" s="10" t="s">
        <v>7053</v>
      </c>
      <c r="AL676" s="10" t="s">
        <v>64</v>
      </c>
      <c r="AM676" s="10" t="s">
        <v>7054</v>
      </c>
      <c r="AN676" s="10" t="s">
        <v>50</v>
      </c>
      <c r="AO676" s="11" t="s">
        <v>50</v>
      </c>
      <c r="AP676" s="10" t="s">
        <v>50</v>
      </c>
      <c r="AQ676" s="10" t="s">
        <v>50</v>
      </c>
      <c r="AR676" s="10" t="s">
        <v>50</v>
      </c>
      <c r="AS676" s="10" t="s">
        <v>50</v>
      </c>
      <c r="AT676" s="10" t="s">
        <v>50</v>
      </c>
      <c r="AU676" s="10" t="s">
        <v>50</v>
      </c>
      <c r="AV676" s="11"/>
      <c r="AW676" s="10" t="s">
        <v>66</v>
      </c>
      <c r="AX676" s="10"/>
      <c r="AY676" s="10" t="s">
        <v>66</v>
      </c>
    </row>
    <row r="677" ht="22.5" hidden="1" customHeight="1">
      <c r="A677" s="9" t="s">
        <v>7055</v>
      </c>
      <c r="B677" s="10" t="s">
        <v>7056</v>
      </c>
      <c r="C677" s="10" t="s">
        <v>43</v>
      </c>
      <c r="D677" s="10" t="s">
        <v>2402</v>
      </c>
      <c r="E677" s="10" t="s">
        <v>66</v>
      </c>
      <c r="F677" s="11">
        <v>1.0</v>
      </c>
      <c r="G677" s="11">
        <v>82.5</v>
      </c>
      <c r="H677" s="11">
        <v>13.65</v>
      </c>
      <c r="I677" s="11">
        <v>-14.02</v>
      </c>
      <c r="J677" s="11">
        <v>-34.1</v>
      </c>
      <c r="K677" s="11"/>
      <c r="L677" s="11">
        <v>48.03</v>
      </c>
      <c r="M677" s="10" t="s">
        <v>46</v>
      </c>
      <c r="N677" s="10" t="s">
        <v>45</v>
      </c>
      <c r="O677" s="10" t="s">
        <v>412</v>
      </c>
      <c r="P677" s="10" t="s">
        <v>413</v>
      </c>
      <c r="Q677" s="10" t="s">
        <v>414</v>
      </c>
      <c r="R677" s="10" t="s">
        <v>415</v>
      </c>
      <c r="S677" s="11">
        <v>82.5</v>
      </c>
      <c r="T677" s="11">
        <v>10.05</v>
      </c>
      <c r="U677" s="11" t="s">
        <v>51</v>
      </c>
      <c r="V677" s="10" t="s">
        <v>52</v>
      </c>
      <c r="W677" s="10" t="s">
        <v>7057</v>
      </c>
      <c r="X677" s="10" t="s">
        <v>7058</v>
      </c>
      <c r="Y677" s="10" t="s">
        <v>7059</v>
      </c>
      <c r="Z677" s="10" t="s">
        <v>50</v>
      </c>
      <c r="AA677" s="10" t="s">
        <v>50</v>
      </c>
      <c r="AB677" s="10" t="s">
        <v>7057</v>
      </c>
      <c r="AC677" s="10" t="s">
        <v>7060</v>
      </c>
      <c r="AD677" s="10" t="s">
        <v>7061</v>
      </c>
      <c r="AE677" s="10" t="s">
        <v>7062</v>
      </c>
      <c r="AF677" s="10" t="s">
        <v>775</v>
      </c>
      <c r="AG677" s="10" t="s">
        <v>7063</v>
      </c>
      <c r="AH677" s="10" t="s">
        <v>60</v>
      </c>
      <c r="AI677" s="10" t="s">
        <v>61</v>
      </c>
      <c r="AJ677" s="10" t="s">
        <v>6643</v>
      </c>
      <c r="AK677" s="10" t="s">
        <v>7064</v>
      </c>
      <c r="AL677" s="10" t="s">
        <v>64</v>
      </c>
      <c r="AM677" s="10" t="s">
        <v>7065</v>
      </c>
      <c r="AN677" s="10" t="s">
        <v>50</v>
      </c>
      <c r="AO677" s="11" t="s">
        <v>50</v>
      </c>
      <c r="AP677" s="10" t="s">
        <v>50</v>
      </c>
      <c r="AQ677" s="10" t="s">
        <v>50</v>
      </c>
      <c r="AR677" s="10" t="s">
        <v>50</v>
      </c>
      <c r="AS677" s="10" t="s">
        <v>50</v>
      </c>
      <c r="AT677" s="10" t="s">
        <v>50</v>
      </c>
      <c r="AU677" s="10" t="s">
        <v>50</v>
      </c>
      <c r="AV677" s="11"/>
      <c r="AW677" s="10" t="s">
        <v>66</v>
      </c>
      <c r="AX677" s="10"/>
      <c r="AY677" s="10" t="s">
        <v>66</v>
      </c>
    </row>
    <row r="678" ht="22.5" hidden="1" customHeight="1">
      <c r="A678" s="9" t="s">
        <v>7066</v>
      </c>
      <c r="B678" s="10" t="s">
        <v>7067</v>
      </c>
      <c r="C678" s="10" t="s">
        <v>43</v>
      </c>
      <c r="D678" s="10" t="s">
        <v>3477</v>
      </c>
      <c r="E678" s="10" t="s">
        <v>66</v>
      </c>
      <c r="F678" s="11">
        <v>1.0</v>
      </c>
      <c r="G678" s="11">
        <v>120.0</v>
      </c>
      <c r="H678" s="11"/>
      <c r="I678" s="11">
        <v>-20.4</v>
      </c>
      <c r="J678" s="11">
        <v>-19.95</v>
      </c>
      <c r="K678" s="11"/>
      <c r="L678" s="11">
        <v>86.85</v>
      </c>
      <c r="M678" s="10" t="s">
        <v>46</v>
      </c>
      <c r="N678" s="10" t="s">
        <v>50</v>
      </c>
      <c r="O678" s="10" t="s">
        <v>85</v>
      </c>
      <c r="P678" s="10" t="s">
        <v>86</v>
      </c>
      <c r="Q678" s="10" t="s">
        <v>87</v>
      </c>
      <c r="R678" s="10" t="s">
        <v>74</v>
      </c>
      <c r="S678" s="11">
        <v>120.0</v>
      </c>
      <c r="T678" s="11">
        <v>65.78</v>
      </c>
      <c r="U678" s="11" t="s">
        <v>51</v>
      </c>
      <c r="V678" s="10" t="s">
        <v>52</v>
      </c>
      <c r="W678" s="10" t="s">
        <v>7068</v>
      </c>
      <c r="X678" s="10" t="s">
        <v>7069</v>
      </c>
      <c r="Y678" s="10" t="s">
        <v>7070</v>
      </c>
      <c r="Z678" s="10" t="s">
        <v>50</v>
      </c>
      <c r="AA678" s="10" t="s">
        <v>50</v>
      </c>
      <c r="AB678" s="10" t="s">
        <v>7068</v>
      </c>
      <c r="AC678" s="10" t="s">
        <v>7071</v>
      </c>
      <c r="AD678" s="10" t="s">
        <v>7072</v>
      </c>
      <c r="AE678" s="10" t="s">
        <v>7073</v>
      </c>
      <c r="AF678" s="10" t="s">
        <v>58</v>
      </c>
      <c r="AG678" s="10" t="s">
        <v>7074</v>
      </c>
      <c r="AH678" s="10" t="s">
        <v>60</v>
      </c>
      <c r="AI678" s="10" t="s">
        <v>61</v>
      </c>
      <c r="AJ678" s="10" t="s">
        <v>3484</v>
      </c>
      <c r="AK678" s="10" t="s">
        <v>7075</v>
      </c>
      <c r="AL678" s="10" t="s">
        <v>64</v>
      </c>
      <c r="AM678" s="10" t="s">
        <v>7076</v>
      </c>
      <c r="AN678" s="10" t="s">
        <v>50</v>
      </c>
      <c r="AO678" s="11" t="s">
        <v>50</v>
      </c>
      <c r="AP678" s="10" t="s">
        <v>50</v>
      </c>
      <c r="AQ678" s="10" t="s">
        <v>50</v>
      </c>
      <c r="AR678" s="10" t="s">
        <v>50</v>
      </c>
      <c r="AS678" s="10" t="s">
        <v>50</v>
      </c>
      <c r="AT678" s="10" t="s">
        <v>50</v>
      </c>
      <c r="AU678" s="10" t="s">
        <v>50</v>
      </c>
      <c r="AV678" s="11"/>
      <c r="AW678" s="10" t="s">
        <v>66</v>
      </c>
      <c r="AX678" s="10"/>
      <c r="AY678" s="10" t="s">
        <v>66</v>
      </c>
    </row>
    <row r="679" ht="22.5" hidden="1" customHeight="1">
      <c r="A679" s="9" t="s">
        <v>7077</v>
      </c>
      <c r="B679" s="10" t="s">
        <v>7078</v>
      </c>
      <c r="C679" s="10" t="s">
        <v>43</v>
      </c>
      <c r="D679" s="10" t="s">
        <v>2402</v>
      </c>
      <c r="E679" s="10" t="s">
        <v>66</v>
      </c>
      <c r="F679" s="11">
        <v>1.0</v>
      </c>
      <c r="G679" s="11">
        <v>100.0</v>
      </c>
      <c r="H679" s="11">
        <v>9.65</v>
      </c>
      <c r="I679" s="11">
        <v>-17.0</v>
      </c>
      <c r="J679" s="11">
        <v>-30.1</v>
      </c>
      <c r="K679" s="11"/>
      <c r="L679" s="11">
        <v>62.55</v>
      </c>
      <c r="M679" s="10" t="s">
        <v>46</v>
      </c>
      <c r="N679" s="10" t="s">
        <v>45</v>
      </c>
      <c r="O679" s="10" t="s">
        <v>160</v>
      </c>
      <c r="P679" s="10" t="s">
        <v>161</v>
      </c>
      <c r="Q679" s="10" t="s">
        <v>162</v>
      </c>
      <c r="R679" s="10" t="s">
        <v>74</v>
      </c>
      <c r="S679" s="11">
        <v>100.0</v>
      </c>
      <c r="T679" s="11">
        <v>2.49</v>
      </c>
      <c r="U679" s="11" t="s">
        <v>51</v>
      </c>
      <c r="V679" s="10" t="s">
        <v>52</v>
      </c>
      <c r="W679" s="10" t="s">
        <v>7079</v>
      </c>
      <c r="X679" s="10" t="s">
        <v>7080</v>
      </c>
      <c r="Y679" s="10" t="s">
        <v>7081</v>
      </c>
      <c r="Z679" s="10" t="s">
        <v>50</v>
      </c>
      <c r="AA679" s="10" t="s">
        <v>50</v>
      </c>
      <c r="AB679" s="10" t="s">
        <v>7079</v>
      </c>
      <c r="AC679" s="10" t="s">
        <v>7082</v>
      </c>
      <c r="AD679" s="10" t="s">
        <v>7083</v>
      </c>
      <c r="AE679" s="10" t="s">
        <v>7084</v>
      </c>
      <c r="AF679" s="10" t="s">
        <v>775</v>
      </c>
      <c r="AG679" s="10" t="s">
        <v>7085</v>
      </c>
      <c r="AH679" s="10" t="s">
        <v>60</v>
      </c>
      <c r="AI679" s="10" t="s">
        <v>61</v>
      </c>
      <c r="AJ679" s="10" t="s">
        <v>6643</v>
      </c>
      <c r="AK679" s="10" t="s">
        <v>7086</v>
      </c>
      <c r="AL679" s="10" t="s">
        <v>64</v>
      </c>
      <c r="AM679" s="10" t="s">
        <v>7087</v>
      </c>
      <c r="AN679" s="10" t="s">
        <v>50</v>
      </c>
      <c r="AO679" s="11" t="s">
        <v>50</v>
      </c>
      <c r="AP679" s="10" t="s">
        <v>50</v>
      </c>
      <c r="AQ679" s="10" t="s">
        <v>50</v>
      </c>
      <c r="AR679" s="10" t="s">
        <v>50</v>
      </c>
      <c r="AS679" s="10" t="s">
        <v>50</v>
      </c>
      <c r="AT679" s="10" t="s">
        <v>50</v>
      </c>
      <c r="AU679" s="10" t="s">
        <v>50</v>
      </c>
      <c r="AV679" s="11"/>
      <c r="AW679" s="10" t="s">
        <v>66</v>
      </c>
      <c r="AX679" s="10"/>
      <c r="AY679" s="10" t="s">
        <v>66</v>
      </c>
    </row>
    <row r="680" ht="22.5" hidden="1" customHeight="1">
      <c r="A680" s="9" t="s">
        <v>7088</v>
      </c>
      <c r="B680" s="10" t="s">
        <v>7089</v>
      </c>
      <c r="C680" s="10" t="s">
        <v>43</v>
      </c>
      <c r="D680" s="10" t="s">
        <v>290</v>
      </c>
      <c r="E680" s="10" t="s">
        <v>66</v>
      </c>
      <c r="F680" s="11">
        <v>1.0</v>
      </c>
      <c r="G680" s="11">
        <v>80.0</v>
      </c>
      <c r="H680" s="11"/>
      <c r="I680" s="11">
        <v>-13.6</v>
      </c>
      <c r="J680" s="11">
        <v>-19.95</v>
      </c>
      <c r="K680" s="11"/>
      <c r="L680" s="11">
        <v>50.45</v>
      </c>
      <c r="M680" s="10" t="s">
        <v>46</v>
      </c>
      <c r="N680" s="10" t="s">
        <v>50</v>
      </c>
      <c r="O680" s="10" t="s">
        <v>143</v>
      </c>
      <c r="P680" s="10" t="s">
        <v>144</v>
      </c>
      <c r="Q680" s="10" t="s">
        <v>145</v>
      </c>
      <c r="R680" s="10" t="s">
        <v>74</v>
      </c>
      <c r="S680" s="11">
        <v>80.0</v>
      </c>
      <c r="T680" s="11">
        <v>33.38</v>
      </c>
      <c r="U680" s="11" t="s">
        <v>51</v>
      </c>
      <c r="V680" s="10" t="s">
        <v>52</v>
      </c>
      <c r="W680" s="10" t="s">
        <v>7090</v>
      </c>
      <c r="X680" s="10" t="s">
        <v>7091</v>
      </c>
      <c r="Y680" s="10" t="s">
        <v>7092</v>
      </c>
      <c r="Z680" s="10" t="s">
        <v>50</v>
      </c>
      <c r="AA680" s="10" t="s">
        <v>50</v>
      </c>
      <c r="AB680" s="10" t="s">
        <v>7090</v>
      </c>
      <c r="AC680" s="10" t="s">
        <v>7093</v>
      </c>
      <c r="AD680" s="10" t="s">
        <v>7094</v>
      </c>
      <c r="AE680" s="10" t="s">
        <v>7095</v>
      </c>
      <c r="AF680" s="10" t="s">
        <v>1593</v>
      </c>
      <c r="AG680" s="10" t="s">
        <v>7096</v>
      </c>
      <c r="AH680" s="10" t="s">
        <v>60</v>
      </c>
      <c r="AI680" s="10" t="s">
        <v>61</v>
      </c>
      <c r="AJ680" s="10" t="s">
        <v>7097</v>
      </c>
      <c r="AK680" s="10" t="s">
        <v>7098</v>
      </c>
      <c r="AL680" s="10" t="s">
        <v>64</v>
      </c>
      <c r="AM680" s="10" t="s">
        <v>7099</v>
      </c>
      <c r="AN680" s="10" t="s">
        <v>50</v>
      </c>
      <c r="AO680" s="11" t="s">
        <v>50</v>
      </c>
      <c r="AP680" s="10" t="s">
        <v>50</v>
      </c>
      <c r="AQ680" s="10" t="s">
        <v>50</v>
      </c>
      <c r="AR680" s="10" t="s">
        <v>50</v>
      </c>
      <c r="AS680" s="10" t="s">
        <v>50</v>
      </c>
      <c r="AT680" s="10" t="s">
        <v>50</v>
      </c>
      <c r="AU680" s="10" t="s">
        <v>50</v>
      </c>
      <c r="AV680" s="11"/>
      <c r="AW680" s="10" t="s">
        <v>66</v>
      </c>
      <c r="AX680" s="10"/>
      <c r="AY680" s="10" t="s">
        <v>66</v>
      </c>
    </row>
    <row r="681" ht="22.5" hidden="1" customHeight="1">
      <c r="A681" s="9" t="s">
        <v>7100</v>
      </c>
      <c r="B681" s="10" t="s">
        <v>7101</v>
      </c>
      <c r="C681" s="10" t="s">
        <v>43</v>
      </c>
      <c r="D681" s="10" t="s">
        <v>6539</v>
      </c>
      <c r="E681" s="10" t="s">
        <v>66</v>
      </c>
      <c r="F681" s="11">
        <v>1.0</v>
      </c>
      <c r="G681" s="11">
        <v>79.3</v>
      </c>
      <c r="H681" s="11"/>
      <c r="I681" s="11">
        <v>-13.48</v>
      </c>
      <c r="J681" s="11">
        <v>-19.95</v>
      </c>
      <c r="K681" s="11"/>
      <c r="L681" s="11">
        <v>45.87</v>
      </c>
      <c r="M681" s="10" t="s">
        <v>46</v>
      </c>
      <c r="N681" s="10" t="s">
        <v>50</v>
      </c>
      <c r="O681" s="10" t="s">
        <v>314</v>
      </c>
      <c r="P681" s="10" t="s">
        <v>315</v>
      </c>
      <c r="Q681" s="10" t="s">
        <v>316</v>
      </c>
      <c r="R681" s="10" t="s">
        <v>74</v>
      </c>
      <c r="S681" s="11">
        <v>79.3</v>
      </c>
      <c r="T681" s="11">
        <v>6.66</v>
      </c>
      <c r="U681" s="11" t="s">
        <v>51</v>
      </c>
      <c r="V681" s="10" t="s">
        <v>52</v>
      </c>
      <c r="W681" s="10" t="s">
        <v>7102</v>
      </c>
      <c r="X681" s="10" t="s">
        <v>7103</v>
      </c>
      <c r="Y681" s="10" t="s">
        <v>7104</v>
      </c>
      <c r="Z681" s="10" t="s">
        <v>50</v>
      </c>
      <c r="AA681" s="10" t="s">
        <v>50</v>
      </c>
      <c r="AB681" s="10" t="s">
        <v>7102</v>
      </c>
      <c r="AC681" s="10" t="s">
        <v>7105</v>
      </c>
      <c r="AD681" s="10" t="s">
        <v>7106</v>
      </c>
      <c r="AE681" s="10" t="s">
        <v>5821</v>
      </c>
      <c r="AF681" s="10" t="s">
        <v>151</v>
      </c>
      <c r="AG681" s="10" t="s">
        <v>7107</v>
      </c>
      <c r="AH681" s="10" t="s">
        <v>60</v>
      </c>
      <c r="AI681" s="10" t="s">
        <v>61</v>
      </c>
      <c r="AJ681" s="10" t="s">
        <v>7108</v>
      </c>
      <c r="AK681" s="10" t="s">
        <v>7109</v>
      </c>
      <c r="AL681" s="10" t="s">
        <v>64</v>
      </c>
      <c r="AM681" s="10" t="s">
        <v>7110</v>
      </c>
      <c r="AN681" s="10" t="s">
        <v>50</v>
      </c>
      <c r="AO681" s="11" t="s">
        <v>50</v>
      </c>
      <c r="AP681" s="10" t="s">
        <v>50</v>
      </c>
      <c r="AQ681" s="10" t="s">
        <v>50</v>
      </c>
      <c r="AR681" s="10" t="s">
        <v>50</v>
      </c>
      <c r="AS681" s="10" t="s">
        <v>50</v>
      </c>
      <c r="AT681" s="10" t="s">
        <v>50</v>
      </c>
      <c r="AU681" s="10" t="s">
        <v>50</v>
      </c>
      <c r="AV681" s="11"/>
      <c r="AW681" s="10" t="s">
        <v>66</v>
      </c>
      <c r="AX681" s="10"/>
      <c r="AY681" s="10" t="s">
        <v>66</v>
      </c>
    </row>
    <row r="682" ht="22.5" hidden="1" customHeight="1">
      <c r="A682" s="9" t="s">
        <v>7111</v>
      </c>
      <c r="B682" s="10" t="s">
        <v>7112</v>
      </c>
      <c r="C682" s="10" t="s">
        <v>43</v>
      </c>
      <c r="D682" s="10" t="s">
        <v>3477</v>
      </c>
      <c r="E682" s="10" t="s">
        <v>45</v>
      </c>
      <c r="F682" s="11">
        <v>2.0</v>
      </c>
      <c r="G682" s="11">
        <v>87.4</v>
      </c>
      <c r="H682" s="11"/>
      <c r="I682" s="11">
        <v>-26.86</v>
      </c>
      <c r="J682" s="11"/>
      <c r="K682" s="11"/>
      <c r="L682" s="11">
        <v>65.78</v>
      </c>
      <c r="M682" s="10" t="s">
        <v>46</v>
      </c>
      <c r="N682" s="10" t="s">
        <v>50</v>
      </c>
      <c r="O682" s="10" t="s">
        <v>176</v>
      </c>
      <c r="P682" s="10" t="s">
        <v>177</v>
      </c>
      <c r="Q682" s="10" t="s">
        <v>178</v>
      </c>
      <c r="R682" s="10" t="s">
        <v>74</v>
      </c>
      <c r="S682" s="11">
        <v>43.7</v>
      </c>
      <c r="T682" s="11">
        <f>2*22.58</f>
        <v>45.16</v>
      </c>
      <c r="U682" s="11" t="s">
        <v>51</v>
      </c>
      <c r="V682" s="10" t="s">
        <v>52</v>
      </c>
      <c r="W682" s="10" t="s">
        <v>7113</v>
      </c>
      <c r="X682" s="10" t="s">
        <v>7114</v>
      </c>
      <c r="Y682" s="10" t="s">
        <v>7115</v>
      </c>
      <c r="Z682" s="10" t="s">
        <v>50</v>
      </c>
      <c r="AA682" s="10" t="s">
        <v>50</v>
      </c>
      <c r="AB682" s="10" t="s">
        <v>7113</v>
      </c>
      <c r="AC682" s="10" t="s">
        <v>7116</v>
      </c>
      <c r="AD682" s="10" t="s">
        <v>7117</v>
      </c>
      <c r="AE682" s="10" t="s">
        <v>1192</v>
      </c>
      <c r="AF682" s="10" t="s">
        <v>58</v>
      </c>
      <c r="AG682" s="10" t="s">
        <v>7118</v>
      </c>
      <c r="AH682" s="10" t="s">
        <v>60</v>
      </c>
      <c r="AI682" s="10" t="s">
        <v>61</v>
      </c>
      <c r="AJ682" s="10" t="s">
        <v>3484</v>
      </c>
      <c r="AK682" s="10" t="s">
        <v>7119</v>
      </c>
      <c r="AL682" s="10" t="s">
        <v>64</v>
      </c>
      <c r="AM682" s="10" t="s">
        <v>7120</v>
      </c>
      <c r="AN682" s="10" t="s">
        <v>50</v>
      </c>
      <c r="AO682" s="11" t="s">
        <v>50</v>
      </c>
      <c r="AP682" s="10" t="s">
        <v>50</v>
      </c>
      <c r="AQ682" s="10" t="s">
        <v>50</v>
      </c>
      <c r="AR682" s="10" t="s">
        <v>50</v>
      </c>
      <c r="AS682" s="10" t="s">
        <v>50</v>
      </c>
      <c r="AT682" s="10" t="s">
        <v>50</v>
      </c>
      <c r="AU682" s="10" t="s">
        <v>50</v>
      </c>
      <c r="AV682" s="11"/>
      <c r="AW682" s="10" t="s">
        <v>66</v>
      </c>
      <c r="AX682" s="10"/>
      <c r="AY682" s="10" t="s">
        <v>66</v>
      </c>
    </row>
    <row r="683" ht="22.5" hidden="1" customHeight="1">
      <c r="A683" s="9" t="s">
        <v>7121</v>
      </c>
      <c r="B683" s="10" t="s">
        <v>7122</v>
      </c>
      <c r="C683" s="10" t="s">
        <v>43</v>
      </c>
      <c r="D683" s="10" t="s">
        <v>2481</v>
      </c>
      <c r="E683" s="10" t="s">
        <v>45</v>
      </c>
      <c r="F683" s="11">
        <v>3.0</v>
      </c>
      <c r="G683" s="11">
        <v>131.1</v>
      </c>
      <c r="H683" s="11"/>
      <c r="I683" s="11">
        <v>-40.29</v>
      </c>
      <c r="J683" s="11"/>
      <c r="K683" s="11"/>
      <c r="L683" s="11">
        <v>98.67</v>
      </c>
      <c r="M683" s="10" t="s">
        <v>46</v>
      </c>
      <c r="N683" s="10" t="s">
        <v>50</v>
      </c>
      <c r="O683" s="10" t="s">
        <v>176</v>
      </c>
      <c r="P683" s="10" t="s">
        <v>177</v>
      </c>
      <c r="Q683" s="10" t="s">
        <v>178</v>
      </c>
      <c r="R683" s="10" t="s">
        <v>74</v>
      </c>
      <c r="S683" s="11">
        <v>43.7</v>
      </c>
      <c r="T683" s="11">
        <f>3*22.58</f>
        <v>67.74</v>
      </c>
      <c r="U683" s="11" t="s">
        <v>51</v>
      </c>
      <c r="V683" s="10" t="s">
        <v>52</v>
      </c>
      <c r="W683" s="10" t="s">
        <v>7123</v>
      </c>
      <c r="X683" s="10" t="s">
        <v>7124</v>
      </c>
      <c r="Y683" s="10" t="s">
        <v>7125</v>
      </c>
      <c r="Z683" s="10" t="s">
        <v>50</v>
      </c>
      <c r="AA683" s="10" t="s">
        <v>50</v>
      </c>
      <c r="AB683" s="10" t="s">
        <v>7123</v>
      </c>
      <c r="AC683" s="10" t="s">
        <v>7126</v>
      </c>
      <c r="AD683" s="10" t="s">
        <v>7127</v>
      </c>
      <c r="AE683" s="10" t="s">
        <v>3359</v>
      </c>
      <c r="AF683" s="10" t="s">
        <v>185</v>
      </c>
      <c r="AG683" s="10" t="s">
        <v>7128</v>
      </c>
      <c r="AH683" s="10" t="s">
        <v>60</v>
      </c>
      <c r="AI683" s="10" t="s">
        <v>61</v>
      </c>
      <c r="AJ683" s="10" t="s">
        <v>6825</v>
      </c>
      <c r="AK683" s="10" t="s">
        <v>7129</v>
      </c>
      <c r="AL683" s="10" t="s">
        <v>64</v>
      </c>
      <c r="AM683" s="10" t="s">
        <v>7130</v>
      </c>
      <c r="AN683" s="10" t="s">
        <v>50</v>
      </c>
      <c r="AO683" s="11" t="s">
        <v>50</v>
      </c>
      <c r="AP683" s="10" t="s">
        <v>50</v>
      </c>
      <c r="AQ683" s="10" t="s">
        <v>50</v>
      </c>
      <c r="AR683" s="10" t="s">
        <v>50</v>
      </c>
      <c r="AS683" s="10" t="s">
        <v>50</v>
      </c>
      <c r="AT683" s="10" t="s">
        <v>50</v>
      </c>
      <c r="AU683" s="10" t="s">
        <v>50</v>
      </c>
      <c r="AV683" s="11"/>
      <c r="AW683" s="10" t="s">
        <v>66</v>
      </c>
      <c r="AX683" s="10"/>
      <c r="AY683" s="10" t="s">
        <v>66</v>
      </c>
    </row>
    <row r="684" ht="22.5" hidden="1" customHeight="1">
      <c r="A684" s="9" t="s">
        <v>7131</v>
      </c>
      <c r="B684" s="10" t="s">
        <v>7132</v>
      </c>
      <c r="C684" s="10" t="s">
        <v>69</v>
      </c>
      <c r="D684" s="10" t="s">
        <v>402</v>
      </c>
      <c r="E684" s="10" t="s">
        <v>66</v>
      </c>
      <c r="F684" s="11">
        <v>1.0</v>
      </c>
      <c r="G684" s="11">
        <v>105.0</v>
      </c>
      <c r="H684" s="11"/>
      <c r="I684" s="11">
        <v>-19.95</v>
      </c>
      <c r="J684" s="11">
        <v>-19.95</v>
      </c>
      <c r="K684" s="11">
        <v>-71.4</v>
      </c>
      <c r="L684" s="11">
        <v>0.0</v>
      </c>
      <c r="M684" s="10" t="s">
        <v>46</v>
      </c>
      <c r="N684" s="10" t="s">
        <v>50</v>
      </c>
      <c r="O684" s="10" t="s">
        <v>100</v>
      </c>
      <c r="P684" s="10" t="s">
        <v>101</v>
      </c>
      <c r="Q684" s="10" t="s">
        <v>102</v>
      </c>
      <c r="R684" s="10" t="s">
        <v>50</v>
      </c>
      <c r="S684" s="11">
        <v>105.0</v>
      </c>
      <c r="T684" s="11"/>
      <c r="U684" s="11" t="s">
        <v>51</v>
      </c>
      <c r="V684" s="10" t="s">
        <v>52</v>
      </c>
      <c r="W684" s="10" t="s">
        <v>7133</v>
      </c>
      <c r="X684" s="10" t="s">
        <v>7134</v>
      </c>
      <c r="Y684" s="10" t="s">
        <v>7135</v>
      </c>
      <c r="Z684" s="10" t="s">
        <v>50</v>
      </c>
      <c r="AA684" s="10" t="s">
        <v>50</v>
      </c>
      <c r="AB684" s="10" t="s">
        <v>7133</v>
      </c>
      <c r="AC684" s="10" t="s">
        <v>7136</v>
      </c>
      <c r="AD684" s="10" t="s">
        <v>50</v>
      </c>
      <c r="AE684" s="10" t="s">
        <v>3168</v>
      </c>
      <c r="AF684" s="10" t="s">
        <v>185</v>
      </c>
      <c r="AG684" s="10" t="s">
        <v>7137</v>
      </c>
      <c r="AH684" s="10" t="s">
        <v>60</v>
      </c>
      <c r="AI684" s="10" t="s">
        <v>61</v>
      </c>
      <c r="AJ684" s="10" t="s">
        <v>50</v>
      </c>
      <c r="AK684" s="10" t="s">
        <v>50</v>
      </c>
      <c r="AL684" s="10" t="s">
        <v>64</v>
      </c>
      <c r="AM684" s="10" t="s">
        <v>7138</v>
      </c>
      <c r="AN684" s="10" t="s">
        <v>50</v>
      </c>
      <c r="AO684" s="11" t="s">
        <v>50</v>
      </c>
      <c r="AP684" s="10" t="s">
        <v>50</v>
      </c>
      <c r="AQ684" s="10" t="s">
        <v>50</v>
      </c>
      <c r="AR684" s="10" t="s">
        <v>50</v>
      </c>
      <c r="AS684" s="10" t="s">
        <v>50</v>
      </c>
      <c r="AT684" s="10" t="s">
        <v>50</v>
      </c>
      <c r="AU684" s="10" t="s">
        <v>50</v>
      </c>
      <c r="AV684" s="11"/>
      <c r="AW684" s="10" t="s">
        <v>66</v>
      </c>
      <c r="AX684" s="10"/>
      <c r="AY684" s="10" t="s">
        <v>66</v>
      </c>
    </row>
    <row r="685" ht="22.5" hidden="1" customHeight="1">
      <c r="A685" s="9" t="s">
        <v>7139</v>
      </c>
      <c r="B685" s="10" t="s">
        <v>7140</v>
      </c>
      <c r="C685" s="10" t="s">
        <v>43</v>
      </c>
      <c r="D685" s="10" t="s">
        <v>3477</v>
      </c>
      <c r="E685" s="10" t="s">
        <v>45</v>
      </c>
      <c r="F685" s="11">
        <v>2.0</v>
      </c>
      <c r="G685" s="11">
        <v>240.0</v>
      </c>
      <c r="H685" s="11"/>
      <c r="I685" s="11">
        <v>-40.8</v>
      </c>
      <c r="J685" s="11">
        <v>-39.9</v>
      </c>
      <c r="K685" s="11"/>
      <c r="L685" s="11">
        <v>173.7</v>
      </c>
      <c r="M685" s="10" t="s">
        <v>46</v>
      </c>
      <c r="N685" s="10" t="s">
        <v>50</v>
      </c>
      <c r="O685" s="10" t="s">
        <v>85</v>
      </c>
      <c r="P685" s="10" t="s">
        <v>86</v>
      </c>
      <c r="Q685" s="10" t="s">
        <v>87</v>
      </c>
      <c r="R685" s="10" t="s">
        <v>74</v>
      </c>
      <c r="S685" s="11">
        <v>120.0</v>
      </c>
      <c r="T685" s="11">
        <f>2*65.78</f>
        <v>131.56</v>
      </c>
      <c r="U685" s="11" t="s">
        <v>51</v>
      </c>
      <c r="V685" s="10" t="s">
        <v>52</v>
      </c>
      <c r="W685" s="10" t="s">
        <v>7141</v>
      </c>
      <c r="X685" s="10" t="s">
        <v>7142</v>
      </c>
      <c r="Y685" s="10" t="s">
        <v>7143</v>
      </c>
      <c r="Z685" s="10" t="s">
        <v>50</v>
      </c>
      <c r="AA685" s="10" t="s">
        <v>50</v>
      </c>
      <c r="AB685" s="10" t="s">
        <v>7141</v>
      </c>
      <c r="AC685" s="10" t="s">
        <v>7144</v>
      </c>
      <c r="AD685" s="10" t="s">
        <v>7145</v>
      </c>
      <c r="AE685" s="10" t="s">
        <v>1861</v>
      </c>
      <c r="AF685" s="10" t="s">
        <v>58</v>
      </c>
      <c r="AG685" s="10" t="s">
        <v>7146</v>
      </c>
      <c r="AH685" s="10" t="s">
        <v>60</v>
      </c>
      <c r="AI685" s="10" t="s">
        <v>61</v>
      </c>
      <c r="AJ685" s="10" t="s">
        <v>3484</v>
      </c>
      <c r="AK685" s="10" t="s">
        <v>7147</v>
      </c>
      <c r="AL685" s="10" t="s">
        <v>64</v>
      </c>
      <c r="AM685" s="10" t="s">
        <v>7148</v>
      </c>
      <c r="AN685" s="10" t="s">
        <v>50</v>
      </c>
      <c r="AO685" s="11" t="s">
        <v>50</v>
      </c>
      <c r="AP685" s="10" t="s">
        <v>50</v>
      </c>
      <c r="AQ685" s="10" t="s">
        <v>50</v>
      </c>
      <c r="AR685" s="10" t="s">
        <v>50</v>
      </c>
      <c r="AS685" s="10" t="s">
        <v>50</v>
      </c>
      <c r="AT685" s="10" t="s">
        <v>50</v>
      </c>
      <c r="AU685" s="10" t="s">
        <v>50</v>
      </c>
      <c r="AV685" s="11"/>
      <c r="AW685" s="10" t="s">
        <v>66</v>
      </c>
      <c r="AX685" s="10"/>
      <c r="AY685" s="10" t="s">
        <v>66</v>
      </c>
    </row>
    <row r="686" ht="22.5" hidden="1" customHeight="1">
      <c r="A686" s="9" t="s">
        <v>7149</v>
      </c>
      <c r="B686" s="10" t="s">
        <v>7150</v>
      </c>
      <c r="C686" s="10" t="s">
        <v>43</v>
      </c>
      <c r="D686" s="10" t="s">
        <v>3477</v>
      </c>
      <c r="E686" s="10" t="s">
        <v>45</v>
      </c>
      <c r="F686" s="11">
        <v>2.0</v>
      </c>
      <c r="G686" s="11">
        <v>87.4</v>
      </c>
      <c r="H686" s="11"/>
      <c r="I686" s="11">
        <v>-26.86</v>
      </c>
      <c r="J686" s="11"/>
      <c r="K686" s="11"/>
      <c r="L686" s="11">
        <v>65.78</v>
      </c>
      <c r="M686" s="10" t="s">
        <v>46</v>
      </c>
      <c r="N686" s="10" t="s">
        <v>50</v>
      </c>
      <c r="O686" s="10" t="s">
        <v>176</v>
      </c>
      <c r="P686" s="10" t="s">
        <v>177</v>
      </c>
      <c r="Q686" s="10" t="s">
        <v>178</v>
      </c>
      <c r="R686" s="10" t="s">
        <v>74</v>
      </c>
      <c r="S686" s="11">
        <v>43.7</v>
      </c>
      <c r="T686" s="11">
        <f>2*22.58</f>
        <v>45.16</v>
      </c>
      <c r="U686" s="11" t="s">
        <v>51</v>
      </c>
      <c r="V686" s="10" t="s">
        <v>52</v>
      </c>
      <c r="W686" s="10" t="s">
        <v>7151</v>
      </c>
      <c r="X686" s="10" t="s">
        <v>7152</v>
      </c>
      <c r="Y686" s="10" t="s">
        <v>7153</v>
      </c>
      <c r="Z686" s="10" t="s">
        <v>50</v>
      </c>
      <c r="AA686" s="10" t="s">
        <v>50</v>
      </c>
      <c r="AB686" s="10" t="s">
        <v>7151</v>
      </c>
      <c r="AC686" s="10" t="s">
        <v>7154</v>
      </c>
      <c r="AD686" s="10" t="s">
        <v>7155</v>
      </c>
      <c r="AE686" s="10" t="s">
        <v>7156</v>
      </c>
      <c r="AF686" s="10" t="s">
        <v>58</v>
      </c>
      <c r="AG686" s="10" t="s">
        <v>7157</v>
      </c>
      <c r="AH686" s="10" t="s">
        <v>60</v>
      </c>
      <c r="AI686" s="10" t="s">
        <v>61</v>
      </c>
      <c r="AJ686" s="10" t="s">
        <v>3484</v>
      </c>
      <c r="AK686" s="10" t="s">
        <v>7158</v>
      </c>
      <c r="AL686" s="10" t="s">
        <v>64</v>
      </c>
      <c r="AM686" s="10" t="s">
        <v>7159</v>
      </c>
      <c r="AN686" s="10" t="s">
        <v>50</v>
      </c>
      <c r="AO686" s="11" t="s">
        <v>50</v>
      </c>
      <c r="AP686" s="10" t="s">
        <v>50</v>
      </c>
      <c r="AQ686" s="10" t="s">
        <v>50</v>
      </c>
      <c r="AR686" s="10" t="s">
        <v>50</v>
      </c>
      <c r="AS686" s="10" t="s">
        <v>50</v>
      </c>
      <c r="AT686" s="10" t="s">
        <v>50</v>
      </c>
      <c r="AU686" s="10" t="s">
        <v>50</v>
      </c>
      <c r="AV686" s="11"/>
      <c r="AW686" s="10" t="s">
        <v>66</v>
      </c>
      <c r="AX686" s="10"/>
      <c r="AY686" s="10" t="s">
        <v>66</v>
      </c>
    </row>
    <row r="687" ht="22.5" hidden="1" customHeight="1">
      <c r="A687" s="9" t="s">
        <v>7160</v>
      </c>
      <c r="B687" s="10" t="s">
        <v>7161</v>
      </c>
      <c r="C687" s="10" t="s">
        <v>43</v>
      </c>
      <c r="D687" s="10" t="s">
        <v>3477</v>
      </c>
      <c r="E687" s="10" t="s">
        <v>45</v>
      </c>
      <c r="F687" s="11">
        <v>1.0</v>
      </c>
      <c r="G687" s="11">
        <v>115.9</v>
      </c>
      <c r="H687" s="11"/>
      <c r="I687" s="11">
        <v>-19.7</v>
      </c>
      <c r="J687" s="11">
        <v>-19.95</v>
      </c>
      <c r="K687" s="11"/>
      <c r="L687" s="11">
        <v>83.2</v>
      </c>
      <c r="M687" s="10" t="s">
        <v>46</v>
      </c>
      <c r="N687" s="10" t="s">
        <v>45</v>
      </c>
      <c r="O687" s="10" t="s">
        <v>7162</v>
      </c>
      <c r="P687" s="10" t="s">
        <v>7163</v>
      </c>
      <c r="Q687" s="10" t="s">
        <v>7164</v>
      </c>
      <c r="R687" s="10" t="s">
        <v>74</v>
      </c>
      <c r="S687" s="11">
        <v>115.9</v>
      </c>
      <c r="T687" s="11">
        <v>33.51</v>
      </c>
      <c r="U687" s="11" t="s">
        <v>51</v>
      </c>
      <c r="V687" s="10" t="s">
        <v>52</v>
      </c>
      <c r="W687" s="10" t="s">
        <v>7165</v>
      </c>
      <c r="X687" s="10" t="s">
        <v>7166</v>
      </c>
      <c r="Y687" s="10" t="s">
        <v>7167</v>
      </c>
      <c r="Z687" s="10" t="s">
        <v>50</v>
      </c>
      <c r="AA687" s="10" t="s">
        <v>50</v>
      </c>
      <c r="AB687" s="10" t="s">
        <v>7165</v>
      </c>
      <c r="AC687" s="10" t="s">
        <v>7168</v>
      </c>
      <c r="AD687" s="10" t="s">
        <v>7169</v>
      </c>
      <c r="AE687" s="10" t="s">
        <v>7170</v>
      </c>
      <c r="AF687" s="10" t="s">
        <v>58</v>
      </c>
      <c r="AG687" s="10" t="s">
        <v>7171</v>
      </c>
      <c r="AH687" s="10" t="s">
        <v>60</v>
      </c>
      <c r="AI687" s="10" t="s">
        <v>61</v>
      </c>
      <c r="AJ687" s="10" t="s">
        <v>6825</v>
      </c>
      <c r="AK687" s="10" t="s">
        <v>7172</v>
      </c>
      <c r="AL687" s="10" t="s">
        <v>64</v>
      </c>
      <c r="AM687" s="10" t="s">
        <v>7173</v>
      </c>
      <c r="AN687" s="10" t="s">
        <v>50</v>
      </c>
      <c r="AO687" s="11" t="s">
        <v>50</v>
      </c>
      <c r="AP687" s="10" t="s">
        <v>50</v>
      </c>
      <c r="AQ687" s="10" t="s">
        <v>50</v>
      </c>
      <c r="AR687" s="10" t="s">
        <v>50</v>
      </c>
      <c r="AS687" s="10" t="s">
        <v>50</v>
      </c>
      <c r="AT687" s="10" t="s">
        <v>50</v>
      </c>
      <c r="AU687" s="10" t="s">
        <v>50</v>
      </c>
      <c r="AV687" s="11"/>
      <c r="AW687" s="10" t="s">
        <v>66</v>
      </c>
      <c r="AX687" s="10"/>
      <c r="AY687" s="10" t="s">
        <v>66</v>
      </c>
    </row>
    <row r="688" ht="22.5" hidden="1" customHeight="1">
      <c r="A688" s="9" t="s">
        <v>7174</v>
      </c>
      <c r="B688" s="10" t="s">
        <v>7175</v>
      </c>
      <c r="C688" s="10" t="s">
        <v>43</v>
      </c>
      <c r="D688" s="10" t="s">
        <v>1262</v>
      </c>
      <c r="E688" s="10" t="s">
        <v>66</v>
      </c>
      <c r="F688" s="11">
        <v>1.0</v>
      </c>
      <c r="G688" s="11">
        <v>92.15</v>
      </c>
      <c r="H688" s="11">
        <v>12.68</v>
      </c>
      <c r="I688" s="11">
        <v>-17.51</v>
      </c>
      <c r="J688" s="11">
        <v>-33.13</v>
      </c>
      <c r="K688" s="11"/>
      <c r="L688" s="11">
        <v>59.72</v>
      </c>
      <c r="M688" s="10" t="s">
        <v>46</v>
      </c>
      <c r="N688" s="10" t="s">
        <v>45</v>
      </c>
      <c r="O688" s="10" t="s">
        <v>586</v>
      </c>
      <c r="P688" s="10" t="s">
        <v>587</v>
      </c>
      <c r="Q688" s="10" t="s">
        <v>588</v>
      </c>
      <c r="R688" s="10" t="s">
        <v>50</v>
      </c>
      <c r="S688" s="11">
        <v>92.15</v>
      </c>
      <c r="T688" s="11">
        <v>20.76</v>
      </c>
      <c r="U688" s="11" t="s">
        <v>51</v>
      </c>
      <c r="V688" s="10" t="s">
        <v>52</v>
      </c>
      <c r="W688" s="10" t="s">
        <v>7176</v>
      </c>
      <c r="X688" s="10" t="s">
        <v>7177</v>
      </c>
      <c r="Y688" s="10" t="s">
        <v>7178</v>
      </c>
      <c r="Z688" s="10" t="s">
        <v>50</v>
      </c>
      <c r="AA688" s="10" t="s">
        <v>50</v>
      </c>
      <c r="AB688" s="10" t="s">
        <v>7176</v>
      </c>
      <c r="AC688" s="10" t="s">
        <v>7179</v>
      </c>
      <c r="AD688" s="10" t="s">
        <v>7180</v>
      </c>
      <c r="AE688" s="10" t="s">
        <v>7181</v>
      </c>
      <c r="AF688" s="10" t="s">
        <v>799</v>
      </c>
      <c r="AG688" s="10" t="s">
        <v>7182</v>
      </c>
      <c r="AH688" s="10" t="s">
        <v>60</v>
      </c>
      <c r="AI688" s="10" t="s">
        <v>61</v>
      </c>
      <c r="AJ688" s="10" t="s">
        <v>6855</v>
      </c>
      <c r="AK688" s="10" t="s">
        <v>7183</v>
      </c>
      <c r="AL688" s="10" t="s">
        <v>1025</v>
      </c>
      <c r="AM688" s="10" t="s">
        <v>7184</v>
      </c>
      <c r="AN688" s="10" t="s">
        <v>7185</v>
      </c>
      <c r="AO688" s="11" t="s">
        <v>50</v>
      </c>
      <c r="AP688" s="10" t="s">
        <v>50</v>
      </c>
      <c r="AQ688" s="10" t="s">
        <v>50</v>
      </c>
      <c r="AR688" s="10" t="s">
        <v>50</v>
      </c>
      <c r="AS688" s="10" t="s">
        <v>50</v>
      </c>
      <c r="AT688" s="10" t="s">
        <v>50</v>
      </c>
      <c r="AU688" s="10" t="s">
        <v>50</v>
      </c>
      <c r="AV688" s="11"/>
      <c r="AW688" s="10" t="s">
        <v>66</v>
      </c>
      <c r="AX688" s="10"/>
      <c r="AY688" s="10" t="s">
        <v>66</v>
      </c>
    </row>
    <row r="689" ht="22.5" hidden="1" customHeight="1">
      <c r="A689" s="9" t="s">
        <v>7186</v>
      </c>
      <c r="B689" s="10" t="s">
        <v>7187</v>
      </c>
      <c r="C689" s="10" t="s">
        <v>43</v>
      </c>
      <c r="D689" s="10" t="s">
        <v>2402</v>
      </c>
      <c r="E689" s="10" t="s">
        <v>66</v>
      </c>
      <c r="F689" s="11">
        <v>1.0</v>
      </c>
      <c r="G689" s="11">
        <v>120.0</v>
      </c>
      <c r="H689" s="11"/>
      <c r="I689" s="11">
        <v>-20.4</v>
      </c>
      <c r="J689" s="11">
        <v>-19.95</v>
      </c>
      <c r="K689" s="11"/>
      <c r="L689" s="11">
        <v>86.85</v>
      </c>
      <c r="M689" s="10" t="s">
        <v>46</v>
      </c>
      <c r="N689" s="10" t="s">
        <v>50</v>
      </c>
      <c r="O689" s="10" t="s">
        <v>85</v>
      </c>
      <c r="P689" s="10" t="s">
        <v>86</v>
      </c>
      <c r="Q689" s="10" t="s">
        <v>87</v>
      </c>
      <c r="R689" s="10" t="s">
        <v>74</v>
      </c>
      <c r="S689" s="11">
        <v>120.0</v>
      </c>
      <c r="T689" s="11">
        <v>65.78</v>
      </c>
      <c r="U689" s="11" t="s">
        <v>51</v>
      </c>
      <c r="V689" s="10" t="s">
        <v>52</v>
      </c>
      <c r="W689" s="10" t="s">
        <v>7188</v>
      </c>
      <c r="X689" s="10" t="s">
        <v>7189</v>
      </c>
      <c r="Y689" s="10" t="s">
        <v>7190</v>
      </c>
      <c r="Z689" s="10" t="s">
        <v>50</v>
      </c>
      <c r="AA689" s="10" t="s">
        <v>50</v>
      </c>
      <c r="AB689" s="10" t="s">
        <v>7188</v>
      </c>
      <c r="AC689" s="10" t="s">
        <v>7191</v>
      </c>
      <c r="AD689" s="10" t="s">
        <v>7192</v>
      </c>
      <c r="AE689" s="10" t="s">
        <v>6641</v>
      </c>
      <c r="AF689" s="10" t="s">
        <v>775</v>
      </c>
      <c r="AG689" s="10" t="s">
        <v>6642</v>
      </c>
      <c r="AH689" s="10" t="s">
        <v>60</v>
      </c>
      <c r="AI689" s="10" t="s">
        <v>61</v>
      </c>
      <c r="AJ689" s="10" t="s">
        <v>6643</v>
      </c>
      <c r="AK689" s="10" t="s">
        <v>7193</v>
      </c>
      <c r="AL689" s="10" t="s">
        <v>64</v>
      </c>
      <c r="AM689" s="10" t="s">
        <v>7194</v>
      </c>
      <c r="AN689" s="10" t="s">
        <v>50</v>
      </c>
      <c r="AO689" s="11" t="s">
        <v>50</v>
      </c>
      <c r="AP689" s="10" t="s">
        <v>50</v>
      </c>
      <c r="AQ689" s="10" t="s">
        <v>50</v>
      </c>
      <c r="AR689" s="10" t="s">
        <v>50</v>
      </c>
      <c r="AS689" s="10" t="s">
        <v>50</v>
      </c>
      <c r="AT689" s="10" t="s">
        <v>50</v>
      </c>
      <c r="AU689" s="10" t="s">
        <v>50</v>
      </c>
      <c r="AV689" s="11"/>
      <c r="AW689" s="10" t="s">
        <v>66</v>
      </c>
      <c r="AX689" s="10"/>
      <c r="AY689" s="10" t="s">
        <v>66</v>
      </c>
    </row>
    <row r="690" ht="22.5" hidden="1" customHeight="1">
      <c r="A690" s="9" t="s">
        <v>7195</v>
      </c>
      <c r="B690" s="10" t="s">
        <v>7196</v>
      </c>
      <c r="C690" s="10" t="s">
        <v>43</v>
      </c>
      <c r="D690" s="10" t="s">
        <v>3477</v>
      </c>
      <c r="E690" s="10" t="s">
        <v>66</v>
      </c>
      <c r="F690" s="11">
        <v>1.0</v>
      </c>
      <c r="G690" s="11">
        <v>105.0</v>
      </c>
      <c r="H690" s="11"/>
      <c r="I690" s="11">
        <v>-19.95</v>
      </c>
      <c r="J690" s="11">
        <v>-19.95</v>
      </c>
      <c r="K690" s="11"/>
      <c r="L690" s="11">
        <v>71.4</v>
      </c>
      <c r="M690" s="10" t="s">
        <v>46</v>
      </c>
      <c r="N690" s="10" t="s">
        <v>45</v>
      </c>
      <c r="O690" s="10" t="s">
        <v>100</v>
      </c>
      <c r="P690" s="10" t="s">
        <v>101</v>
      </c>
      <c r="Q690" s="10" t="s">
        <v>102</v>
      </c>
      <c r="R690" s="10" t="s">
        <v>50</v>
      </c>
      <c r="S690" s="11">
        <v>105.0</v>
      </c>
      <c r="T690" s="11">
        <v>38.61</v>
      </c>
      <c r="U690" s="11" t="s">
        <v>51</v>
      </c>
      <c r="V690" s="10" t="s">
        <v>52</v>
      </c>
      <c r="W690" s="10" t="s">
        <v>7197</v>
      </c>
      <c r="X690" s="10" t="s">
        <v>7198</v>
      </c>
      <c r="Y690" s="10" t="s">
        <v>7199</v>
      </c>
      <c r="Z690" s="10" t="s">
        <v>50</v>
      </c>
      <c r="AA690" s="10" t="s">
        <v>50</v>
      </c>
      <c r="AB690" s="10" t="s">
        <v>7197</v>
      </c>
      <c r="AC690" s="10" t="s">
        <v>7200</v>
      </c>
      <c r="AD690" s="10" t="s">
        <v>7201</v>
      </c>
      <c r="AE690" s="10" t="s">
        <v>7202</v>
      </c>
      <c r="AF690" s="10" t="s">
        <v>58</v>
      </c>
      <c r="AG690" s="10" t="s">
        <v>7203</v>
      </c>
      <c r="AH690" s="10" t="s">
        <v>60</v>
      </c>
      <c r="AI690" s="10" t="s">
        <v>61</v>
      </c>
      <c r="AJ690" s="10" t="s">
        <v>6825</v>
      </c>
      <c r="AK690" s="10" t="s">
        <v>7204</v>
      </c>
      <c r="AL690" s="10" t="s">
        <v>64</v>
      </c>
      <c r="AM690" s="10" t="s">
        <v>7205</v>
      </c>
      <c r="AN690" s="10" t="s">
        <v>50</v>
      </c>
      <c r="AO690" s="11" t="s">
        <v>50</v>
      </c>
      <c r="AP690" s="10" t="s">
        <v>50</v>
      </c>
      <c r="AQ690" s="10" t="s">
        <v>50</v>
      </c>
      <c r="AR690" s="10" t="s">
        <v>50</v>
      </c>
      <c r="AS690" s="10" t="s">
        <v>50</v>
      </c>
      <c r="AT690" s="10" t="s">
        <v>50</v>
      </c>
      <c r="AU690" s="10" t="s">
        <v>50</v>
      </c>
      <c r="AV690" s="11"/>
      <c r="AW690" s="10" t="s">
        <v>66</v>
      </c>
      <c r="AX690" s="10"/>
      <c r="AY690" s="10" t="s">
        <v>66</v>
      </c>
    </row>
    <row r="691" ht="22.5" hidden="1" customHeight="1">
      <c r="A691" s="12" t="s">
        <v>7206</v>
      </c>
      <c r="B691" s="13" t="s">
        <v>7207</v>
      </c>
      <c r="C691" s="13" t="s">
        <v>747</v>
      </c>
      <c r="D691" s="13" t="s">
        <v>50</v>
      </c>
      <c r="E691" s="13" t="s">
        <v>50</v>
      </c>
      <c r="F691" s="14"/>
      <c r="G691" s="14">
        <v>87.62</v>
      </c>
      <c r="H691" s="14">
        <v>5.89</v>
      </c>
      <c r="I691" s="14">
        <v>-26.9</v>
      </c>
      <c r="J691" s="14">
        <v>-5.89</v>
      </c>
      <c r="K691" s="14"/>
      <c r="L691" s="14">
        <v>65.54</v>
      </c>
      <c r="M691" s="13" t="s">
        <v>46</v>
      </c>
      <c r="N691" s="13" t="s">
        <v>50</v>
      </c>
      <c r="O691" s="13" t="s">
        <v>50</v>
      </c>
      <c r="P691" s="13" t="s">
        <v>50</v>
      </c>
      <c r="Q691" s="13" t="s">
        <v>50</v>
      </c>
      <c r="R691" s="13" t="s">
        <v>50</v>
      </c>
      <c r="S691" s="14"/>
      <c r="T691" s="14"/>
      <c r="U691" s="14" t="s">
        <v>50</v>
      </c>
      <c r="V691" s="13" t="s">
        <v>52</v>
      </c>
      <c r="W691" s="13" t="s">
        <v>7208</v>
      </c>
      <c r="X691" s="13" t="s">
        <v>7209</v>
      </c>
      <c r="Y691" s="13" t="s">
        <v>7210</v>
      </c>
      <c r="Z691" s="13" t="s">
        <v>50</v>
      </c>
      <c r="AA691" s="13" t="s">
        <v>50</v>
      </c>
      <c r="AB691" s="13" t="s">
        <v>7208</v>
      </c>
      <c r="AC691" s="13" t="s">
        <v>7211</v>
      </c>
      <c r="AD691" s="13" t="s">
        <v>7212</v>
      </c>
      <c r="AE691" s="13" t="s">
        <v>7213</v>
      </c>
      <c r="AF691" s="13" t="s">
        <v>323</v>
      </c>
      <c r="AG691" s="13" t="s">
        <v>7214</v>
      </c>
      <c r="AH691" s="13" t="s">
        <v>60</v>
      </c>
      <c r="AI691" s="13" t="s">
        <v>61</v>
      </c>
      <c r="AJ691" s="13" t="s">
        <v>7215</v>
      </c>
      <c r="AK691" s="13" t="s">
        <v>7216</v>
      </c>
      <c r="AL691" s="13" t="s">
        <v>64</v>
      </c>
      <c r="AM691" s="13" t="s">
        <v>7217</v>
      </c>
      <c r="AN691" s="13" t="s">
        <v>50</v>
      </c>
      <c r="AO691" s="15" t="s">
        <v>50</v>
      </c>
      <c r="AP691" s="13" t="s">
        <v>50</v>
      </c>
      <c r="AQ691" s="13" t="s">
        <v>50</v>
      </c>
      <c r="AR691" s="13" t="s">
        <v>50</v>
      </c>
      <c r="AS691" s="13" t="s">
        <v>50</v>
      </c>
      <c r="AT691" s="13" t="s">
        <v>50</v>
      </c>
      <c r="AU691" s="13" t="s">
        <v>50</v>
      </c>
      <c r="AV691" s="15"/>
      <c r="AW691" s="13" t="s">
        <v>50</v>
      </c>
      <c r="AX691" s="13"/>
      <c r="AY691" s="13" t="s">
        <v>50</v>
      </c>
    </row>
    <row r="692" ht="22.5" hidden="1" customHeight="1">
      <c r="A692" s="16" t="s">
        <v>7218</v>
      </c>
      <c r="B692" s="17" t="s">
        <v>7207</v>
      </c>
      <c r="C692" s="17" t="s">
        <v>43</v>
      </c>
      <c r="D692" s="17" t="s">
        <v>3477</v>
      </c>
      <c r="E692" s="17" t="s">
        <v>45</v>
      </c>
      <c r="F692" s="18">
        <v>1.0</v>
      </c>
      <c r="G692" s="18"/>
      <c r="H692" s="18"/>
      <c r="I692" s="18"/>
      <c r="J692" s="18"/>
      <c r="K692" s="18"/>
      <c r="L692" s="18"/>
      <c r="M692" s="17" t="s">
        <v>50</v>
      </c>
      <c r="N692" s="17" t="s">
        <v>50</v>
      </c>
      <c r="O692" s="17" t="s">
        <v>2930</v>
      </c>
      <c r="P692" s="17" t="s">
        <v>2931</v>
      </c>
      <c r="Q692" s="17" t="s">
        <v>2932</v>
      </c>
      <c r="R692" s="17" t="s">
        <v>2933</v>
      </c>
      <c r="S692" s="18">
        <v>43.92</v>
      </c>
      <c r="T692" s="18">
        <v>9.36</v>
      </c>
      <c r="U692" s="18" t="s">
        <v>51</v>
      </c>
      <c r="V692" s="17" t="s">
        <v>50</v>
      </c>
      <c r="W692" s="17" t="s">
        <v>50</v>
      </c>
      <c r="X692" s="17" t="s">
        <v>50</v>
      </c>
      <c r="Y692" s="17" t="s">
        <v>50</v>
      </c>
      <c r="Z692" s="17" t="s">
        <v>50</v>
      </c>
      <c r="AA692" s="17" t="s">
        <v>50</v>
      </c>
      <c r="AB692" s="17" t="s">
        <v>50</v>
      </c>
      <c r="AC692" s="17" t="s">
        <v>50</v>
      </c>
      <c r="AD692" s="17" t="s">
        <v>50</v>
      </c>
      <c r="AE692" s="17" t="s">
        <v>50</v>
      </c>
      <c r="AF692" s="17" t="s">
        <v>50</v>
      </c>
      <c r="AG692" s="17" t="s">
        <v>50</v>
      </c>
      <c r="AH692" s="17" t="s">
        <v>50</v>
      </c>
      <c r="AI692" s="17" t="s">
        <v>50</v>
      </c>
      <c r="AJ692" s="17" t="s">
        <v>50</v>
      </c>
      <c r="AK692" s="17" t="s">
        <v>50</v>
      </c>
      <c r="AL692" s="17" t="s">
        <v>50</v>
      </c>
      <c r="AM692" s="17" t="s">
        <v>50</v>
      </c>
      <c r="AN692" s="17" t="s">
        <v>50</v>
      </c>
      <c r="AO692" s="18" t="s">
        <v>50</v>
      </c>
      <c r="AP692" s="17" t="s">
        <v>50</v>
      </c>
      <c r="AQ692" s="17" t="s">
        <v>50</v>
      </c>
      <c r="AR692" s="17" t="s">
        <v>50</v>
      </c>
      <c r="AS692" s="17" t="s">
        <v>50</v>
      </c>
      <c r="AT692" s="17" t="s">
        <v>50</v>
      </c>
      <c r="AU692" s="17" t="s">
        <v>50</v>
      </c>
      <c r="AV692" s="18"/>
      <c r="AW692" s="17" t="s">
        <v>66</v>
      </c>
      <c r="AX692" s="17"/>
      <c r="AY692" s="17" t="s">
        <v>66</v>
      </c>
    </row>
    <row r="693" ht="22.5" hidden="1" customHeight="1">
      <c r="A693" s="16" t="s">
        <v>7219</v>
      </c>
      <c r="B693" s="17" t="s">
        <v>7207</v>
      </c>
      <c r="C693" s="17" t="s">
        <v>43</v>
      </c>
      <c r="D693" s="17" t="s">
        <v>3477</v>
      </c>
      <c r="E693" s="17" t="s">
        <v>45</v>
      </c>
      <c r="F693" s="18">
        <v>1.0</v>
      </c>
      <c r="G693" s="18"/>
      <c r="H693" s="18"/>
      <c r="I693" s="18"/>
      <c r="J693" s="18"/>
      <c r="K693" s="18"/>
      <c r="L693" s="18"/>
      <c r="M693" s="17" t="s">
        <v>50</v>
      </c>
      <c r="N693" s="17" t="s">
        <v>50</v>
      </c>
      <c r="O693" s="17" t="s">
        <v>176</v>
      </c>
      <c r="P693" s="17" t="s">
        <v>177</v>
      </c>
      <c r="Q693" s="17" t="s">
        <v>178</v>
      </c>
      <c r="R693" s="17" t="s">
        <v>74</v>
      </c>
      <c r="S693" s="18">
        <v>43.7</v>
      </c>
      <c r="T693" s="18">
        <v>22.58</v>
      </c>
      <c r="U693" s="18" t="s">
        <v>51</v>
      </c>
      <c r="V693" s="17" t="s">
        <v>50</v>
      </c>
      <c r="W693" s="17" t="s">
        <v>50</v>
      </c>
      <c r="X693" s="17" t="s">
        <v>50</v>
      </c>
      <c r="Y693" s="17" t="s">
        <v>50</v>
      </c>
      <c r="Z693" s="17" t="s">
        <v>50</v>
      </c>
      <c r="AA693" s="17" t="s">
        <v>50</v>
      </c>
      <c r="AB693" s="17" t="s">
        <v>50</v>
      </c>
      <c r="AC693" s="17" t="s">
        <v>50</v>
      </c>
      <c r="AD693" s="17" t="s">
        <v>50</v>
      </c>
      <c r="AE693" s="17" t="s">
        <v>50</v>
      </c>
      <c r="AF693" s="17" t="s">
        <v>50</v>
      </c>
      <c r="AG693" s="17" t="s">
        <v>50</v>
      </c>
      <c r="AH693" s="17" t="s">
        <v>50</v>
      </c>
      <c r="AI693" s="17" t="s">
        <v>50</v>
      </c>
      <c r="AJ693" s="17" t="s">
        <v>50</v>
      </c>
      <c r="AK693" s="17" t="s">
        <v>50</v>
      </c>
      <c r="AL693" s="17" t="s">
        <v>50</v>
      </c>
      <c r="AM693" s="17" t="s">
        <v>50</v>
      </c>
      <c r="AN693" s="17" t="s">
        <v>50</v>
      </c>
      <c r="AO693" s="18" t="s">
        <v>50</v>
      </c>
      <c r="AP693" s="17" t="s">
        <v>50</v>
      </c>
      <c r="AQ693" s="17" t="s">
        <v>50</v>
      </c>
      <c r="AR693" s="17" t="s">
        <v>50</v>
      </c>
      <c r="AS693" s="17" t="s">
        <v>50</v>
      </c>
      <c r="AT693" s="17" t="s">
        <v>50</v>
      </c>
      <c r="AU693" s="17" t="s">
        <v>50</v>
      </c>
      <c r="AV693" s="18"/>
      <c r="AW693" s="17" t="s">
        <v>66</v>
      </c>
      <c r="AX693" s="17"/>
      <c r="AY693" s="17" t="s">
        <v>66</v>
      </c>
    </row>
    <row r="694" ht="22.5" hidden="1" customHeight="1">
      <c r="A694" s="9" t="s">
        <v>7220</v>
      </c>
      <c r="B694" s="10" t="s">
        <v>7221</v>
      </c>
      <c r="C694" s="10" t="s">
        <v>43</v>
      </c>
      <c r="D694" s="10" t="s">
        <v>3477</v>
      </c>
      <c r="E694" s="10" t="s">
        <v>45</v>
      </c>
      <c r="F694" s="11">
        <v>2.0</v>
      </c>
      <c r="G694" s="11">
        <v>87.4</v>
      </c>
      <c r="H694" s="11"/>
      <c r="I694" s="11">
        <v>-26.86</v>
      </c>
      <c r="J694" s="11"/>
      <c r="K694" s="11"/>
      <c r="L694" s="11">
        <v>65.78</v>
      </c>
      <c r="M694" s="10" t="s">
        <v>46</v>
      </c>
      <c r="N694" s="10" t="s">
        <v>50</v>
      </c>
      <c r="O694" s="10" t="s">
        <v>176</v>
      </c>
      <c r="P694" s="10" t="s">
        <v>177</v>
      </c>
      <c r="Q694" s="10" t="s">
        <v>178</v>
      </c>
      <c r="R694" s="10" t="s">
        <v>74</v>
      </c>
      <c r="S694" s="11">
        <v>43.7</v>
      </c>
      <c r="T694" s="11">
        <f>2*22.58</f>
        <v>45.16</v>
      </c>
      <c r="U694" s="11" t="s">
        <v>51</v>
      </c>
      <c r="V694" s="10" t="s">
        <v>52</v>
      </c>
      <c r="W694" s="10" t="s">
        <v>7222</v>
      </c>
      <c r="X694" s="10" t="s">
        <v>7223</v>
      </c>
      <c r="Y694" s="10" t="s">
        <v>7224</v>
      </c>
      <c r="Z694" s="10" t="s">
        <v>50</v>
      </c>
      <c r="AA694" s="10" t="s">
        <v>50</v>
      </c>
      <c r="AB694" s="10" t="s">
        <v>7222</v>
      </c>
      <c r="AC694" s="10" t="s">
        <v>7225</v>
      </c>
      <c r="AD694" s="10" t="s">
        <v>7226</v>
      </c>
      <c r="AE694" s="10" t="s">
        <v>58</v>
      </c>
      <c r="AF694" s="10" t="s">
        <v>58</v>
      </c>
      <c r="AG694" s="10" t="s">
        <v>7227</v>
      </c>
      <c r="AH694" s="10" t="s">
        <v>60</v>
      </c>
      <c r="AI694" s="10" t="s">
        <v>61</v>
      </c>
      <c r="AJ694" s="10" t="s">
        <v>7228</v>
      </c>
      <c r="AK694" s="10" t="s">
        <v>7229</v>
      </c>
      <c r="AL694" s="10" t="s">
        <v>64</v>
      </c>
      <c r="AM694" s="10" t="s">
        <v>7230</v>
      </c>
      <c r="AN694" s="10" t="s">
        <v>50</v>
      </c>
      <c r="AO694" s="11" t="s">
        <v>50</v>
      </c>
      <c r="AP694" s="10" t="s">
        <v>50</v>
      </c>
      <c r="AQ694" s="10" t="s">
        <v>50</v>
      </c>
      <c r="AR694" s="10" t="s">
        <v>50</v>
      </c>
      <c r="AS694" s="10" t="s">
        <v>50</v>
      </c>
      <c r="AT694" s="10" t="s">
        <v>50</v>
      </c>
      <c r="AU694" s="10" t="s">
        <v>50</v>
      </c>
      <c r="AV694" s="11"/>
      <c r="AW694" s="10" t="s">
        <v>66</v>
      </c>
      <c r="AX694" s="10"/>
      <c r="AY694" s="10" t="s">
        <v>66</v>
      </c>
    </row>
    <row r="695" ht="22.5" hidden="1" customHeight="1">
      <c r="A695" s="9" t="s">
        <v>7231</v>
      </c>
      <c r="B695" s="10" t="s">
        <v>7232</v>
      </c>
      <c r="C695" s="10" t="s">
        <v>43</v>
      </c>
      <c r="D695" s="10" t="s">
        <v>2402</v>
      </c>
      <c r="E695" s="10" t="s">
        <v>66</v>
      </c>
      <c r="F695" s="11">
        <v>1.0</v>
      </c>
      <c r="G695" s="11">
        <v>80.0</v>
      </c>
      <c r="H695" s="11"/>
      <c r="I695" s="11">
        <v>-13.6</v>
      </c>
      <c r="J695" s="11">
        <v>-19.95</v>
      </c>
      <c r="K695" s="11"/>
      <c r="L695" s="11">
        <v>50.45</v>
      </c>
      <c r="M695" s="10" t="s">
        <v>46</v>
      </c>
      <c r="N695" s="10" t="s">
        <v>45</v>
      </c>
      <c r="O695" s="10" t="s">
        <v>143</v>
      </c>
      <c r="P695" s="10" t="s">
        <v>144</v>
      </c>
      <c r="Q695" s="10" t="s">
        <v>145</v>
      </c>
      <c r="R695" s="10" t="s">
        <v>74</v>
      </c>
      <c r="S695" s="11">
        <v>80.0</v>
      </c>
      <c r="T695" s="11">
        <v>33.38</v>
      </c>
      <c r="U695" s="11" t="s">
        <v>51</v>
      </c>
      <c r="V695" s="10" t="s">
        <v>52</v>
      </c>
      <c r="W695" s="10" t="s">
        <v>7233</v>
      </c>
      <c r="X695" s="10" t="s">
        <v>7234</v>
      </c>
      <c r="Y695" s="10" t="s">
        <v>7235</v>
      </c>
      <c r="Z695" s="10" t="s">
        <v>50</v>
      </c>
      <c r="AA695" s="10" t="s">
        <v>50</v>
      </c>
      <c r="AB695" s="10" t="s">
        <v>7233</v>
      </c>
      <c r="AC695" s="10" t="s">
        <v>7236</v>
      </c>
      <c r="AD695" s="10" t="s">
        <v>7237</v>
      </c>
      <c r="AE695" s="10" t="s">
        <v>774</v>
      </c>
      <c r="AF695" s="10" t="s">
        <v>775</v>
      </c>
      <c r="AG695" s="10" t="s">
        <v>7238</v>
      </c>
      <c r="AH695" s="10" t="s">
        <v>60</v>
      </c>
      <c r="AI695" s="10" t="s">
        <v>61</v>
      </c>
      <c r="AJ695" s="10" t="s">
        <v>6643</v>
      </c>
      <c r="AK695" s="10" t="s">
        <v>7239</v>
      </c>
      <c r="AL695" s="10" t="s">
        <v>64</v>
      </c>
      <c r="AM695" s="10" t="s">
        <v>7240</v>
      </c>
      <c r="AN695" s="10" t="s">
        <v>50</v>
      </c>
      <c r="AO695" s="11" t="s">
        <v>50</v>
      </c>
      <c r="AP695" s="10" t="s">
        <v>50</v>
      </c>
      <c r="AQ695" s="10" t="s">
        <v>50</v>
      </c>
      <c r="AR695" s="10" t="s">
        <v>50</v>
      </c>
      <c r="AS695" s="10" t="s">
        <v>50</v>
      </c>
      <c r="AT695" s="10" t="s">
        <v>50</v>
      </c>
      <c r="AU695" s="10" t="s">
        <v>50</v>
      </c>
      <c r="AV695" s="11"/>
      <c r="AW695" s="10" t="s">
        <v>66</v>
      </c>
      <c r="AX695" s="10"/>
      <c r="AY695" s="10" t="s">
        <v>66</v>
      </c>
    </row>
    <row r="696" ht="22.5" hidden="1" customHeight="1">
      <c r="A696" s="9" t="s">
        <v>7241</v>
      </c>
      <c r="B696" s="10" t="s">
        <v>7242</v>
      </c>
      <c r="C696" s="10" t="s">
        <v>43</v>
      </c>
      <c r="D696" s="10" t="s">
        <v>6539</v>
      </c>
      <c r="E696" s="10" t="s">
        <v>66</v>
      </c>
      <c r="F696" s="11">
        <v>1.0</v>
      </c>
      <c r="G696" s="11">
        <v>43.7</v>
      </c>
      <c r="H696" s="11">
        <v>13.77</v>
      </c>
      <c r="I696" s="11">
        <v>-13.43</v>
      </c>
      <c r="J696" s="11">
        <v>-13.77</v>
      </c>
      <c r="K696" s="11"/>
      <c r="L696" s="11">
        <v>32.89</v>
      </c>
      <c r="M696" s="10" t="s">
        <v>46</v>
      </c>
      <c r="N696" s="10" t="s">
        <v>50</v>
      </c>
      <c r="O696" s="10" t="s">
        <v>176</v>
      </c>
      <c r="P696" s="10" t="s">
        <v>177</v>
      </c>
      <c r="Q696" s="10" t="s">
        <v>178</v>
      </c>
      <c r="R696" s="10" t="s">
        <v>74</v>
      </c>
      <c r="S696" s="11">
        <v>43.7</v>
      </c>
      <c r="T696" s="11">
        <v>22.58</v>
      </c>
      <c r="U696" s="11" t="s">
        <v>51</v>
      </c>
      <c r="V696" s="10" t="s">
        <v>52</v>
      </c>
      <c r="W696" s="10" t="s">
        <v>7243</v>
      </c>
      <c r="X696" s="10" t="s">
        <v>7244</v>
      </c>
      <c r="Y696" s="10" t="s">
        <v>7245</v>
      </c>
      <c r="Z696" s="10" t="s">
        <v>50</v>
      </c>
      <c r="AA696" s="10" t="s">
        <v>50</v>
      </c>
      <c r="AB696" s="10" t="s">
        <v>7243</v>
      </c>
      <c r="AC696" s="10" t="s">
        <v>7246</v>
      </c>
      <c r="AD696" s="10" t="s">
        <v>7247</v>
      </c>
      <c r="AE696" s="10" t="s">
        <v>151</v>
      </c>
      <c r="AF696" s="10" t="s">
        <v>151</v>
      </c>
      <c r="AG696" s="10" t="s">
        <v>7248</v>
      </c>
      <c r="AH696" s="10" t="s">
        <v>60</v>
      </c>
      <c r="AI696" s="10" t="s">
        <v>61</v>
      </c>
      <c r="AJ696" s="10" t="s">
        <v>6941</v>
      </c>
      <c r="AK696" s="10" t="s">
        <v>7249</v>
      </c>
      <c r="AL696" s="10" t="s">
        <v>64</v>
      </c>
      <c r="AM696" s="10" t="s">
        <v>7250</v>
      </c>
      <c r="AN696" s="10" t="s">
        <v>50</v>
      </c>
      <c r="AO696" s="11" t="s">
        <v>50</v>
      </c>
      <c r="AP696" s="10" t="s">
        <v>50</v>
      </c>
      <c r="AQ696" s="10" t="s">
        <v>50</v>
      </c>
      <c r="AR696" s="10" t="s">
        <v>50</v>
      </c>
      <c r="AS696" s="10" t="s">
        <v>50</v>
      </c>
      <c r="AT696" s="10" t="s">
        <v>50</v>
      </c>
      <c r="AU696" s="10" t="s">
        <v>50</v>
      </c>
      <c r="AV696" s="11"/>
      <c r="AW696" s="10" t="s">
        <v>66</v>
      </c>
      <c r="AX696" s="10"/>
      <c r="AY696" s="10" t="s">
        <v>66</v>
      </c>
    </row>
    <row r="697" ht="22.5" hidden="1" customHeight="1">
      <c r="A697" s="9" t="s">
        <v>7251</v>
      </c>
      <c r="B697" s="10" t="s">
        <v>7252</v>
      </c>
      <c r="C697" s="10" t="s">
        <v>43</v>
      </c>
      <c r="D697" s="10" t="s">
        <v>3477</v>
      </c>
      <c r="E697" s="10" t="s">
        <v>45</v>
      </c>
      <c r="F697" s="11">
        <v>2.0</v>
      </c>
      <c r="G697" s="11">
        <v>70.3</v>
      </c>
      <c r="H697" s="11">
        <v>19.28</v>
      </c>
      <c r="I697" s="11">
        <v>-23.96</v>
      </c>
      <c r="J697" s="11">
        <v>-19.28</v>
      </c>
      <c r="K697" s="11"/>
      <c r="L697" s="11">
        <v>50.56</v>
      </c>
      <c r="M697" s="10" t="s">
        <v>46</v>
      </c>
      <c r="N697" s="10" t="s">
        <v>45</v>
      </c>
      <c r="O697" s="10" t="s">
        <v>2926</v>
      </c>
      <c r="P697" s="10" t="s">
        <v>2927</v>
      </c>
      <c r="Q697" s="10" t="s">
        <v>2928</v>
      </c>
      <c r="R697" s="10" t="s">
        <v>74</v>
      </c>
      <c r="S697" s="11">
        <v>35.15</v>
      </c>
      <c r="T697" s="18">
        <f>2*2.49</f>
        <v>4.98</v>
      </c>
      <c r="U697" s="11" t="s">
        <v>51</v>
      </c>
      <c r="V697" s="10" t="s">
        <v>52</v>
      </c>
      <c r="W697" s="10" t="s">
        <v>7253</v>
      </c>
      <c r="X697" s="10" t="s">
        <v>7254</v>
      </c>
      <c r="Y697" s="10" t="s">
        <v>7255</v>
      </c>
      <c r="Z697" s="10" t="s">
        <v>50</v>
      </c>
      <c r="AA697" s="10" t="s">
        <v>50</v>
      </c>
      <c r="AB697" s="10" t="s">
        <v>7253</v>
      </c>
      <c r="AC697" s="10" t="s">
        <v>7256</v>
      </c>
      <c r="AD697" s="10" t="s">
        <v>7257</v>
      </c>
      <c r="AE697" s="10" t="s">
        <v>7258</v>
      </c>
      <c r="AF697" s="10" t="s">
        <v>58</v>
      </c>
      <c r="AG697" s="10" t="s">
        <v>7259</v>
      </c>
      <c r="AH697" s="10" t="s">
        <v>60</v>
      </c>
      <c r="AI697" s="10" t="s">
        <v>61</v>
      </c>
      <c r="AJ697" s="10" t="s">
        <v>6571</v>
      </c>
      <c r="AK697" s="10" t="s">
        <v>7260</v>
      </c>
      <c r="AL697" s="10" t="s">
        <v>64</v>
      </c>
      <c r="AM697" s="10" t="s">
        <v>7261</v>
      </c>
      <c r="AN697" s="10" t="s">
        <v>50</v>
      </c>
      <c r="AO697" s="11" t="s">
        <v>50</v>
      </c>
      <c r="AP697" s="10" t="s">
        <v>50</v>
      </c>
      <c r="AQ697" s="10" t="s">
        <v>50</v>
      </c>
      <c r="AR697" s="10" t="s">
        <v>50</v>
      </c>
      <c r="AS697" s="10" t="s">
        <v>50</v>
      </c>
      <c r="AT697" s="10" t="s">
        <v>50</v>
      </c>
      <c r="AU697" s="10" t="s">
        <v>50</v>
      </c>
      <c r="AV697" s="11"/>
      <c r="AW697" s="10" t="s">
        <v>66</v>
      </c>
      <c r="AX697" s="10"/>
      <c r="AY697" s="10" t="s">
        <v>66</v>
      </c>
    </row>
    <row r="698" ht="22.5" hidden="1" customHeight="1">
      <c r="A698" s="9" t="s">
        <v>7262</v>
      </c>
      <c r="B698" s="10" t="s">
        <v>7263</v>
      </c>
      <c r="C698" s="10" t="s">
        <v>43</v>
      </c>
      <c r="D698" s="10" t="s">
        <v>3477</v>
      </c>
      <c r="E698" s="10" t="s">
        <v>45</v>
      </c>
      <c r="F698" s="11">
        <v>1.0</v>
      </c>
      <c r="G698" s="11">
        <v>120.0</v>
      </c>
      <c r="H698" s="11"/>
      <c r="I698" s="11">
        <v>-20.4</v>
      </c>
      <c r="J698" s="11">
        <v>-20.45</v>
      </c>
      <c r="K698" s="11"/>
      <c r="L698" s="11">
        <v>79.15</v>
      </c>
      <c r="M698" s="10" t="s">
        <v>46</v>
      </c>
      <c r="N698" s="10" t="s">
        <v>45</v>
      </c>
      <c r="O698" s="10" t="s">
        <v>265</v>
      </c>
      <c r="P698" s="10" t="s">
        <v>266</v>
      </c>
      <c r="Q698" s="10" t="s">
        <v>267</v>
      </c>
      <c r="R698" s="10" t="s">
        <v>74</v>
      </c>
      <c r="S698" s="11">
        <v>120.0</v>
      </c>
      <c r="T698" s="11">
        <v>26.22</v>
      </c>
      <c r="U698" s="11" t="s">
        <v>51</v>
      </c>
      <c r="V698" s="10" t="s">
        <v>52</v>
      </c>
      <c r="W698" s="10" t="s">
        <v>7264</v>
      </c>
      <c r="X698" s="10" t="s">
        <v>7265</v>
      </c>
      <c r="Y698" s="10" t="s">
        <v>7266</v>
      </c>
      <c r="Z698" s="10" t="s">
        <v>50</v>
      </c>
      <c r="AA698" s="10" t="s">
        <v>50</v>
      </c>
      <c r="AB698" s="10" t="s">
        <v>7264</v>
      </c>
      <c r="AC698" s="10" t="s">
        <v>7267</v>
      </c>
      <c r="AD698" s="10" t="s">
        <v>7268</v>
      </c>
      <c r="AE698" s="10" t="s">
        <v>7269</v>
      </c>
      <c r="AF698" s="10" t="s">
        <v>323</v>
      </c>
      <c r="AG698" s="10" t="s">
        <v>7270</v>
      </c>
      <c r="AH698" s="10" t="s">
        <v>60</v>
      </c>
      <c r="AI698" s="10" t="s">
        <v>61</v>
      </c>
      <c r="AJ698" s="10" t="s">
        <v>7271</v>
      </c>
      <c r="AK698" s="10" t="s">
        <v>7272</v>
      </c>
      <c r="AL698" s="10" t="s">
        <v>64</v>
      </c>
      <c r="AM698" s="10" t="s">
        <v>7273</v>
      </c>
      <c r="AN698" s="10" t="s">
        <v>50</v>
      </c>
      <c r="AO698" s="11" t="s">
        <v>50</v>
      </c>
      <c r="AP698" s="10" t="s">
        <v>50</v>
      </c>
      <c r="AQ698" s="10" t="s">
        <v>50</v>
      </c>
      <c r="AR698" s="10" t="s">
        <v>50</v>
      </c>
      <c r="AS698" s="10" t="s">
        <v>50</v>
      </c>
      <c r="AT698" s="10" t="s">
        <v>50</v>
      </c>
      <c r="AU698" s="10" t="s">
        <v>50</v>
      </c>
      <c r="AV698" s="11"/>
      <c r="AW698" s="10" t="s">
        <v>66</v>
      </c>
      <c r="AX698" s="10"/>
      <c r="AY698" s="10" t="s">
        <v>66</v>
      </c>
    </row>
    <row r="699" ht="22.5" hidden="1" customHeight="1">
      <c r="A699" s="9" t="s">
        <v>7274</v>
      </c>
      <c r="B699" s="10" t="s">
        <v>7275</v>
      </c>
      <c r="C699" s="10" t="s">
        <v>43</v>
      </c>
      <c r="D699" s="10" t="s">
        <v>3477</v>
      </c>
      <c r="E699" s="10" t="s">
        <v>45</v>
      </c>
      <c r="F699" s="11">
        <v>1.0</v>
      </c>
      <c r="G699" s="11">
        <v>80.0</v>
      </c>
      <c r="H699" s="11"/>
      <c r="I699" s="11">
        <v>-13.6</v>
      </c>
      <c r="J699" s="11">
        <v>-19.95</v>
      </c>
      <c r="K699" s="11"/>
      <c r="L699" s="11">
        <v>50.45</v>
      </c>
      <c r="M699" s="10" t="s">
        <v>46</v>
      </c>
      <c r="N699" s="10" t="s">
        <v>45</v>
      </c>
      <c r="O699" s="10" t="s">
        <v>143</v>
      </c>
      <c r="P699" s="10" t="s">
        <v>144</v>
      </c>
      <c r="Q699" s="10" t="s">
        <v>145</v>
      </c>
      <c r="R699" s="10" t="s">
        <v>74</v>
      </c>
      <c r="S699" s="11">
        <v>80.0</v>
      </c>
      <c r="T699" s="11">
        <v>33.38</v>
      </c>
      <c r="U699" s="11" t="s">
        <v>51</v>
      </c>
      <c r="V699" s="10" t="s">
        <v>52</v>
      </c>
      <c r="W699" s="10" t="s">
        <v>7276</v>
      </c>
      <c r="X699" s="10" t="s">
        <v>7277</v>
      </c>
      <c r="Y699" s="10" t="s">
        <v>7278</v>
      </c>
      <c r="Z699" s="10" t="s">
        <v>50</v>
      </c>
      <c r="AA699" s="10" t="s">
        <v>50</v>
      </c>
      <c r="AB699" s="10" t="s">
        <v>7276</v>
      </c>
      <c r="AC699" s="10" t="s">
        <v>7279</v>
      </c>
      <c r="AD699" s="10" t="s">
        <v>7280</v>
      </c>
      <c r="AE699" s="10" t="s">
        <v>7281</v>
      </c>
      <c r="AF699" s="10" t="s">
        <v>119</v>
      </c>
      <c r="AG699" s="10" t="s">
        <v>7282</v>
      </c>
      <c r="AH699" s="10" t="s">
        <v>60</v>
      </c>
      <c r="AI699" s="10" t="s">
        <v>61</v>
      </c>
      <c r="AJ699" s="10" t="s">
        <v>6751</v>
      </c>
      <c r="AK699" s="10" t="s">
        <v>7283</v>
      </c>
      <c r="AL699" s="10" t="s">
        <v>64</v>
      </c>
      <c r="AM699" s="10" t="s">
        <v>7284</v>
      </c>
      <c r="AN699" s="10" t="s">
        <v>50</v>
      </c>
      <c r="AO699" s="11" t="s">
        <v>50</v>
      </c>
      <c r="AP699" s="10" t="s">
        <v>50</v>
      </c>
      <c r="AQ699" s="10" t="s">
        <v>50</v>
      </c>
      <c r="AR699" s="10" t="s">
        <v>50</v>
      </c>
      <c r="AS699" s="10" t="s">
        <v>50</v>
      </c>
      <c r="AT699" s="10" t="s">
        <v>50</v>
      </c>
      <c r="AU699" s="10" t="s">
        <v>50</v>
      </c>
      <c r="AV699" s="11"/>
      <c r="AW699" s="10" t="s">
        <v>66</v>
      </c>
      <c r="AX699" s="10"/>
      <c r="AY699" s="10" t="s">
        <v>66</v>
      </c>
    </row>
    <row r="700" ht="22.5" hidden="1" customHeight="1">
      <c r="A700" s="9" t="s">
        <v>7285</v>
      </c>
      <c r="B700" s="10" t="s">
        <v>7286</v>
      </c>
      <c r="C700" s="10" t="s">
        <v>43</v>
      </c>
      <c r="D700" s="10" t="s">
        <v>6539</v>
      </c>
      <c r="E700" s="10" t="s">
        <v>66</v>
      </c>
      <c r="F700" s="11">
        <v>1.0</v>
      </c>
      <c r="G700" s="11">
        <v>79.2</v>
      </c>
      <c r="H700" s="11"/>
      <c r="I700" s="11">
        <v>-13.46</v>
      </c>
      <c r="J700" s="11">
        <v>-20.45</v>
      </c>
      <c r="K700" s="11"/>
      <c r="L700" s="11">
        <v>50.04</v>
      </c>
      <c r="M700" s="10" t="s">
        <v>46</v>
      </c>
      <c r="N700" s="10" t="s">
        <v>45</v>
      </c>
      <c r="O700" s="10" t="s">
        <v>892</v>
      </c>
      <c r="P700" s="10" t="s">
        <v>893</v>
      </c>
      <c r="Q700" s="10" t="s">
        <v>894</v>
      </c>
      <c r="R700" s="10" t="s">
        <v>74</v>
      </c>
      <c r="S700" s="11">
        <v>79.2</v>
      </c>
      <c r="T700" s="11">
        <v>2.97</v>
      </c>
      <c r="U700" s="11" t="s">
        <v>51</v>
      </c>
      <c r="V700" s="10" t="s">
        <v>52</v>
      </c>
      <c r="W700" s="10" t="s">
        <v>7287</v>
      </c>
      <c r="X700" s="10" t="s">
        <v>7288</v>
      </c>
      <c r="Y700" s="10" t="s">
        <v>7289</v>
      </c>
      <c r="Z700" s="10" t="s">
        <v>50</v>
      </c>
      <c r="AA700" s="10" t="s">
        <v>50</v>
      </c>
      <c r="AB700" s="10" t="s">
        <v>7287</v>
      </c>
      <c r="AC700" s="10" t="s">
        <v>7290</v>
      </c>
      <c r="AD700" s="10" t="s">
        <v>7291</v>
      </c>
      <c r="AE700" s="10" t="s">
        <v>151</v>
      </c>
      <c r="AF700" s="10" t="s">
        <v>151</v>
      </c>
      <c r="AG700" s="10" t="s">
        <v>7292</v>
      </c>
      <c r="AH700" s="10" t="s">
        <v>60</v>
      </c>
      <c r="AI700" s="10" t="s">
        <v>61</v>
      </c>
      <c r="AJ700" s="10" t="s">
        <v>6941</v>
      </c>
      <c r="AK700" s="10" t="s">
        <v>7293</v>
      </c>
      <c r="AL700" s="10" t="s">
        <v>64</v>
      </c>
      <c r="AM700" s="10" t="s">
        <v>7294</v>
      </c>
      <c r="AN700" s="10" t="s">
        <v>50</v>
      </c>
      <c r="AO700" s="11" t="s">
        <v>50</v>
      </c>
      <c r="AP700" s="10" t="s">
        <v>50</v>
      </c>
      <c r="AQ700" s="10" t="s">
        <v>50</v>
      </c>
      <c r="AR700" s="10" t="s">
        <v>50</v>
      </c>
      <c r="AS700" s="10" t="s">
        <v>50</v>
      </c>
      <c r="AT700" s="10" t="s">
        <v>50</v>
      </c>
      <c r="AU700" s="10" t="s">
        <v>50</v>
      </c>
      <c r="AV700" s="11"/>
      <c r="AW700" s="10" t="s">
        <v>66</v>
      </c>
      <c r="AX700" s="10"/>
      <c r="AY700" s="10" t="s">
        <v>66</v>
      </c>
    </row>
    <row r="701" ht="22.5" hidden="1" customHeight="1">
      <c r="A701" s="9" t="s">
        <v>7295</v>
      </c>
      <c r="B701" s="10" t="s">
        <v>7296</v>
      </c>
      <c r="C701" s="10" t="s">
        <v>43</v>
      </c>
      <c r="D701" s="10" t="s">
        <v>6539</v>
      </c>
      <c r="E701" s="10" t="s">
        <v>66</v>
      </c>
      <c r="F701" s="11">
        <v>1.0</v>
      </c>
      <c r="G701" s="11">
        <v>115.0</v>
      </c>
      <c r="H701" s="11"/>
      <c r="I701" s="11">
        <v>-21.85</v>
      </c>
      <c r="J701" s="11">
        <v>-19.95</v>
      </c>
      <c r="K701" s="11"/>
      <c r="L701" s="11">
        <v>73.2</v>
      </c>
      <c r="M701" s="10" t="s">
        <v>46</v>
      </c>
      <c r="N701" s="10" t="s">
        <v>50</v>
      </c>
      <c r="O701" s="10" t="s">
        <v>47</v>
      </c>
      <c r="P701" s="10" t="s">
        <v>48</v>
      </c>
      <c r="Q701" s="10" t="s">
        <v>49</v>
      </c>
      <c r="R701" s="10" t="s">
        <v>50</v>
      </c>
      <c r="S701" s="11">
        <v>115.0</v>
      </c>
      <c r="T701" s="11">
        <v>12.45</v>
      </c>
      <c r="U701" s="11" t="s">
        <v>51</v>
      </c>
      <c r="V701" s="10" t="s">
        <v>52</v>
      </c>
      <c r="W701" s="10" t="s">
        <v>7297</v>
      </c>
      <c r="X701" s="10" t="s">
        <v>7298</v>
      </c>
      <c r="Y701" s="10" t="s">
        <v>7299</v>
      </c>
      <c r="Z701" s="10" t="s">
        <v>50</v>
      </c>
      <c r="AA701" s="10" t="s">
        <v>50</v>
      </c>
      <c r="AB701" s="10" t="s">
        <v>7297</v>
      </c>
      <c r="AC701" s="10" t="s">
        <v>7300</v>
      </c>
      <c r="AD701" s="10" t="s">
        <v>7301</v>
      </c>
      <c r="AE701" s="10" t="s">
        <v>481</v>
      </c>
      <c r="AF701" s="10" t="s">
        <v>136</v>
      </c>
      <c r="AG701" s="10" t="s">
        <v>7302</v>
      </c>
      <c r="AH701" s="10" t="s">
        <v>60</v>
      </c>
      <c r="AI701" s="10" t="s">
        <v>61</v>
      </c>
      <c r="AJ701" s="10" t="s">
        <v>7303</v>
      </c>
      <c r="AK701" s="10" t="s">
        <v>7304</v>
      </c>
      <c r="AL701" s="10" t="s">
        <v>64</v>
      </c>
      <c r="AM701" s="10" t="s">
        <v>7305</v>
      </c>
      <c r="AN701" s="10" t="s">
        <v>50</v>
      </c>
      <c r="AO701" s="11" t="s">
        <v>50</v>
      </c>
      <c r="AP701" s="10" t="s">
        <v>50</v>
      </c>
      <c r="AQ701" s="10" t="s">
        <v>50</v>
      </c>
      <c r="AR701" s="10" t="s">
        <v>50</v>
      </c>
      <c r="AS701" s="10" t="s">
        <v>50</v>
      </c>
      <c r="AT701" s="10" t="s">
        <v>50</v>
      </c>
      <c r="AU701" s="10" t="s">
        <v>50</v>
      </c>
      <c r="AV701" s="11"/>
      <c r="AW701" s="10" t="s">
        <v>66</v>
      </c>
      <c r="AX701" s="10"/>
      <c r="AY701" s="10" t="s">
        <v>66</v>
      </c>
    </row>
    <row r="702" ht="22.5" hidden="1" customHeight="1">
      <c r="A702" s="9" t="s">
        <v>7306</v>
      </c>
      <c r="B702" s="10" t="s">
        <v>7307</v>
      </c>
      <c r="C702" s="10" t="s">
        <v>43</v>
      </c>
      <c r="D702" s="10" t="s">
        <v>3477</v>
      </c>
      <c r="E702" s="10" t="s">
        <v>66</v>
      </c>
      <c r="F702" s="11">
        <v>1.0</v>
      </c>
      <c r="G702" s="11">
        <v>92.15</v>
      </c>
      <c r="H702" s="11"/>
      <c r="I702" s="11">
        <v>-17.51</v>
      </c>
      <c r="J702" s="11">
        <v>-20.45</v>
      </c>
      <c r="K702" s="11"/>
      <c r="L702" s="11">
        <v>59.72</v>
      </c>
      <c r="M702" s="10" t="s">
        <v>46</v>
      </c>
      <c r="N702" s="10" t="s">
        <v>45</v>
      </c>
      <c r="O702" s="10" t="s">
        <v>586</v>
      </c>
      <c r="P702" s="10" t="s">
        <v>587</v>
      </c>
      <c r="Q702" s="10" t="s">
        <v>588</v>
      </c>
      <c r="R702" s="10" t="s">
        <v>50</v>
      </c>
      <c r="S702" s="11">
        <v>92.15</v>
      </c>
      <c r="T702" s="11">
        <v>20.76</v>
      </c>
      <c r="U702" s="11" t="s">
        <v>51</v>
      </c>
      <c r="V702" s="10" t="s">
        <v>52</v>
      </c>
      <c r="W702" s="10" t="s">
        <v>7308</v>
      </c>
      <c r="X702" s="10" t="s">
        <v>7309</v>
      </c>
      <c r="Y702" s="10" t="s">
        <v>7310</v>
      </c>
      <c r="Z702" s="10" t="s">
        <v>50</v>
      </c>
      <c r="AA702" s="10" t="s">
        <v>50</v>
      </c>
      <c r="AB702" s="10" t="s">
        <v>7308</v>
      </c>
      <c r="AC702" s="10" t="s">
        <v>7311</v>
      </c>
      <c r="AD702" s="10" t="s">
        <v>7312</v>
      </c>
      <c r="AE702" s="10" t="s">
        <v>7313</v>
      </c>
      <c r="AF702" s="10" t="s">
        <v>214</v>
      </c>
      <c r="AG702" s="10" t="s">
        <v>7314</v>
      </c>
      <c r="AH702" s="10" t="s">
        <v>60</v>
      </c>
      <c r="AI702" s="10" t="s">
        <v>61</v>
      </c>
      <c r="AJ702" s="10" t="s">
        <v>6654</v>
      </c>
      <c r="AK702" s="10" t="s">
        <v>6844</v>
      </c>
      <c r="AL702" s="10" t="s">
        <v>64</v>
      </c>
      <c r="AM702" s="10" t="s">
        <v>7315</v>
      </c>
      <c r="AN702" s="10" t="s">
        <v>50</v>
      </c>
      <c r="AO702" s="11" t="s">
        <v>50</v>
      </c>
      <c r="AP702" s="10" t="s">
        <v>50</v>
      </c>
      <c r="AQ702" s="10" t="s">
        <v>50</v>
      </c>
      <c r="AR702" s="10" t="s">
        <v>50</v>
      </c>
      <c r="AS702" s="10" t="s">
        <v>50</v>
      </c>
      <c r="AT702" s="10" t="s">
        <v>50</v>
      </c>
      <c r="AU702" s="10" t="s">
        <v>50</v>
      </c>
      <c r="AV702" s="11"/>
      <c r="AW702" s="10" t="s">
        <v>66</v>
      </c>
      <c r="AX702" s="10"/>
      <c r="AY702" s="10" t="s">
        <v>66</v>
      </c>
    </row>
    <row r="703" ht="22.5" hidden="1" customHeight="1">
      <c r="A703" s="9" t="s">
        <v>7316</v>
      </c>
      <c r="B703" s="10" t="s">
        <v>7317</v>
      </c>
      <c r="C703" s="10" t="s">
        <v>43</v>
      </c>
      <c r="D703" s="10" t="s">
        <v>3477</v>
      </c>
      <c r="E703" s="10" t="s">
        <v>66</v>
      </c>
      <c r="F703" s="11">
        <v>1.0</v>
      </c>
      <c r="G703" s="11">
        <v>60.0</v>
      </c>
      <c r="H703" s="11">
        <v>14.63</v>
      </c>
      <c r="I703" s="11">
        <v>-16.2</v>
      </c>
      <c r="J703" s="11">
        <v>-14.63</v>
      </c>
      <c r="K703" s="11"/>
      <c r="L703" s="11">
        <v>43.8</v>
      </c>
      <c r="M703" s="10" t="s">
        <v>46</v>
      </c>
      <c r="N703" s="10" t="s">
        <v>50</v>
      </c>
      <c r="O703" s="10" t="s">
        <v>4556</v>
      </c>
      <c r="P703" s="10" t="s">
        <v>4557</v>
      </c>
      <c r="Q703" s="10" t="s">
        <v>4558</v>
      </c>
      <c r="R703" s="10" t="s">
        <v>74</v>
      </c>
      <c r="S703" s="11">
        <v>60.0</v>
      </c>
      <c r="T703" s="11">
        <v>8.73</v>
      </c>
      <c r="U703" s="11" t="s">
        <v>51</v>
      </c>
      <c r="V703" s="10" t="s">
        <v>52</v>
      </c>
      <c r="W703" s="10" t="s">
        <v>7318</v>
      </c>
      <c r="X703" s="10" t="s">
        <v>7319</v>
      </c>
      <c r="Y703" s="10" t="s">
        <v>7320</v>
      </c>
      <c r="Z703" s="10" t="s">
        <v>50</v>
      </c>
      <c r="AA703" s="10" t="s">
        <v>50</v>
      </c>
      <c r="AB703" s="10" t="s">
        <v>7318</v>
      </c>
      <c r="AC703" s="10" t="s">
        <v>7321</v>
      </c>
      <c r="AD703" s="10" t="s">
        <v>7322</v>
      </c>
      <c r="AE703" s="10" t="s">
        <v>58</v>
      </c>
      <c r="AF703" s="10" t="s">
        <v>58</v>
      </c>
      <c r="AG703" s="10" t="s">
        <v>7323</v>
      </c>
      <c r="AH703" s="10" t="s">
        <v>60</v>
      </c>
      <c r="AI703" s="10" t="s">
        <v>61</v>
      </c>
      <c r="AJ703" s="10" t="s">
        <v>7324</v>
      </c>
      <c r="AK703" s="10" t="s">
        <v>7325</v>
      </c>
      <c r="AL703" s="10" t="s">
        <v>64</v>
      </c>
      <c r="AM703" s="10" t="s">
        <v>7326</v>
      </c>
      <c r="AN703" s="10" t="s">
        <v>50</v>
      </c>
      <c r="AO703" s="11" t="s">
        <v>50</v>
      </c>
      <c r="AP703" s="10" t="s">
        <v>50</v>
      </c>
      <c r="AQ703" s="10" t="s">
        <v>50</v>
      </c>
      <c r="AR703" s="10" t="s">
        <v>50</v>
      </c>
      <c r="AS703" s="10" t="s">
        <v>50</v>
      </c>
      <c r="AT703" s="10" t="s">
        <v>50</v>
      </c>
      <c r="AU703" s="10" t="s">
        <v>50</v>
      </c>
      <c r="AV703" s="11"/>
      <c r="AW703" s="10" t="s">
        <v>66</v>
      </c>
      <c r="AX703" s="10"/>
      <c r="AY703" s="10" t="s">
        <v>66</v>
      </c>
    </row>
    <row r="704" ht="22.5" hidden="1" customHeight="1">
      <c r="A704" s="9" t="s">
        <v>7327</v>
      </c>
      <c r="B704" s="10" t="s">
        <v>7328</v>
      </c>
      <c r="C704" s="10" t="s">
        <v>43</v>
      </c>
      <c r="D704" s="10" t="s">
        <v>3477</v>
      </c>
      <c r="E704" s="10" t="s">
        <v>66</v>
      </c>
      <c r="F704" s="11">
        <v>1.0</v>
      </c>
      <c r="G704" s="11">
        <v>120.0</v>
      </c>
      <c r="H704" s="11"/>
      <c r="I704" s="11">
        <v>-20.4</v>
      </c>
      <c r="J704" s="11">
        <v>-19.95</v>
      </c>
      <c r="K704" s="11"/>
      <c r="L704" s="11">
        <v>86.85</v>
      </c>
      <c r="M704" s="10" t="s">
        <v>46</v>
      </c>
      <c r="N704" s="10" t="s">
        <v>45</v>
      </c>
      <c r="O704" s="10" t="s">
        <v>85</v>
      </c>
      <c r="P704" s="10" t="s">
        <v>86</v>
      </c>
      <c r="Q704" s="10" t="s">
        <v>87</v>
      </c>
      <c r="R704" s="10" t="s">
        <v>74</v>
      </c>
      <c r="S704" s="11">
        <v>120.0</v>
      </c>
      <c r="T704" s="11">
        <v>65.78</v>
      </c>
      <c r="U704" s="11" t="s">
        <v>51</v>
      </c>
      <c r="V704" s="10" t="s">
        <v>52</v>
      </c>
      <c r="W704" s="10" t="s">
        <v>7329</v>
      </c>
      <c r="X704" s="10" t="s">
        <v>7330</v>
      </c>
      <c r="Y704" s="10" t="s">
        <v>7331</v>
      </c>
      <c r="Z704" s="10" t="s">
        <v>50</v>
      </c>
      <c r="AA704" s="10" t="s">
        <v>50</v>
      </c>
      <c r="AB704" s="10" t="s">
        <v>7329</v>
      </c>
      <c r="AC704" s="10" t="s">
        <v>7332</v>
      </c>
      <c r="AD704" s="10" t="s">
        <v>7333</v>
      </c>
      <c r="AE704" s="10" t="s">
        <v>671</v>
      </c>
      <c r="AF704" s="10" t="s">
        <v>214</v>
      </c>
      <c r="AG704" s="10" t="s">
        <v>7334</v>
      </c>
      <c r="AH704" s="10" t="s">
        <v>60</v>
      </c>
      <c r="AI704" s="10" t="s">
        <v>61</v>
      </c>
      <c r="AJ704" s="10" t="s">
        <v>6751</v>
      </c>
      <c r="AK704" s="10" t="s">
        <v>7335</v>
      </c>
      <c r="AL704" s="10" t="s">
        <v>64</v>
      </c>
      <c r="AM704" s="10" t="s">
        <v>7336</v>
      </c>
      <c r="AN704" s="10" t="s">
        <v>50</v>
      </c>
      <c r="AO704" s="11" t="s">
        <v>50</v>
      </c>
      <c r="AP704" s="10" t="s">
        <v>50</v>
      </c>
      <c r="AQ704" s="10" t="s">
        <v>50</v>
      </c>
      <c r="AR704" s="10" t="s">
        <v>50</v>
      </c>
      <c r="AS704" s="10" t="s">
        <v>50</v>
      </c>
      <c r="AT704" s="10" t="s">
        <v>50</v>
      </c>
      <c r="AU704" s="10" t="s">
        <v>50</v>
      </c>
      <c r="AV704" s="11"/>
      <c r="AW704" s="10" t="s">
        <v>66</v>
      </c>
      <c r="AX704" s="10"/>
      <c r="AY704" s="10" t="s">
        <v>66</v>
      </c>
    </row>
    <row r="705" ht="22.5" hidden="1" customHeight="1">
      <c r="A705" s="9" t="s">
        <v>7337</v>
      </c>
      <c r="B705" s="10" t="s">
        <v>7338</v>
      </c>
      <c r="C705" s="10" t="s">
        <v>43</v>
      </c>
      <c r="D705" s="10" t="s">
        <v>2402</v>
      </c>
      <c r="E705" s="10" t="s">
        <v>45</v>
      </c>
      <c r="F705" s="11">
        <v>1.0</v>
      </c>
      <c r="G705" s="11">
        <v>92.15</v>
      </c>
      <c r="H705" s="11"/>
      <c r="I705" s="11">
        <v>-17.51</v>
      </c>
      <c r="J705" s="11">
        <v>-20.45</v>
      </c>
      <c r="K705" s="11"/>
      <c r="L705" s="11">
        <v>59.72</v>
      </c>
      <c r="M705" s="10" t="s">
        <v>46</v>
      </c>
      <c r="N705" s="10" t="s">
        <v>45</v>
      </c>
      <c r="O705" s="10" t="s">
        <v>586</v>
      </c>
      <c r="P705" s="10" t="s">
        <v>587</v>
      </c>
      <c r="Q705" s="10" t="s">
        <v>588</v>
      </c>
      <c r="R705" s="10" t="s">
        <v>50</v>
      </c>
      <c r="S705" s="11">
        <v>92.15</v>
      </c>
      <c r="T705" s="11">
        <v>20.76</v>
      </c>
      <c r="U705" s="11" t="s">
        <v>51</v>
      </c>
      <c r="V705" s="10" t="s">
        <v>52</v>
      </c>
      <c r="W705" s="10" t="s">
        <v>7339</v>
      </c>
      <c r="X705" s="10" t="s">
        <v>7340</v>
      </c>
      <c r="Y705" s="10" t="s">
        <v>7341</v>
      </c>
      <c r="Z705" s="10" t="s">
        <v>50</v>
      </c>
      <c r="AA705" s="10" t="s">
        <v>50</v>
      </c>
      <c r="AB705" s="10" t="s">
        <v>7339</v>
      </c>
      <c r="AC705" s="10" t="s">
        <v>7342</v>
      </c>
      <c r="AD705" s="10" t="s">
        <v>7343</v>
      </c>
      <c r="AE705" s="10" t="s">
        <v>7344</v>
      </c>
      <c r="AF705" s="10" t="s">
        <v>214</v>
      </c>
      <c r="AG705" s="10" t="s">
        <v>7345</v>
      </c>
      <c r="AH705" s="10" t="s">
        <v>60</v>
      </c>
      <c r="AI705" s="10" t="s">
        <v>61</v>
      </c>
      <c r="AJ705" s="10" t="s">
        <v>6591</v>
      </c>
      <c r="AK705" s="10" t="s">
        <v>7346</v>
      </c>
      <c r="AL705" s="10" t="s">
        <v>64</v>
      </c>
      <c r="AM705" s="10" t="s">
        <v>7347</v>
      </c>
      <c r="AN705" s="10" t="s">
        <v>50</v>
      </c>
      <c r="AO705" s="11" t="s">
        <v>50</v>
      </c>
      <c r="AP705" s="10" t="s">
        <v>50</v>
      </c>
      <c r="AQ705" s="10" t="s">
        <v>50</v>
      </c>
      <c r="AR705" s="10" t="s">
        <v>50</v>
      </c>
      <c r="AS705" s="10" t="s">
        <v>50</v>
      </c>
      <c r="AT705" s="10" t="s">
        <v>50</v>
      </c>
      <c r="AU705" s="10" t="s">
        <v>50</v>
      </c>
      <c r="AV705" s="11"/>
      <c r="AW705" s="10" t="s">
        <v>66</v>
      </c>
      <c r="AX705" s="10"/>
      <c r="AY705" s="10" t="s">
        <v>66</v>
      </c>
    </row>
    <row r="706" ht="22.5" hidden="1" customHeight="1">
      <c r="A706" s="9" t="s">
        <v>7348</v>
      </c>
      <c r="B706" s="10" t="s">
        <v>7349</v>
      </c>
      <c r="C706" s="10" t="s">
        <v>43</v>
      </c>
      <c r="D706" s="10" t="s">
        <v>6539</v>
      </c>
      <c r="E706" s="10" t="s">
        <v>66</v>
      </c>
      <c r="F706" s="11">
        <v>1.0</v>
      </c>
      <c r="G706" s="11">
        <v>100.0</v>
      </c>
      <c r="H706" s="11"/>
      <c r="I706" s="11">
        <v>-17.0</v>
      </c>
      <c r="J706" s="11">
        <v>-20.45</v>
      </c>
      <c r="K706" s="11"/>
      <c r="L706" s="11">
        <v>62.55</v>
      </c>
      <c r="M706" s="10" t="s">
        <v>46</v>
      </c>
      <c r="N706" s="10" t="s">
        <v>45</v>
      </c>
      <c r="O706" s="10" t="s">
        <v>160</v>
      </c>
      <c r="P706" s="10" t="s">
        <v>161</v>
      </c>
      <c r="Q706" s="10" t="s">
        <v>162</v>
      </c>
      <c r="R706" s="10" t="s">
        <v>74</v>
      </c>
      <c r="S706" s="11">
        <v>100.0</v>
      </c>
      <c r="T706" s="11">
        <v>2.49</v>
      </c>
      <c r="U706" s="11" t="s">
        <v>51</v>
      </c>
      <c r="V706" s="10" t="s">
        <v>52</v>
      </c>
      <c r="W706" s="10" t="s">
        <v>7350</v>
      </c>
      <c r="X706" s="10" t="s">
        <v>7351</v>
      </c>
      <c r="Y706" s="10" t="s">
        <v>7352</v>
      </c>
      <c r="Z706" s="10" t="s">
        <v>50</v>
      </c>
      <c r="AA706" s="10" t="s">
        <v>50</v>
      </c>
      <c r="AB706" s="10" t="s">
        <v>7350</v>
      </c>
      <c r="AC706" s="10" t="s">
        <v>7353</v>
      </c>
      <c r="AD706" s="10" t="s">
        <v>7354</v>
      </c>
      <c r="AE706" s="10" t="s">
        <v>7355</v>
      </c>
      <c r="AF706" s="10" t="s">
        <v>151</v>
      </c>
      <c r="AG706" s="10" t="s">
        <v>7356</v>
      </c>
      <c r="AH706" s="10" t="s">
        <v>60</v>
      </c>
      <c r="AI706" s="10" t="s">
        <v>61</v>
      </c>
      <c r="AJ706" s="10" t="s">
        <v>7357</v>
      </c>
      <c r="AK706" s="10" t="s">
        <v>7358</v>
      </c>
      <c r="AL706" s="10" t="s">
        <v>64</v>
      </c>
      <c r="AM706" s="10" t="s">
        <v>7359</v>
      </c>
      <c r="AN706" s="10" t="s">
        <v>50</v>
      </c>
      <c r="AO706" s="11" t="s">
        <v>50</v>
      </c>
      <c r="AP706" s="10" t="s">
        <v>50</v>
      </c>
      <c r="AQ706" s="10" t="s">
        <v>50</v>
      </c>
      <c r="AR706" s="10" t="s">
        <v>50</v>
      </c>
      <c r="AS706" s="10" t="s">
        <v>50</v>
      </c>
      <c r="AT706" s="10" t="s">
        <v>50</v>
      </c>
      <c r="AU706" s="10" t="s">
        <v>50</v>
      </c>
      <c r="AV706" s="11"/>
      <c r="AW706" s="10" t="s">
        <v>66</v>
      </c>
      <c r="AX706" s="10"/>
      <c r="AY706" s="10" t="s">
        <v>66</v>
      </c>
    </row>
    <row r="707" ht="22.5" hidden="1" customHeight="1">
      <c r="A707" s="9" t="s">
        <v>7360</v>
      </c>
      <c r="B707" s="10" t="s">
        <v>7361</v>
      </c>
      <c r="C707" s="10" t="s">
        <v>43</v>
      </c>
      <c r="D707" s="10" t="s">
        <v>3477</v>
      </c>
      <c r="E707" s="10" t="s">
        <v>66</v>
      </c>
      <c r="F707" s="11">
        <v>1.0</v>
      </c>
      <c r="G707" s="11">
        <v>80.0</v>
      </c>
      <c r="H707" s="11"/>
      <c r="I707" s="11">
        <v>-13.6</v>
      </c>
      <c r="J707" s="11">
        <v>-19.95</v>
      </c>
      <c r="K707" s="11"/>
      <c r="L707" s="11">
        <v>50.45</v>
      </c>
      <c r="M707" s="10" t="s">
        <v>46</v>
      </c>
      <c r="N707" s="10" t="s">
        <v>45</v>
      </c>
      <c r="O707" s="10" t="s">
        <v>143</v>
      </c>
      <c r="P707" s="10" t="s">
        <v>144</v>
      </c>
      <c r="Q707" s="10" t="s">
        <v>145</v>
      </c>
      <c r="R707" s="10" t="s">
        <v>74</v>
      </c>
      <c r="S707" s="11">
        <v>80.0</v>
      </c>
      <c r="T707" s="11">
        <v>33.38</v>
      </c>
      <c r="U707" s="11" t="s">
        <v>51</v>
      </c>
      <c r="V707" s="10" t="s">
        <v>52</v>
      </c>
      <c r="W707" s="10" t="s">
        <v>7362</v>
      </c>
      <c r="X707" s="10" t="s">
        <v>7363</v>
      </c>
      <c r="Y707" s="10" t="s">
        <v>7364</v>
      </c>
      <c r="Z707" s="10" t="s">
        <v>50</v>
      </c>
      <c r="AA707" s="10" t="s">
        <v>50</v>
      </c>
      <c r="AB707" s="10" t="s">
        <v>7362</v>
      </c>
      <c r="AC707" s="10" t="s">
        <v>7365</v>
      </c>
      <c r="AD707" s="10" t="s">
        <v>7366</v>
      </c>
      <c r="AE707" s="10" t="s">
        <v>7367</v>
      </c>
      <c r="AF707" s="10" t="s">
        <v>323</v>
      </c>
      <c r="AG707" s="10" t="s">
        <v>7368</v>
      </c>
      <c r="AH707" s="10" t="s">
        <v>60</v>
      </c>
      <c r="AI707" s="10" t="s">
        <v>61</v>
      </c>
      <c r="AJ707" s="10" t="s">
        <v>7369</v>
      </c>
      <c r="AK707" s="10" t="s">
        <v>7370</v>
      </c>
      <c r="AL707" s="10" t="s">
        <v>64</v>
      </c>
      <c r="AM707" s="10" t="s">
        <v>7371</v>
      </c>
      <c r="AN707" s="10" t="s">
        <v>50</v>
      </c>
      <c r="AO707" s="11" t="s">
        <v>50</v>
      </c>
      <c r="AP707" s="10" t="s">
        <v>50</v>
      </c>
      <c r="AQ707" s="10" t="s">
        <v>50</v>
      </c>
      <c r="AR707" s="10" t="s">
        <v>50</v>
      </c>
      <c r="AS707" s="10" t="s">
        <v>50</v>
      </c>
      <c r="AT707" s="10" t="s">
        <v>50</v>
      </c>
      <c r="AU707" s="10" t="s">
        <v>50</v>
      </c>
      <c r="AV707" s="11"/>
      <c r="AW707" s="10" t="s">
        <v>66</v>
      </c>
      <c r="AX707" s="10"/>
      <c r="AY707" s="10" t="s">
        <v>66</v>
      </c>
    </row>
    <row r="708" ht="22.5" hidden="1" customHeight="1">
      <c r="A708" s="9" t="s">
        <v>7372</v>
      </c>
      <c r="B708" s="10" t="s">
        <v>7373</v>
      </c>
      <c r="C708" s="10" t="s">
        <v>43</v>
      </c>
      <c r="D708" s="10" t="s">
        <v>4506</v>
      </c>
      <c r="E708" s="10" t="s">
        <v>66</v>
      </c>
      <c r="F708" s="11">
        <v>1.0</v>
      </c>
      <c r="G708" s="11">
        <v>80.0</v>
      </c>
      <c r="H708" s="11"/>
      <c r="I708" s="11">
        <v>-13.6</v>
      </c>
      <c r="J708" s="11">
        <v>-19.95</v>
      </c>
      <c r="K708" s="11"/>
      <c r="L708" s="11">
        <v>50.45</v>
      </c>
      <c r="M708" s="10" t="s">
        <v>46</v>
      </c>
      <c r="N708" s="10" t="s">
        <v>45</v>
      </c>
      <c r="O708" s="10" t="s">
        <v>143</v>
      </c>
      <c r="P708" s="10" t="s">
        <v>144</v>
      </c>
      <c r="Q708" s="10" t="s">
        <v>145</v>
      </c>
      <c r="R708" s="10" t="s">
        <v>74</v>
      </c>
      <c r="S708" s="11">
        <v>80.0</v>
      </c>
      <c r="T708" s="11">
        <v>33.38</v>
      </c>
      <c r="U708" s="11" t="s">
        <v>51</v>
      </c>
      <c r="V708" s="10" t="s">
        <v>52</v>
      </c>
      <c r="W708" s="10" t="s">
        <v>7374</v>
      </c>
      <c r="X708" s="10" t="s">
        <v>7375</v>
      </c>
      <c r="Y708" s="10" t="s">
        <v>7376</v>
      </c>
      <c r="Z708" s="10" t="s">
        <v>50</v>
      </c>
      <c r="AA708" s="10" t="s">
        <v>50</v>
      </c>
      <c r="AB708" s="10" t="s">
        <v>7374</v>
      </c>
      <c r="AC708" s="10" t="s">
        <v>7377</v>
      </c>
      <c r="AD708" s="10" t="s">
        <v>7378</v>
      </c>
      <c r="AE708" s="10" t="s">
        <v>80</v>
      </c>
      <c r="AF708" s="10" t="s">
        <v>81</v>
      </c>
      <c r="AG708" s="10" t="s">
        <v>7379</v>
      </c>
      <c r="AH708" s="10" t="s">
        <v>60</v>
      </c>
      <c r="AI708" s="10" t="s">
        <v>61</v>
      </c>
      <c r="AJ708" s="10" t="s">
        <v>6571</v>
      </c>
      <c r="AK708" s="10" t="s">
        <v>7380</v>
      </c>
      <c r="AL708" s="10" t="s">
        <v>64</v>
      </c>
      <c r="AM708" s="10" t="s">
        <v>7381</v>
      </c>
      <c r="AN708" s="10" t="s">
        <v>50</v>
      </c>
      <c r="AO708" s="11" t="s">
        <v>50</v>
      </c>
      <c r="AP708" s="10" t="s">
        <v>50</v>
      </c>
      <c r="AQ708" s="10" t="s">
        <v>50</v>
      </c>
      <c r="AR708" s="10" t="s">
        <v>50</v>
      </c>
      <c r="AS708" s="10" t="s">
        <v>50</v>
      </c>
      <c r="AT708" s="10" t="s">
        <v>50</v>
      </c>
      <c r="AU708" s="10" t="s">
        <v>50</v>
      </c>
      <c r="AV708" s="11"/>
      <c r="AW708" s="10" t="s">
        <v>66</v>
      </c>
      <c r="AX708" s="10"/>
      <c r="AY708" s="10" t="s">
        <v>66</v>
      </c>
    </row>
    <row r="709" ht="22.5" hidden="1" customHeight="1">
      <c r="A709" s="9" t="s">
        <v>7382</v>
      </c>
      <c r="B709" s="10" t="s">
        <v>7383</v>
      </c>
      <c r="C709" s="10" t="s">
        <v>43</v>
      </c>
      <c r="D709" s="10" t="s">
        <v>3477</v>
      </c>
      <c r="E709" s="10" t="s">
        <v>66</v>
      </c>
      <c r="F709" s="11">
        <v>1.0</v>
      </c>
      <c r="G709" s="11">
        <v>120.0</v>
      </c>
      <c r="H709" s="11"/>
      <c r="I709" s="11">
        <v>-20.4</v>
      </c>
      <c r="J709" s="11">
        <v>-19.95</v>
      </c>
      <c r="K709" s="11"/>
      <c r="L709" s="11">
        <v>86.85</v>
      </c>
      <c r="M709" s="10" t="s">
        <v>46</v>
      </c>
      <c r="N709" s="10" t="s">
        <v>45</v>
      </c>
      <c r="O709" s="10" t="s">
        <v>85</v>
      </c>
      <c r="P709" s="10" t="s">
        <v>86</v>
      </c>
      <c r="Q709" s="10" t="s">
        <v>87</v>
      </c>
      <c r="R709" s="10" t="s">
        <v>74</v>
      </c>
      <c r="S709" s="11">
        <v>120.0</v>
      </c>
      <c r="T709" s="11">
        <v>65.78</v>
      </c>
      <c r="U709" s="11" t="s">
        <v>51</v>
      </c>
      <c r="V709" s="10" t="s">
        <v>52</v>
      </c>
      <c r="W709" s="10" t="s">
        <v>7384</v>
      </c>
      <c r="X709" s="10" t="s">
        <v>7385</v>
      </c>
      <c r="Y709" s="10" t="s">
        <v>7386</v>
      </c>
      <c r="Z709" s="10" t="s">
        <v>50</v>
      </c>
      <c r="AA709" s="10" t="s">
        <v>50</v>
      </c>
      <c r="AB709" s="10" t="s">
        <v>7384</v>
      </c>
      <c r="AC709" s="10" t="s">
        <v>7387</v>
      </c>
      <c r="AD709" s="10" t="s">
        <v>7388</v>
      </c>
      <c r="AE709" s="10" t="s">
        <v>6842</v>
      </c>
      <c r="AF709" s="10" t="s">
        <v>58</v>
      </c>
      <c r="AG709" s="10" t="s">
        <v>7389</v>
      </c>
      <c r="AH709" s="10" t="s">
        <v>60</v>
      </c>
      <c r="AI709" s="10" t="s">
        <v>61</v>
      </c>
      <c r="AJ709" s="10" t="s">
        <v>6825</v>
      </c>
      <c r="AK709" s="10" t="s">
        <v>7390</v>
      </c>
      <c r="AL709" s="10" t="s">
        <v>64</v>
      </c>
      <c r="AM709" s="10" t="s">
        <v>7391</v>
      </c>
      <c r="AN709" s="10" t="s">
        <v>50</v>
      </c>
      <c r="AO709" s="11" t="s">
        <v>50</v>
      </c>
      <c r="AP709" s="10" t="s">
        <v>50</v>
      </c>
      <c r="AQ709" s="10" t="s">
        <v>50</v>
      </c>
      <c r="AR709" s="10" t="s">
        <v>50</v>
      </c>
      <c r="AS709" s="10" t="s">
        <v>50</v>
      </c>
      <c r="AT709" s="10" t="s">
        <v>50</v>
      </c>
      <c r="AU709" s="10" t="s">
        <v>50</v>
      </c>
      <c r="AV709" s="11"/>
      <c r="AW709" s="10" t="s">
        <v>66</v>
      </c>
      <c r="AX709" s="10"/>
      <c r="AY709" s="10" t="s">
        <v>66</v>
      </c>
    </row>
    <row r="710" ht="22.5" hidden="1" customHeight="1">
      <c r="A710" s="9" t="s">
        <v>7392</v>
      </c>
      <c r="B710" s="10" t="s">
        <v>7393</v>
      </c>
      <c r="C710" s="10" t="s">
        <v>43</v>
      </c>
      <c r="D710" s="10" t="s">
        <v>2402</v>
      </c>
      <c r="E710" s="10" t="s">
        <v>45</v>
      </c>
      <c r="F710" s="11">
        <v>1.0</v>
      </c>
      <c r="G710" s="11">
        <v>120.0</v>
      </c>
      <c r="H710" s="11"/>
      <c r="I710" s="11">
        <v>-20.4</v>
      </c>
      <c r="J710" s="11">
        <v>-19.95</v>
      </c>
      <c r="K710" s="11"/>
      <c r="L710" s="11">
        <v>86.85</v>
      </c>
      <c r="M710" s="10" t="s">
        <v>46</v>
      </c>
      <c r="N710" s="10" t="s">
        <v>45</v>
      </c>
      <c r="O710" s="10" t="s">
        <v>85</v>
      </c>
      <c r="P710" s="10" t="s">
        <v>86</v>
      </c>
      <c r="Q710" s="10" t="s">
        <v>87</v>
      </c>
      <c r="R710" s="10" t="s">
        <v>74</v>
      </c>
      <c r="S710" s="11">
        <v>120.0</v>
      </c>
      <c r="T710" s="11">
        <v>65.78</v>
      </c>
      <c r="U710" s="11" t="s">
        <v>51</v>
      </c>
      <c r="V710" s="10" t="s">
        <v>52</v>
      </c>
      <c r="W710" s="10" t="s">
        <v>7394</v>
      </c>
      <c r="X710" s="10" t="s">
        <v>7395</v>
      </c>
      <c r="Y710" s="10" t="s">
        <v>7396</v>
      </c>
      <c r="Z710" s="10" t="s">
        <v>50</v>
      </c>
      <c r="AA710" s="10" t="s">
        <v>50</v>
      </c>
      <c r="AB710" s="10" t="s">
        <v>7394</v>
      </c>
      <c r="AC710" s="10" t="s">
        <v>7397</v>
      </c>
      <c r="AD710" s="10" t="s">
        <v>7398</v>
      </c>
      <c r="AE710" s="10" t="s">
        <v>4621</v>
      </c>
      <c r="AF710" s="10" t="s">
        <v>214</v>
      </c>
      <c r="AG710" s="10" t="s">
        <v>7399</v>
      </c>
      <c r="AH710" s="10" t="s">
        <v>60</v>
      </c>
      <c r="AI710" s="10" t="s">
        <v>61</v>
      </c>
      <c r="AJ710" s="10" t="s">
        <v>6751</v>
      </c>
      <c r="AK710" s="10" t="s">
        <v>7400</v>
      </c>
      <c r="AL710" s="10" t="s">
        <v>64</v>
      </c>
      <c r="AM710" s="10" t="s">
        <v>7401</v>
      </c>
      <c r="AN710" s="10" t="s">
        <v>50</v>
      </c>
      <c r="AO710" s="11" t="s">
        <v>50</v>
      </c>
      <c r="AP710" s="10" t="s">
        <v>50</v>
      </c>
      <c r="AQ710" s="10" t="s">
        <v>50</v>
      </c>
      <c r="AR710" s="10" t="s">
        <v>50</v>
      </c>
      <c r="AS710" s="10" t="s">
        <v>50</v>
      </c>
      <c r="AT710" s="10" t="s">
        <v>50</v>
      </c>
      <c r="AU710" s="10" t="s">
        <v>50</v>
      </c>
      <c r="AV710" s="11"/>
      <c r="AW710" s="10" t="s">
        <v>66</v>
      </c>
      <c r="AX710" s="10"/>
      <c r="AY710" s="10" t="s">
        <v>66</v>
      </c>
    </row>
    <row r="711" ht="22.5" hidden="1" customHeight="1">
      <c r="A711" s="9" t="s">
        <v>7402</v>
      </c>
      <c r="B711" s="10" t="s">
        <v>7403</v>
      </c>
      <c r="C711" s="10" t="s">
        <v>43</v>
      </c>
      <c r="D711" s="10" t="s">
        <v>3477</v>
      </c>
      <c r="E711" s="10" t="s">
        <v>66</v>
      </c>
      <c r="F711" s="11">
        <v>1.0</v>
      </c>
      <c r="G711" s="11">
        <v>90.0</v>
      </c>
      <c r="H711" s="11"/>
      <c r="I711" s="11">
        <v>-15.3</v>
      </c>
      <c r="J711" s="11">
        <v>-20.45</v>
      </c>
      <c r="K711" s="11"/>
      <c r="L711" s="11">
        <v>59.65</v>
      </c>
      <c r="M711" s="10" t="s">
        <v>46</v>
      </c>
      <c r="N711" s="10" t="s">
        <v>45</v>
      </c>
      <c r="O711" s="10" t="s">
        <v>5094</v>
      </c>
      <c r="P711" s="10" t="s">
        <v>5095</v>
      </c>
      <c r="Q711" s="10" t="s">
        <v>5096</v>
      </c>
      <c r="R711" s="10" t="s">
        <v>74</v>
      </c>
      <c r="S711" s="11">
        <v>90.0</v>
      </c>
      <c r="T711" s="11">
        <v>39.99</v>
      </c>
      <c r="U711" s="11" t="s">
        <v>51</v>
      </c>
      <c r="V711" s="10" t="s">
        <v>52</v>
      </c>
      <c r="W711" s="10" t="s">
        <v>7404</v>
      </c>
      <c r="X711" s="10" t="s">
        <v>7405</v>
      </c>
      <c r="Y711" s="10" t="s">
        <v>7406</v>
      </c>
      <c r="Z711" s="10" t="s">
        <v>50</v>
      </c>
      <c r="AA711" s="10" t="s">
        <v>50</v>
      </c>
      <c r="AB711" s="10" t="s">
        <v>7404</v>
      </c>
      <c r="AC711" s="10" t="s">
        <v>7407</v>
      </c>
      <c r="AD711" s="10" t="s">
        <v>7408</v>
      </c>
      <c r="AE711" s="10" t="s">
        <v>810</v>
      </c>
      <c r="AF711" s="10" t="s">
        <v>323</v>
      </c>
      <c r="AG711" s="10" t="s">
        <v>811</v>
      </c>
      <c r="AH711" s="10" t="s">
        <v>60</v>
      </c>
      <c r="AI711" s="10" t="s">
        <v>61</v>
      </c>
      <c r="AJ711" s="10" t="s">
        <v>6878</v>
      </c>
      <c r="AK711" s="10" t="s">
        <v>7409</v>
      </c>
      <c r="AL711" s="10" t="s">
        <v>64</v>
      </c>
      <c r="AM711" s="10" t="s">
        <v>7410</v>
      </c>
      <c r="AN711" s="10" t="s">
        <v>50</v>
      </c>
      <c r="AO711" s="11" t="s">
        <v>50</v>
      </c>
      <c r="AP711" s="10" t="s">
        <v>50</v>
      </c>
      <c r="AQ711" s="10" t="s">
        <v>50</v>
      </c>
      <c r="AR711" s="10" t="s">
        <v>50</v>
      </c>
      <c r="AS711" s="10" t="s">
        <v>50</v>
      </c>
      <c r="AT711" s="10" t="s">
        <v>50</v>
      </c>
      <c r="AU711" s="10" t="s">
        <v>50</v>
      </c>
      <c r="AV711" s="11"/>
      <c r="AW711" s="10" t="s">
        <v>66</v>
      </c>
      <c r="AX711" s="10"/>
      <c r="AY711" s="10" t="s">
        <v>66</v>
      </c>
    </row>
    <row r="712" ht="22.5" hidden="1" customHeight="1">
      <c r="A712" s="9" t="s">
        <v>7411</v>
      </c>
      <c r="B712" s="10" t="s">
        <v>7412</v>
      </c>
      <c r="C712" s="10" t="s">
        <v>43</v>
      </c>
      <c r="D712" s="10" t="s">
        <v>6539</v>
      </c>
      <c r="E712" s="10" t="s">
        <v>66</v>
      </c>
      <c r="F712" s="11">
        <v>1.0</v>
      </c>
      <c r="G712" s="11">
        <v>120.0</v>
      </c>
      <c r="H712" s="11"/>
      <c r="I712" s="11">
        <v>-20.4</v>
      </c>
      <c r="J712" s="11">
        <v>-19.95</v>
      </c>
      <c r="K712" s="11"/>
      <c r="L712" s="11">
        <v>86.85</v>
      </c>
      <c r="M712" s="10" t="s">
        <v>46</v>
      </c>
      <c r="N712" s="10" t="s">
        <v>50</v>
      </c>
      <c r="O712" s="10" t="s">
        <v>85</v>
      </c>
      <c r="P712" s="10" t="s">
        <v>86</v>
      </c>
      <c r="Q712" s="10" t="s">
        <v>87</v>
      </c>
      <c r="R712" s="10" t="s">
        <v>74</v>
      </c>
      <c r="S712" s="11">
        <v>120.0</v>
      </c>
      <c r="T712" s="11">
        <v>65.78</v>
      </c>
      <c r="U712" s="11" t="s">
        <v>51</v>
      </c>
      <c r="V712" s="10" t="s">
        <v>52</v>
      </c>
      <c r="W712" s="10" t="s">
        <v>7413</v>
      </c>
      <c r="X712" s="10" t="s">
        <v>7414</v>
      </c>
      <c r="Y712" s="10" t="s">
        <v>7415</v>
      </c>
      <c r="Z712" s="10" t="s">
        <v>50</v>
      </c>
      <c r="AA712" s="10" t="s">
        <v>50</v>
      </c>
      <c r="AB712" s="10" t="s">
        <v>7413</v>
      </c>
      <c r="AC712" s="10" t="s">
        <v>7416</v>
      </c>
      <c r="AD712" s="10" t="s">
        <v>7417</v>
      </c>
      <c r="AE712" s="10" t="s">
        <v>151</v>
      </c>
      <c r="AF712" s="10" t="s">
        <v>151</v>
      </c>
      <c r="AG712" s="10" t="s">
        <v>7418</v>
      </c>
      <c r="AH712" s="10" t="s">
        <v>60</v>
      </c>
      <c r="AI712" s="10" t="s">
        <v>61</v>
      </c>
      <c r="AJ712" s="10" t="s">
        <v>7357</v>
      </c>
      <c r="AK712" s="10" t="s">
        <v>7419</v>
      </c>
      <c r="AL712" s="10" t="s">
        <v>64</v>
      </c>
      <c r="AM712" s="10" t="s">
        <v>7420</v>
      </c>
      <c r="AN712" s="10" t="s">
        <v>50</v>
      </c>
      <c r="AO712" s="11" t="s">
        <v>50</v>
      </c>
      <c r="AP712" s="10" t="s">
        <v>50</v>
      </c>
      <c r="AQ712" s="10" t="s">
        <v>50</v>
      </c>
      <c r="AR712" s="10" t="s">
        <v>50</v>
      </c>
      <c r="AS712" s="10" t="s">
        <v>50</v>
      </c>
      <c r="AT712" s="10" t="s">
        <v>50</v>
      </c>
      <c r="AU712" s="10" t="s">
        <v>50</v>
      </c>
      <c r="AV712" s="11"/>
      <c r="AW712" s="10" t="s">
        <v>66</v>
      </c>
      <c r="AX712" s="10"/>
      <c r="AY712" s="10" t="s">
        <v>66</v>
      </c>
    </row>
    <row r="713" ht="22.5" hidden="1" customHeight="1">
      <c r="A713" s="9" t="s">
        <v>7421</v>
      </c>
      <c r="B713" s="10" t="s">
        <v>7422</v>
      </c>
      <c r="C713" s="10" t="s">
        <v>43</v>
      </c>
      <c r="D713" s="10" t="s">
        <v>3477</v>
      </c>
      <c r="E713" s="10" t="s">
        <v>66</v>
      </c>
      <c r="F713" s="11">
        <v>1.0</v>
      </c>
      <c r="G713" s="11">
        <v>120.0</v>
      </c>
      <c r="H713" s="11"/>
      <c r="I713" s="11">
        <v>-20.4</v>
      </c>
      <c r="J713" s="11">
        <v>-19.95</v>
      </c>
      <c r="K713" s="11"/>
      <c r="L713" s="11">
        <v>86.85</v>
      </c>
      <c r="M713" s="10" t="s">
        <v>46</v>
      </c>
      <c r="N713" s="10" t="s">
        <v>50</v>
      </c>
      <c r="O713" s="10" t="s">
        <v>85</v>
      </c>
      <c r="P713" s="10" t="s">
        <v>86</v>
      </c>
      <c r="Q713" s="10" t="s">
        <v>87</v>
      </c>
      <c r="R713" s="10" t="s">
        <v>74</v>
      </c>
      <c r="S713" s="11">
        <v>120.0</v>
      </c>
      <c r="T713" s="11">
        <v>65.78</v>
      </c>
      <c r="U713" s="11" t="s">
        <v>51</v>
      </c>
      <c r="V713" s="10" t="s">
        <v>52</v>
      </c>
      <c r="W713" s="10" t="s">
        <v>7423</v>
      </c>
      <c r="X713" s="10" t="s">
        <v>7424</v>
      </c>
      <c r="Y713" s="10" t="s">
        <v>7425</v>
      </c>
      <c r="Z713" s="10" t="s">
        <v>50</v>
      </c>
      <c r="AA713" s="10" t="s">
        <v>50</v>
      </c>
      <c r="AB713" s="10" t="s">
        <v>7423</v>
      </c>
      <c r="AC713" s="10" t="s">
        <v>7426</v>
      </c>
      <c r="AD713" s="10" t="s">
        <v>7427</v>
      </c>
      <c r="AE713" s="10" t="s">
        <v>2032</v>
      </c>
      <c r="AF713" s="10" t="s">
        <v>58</v>
      </c>
      <c r="AG713" s="10" t="s">
        <v>7428</v>
      </c>
      <c r="AH713" s="10" t="s">
        <v>60</v>
      </c>
      <c r="AI713" s="10" t="s">
        <v>61</v>
      </c>
      <c r="AJ713" s="10" t="s">
        <v>7429</v>
      </c>
      <c r="AK713" s="10" t="s">
        <v>7430</v>
      </c>
      <c r="AL713" s="10" t="s">
        <v>64</v>
      </c>
      <c r="AM713" s="10" t="s">
        <v>7431</v>
      </c>
      <c r="AN713" s="10" t="s">
        <v>50</v>
      </c>
      <c r="AO713" s="11" t="s">
        <v>50</v>
      </c>
      <c r="AP713" s="10" t="s">
        <v>50</v>
      </c>
      <c r="AQ713" s="10" t="s">
        <v>50</v>
      </c>
      <c r="AR713" s="10" t="s">
        <v>50</v>
      </c>
      <c r="AS713" s="10" t="s">
        <v>50</v>
      </c>
      <c r="AT713" s="10" t="s">
        <v>50</v>
      </c>
      <c r="AU713" s="10" t="s">
        <v>50</v>
      </c>
      <c r="AV713" s="11"/>
      <c r="AW713" s="10" t="s">
        <v>66</v>
      </c>
      <c r="AX713" s="10"/>
      <c r="AY713" s="10" t="s">
        <v>66</v>
      </c>
    </row>
    <row r="714" ht="22.5" hidden="1" customHeight="1">
      <c r="A714" s="9" t="s">
        <v>7432</v>
      </c>
      <c r="B714" s="10" t="s">
        <v>7433</v>
      </c>
      <c r="C714" s="10" t="s">
        <v>43</v>
      </c>
      <c r="D714" s="10" t="s">
        <v>2402</v>
      </c>
      <c r="E714" s="10" t="s">
        <v>45</v>
      </c>
      <c r="F714" s="11">
        <v>4.0</v>
      </c>
      <c r="G714" s="11">
        <v>174.8</v>
      </c>
      <c r="H714" s="11"/>
      <c r="I714" s="11">
        <v>-53.72</v>
      </c>
      <c r="J714" s="11"/>
      <c r="K714" s="11"/>
      <c r="L714" s="11">
        <v>131.56</v>
      </c>
      <c r="M714" s="10" t="s">
        <v>46</v>
      </c>
      <c r="N714" s="10" t="s">
        <v>50</v>
      </c>
      <c r="O714" s="10" t="s">
        <v>176</v>
      </c>
      <c r="P714" s="10" t="s">
        <v>177</v>
      </c>
      <c r="Q714" s="10" t="s">
        <v>178</v>
      </c>
      <c r="R714" s="10" t="s">
        <v>74</v>
      </c>
      <c r="S714" s="11">
        <v>43.7</v>
      </c>
      <c r="T714" s="11">
        <f>4*22.58</f>
        <v>90.32</v>
      </c>
      <c r="U714" s="11" t="s">
        <v>51</v>
      </c>
      <c r="V714" s="10" t="s">
        <v>52</v>
      </c>
      <c r="W714" s="10" t="s">
        <v>7434</v>
      </c>
      <c r="X714" s="10" t="s">
        <v>7435</v>
      </c>
      <c r="Y714" s="10" t="s">
        <v>7436</v>
      </c>
      <c r="Z714" s="10" t="s">
        <v>50</v>
      </c>
      <c r="AA714" s="10" t="s">
        <v>50</v>
      </c>
      <c r="AB714" s="10" t="s">
        <v>7434</v>
      </c>
      <c r="AC714" s="10" t="s">
        <v>7437</v>
      </c>
      <c r="AD714" s="10" t="s">
        <v>7438</v>
      </c>
      <c r="AE714" s="10" t="s">
        <v>2042</v>
      </c>
      <c r="AF714" s="10" t="s">
        <v>119</v>
      </c>
      <c r="AG714" s="10" t="s">
        <v>7439</v>
      </c>
      <c r="AH714" s="10" t="s">
        <v>60</v>
      </c>
      <c r="AI714" s="10" t="s">
        <v>61</v>
      </c>
      <c r="AJ714" s="10" t="s">
        <v>6751</v>
      </c>
      <c r="AK714" s="10" t="s">
        <v>7440</v>
      </c>
      <c r="AL714" s="10" t="s">
        <v>64</v>
      </c>
      <c r="AM714" s="10" t="s">
        <v>7441</v>
      </c>
      <c r="AN714" s="10" t="s">
        <v>50</v>
      </c>
      <c r="AO714" s="11" t="s">
        <v>50</v>
      </c>
      <c r="AP714" s="10" t="s">
        <v>50</v>
      </c>
      <c r="AQ714" s="10" t="s">
        <v>50</v>
      </c>
      <c r="AR714" s="10" t="s">
        <v>50</v>
      </c>
      <c r="AS714" s="10" t="s">
        <v>50</v>
      </c>
      <c r="AT714" s="10" t="s">
        <v>50</v>
      </c>
      <c r="AU714" s="10" t="s">
        <v>50</v>
      </c>
      <c r="AV714" s="11"/>
      <c r="AW714" s="10" t="s">
        <v>66</v>
      </c>
      <c r="AX714" s="10"/>
      <c r="AY714" s="10" t="s">
        <v>66</v>
      </c>
    </row>
    <row r="715" ht="22.5" hidden="1" customHeight="1">
      <c r="A715" s="9" t="s">
        <v>7442</v>
      </c>
      <c r="B715" s="10" t="s">
        <v>7443</v>
      </c>
      <c r="C715" s="10" t="s">
        <v>43</v>
      </c>
      <c r="D715" s="10" t="s">
        <v>2402</v>
      </c>
      <c r="E715" s="10" t="s">
        <v>45</v>
      </c>
      <c r="F715" s="11">
        <v>1.0</v>
      </c>
      <c r="G715" s="11">
        <v>79.2</v>
      </c>
      <c r="H715" s="11">
        <v>19.71</v>
      </c>
      <c r="I715" s="11">
        <v>-13.46</v>
      </c>
      <c r="J715" s="11">
        <v>-40.16</v>
      </c>
      <c r="K715" s="11"/>
      <c r="L715" s="11">
        <v>50.04</v>
      </c>
      <c r="M715" s="10" t="s">
        <v>46</v>
      </c>
      <c r="N715" s="10" t="s">
        <v>50</v>
      </c>
      <c r="O715" s="10" t="s">
        <v>892</v>
      </c>
      <c r="P715" s="10" t="s">
        <v>893</v>
      </c>
      <c r="Q715" s="10" t="s">
        <v>894</v>
      </c>
      <c r="R715" s="10" t="s">
        <v>74</v>
      </c>
      <c r="S715" s="11">
        <v>79.2</v>
      </c>
      <c r="T715" s="11">
        <v>2.97</v>
      </c>
      <c r="U715" s="11" t="s">
        <v>51</v>
      </c>
      <c r="V715" s="10" t="s">
        <v>52</v>
      </c>
      <c r="W715" s="10" t="s">
        <v>7444</v>
      </c>
      <c r="X715" s="10" t="s">
        <v>7445</v>
      </c>
      <c r="Y715" s="10" t="s">
        <v>7446</v>
      </c>
      <c r="Z715" s="10" t="s">
        <v>50</v>
      </c>
      <c r="AA715" s="10" t="s">
        <v>50</v>
      </c>
      <c r="AB715" s="10" t="s">
        <v>7444</v>
      </c>
      <c r="AC715" s="10" t="s">
        <v>7447</v>
      </c>
      <c r="AD715" s="10" t="s">
        <v>7448</v>
      </c>
      <c r="AE715" s="10" t="s">
        <v>2975</v>
      </c>
      <c r="AF715" s="10" t="s">
        <v>2976</v>
      </c>
      <c r="AG715" s="10" t="s">
        <v>7449</v>
      </c>
      <c r="AH715" s="10" t="s">
        <v>60</v>
      </c>
      <c r="AI715" s="10" t="s">
        <v>61</v>
      </c>
      <c r="AJ715" s="10" t="s">
        <v>6666</v>
      </c>
      <c r="AK715" s="10" t="s">
        <v>7450</v>
      </c>
      <c r="AL715" s="10" t="s">
        <v>64</v>
      </c>
      <c r="AM715" s="10" t="s">
        <v>7451</v>
      </c>
      <c r="AN715" s="10" t="s">
        <v>50</v>
      </c>
      <c r="AO715" s="11" t="s">
        <v>50</v>
      </c>
      <c r="AP715" s="10" t="s">
        <v>50</v>
      </c>
      <c r="AQ715" s="10" t="s">
        <v>50</v>
      </c>
      <c r="AR715" s="10" t="s">
        <v>50</v>
      </c>
      <c r="AS715" s="10" t="s">
        <v>50</v>
      </c>
      <c r="AT715" s="10" t="s">
        <v>50</v>
      </c>
      <c r="AU715" s="10" t="s">
        <v>50</v>
      </c>
      <c r="AV715" s="11"/>
      <c r="AW715" s="10" t="s">
        <v>66</v>
      </c>
      <c r="AX715" s="10"/>
      <c r="AY715" s="10" t="s">
        <v>66</v>
      </c>
    </row>
    <row r="716" ht="22.5" hidden="1" customHeight="1">
      <c r="A716" s="9" t="s">
        <v>7452</v>
      </c>
      <c r="B716" s="10" t="s">
        <v>7453</v>
      </c>
      <c r="C716" s="10" t="s">
        <v>43</v>
      </c>
      <c r="D716" s="10" t="s">
        <v>2402</v>
      </c>
      <c r="E716" s="10" t="s">
        <v>66</v>
      </c>
      <c r="F716" s="11">
        <v>1.0</v>
      </c>
      <c r="G716" s="11">
        <v>120.0</v>
      </c>
      <c r="H716" s="11"/>
      <c r="I716" s="11">
        <v>-20.4</v>
      </c>
      <c r="J716" s="11">
        <v>-19.95</v>
      </c>
      <c r="K716" s="11"/>
      <c r="L716" s="11">
        <v>86.85</v>
      </c>
      <c r="M716" s="10" t="s">
        <v>46</v>
      </c>
      <c r="N716" s="10" t="s">
        <v>45</v>
      </c>
      <c r="O716" s="10" t="s">
        <v>85</v>
      </c>
      <c r="P716" s="10" t="s">
        <v>86</v>
      </c>
      <c r="Q716" s="10" t="s">
        <v>87</v>
      </c>
      <c r="R716" s="10" t="s">
        <v>74</v>
      </c>
      <c r="S716" s="11">
        <v>120.0</v>
      </c>
      <c r="T716" s="11">
        <v>65.78</v>
      </c>
      <c r="U716" s="11" t="s">
        <v>51</v>
      </c>
      <c r="V716" s="10" t="s">
        <v>52</v>
      </c>
      <c r="W716" s="10" t="s">
        <v>7454</v>
      </c>
      <c r="X716" s="10" t="s">
        <v>7455</v>
      </c>
      <c r="Y716" s="10" t="s">
        <v>7456</v>
      </c>
      <c r="Z716" s="10" t="s">
        <v>50</v>
      </c>
      <c r="AA716" s="10" t="s">
        <v>50</v>
      </c>
      <c r="AB716" s="10" t="s">
        <v>7454</v>
      </c>
      <c r="AC716" s="10" t="s">
        <v>7457</v>
      </c>
      <c r="AD716" s="10" t="s">
        <v>7458</v>
      </c>
      <c r="AE716" s="10" t="s">
        <v>7459</v>
      </c>
      <c r="AF716" s="10" t="s">
        <v>214</v>
      </c>
      <c r="AG716" s="10" t="s">
        <v>7460</v>
      </c>
      <c r="AH716" s="10" t="s">
        <v>60</v>
      </c>
      <c r="AI716" s="10" t="s">
        <v>61</v>
      </c>
      <c r="AJ716" s="10" t="s">
        <v>6751</v>
      </c>
      <c r="AK716" s="10" t="s">
        <v>7461</v>
      </c>
      <c r="AL716" s="10" t="s">
        <v>64</v>
      </c>
      <c r="AM716" s="10" t="s">
        <v>7462</v>
      </c>
      <c r="AN716" s="10" t="s">
        <v>50</v>
      </c>
      <c r="AO716" s="11" t="s">
        <v>50</v>
      </c>
      <c r="AP716" s="10" t="s">
        <v>50</v>
      </c>
      <c r="AQ716" s="10" t="s">
        <v>50</v>
      </c>
      <c r="AR716" s="10" t="s">
        <v>50</v>
      </c>
      <c r="AS716" s="10" t="s">
        <v>50</v>
      </c>
      <c r="AT716" s="10" t="s">
        <v>50</v>
      </c>
      <c r="AU716" s="10" t="s">
        <v>50</v>
      </c>
      <c r="AV716" s="11"/>
      <c r="AW716" s="10" t="s">
        <v>66</v>
      </c>
      <c r="AX716" s="10"/>
      <c r="AY716" s="10" t="s">
        <v>66</v>
      </c>
    </row>
    <row r="717" ht="22.5" hidden="1" customHeight="1">
      <c r="A717" s="9" t="s">
        <v>7463</v>
      </c>
      <c r="B717" s="10" t="s">
        <v>7464</v>
      </c>
      <c r="C717" s="10" t="s">
        <v>43</v>
      </c>
      <c r="D717" s="10" t="s">
        <v>6539</v>
      </c>
      <c r="E717" s="10" t="s">
        <v>66</v>
      </c>
      <c r="F717" s="11">
        <v>1.0</v>
      </c>
      <c r="G717" s="11">
        <v>79.2</v>
      </c>
      <c r="H717" s="11"/>
      <c r="I717" s="11">
        <v>-13.46</v>
      </c>
      <c r="J717" s="11">
        <v>-20.45</v>
      </c>
      <c r="K717" s="11"/>
      <c r="L717" s="11">
        <v>50.04</v>
      </c>
      <c r="M717" s="10" t="s">
        <v>46</v>
      </c>
      <c r="N717" s="10" t="s">
        <v>45</v>
      </c>
      <c r="O717" s="10" t="s">
        <v>892</v>
      </c>
      <c r="P717" s="10" t="s">
        <v>893</v>
      </c>
      <c r="Q717" s="10" t="s">
        <v>894</v>
      </c>
      <c r="R717" s="10" t="s">
        <v>74</v>
      </c>
      <c r="S717" s="11">
        <v>79.2</v>
      </c>
      <c r="T717" s="11">
        <v>2.97</v>
      </c>
      <c r="U717" s="11" t="s">
        <v>51</v>
      </c>
      <c r="V717" s="10" t="s">
        <v>52</v>
      </c>
      <c r="W717" s="10" t="s">
        <v>7465</v>
      </c>
      <c r="X717" s="10" t="s">
        <v>7466</v>
      </c>
      <c r="Y717" s="10" t="s">
        <v>7467</v>
      </c>
      <c r="Z717" s="10" t="s">
        <v>50</v>
      </c>
      <c r="AA717" s="10" t="s">
        <v>50</v>
      </c>
      <c r="AB717" s="10" t="s">
        <v>7465</v>
      </c>
      <c r="AC717" s="10" t="s">
        <v>7468</v>
      </c>
      <c r="AD717" s="10" t="s">
        <v>7469</v>
      </c>
      <c r="AE717" s="10" t="s">
        <v>7470</v>
      </c>
      <c r="AF717" s="10" t="s">
        <v>151</v>
      </c>
      <c r="AG717" s="10" t="s">
        <v>7471</v>
      </c>
      <c r="AH717" s="10" t="s">
        <v>60</v>
      </c>
      <c r="AI717" s="10" t="s">
        <v>61</v>
      </c>
      <c r="AJ717" s="10" t="s">
        <v>7108</v>
      </c>
      <c r="AK717" s="10" t="s">
        <v>7472</v>
      </c>
      <c r="AL717" s="10" t="s">
        <v>64</v>
      </c>
      <c r="AM717" s="10" t="s">
        <v>7473</v>
      </c>
      <c r="AN717" s="10" t="s">
        <v>50</v>
      </c>
      <c r="AO717" s="11" t="s">
        <v>50</v>
      </c>
      <c r="AP717" s="10" t="s">
        <v>50</v>
      </c>
      <c r="AQ717" s="10" t="s">
        <v>50</v>
      </c>
      <c r="AR717" s="10" t="s">
        <v>50</v>
      </c>
      <c r="AS717" s="10" t="s">
        <v>50</v>
      </c>
      <c r="AT717" s="10" t="s">
        <v>50</v>
      </c>
      <c r="AU717" s="10" t="s">
        <v>50</v>
      </c>
      <c r="AV717" s="11"/>
      <c r="AW717" s="10" t="s">
        <v>66</v>
      </c>
      <c r="AX717" s="10"/>
      <c r="AY717" s="10" t="s">
        <v>66</v>
      </c>
    </row>
    <row r="718" ht="22.5" hidden="1" customHeight="1">
      <c r="A718" s="12" t="s">
        <v>7474</v>
      </c>
      <c r="B718" s="13" t="s">
        <v>7475</v>
      </c>
      <c r="C718" s="13" t="s">
        <v>747</v>
      </c>
      <c r="D718" s="13" t="s">
        <v>50</v>
      </c>
      <c r="E718" s="13" t="s">
        <v>50</v>
      </c>
      <c r="F718" s="14"/>
      <c r="G718" s="14">
        <v>210.0</v>
      </c>
      <c r="H718" s="14"/>
      <c r="I718" s="14">
        <v>-35.7</v>
      </c>
      <c r="J718" s="14">
        <v>-40.4</v>
      </c>
      <c r="K718" s="14"/>
      <c r="L718" s="14">
        <v>146.5</v>
      </c>
      <c r="M718" s="13" t="s">
        <v>46</v>
      </c>
      <c r="N718" s="13" t="s">
        <v>50</v>
      </c>
      <c r="O718" s="13" t="s">
        <v>50</v>
      </c>
      <c r="P718" s="13" t="s">
        <v>50</v>
      </c>
      <c r="Q718" s="13" t="s">
        <v>50</v>
      </c>
      <c r="R718" s="13" t="s">
        <v>50</v>
      </c>
      <c r="S718" s="14"/>
      <c r="T718" s="14"/>
      <c r="U718" s="14" t="s">
        <v>50</v>
      </c>
      <c r="V718" s="13" t="s">
        <v>52</v>
      </c>
      <c r="W718" s="13" t="s">
        <v>7476</v>
      </c>
      <c r="X718" s="13" t="s">
        <v>7477</v>
      </c>
      <c r="Y718" s="13" t="s">
        <v>7478</v>
      </c>
      <c r="Z718" s="13" t="s">
        <v>50</v>
      </c>
      <c r="AA718" s="13" t="s">
        <v>50</v>
      </c>
      <c r="AB718" s="13" t="s">
        <v>7476</v>
      </c>
      <c r="AC718" s="13" t="s">
        <v>7479</v>
      </c>
      <c r="AD718" s="13" t="s">
        <v>7480</v>
      </c>
      <c r="AE718" s="13" t="s">
        <v>58</v>
      </c>
      <c r="AF718" s="13" t="s">
        <v>58</v>
      </c>
      <c r="AG718" s="13" t="s">
        <v>7481</v>
      </c>
      <c r="AH718" s="13" t="s">
        <v>60</v>
      </c>
      <c r="AI718" s="13" t="s">
        <v>61</v>
      </c>
      <c r="AJ718" s="13" t="s">
        <v>3484</v>
      </c>
      <c r="AK718" s="13" t="s">
        <v>7482</v>
      </c>
      <c r="AL718" s="13" t="s">
        <v>64</v>
      </c>
      <c r="AM718" s="13" t="s">
        <v>7483</v>
      </c>
      <c r="AN718" s="13" t="s">
        <v>50</v>
      </c>
      <c r="AO718" s="15" t="s">
        <v>50</v>
      </c>
      <c r="AP718" s="13" t="s">
        <v>50</v>
      </c>
      <c r="AQ718" s="13" t="s">
        <v>50</v>
      </c>
      <c r="AR718" s="13" t="s">
        <v>50</v>
      </c>
      <c r="AS718" s="13" t="s">
        <v>50</v>
      </c>
      <c r="AT718" s="13" t="s">
        <v>50</v>
      </c>
      <c r="AU718" s="13" t="s">
        <v>50</v>
      </c>
      <c r="AV718" s="15"/>
      <c r="AW718" s="13" t="s">
        <v>50</v>
      </c>
      <c r="AX718" s="13"/>
      <c r="AY718" s="13" t="s">
        <v>50</v>
      </c>
    </row>
    <row r="719" ht="22.5" hidden="1" customHeight="1">
      <c r="A719" s="16" t="s">
        <v>7484</v>
      </c>
      <c r="B719" s="17" t="s">
        <v>7475</v>
      </c>
      <c r="C719" s="17" t="s">
        <v>43</v>
      </c>
      <c r="D719" s="17" t="s">
        <v>3477</v>
      </c>
      <c r="E719" s="17" t="s">
        <v>45</v>
      </c>
      <c r="F719" s="18">
        <v>1.0</v>
      </c>
      <c r="G719" s="18"/>
      <c r="H719" s="18"/>
      <c r="I719" s="18"/>
      <c r="J719" s="18"/>
      <c r="K719" s="18"/>
      <c r="L719" s="18"/>
      <c r="M719" s="17" t="s">
        <v>50</v>
      </c>
      <c r="N719" s="17" t="s">
        <v>45</v>
      </c>
      <c r="O719" s="17" t="s">
        <v>5094</v>
      </c>
      <c r="P719" s="17" t="s">
        <v>5095</v>
      </c>
      <c r="Q719" s="17" t="s">
        <v>5096</v>
      </c>
      <c r="R719" s="17" t="s">
        <v>74</v>
      </c>
      <c r="S719" s="18">
        <v>90.0</v>
      </c>
      <c r="T719" s="18">
        <v>39.99</v>
      </c>
      <c r="U719" s="18" t="s">
        <v>51</v>
      </c>
      <c r="V719" s="17" t="s">
        <v>50</v>
      </c>
      <c r="W719" s="17" t="s">
        <v>50</v>
      </c>
      <c r="X719" s="17" t="s">
        <v>50</v>
      </c>
      <c r="Y719" s="17" t="s">
        <v>50</v>
      </c>
      <c r="Z719" s="17" t="s">
        <v>50</v>
      </c>
      <c r="AA719" s="17" t="s">
        <v>50</v>
      </c>
      <c r="AB719" s="17" t="s">
        <v>50</v>
      </c>
      <c r="AC719" s="17" t="s">
        <v>50</v>
      </c>
      <c r="AD719" s="17" t="s">
        <v>50</v>
      </c>
      <c r="AE719" s="17" t="s">
        <v>50</v>
      </c>
      <c r="AF719" s="17" t="s">
        <v>50</v>
      </c>
      <c r="AG719" s="17" t="s">
        <v>50</v>
      </c>
      <c r="AH719" s="17" t="s">
        <v>50</v>
      </c>
      <c r="AI719" s="17" t="s">
        <v>50</v>
      </c>
      <c r="AJ719" s="17" t="s">
        <v>50</v>
      </c>
      <c r="AK719" s="17" t="s">
        <v>50</v>
      </c>
      <c r="AL719" s="17" t="s">
        <v>50</v>
      </c>
      <c r="AM719" s="17" t="s">
        <v>50</v>
      </c>
      <c r="AN719" s="17" t="s">
        <v>50</v>
      </c>
      <c r="AO719" s="18" t="s">
        <v>50</v>
      </c>
      <c r="AP719" s="17" t="s">
        <v>50</v>
      </c>
      <c r="AQ719" s="17" t="s">
        <v>50</v>
      </c>
      <c r="AR719" s="17" t="s">
        <v>50</v>
      </c>
      <c r="AS719" s="17" t="s">
        <v>50</v>
      </c>
      <c r="AT719" s="17" t="s">
        <v>50</v>
      </c>
      <c r="AU719" s="17" t="s">
        <v>50</v>
      </c>
      <c r="AV719" s="18"/>
      <c r="AW719" s="17" t="s">
        <v>66</v>
      </c>
      <c r="AX719" s="17"/>
      <c r="AY719" s="17" t="s">
        <v>66</v>
      </c>
    </row>
    <row r="720" ht="22.5" hidden="1" customHeight="1">
      <c r="A720" s="16" t="s">
        <v>7485</v>
      </c>
      <c r="B720" s="17" t="s">
        <v>7475</v>
      </c>
      <c r="C720" s="17" t="s">
        <v>43</v>
      </c>
      <c r="D720" s="17" t="s">
        <v>3477</v>
      </c>
      <c r="E720" s="17" t="s">
        <v>45</v>
      </c>
      <c r="F720" s="18">
        <v>1.0</v>
      </c>
      <c r="G720" s="18"/>
      <c r="H720" s="18"/>
      <c r="I720" s="18"/>
      <c r="J720" s="18"/>
      <c r="K720" s="18"/>
      <c r="L720" s="18"/>
      <c r="M720" s="17" t="s">
        <v>50</v>
      </c>
      <c r="N720" s="17" t="s">
        <v>45</v>
      </c>
      <c r="O720" s="17" t="s">
        <v>85</v>
      </c>
      <c r="P720" s="17" t="s">
        <v>86</v>
      </c>
      <c r="Q720" s="17" t="s">
        <v>87</v>
      </c>
      <c r="R720" s="17" t="s">
        <v>74</v>
      </c>
      <c r="S720" s="18">
        <v>120.0</v>
      </c>
      <c r="T720" s="18">
        <v>65.78</v>
      </c>
      <c r="U720" s="18" t="s">
        <v>51</v>
      </c>
      <c r="V720" s="17" t="s">
        <v>50</v>
      </c>
      <c r="W720" s="17" t="s">
        <v>50</v>
      </c>
      <c r="X720" s="17" t="s">
        <v>50</v>
      </c>
      <c r="Y720" s="17" t="s">
        <v>50</v>
      </c>
      <c r="Z720" s="17" t="s">
        <v>50</v>
      </c>
      <c r="AA720" s="17" t="s">
        <v>50</v>
      </c>
      <c r="AB720" s="17" t="s">
        <v>50</v>
      </c>
      <c r="AC720" s="17" t="s">
        <v>50</v>
      </c>
      <c r="AD720" s="17" t="s">
        <v>50</v>
      </c>
      <c r="AE720" s="17" t="s">
        <v>50</v>
      </c>
      <c r="AF720" s="17" t="s">
        <v>50</v>
      </c>
      <c r="AG720" s="17" t="s">
        <v>50</v>
      </c>
      <c r="AH720" s="17" t="s">
        <v>50</v>
      </c>
      <c r="AI720" s="17" t="s">
        <v>50</v>
      </c>
      <c r="AJ720" s="17" t="s">
        <v>50</v>
      </c>
      <c r="AK720" s="17" t="s">
        <v>50</v>
      </c>
      <c r="AL720" s="17" t="s">
        <v>50</v>
      </c>
      <c r="AM720" s="17" t="s">
        <v>50</v>
      </c>
      <c r="AN720" s="17" t="s">
        <v>50</v>
      </c>
      <c r="AO720" s="18" t="s">
        <v>50</v>
      </c>
      <c r="AP720" s="17" t="s">
        <v>50</v>
      </c>
      <c r="AQ720" s="17" t="s">
        <v>50</v>
      </c>
      <c r="AR720" s="17" t="s">
        <v>50</v>
      </c>
      <c r="AS720" s="17" t="s">
        <v>50</v>
      </c>
      <c r="AT720" s="17" t="s">
        <v>50</v>
      </c>
      <c r="AU720" s="17" t="s">
        <v>50</v>
      </c>
      <c r="AV720" s="18"/>
      <c r="AW720" s="17" t="s">
        <v>66</v>
      </c>
      <c r="AX720" s="17"/>
      <c r="AY720" s="17" t="s">
        <v>66</v>
      </c>
    </row>
    <row r="721" ht="22.5" hidden="1" customHeight="1">
      <c r="A721" s="9" t="s">
        <v>7486</v>
      </c>
      <c r="B721" s="10" t="s">
        <v>7487</v>
      </c>
      <c r="C721" s="10" t="s">
        <v>43</v>
      </c>
      <c r="D721" s="10" t="s">
        <v>2402</v>
      </c>
      <c r="E721" s="10" t="s">
        <v>45</v>
      </c>
      <c r="F721" s="11">
        <v>2.0</v>
      </c>
      <c r="G721" s="11">
        <v>160.0</v>
      </c>
      <c r="H721" s="11"/>
      <c r="I721" s="11">
        <v>-27.2</v>
      </c>
      <c r="J721" s="11">
        <v>-39.9</v>
      </c>
      <c r="K721" s="11"/>
      <c r="L721" s="11">
        <v>100.9</v>
      </c>
      <c r="M721" s="10" t="s">
        <v>46</v>
      </c>
      <c r="N721" s="10" t="s">
        <v>45</v>
      </c>
      <c r="O721" s="10" t="s">
        <v>143</v>
      </c>
      <c r="P721" s="10" t="s">
        <v>144</v>
      </c>
      <c r="Q721" s="10" t="s">
        <v>145</v>
      </c>
      <c r="R721" s="10" t="s">
        <v>74</v>
      </c>
      <c r="S721" s="11">
        <v>80.0</v>
      </c>
      <c r="T721" s="11">
        <v>33.38</v>
      </c>
      <c r="U721" s="11" t="s">
        <v>51</v>
      </c>
      <c r="V721" s="10" t="s">
        <v>52</v>
      </c>
      <c r="W721" s="10" t="s">
        <v>7488</v>
      </c>
      <c r="X721" s="10" t="s">
        <v>7489</v>
      </c>
      <c r="Y721" s="10" t="s">
        <v>7490</v>
      </c>
      <c r="Z721" s="10" t="s">
        <v>50</v>
      </c>
      <c r="AA721" s="10" t="s">
        <v>50</v>
      </c>
      <c r="AB721" s="10" t="s">
        <v>7488</v>
      </c>
      <c r="AC721" s="10" t="s">
        <v>7491</v>
      </c>
      <c r="AD721" s="10" t="s">
        <v>7492</v>
      </c>
      <c r="AE721" s="10" t="s">
        <v>7493</v>
      </c>
      <c r="AF721" s="10" t="s">
        <v>284</v>
      </c>
      <c r="AG721" s="10" t="s">
        <v>7494</v>
      </c>
      <c r="AH721" s="10" t="s">
        <v>60</v>
      </c>
      <c r="AI721" s="10" t="s">
        <v>61</v>
      </c>
      <c r="AJ721" s="10" t="s">
        <v>6751</v>
      </c>
      <c r="AK721" s="10" t="s">
        <v>7495</v>
      </c>
      <c r="AL721" s="10" t="s">
        <v>64</v>
      </c>
      <c r="AM721" s="10" t="s">
        <v>7496</v>
      </c>
      <c r="AN721" s="10" t="s">
        <v>50</v>
      </c>
      <c r="AO721" s="11" t="s">
        <v>50</v>
      </c>
      <c r="AP721" s="10" t="s">
        <v>50</v>
      </c>
      <c r="AQ721" s="10" t="s">
        <v>50</v>
      </c>
      <c r="AR721" s="10" t="s">
        <v>50</v>
      </c>
      <c r="AS721" s="10" t="s">
        <v>50</v>
      </c>
      <c r="AT721" s="10" t="s">
        <v>50</v>
      </c>
      <c r="AU721" s="10" t="s">
        <v>50</v>
      </c>
      <c r="AV721" s="11"/>
      <c r="AW721" s="10" t="s">
        <v>66</v>
      </c>
      <c r="AX721" s="10"/>
      <c r="AY721" s="10" t="s">
        <v>66</v>
      </c>
    </row>
    <row r="722" ht="22.5" hidden="1" customHeight="1">
      <c r="A722" s="9" t="s">
        <v>7497</v>
      </c>
      <c r="B722" s="10" t="s">
        <v>7498</v>
      </c>
      <c r="C722" s="10" t="s">
        <v>43</v>
      </c>
      <c r="D722" s="10" t="s">
        <v>3477</v>
      </c>
      <c r="E722" s="10" t="s">
        <v>66</v>
      </c>
      <c r="F722" s="11">
        <v>1.0</v>
      </c>
      <c r="G722" s="11">
        <v>80.0</v>
      </c>
      <c r="H722" s="11"/>
      <c r="I722" s="11">
        <v>-13.6</v>
      </c>
      <c r="J722" s="11">
        <v>-19.95</v>
      </c>
      <c r="K722" s="11"/>
      <c r="L722" s="11">
        <v>50.45</v>
      </c>
      <c r="M722" s="10" t="s">
        <v>46</v>
      </c>
      <c r="N722" s="10" t="s">
        <v>45</v>
      </c>
      <c r="O722" s="10" t="s">
        <v>143</v>
      </c>
      <c r="P722" s="10" t="s">
        <v>144</v>
      </c>
      <c r="Q722" s="10" t="s">
        <v>145</v>
      </c>
      <c r="R722" s="10" t="s">
        <v>74</v>
      </c>
      <c r="S722" s="11">
        <v>80.0</v>
      </c>
      <c r="T722" s="11">
        <v>33.38</v>
      </c>
      <c r="U722" s="11" t="s">
        <v>51</v>
      </c>
      <c r="V722" s="10" t="s">
        <v>52</v>
      </c>
      <c r="W722" s="10" t="s">
        <v>7499</v>
      </c>
      <c r="X722" s="10" t="s">
        <v>7500</v>
      </c>
      <c r="Y722" s="10" t="s">
        <v>7501</v>
      </c>
      <c r="Z722" s="10" t="s">
        <v>50</v>
      </c>
      <c r="AA722" s="10" t="s">
        <v>50</v>
      </c>
      <c r="AB722" s="10" t="s">
        <v>7499</v>
      </c>
      <c r="AC722" s="10" t="s">
        <v>7502</v>
      </c>
      <c r="AD722" s="10" t="s">
        <v>7503</v>
      </c>
      <c r="AE722" s="10" t="s">
        <v>1730</v>
      </c>
      <c r="AF722" s="10" t="s">
        <v>58</v>
      </c>
      <c r="AG722" s="10" t="s">
        <v>7504</v>
      </c>
      <c r="AH722" s="10" t="s">
        <v>60</v>
      </c>
      <c r="AI722" s="10" t="s">
        <v>61</v>
      </c>
      <c r="AJ722" s="10" t="s">
        <v>7324</v>
      </c>
      <c r="AK722" s="10" t="s">
        <v>7505</v>
      </c>
      <c r="AL722" s="10" t="s">
        <v>64</v>
      </c>
      <c r="AM722" s="10" t="s">
        <v>7506</v>
      </c>
      <c r="AN722" s="10" t="s">
        <v>7507</v>
      </c>
      <c r="AO722" s="11" t="s">
        <v>50</v>
      </c>
      <c r="AP722" s="10" t="s">
        <v>50</v>
      </c>
      <c r="AQ722" s="10" t="s">
        <v>50</v>
      </c>
      <c r="AR722" s="10" t="s">
        <v>50</v>
      </c>
      <c r="AS722" s="10" t="s">
        <v>50</v>
      </c>
      <c r="AT722" s="10" t="s">
        <v>50</v>
      </c>
      <c r="AU722" s="10" t="s">
        <v>50</v>
      </c>
      <c r="AV722" s="11"/>
      <c r="AW722" s="10" t="s">
        <v>66</v>
      </c>
      <c r="AX722" s="10"/>
      <c r="AY722" s="10" t="s">
        <v>66</v>
      </c>
    </row>
    <row r="723" ht="22.5" hidden="1" customHeight="1">
      <c r="A723" s="9" t="s">
        <v>7508</v>
      </c>
      <c r="B723" s="10" t="s">
        <v>7509</v>
      </c>
      <c r="C723" s="10" t="s">
        <v>69</v>
      </c>
      <c r="D723" s="10" t="s">
        <v>70</v>
      </c>
      <c r="E723" s="10" t="s">
        <v>66</v>
      </c>
      <c r="F723" s="11">
        <v>1.0</v>
      </c>
      <c r="G723" s="11">
        <v>120.0</v>
      </c>
      <c r="H723" s="11"/>
      <c r="I723" s="11">
        <v>-20.4</v>
      </c>
      <c r="J723" s="11">
        <v>-19.95</v>
      </c>
      <c r="K723" s="11">
        <v>-86.85</v>
      </c>
      <c r="L723" s="11">
        <v>0.0</v>
      </c>
      <c r="M723" s="10" t="s">
        <v>46</v>
      </c>
      <c r="N723" s="10" t="s">
        <v>45</v>
      </c>
      <c r="O723" s="10" t="s">
        <v>85</v>
      </c>
      <c r="P723" s="10" t="s">
        <v>86</v>
      </c>
      <c r="Q723" s="10" t="s">
        <v>87</v>
      </c>
      <c r="R723" s="10" t="s">
        <v>74</v>
      </c>
      <c r="S723" s="11">
        <v>120.0</v>
      </c>
      <c r="T723" s="11"/>
      <c r="U723" s="11" t="s">
        <v>51</v>
      </c>
      <c r="V723" s="10" t="s">
        <v>75</v>
      </c>
      <c r="W723" s="10" t="s">
        <v>7510</v>
      </c>
      <c r="X723" s="10" t="s">
        <v>7511</v>
      </c>
      <c r="Y723" s="10" t="s">
        <v>7512</v>
      </c>
      <c r="Z723" s="10" t="s">
        <v>50</v>
      </c>
      <c r="AA723" s="10" t="s">
        <v>50</v>
      </c>
      <c r="AB723" s="10" t="s">
        <v>7510</v>
      </c>
      <c r="AC723" s="10" t="s">
        <v>7513</v>
      </c>
      <c r="AD723" s="10" t="s">
        <v>50</v>
      </c>
      <c r="AE723" s="10" t="s">
        <v>7514</v>
      </c>
      <c r="AF723" s="10" t="s">
        <v>58</v>
      </c>
      <c r="AG723" s="10" t="s">
        <v>7515</v>
      </c>
      <c r="AH723" s="10" t="s">
        <v>60</v>
      </c>
      <c r="AI723" s="10" t="s">
        <v>61</v>
      </c>
      <c r="AJ723" s="10" t="s">
        <v>50</v>
      </c>
      <c r="AK723" s="10" t="s">
        <v>50</v>
      </c>
      <c r="AL723" s="10" t="s">
        <v>64</v>
      </c>
      <c r="AM723" s="10" t="s">
        <v>50</v>
      </c>
      <c r="AN723" s="10" t="s">
        <v>50</v>
      </c>
      <c r="AO723" s="11" t="s">
        <v>50</v>
      </c>
      <c r="AP723" s="10" t="s">
        <v>50</v>
      </c>
      <c r="AQ723" s="10" t="s">
        <v>50</v>
      </c>
      <c r="AR723" s="10" t="s">
        <v>50</v>
      </c>
      <c r="AS723" s="10" t="s">
        <v>50</v>
      </c>
      <c r="AT723" s="10" t="s">
        <v>50</v>
      </c>
      <c r="AU723" s="10" t="s">
        <v>50</v>
      </c>
      <c r="AV723" s="11"/>
      <c r="AW723" s="10" t="s">
        <v>66</v>
      </c>
      <c r="AX723" s="10"/>
      <c r="AY723" s="10" t="s">
        <v>66</v>
      </c>
    </row>
    <row r="724" ht="22.5" hidden="1" customHeight="1">
      <c r="A724" s="9" t="s">
        <v>7516</v>
      </c>
      <c r="B724" s="10" t="s">
        <v>7517</v>
      </c>
      <c r="C724" s="10" t="s">
        <v>43</v>
      </c>
      <c r="D724" s="10" t="s">
        <v>7518</v>
      </c>
      <c r="E724" s="10" t="s">
        <v>66</v>
      </c>
      <c r="F724" s="11">
        <v>1.0</v>
      </c>
      <c r="G724" s="11">
        <v>43.7</v>
      </c>
      <c r="H724" s="11">
        <v>9.94</v>
      </c>
      <c r="I724" s="11">
        <v>-13.43</v>
      </c>
      <c r="J724" s="11">
        <v>-9.94</v>
      </c>
      <c r="K724" s="11"/>
      <c r="L724" s="11">
        <v>32.89</v>
      </c>
      <c r="M724" s="10" t="s">
        <v>46</v>
      </c>
      <c r="N724" s="10" t="s">
        <v>50</v>
      </c>
      <c r="O724" s="10" t="s">
        <v>176</v>
      </c>
      <c r="P724" s="10" t="s">
        <v>177</v>
      </c>
      <c r="Q724" s="10" t="s">
        <v>178</v>
      </c>
      <c r="R724" s="10" t="s">
        <v>74</v>
      </c>
      <c r="S724" s="11">
        <v>43.7</v>
      </c>
      <c r="T724" s="11">
        <v>22.58</v>
      </c>
      <c r="U724" s="11" t="s">
        <v>51</v>
      </c>
      <c r="V724" s="10" t="s">
        <v>52</v>
      </c>
      <c r="W724" s="10" t="s">
        <v>7519</v>
      </c>
      <c r="X724" s="10" t="s">
        <v>7520</v>
      </c>
      <c r="Y724" s="10" t="s">
        <v>7521</v>
      </c>
      <c r="Z724" s="10" t="s">
        <v>50</v>
      </c>
      <c r="AA724" s="10" t="s">
        <v>50</v>
      </c>
      <c r="AB724" s="10" t="s">
        <v>7519</v>
      </c>
      <c r="AC724" s="10" t="s">
        <v>7522</v>
      </c>
      <c r="AD724" s="10" t="s">
        <v>7523</v>
      </c>
      <c r="AE724" s="10" t="s">
        <v>58</v>
      </c>
      <c r="AF724" s="10" t="s">
        <v>58</v>
      </c>
      <c r="AG724" s="10" t="s">
        <v>7524</v>
      </c>
      <c r="AH724" s="10" t="s">
        <v>60</v>
      </c>
      <c r="AI724" s="10" t="s">
        <v>61</v>
      </c>
      <c r="AJ724" s="10" t="s">
        <v>7525</v>
      </c>
      <c r="AK724" s="10" t="s">
        <v>7526</v>
      </c>
      <c r="AL724" s="10" t="s">
        <v>64</v>
      </c>
      <c r="AM724" s="10" t="s">
        <v>7527</v>
      </c>
      <c r="AN724" s="10" t="s">
        <v>50</v>
      </c>
      <c r="AO724" s="11" t="s">
        <v>50</v>
      </c>
      <c r="AP724" s="10" t="s">
        <v>50</v>
      </c>
      <c r="AQ724" s="10" t="s">
        <v>50</v>
      </c>
      <c r="AR724" s="10" t="s">
        <v>50</v>
      </c>
      <c r="AS724" s="10" t="s">
        <v>50</v>
      </c>
      <c r="AT724" s="10" t="s">
        <v>50</v>
      </c>
      <c r="AU724" s="10" t="s">
        <v>50</v>
      </c>
      <c r="AV724" s="11"/>
      <c r="AW724" s="10" t="s">
        <v>66</v>
      </c>
      <c r="AX724" s="10"/>
      <c r="AY724" s="10" t="s">
        <v>66</v>
      </c>
    </row>
    <row r="725" ht="22.5" hidden="1" customHeight="1">
      <c r="A725" s="9" t="s">
        <v>7528</v>
      </c>
      <c r="B725" s="10" t="s">
        <v>7529</v>
      </c>
      <c r="C725" s="10" t="s">
        <v>43</v>
      </c>
      <c r="D725" s="10" t="s">
        <v>7530</v>
      </c>
      <c r="E725" s="10" t="s">
        <v>66</v>
      </c>
      <c r="F725" s="11">
        <v>1.0</v>
      </c>
      <c r="G725" s="11">
        <v>120.0</v>
      </c>
      <c r="H725" s="11"/>
      <c r="I725" s="11">
        <v>-20.4</v>
      </c>
      <c r="J725" s="11">
        <v>-19.95</v>
      </c>
      <c r="K725" s="11"/>
      <c r="L725" s="11">
        <v>86.85</v>
      </c>
      <c r="M725" s="10" t="s">
        <v>46</v>
      </c>
      <c r="N725" s="10" t="s">
        <v>45</v>
      </c>
      <c r="O725" s="10" t="s">
        <v>85</v>
      </c>
      <c r="P725" s="10" t="s">
        <v>86</v>
      </c>
      <c r="Q725" s="10" t="s">
        <v>87</v>
      </c>
      <c r="R725" s="10" t="s">
        <v>74</v>
      </c>
      <c r="S725" s="11">
        <v>120.0</v>
      </c>
      <c r="T725" s="11">
        <v>65.78</v>
      </c>
      <c r="U725" s="11" t="s">
        <v>51</v>
      </c>
      <c r="V725" s="10" t="s">
        <v>52</v>
      </c>
      <c r="W725" s="10" t="s">
        <v>7531</v>
      </c>
      <c r="X725" s="10" t="s">
        <v>7532</v>
      </c>
      <c r="Y725" s="10" t="s">
        <v>7533</v>
      </c>
      <c r="Z725" s="10" t="s">
        <v>50</v>
      </c>
      <c r="AA725" s="10" t="s">
        <v>50</v>
      </c>
      <c r="AB725" s="10" t="s">
        <v>7531</v>
      </c>
      <c r="AC725" s="10" t="s">
        <v>7534</v>
      </c>
      <c r="AD725" s="10" t="s">
        <v>7535</v>
      </c>
      <c r="AE725" s="10" t="s">
        <v>7536</v>
      </c>
      <c r="AF725" s="10" t="s">
        <v>119</v>
      </c>
      <c r="AG725" s="10" t="s">
        <v>7537</v>
      </c>
      <c r="AH725" s="10" t="s">
        <v>60</v>
      </c>
      <c r="AI725" s="10" t="s">
        <v>61</v>
      </c>
      <c r="AJ725" s="10" t="s">
        <v>7538</v>
      </c>
      <c r="AK725" s="10" t="s">
        <v>7539</v>
      </c>
      <c r="AL725" s="10" t="s">
        <v>64</v>
      </c>
      <c r="AM725" s="10" t="s">
        <v>7540</v>
      </c>
      <c r="AN725" s="10" t="s">
        <v>50</v>
      </c>
      <c r="AO725" s="11" t="s">
        <v>50</v>
      </c>
      <c r="AP725" s="10" t="s">
        <v>50</v>
      </c>
      <c r="AQ725" s="10" t="s">
        <v>50</v>
      </c>
      <c r="AR725" s="10" t="s">
        <v>50</v>
      </c>
      <c r="AS725" s="10" t="s">
        <v>50</v>
      </c>
      <c r="AT725" s="10" t="s">
        <v>50</v>
      </c>
      <c r="AU725" s="10" t="s">
        <v>50</v>
      </c>
      <c r="AV725" s="11"/>
      <c r="AW725" s="10" t="s">
        <v>66</v>
      </c>
      <c r="AX725" s="10"/>
      <c r="AY725" s="10" t="s">
        <v>66</v>
      </c>
    </row>
    <row r="726" ht="22.5" hidden="1" customHeight="1">
      <c r="A726" s="9" t="s">
        <v>7541</v>
      </c>
      <c r="B726" s="10" t="s">
        <v>7542</v>
      </c>
      <c r="C726" s="10" t="s">
        <v>43</v>
      </c>
      <c r="D726" s="10" t="s">
        <v>7518</v>
      </c>
      <c r="E726" s="10" t="s">
        <v>45</v>
      </c>
      <c r="F726" s="11">
        <v>2.0</v>
      </c>
      <c r="G726" s="11">
        <v>87.4</v>
      </c>
      <c r="H726" s="11">
        <v>6.31</v>
      </c>
      <c r="I726" s="11">
        <v>-26.86</v>
      </c>
      <c r="J726" s="11">
        <v>-6.31</v>
      </c>
      <c r="K726" s="11"/>
      <c r="L726" s="11">
        <v>65.78</v>
      </c>
      <c r="M726" s="10" t="s">
        <v>46</v>
      </c>
      <c r="N726" s="10" t="s">
        <v>50</v>
      </c>
      <c r="O726" s="10" t="s">
        <v>176</v>
      </c>
      <c r="P726" s="10" t="s">
        <v>177</v>
      </c>
      <c r="Q726" s="10" t="s">
        <v>178</v>
      </c>
      <c r="R726" s="10" t="s">
        <v>74</v>
      </c>
      <c r="S726" s="11">
        <v>43.7</v>
      </c>
      <c r="T726" s="11">
        <f>2*22.58</f>
        <v>45.16</v>
      </c>
      <c r="U726" s="11" t="s">
        <v>51</v>
      </c>
      <c r="V726" s="10" t="s">
        <v>52</v>
      </c>
      <c r="W726" s="10" t="s">
        <v>7543</v>
      </c>
      <c r="X726" s="10" t="s">
        <v>7544</v>
      </c>
      <c r="Y726" s="10" t="s">
        <v>7545</v>
      </c>
      <c r="Z726" s="10" t="s">
        <v>50</v>
      </c>
      <c r="AA726" s="10" t="s">
        <v>50</v>
      </c>
      <c r="AB726" s="10" t="s">
        <v>7543</v>
      </c>
      <c r="AC726" s="10" t="s">
        <v>7546</v>
      </c>
      <c r="AD726" s="10" t="s">
        <v>7547</v>
      </c>
      <c r="AE726" s="10" t="s">
        <v>7548</v>
      </c>
      <c r="AF726" s="10" t="s">
        <v>284</v>
      </c>
      <c r="AG726" s="10" t="s">
        <v>7549</v>
      </c>
      <c r="AH726" s="10" t="s">
        <v>60</v>
      </c>
      <c r="AI726" s="10" t="s">
        <v>61</v>
      </c>
      <c r="AJ726" s="10" t="s">
        <v>7550</v>
      </c>
      <c r="AK726" s="10" t="s">
        <v>7551</v>
      </c>
      <c r="AL726" s="10" t="s">
        <v>64</v>
      </c>
      <c r="AM726" s="10" t="s">
        <v>7552</v>
      </c>
      <c r="AN726" s="10" t="s">
        <v>50</v>
      </c>
      <c r="AO726" s="11" t="s">
        <v>50</v>
      </c>
      <c r="AP726" s="10" t="s">
        <v>50</v>
      </c>
      <c r="AQ726" s="10" t="s">
        <v>50</v>
      </c>
      <c r="AR726" s="10" t="s">
        <v>50</v>
      </c>
      <c r="AS726" s="10" t="s">
        <v>50</v>
      </c>
      <c r="AT726" s="10" t="s">
        <v>50</v>
      </c>
      <c r="AU726" s="10" t="s">
        <v>50</v>
      </c>
      <c r="AV726" s="11"/>
      <c r="AW726" s="10" t="s">
        <v>66</v>
      </c>
      <c r="AX726" s="10"/>
      <c r="AY726" s="10" t="s">
        <v>66</v>
      </c>
    </row>
    <row r="727" ht="22.5" hidden="1" customHeight="1">
      <c r="A727" s="9" t="s">
        <v>7553</v>
      </c>
      <c r="B727" s="10" t="s">
        <v>7554</v>
      </c>
      <c r="C727" s="10" t="s">
        <v>43</v>
      </c>
      <c r="D727" s="10" t="s">
        <v>5200</v>
      </c>
      <c r="E727" s="10" t="s">
        <v>66</v>
      </c>
      <c r="F727" s="11">
        <v>1.0</v>
      </c>
      <c r="G727" s="11">
        <v>120.0</v>
      </c>
      <c r="H727" s="11"/>
      <c r="I727" s="11">
        <v>-20.4</v>
      </c>
      <c r="J727" s="11">
        <v>-19.95</v>
      </c>
      <c r="K727" s="11"/>
      <c r="L727" s="11">
        <v>86.85</v>
      </c>
      <c r="M727" s="10" t="s">
        <v>46</v>
      </c>
      <c r="N727" s="10" t="s">
        <v>45</v>
      </c>
      <c r="O727" s="10" t="s">
        <v>85</v>
      </c>
      <c r="P727" s="10" t="s">
        <v>86</v>
      </c>
      <c r="Q727" s="10" t="s">
        <v>87</v>
      </c>
      <c r="R727" s="10" t="s">
        <v>74</v>
      </c>
      <c r="S727" s="11">
        <v>120.0</v>
      </c>
      <c r="T727" s="11">
        <v>65.78</v>
      </c>
      <c r="U727" s="11" t="s">
        <v>51</v>
      </c>
      <c r="V727" s="10" t="s">
        <v>52</v>
      </c>
      <c r="W727" s="10" t="s">
        <v>7555</v>
      </c>
      <c r="X727" s="10" t="s">
        <v>7556</v>
      </c>
      <c r="Y727" s="10" t="s">
        <v>7557</v>
      </c>
      <c r="Z727" s="10" t="s">
        <v>50</v>
      </c>
      <c r="AA727" s="10" t="s">
        <v>50</v>
      </c>
      <c r="AB727" s="10" t="s">
        <v>7555</v>
      </c>
      <c r="AC727" s="10" t="s">
        <v>7558</v>
      </c>
      <c r="AD727" s="10" t="s">
        <v>7559</v>
      </c>
      <c r="AE727" s="10" t="s">
        <v>3430</v>
      </c>
      <c r="AF727" s="10" t="s">
        <v>775</v>
      </c>
      <c r="AG727" s="10" t="s">
        <v>7560</v>
      </c>
      <c r="AH727" s="10" t="s">
        <v>60</v>
      </c>
      <c r="AI727" s="10" t="s">
        <v>61</v>
      </c>
      <c r="AJ727" s="10" t="s">
        <v>7561</v>
      </c>
      <c r="AK727" s="10" t="s">
        <v>7562</v>
      </c>
      <c r="AL727" s="10" t="s">
        <v>64</v>
      </c>
      <c r="AM727" s="10" t="s">
        <v>7563</v>
      </c>
      <c r="AN727" s="10" t="s">
        <v>50</v>
      </c>
      <c r="AO727" s="11" t="s">
        <v>50</v>
      </c>
      <c r="AP727" s="10" t="s">
        <v>50</v>
      </c>
      <c r="AQ727" s="10" t="s">
        <v>50</v>
      </c>
      <c r="AR727" s="10" t="s">
        <v>50</v>
      </c>
      <c r="AS727" s="10" t="s">
        <v>50</v>
      </c>
      <c r="AT727" s="10" t="s">
        <v>50</v>
      </c>
      <c r="AU727" s="10" t="s">
        <v>50</v>
      </c>
      <c r="AV727" s="11"/>
      <c r="AW727" s="10" t="s">
        <v>66</v>
      </c>
      <c r="AX727" s="10"/>
      <c r="AY727" s="10" t="s">
        <v>66</v>
      </c>
    </row>
    <row r="728" ht="22.5" hidden="1" customHeight="1">
      <c r="A728" s="9" t="s">
        <v>7564</v>
      </c>
      <c r="B728" s="10" t="s">
        <v>7565</v>
      </c>
      <c r="C728" s="10" t="s">
        <v>43</v>
      </c>
      <c r="D728" s="10" t="s">
        <v>7518</v>
      </c>
      <c r="E728" s="10" t="s">
        <v>45</v>
      </c>
      <c r="F728" s="11">
        <v>2.0</v>
      </c>
      <c r="G728" s="11">
        <v>87.4</v>
      </c>
      <c r="H728" s="11">
        <v>2.13</v>
      </c>
      <c r="I728" s="11">
        <v>-26.86</v>
      </c>
      <c r="J728" s="11">
        <v>-2.13</v>
      </c>
      <c r="K728" s="11"/>
      <c r="L728" s="11">
        <v>65.78</v>
      </c>
      <c r="M728" s="10" t="s">
        <v>46</v>
      </c>
      <c r="N728" s="10" t="s">
        <v>45</v>
      </c>
      <c r="O728" s="10" t="s">
        <v>176</v>
      </c>
      <c r="P728" s="10" t="s">
        <v>177</v>
      </c>
      <c r="Q728" s="10" t="s">
        <v>178</v>
      </c>
      <c r="R728" s="10" t="s">
        <v>74</v>
      </c>
      <c r="S728" s="11">
        <v>43.7</v>
      </c>
      <c r="T728" s="11">
        <f>2*22.58</f>
        <v>45.16</v>
      </c>
      <c r="U728" s="11" t="s">
        <v>51</v>
      </c>
      <c r="V728" s="10" t="s">
        <v>52</v>
      </c>
      <c r="W728" s="10" t="s">
        <v>7566</v>
      </c>
      <c r="X728" s="10" t="s">
        <v>7567</v>
      </c>
      <c r="Y728" s="10" t="s">
        <v>7568</v>
      </c>
      <c r="Z728" s="10" t="s">
        <v>50</v>
      </c>
      <c r="AA728" s="10" t="s">
        <v>50</v>
      </c>
      <c r="AB728" s="10" t="s">
        <v>7566</v>
      </c>
      <c r="AC728" s="10" t="s">
        <v>7569</v>
      </c>
      <c r="AD728" s="10" t="s">
        <v>7570</v>
      </c>
      <c r="AE728" s="10" t="s">
        <v>7470</v>
      </c>
      <c r="AF728" s="10" t="s">
        <v>151</v>
      </c>
      <c r="AG728" s="10" t="s">
        <v>7571</v>
      </c>
      <c r="AH728" s="10" t="s">
        <v>60</v>
      </c>
      <c r="AI728" s="10" t="s">
        <v>61</v>
      </c>
      <c r="AJ728" s="10" t="s">
        <v>7572</v>
      </c>
      <c r="AK728" s="10" t="s">
        <v>7573</v>
      </c>
      <c r="AL728" s="10" t="s">
        <v>64</v>
      </c>
      <c r="AM728" s="10" t="s">
        <v>7574</v>
      </c>
      <c r="AN728" s="10" t="s">
        <v>50</v>
      </c>
      <c r="AO728" s="11" t="s">
        <v>50</v>
      </c>
      <c r="AP728" s="10" t="s">
        <v>50</v>
      </c>
      <c r="AQ728" s="10" t="s">
        <v>50</v>
      </c>
      <c r="AR728" s="10" t="s">
        <v>50</v>
      </c>
      <c r="AS728" s="10" t="s">
        <v>50</v>
      </c>
      <c r="AT728" s="10" t="s">
        <v>50</v>
      </c>
      <c r="AU728" s="10" t="s">
        <v>50</v>
      </c>
      <c r="AV728" s="11"/>
      <c r="AW728" s="10" t="s">
        <v>66</v>
      </c>
      <c r="AX728" s="10"/>
      <c r="AY728" s="10" t="s">
        <v>66</v>
      </c>
    </row>
    <row r="729" ht="22.5" hidden="1" customHeight="1">
      <c r="A729" s="9" t="s">
        <v>7575</v>
      </c>
      <c r="B729" s="10" t="s">
        <v>7576</v>
      </c>
      <c r="C729" s="10" t="s">
        <v>43</v>
      </c>
      <c r="D729" s="10" t="s">
        <v>7577</v>
      </c>
      <c r="E729" s="10" t="s">
        <v>66</v>
      </c>
      <c r="F729" s="11">
        <v>1.0</v>
      </c>
      <c r="G729" s="11">
        <v>43.7</v>
      </c>
      <c r="H729" s="11">
        <v>17.95</v>
      </c>
      <c r="I729" s="11">
        <v>-13.43</v>
      </c>
      <c r="J729" s="11">
        <v>-17.95</v>
      </c>
      <c r="K729" s="11"/>
      <c r="L729" s="11">
        <v>32.89</v>
      </c>
      <c r="M729" s="10" t="s">
        <v>46</v>
      </c>
      <c r="N729" s="10" t="s">
        <v>50</v>
      </c>
      <c r="O729" s="10" t="s">
        <v>176</v>
      </c>
      <c r="P729" s="10" t="s">
        <v>177</v>
      </c>
      <c r="Q729" s="10" t="s">
        <v>178</v>
      </c>
      <c r="R729" s="10" t="s">
        <v>74</v>
      </c>
      <c r="S729" s="11">
        <v>43.7</v>
      </c>
      <c r="T729" s="11">
        <v>22.58</v>
      </c>
      <c r="U729" s="11" t="s">
        <v>51</v>
      </c>
      <c r="V729" s="10" t="s">
        <v>52</v>
      </c>
      <c r="W729" s="10" t="s">
        <v>7578</v>
      </c>
      <c r="X729" s="10" t="s">
        <v>7579</v>
      </c>
      <c r="Y729" s="10" t="s">
        <v>7580</v>
      </c>
      <c r="Z729" s="10" t="s">
        <v>50</v>
      </c>
      <c r="AA729" s="10" t="s">
        <v>50</v>
      </c>
      <c r="AB729" s="10" t="s">
        <v>7578</v>
      </c>
      <c r="AC729" s="10" t="s">
        <v>7581</v>
      </c>
      <c r="AD729" s="10" t="s">
        <v>7582</v>
      </c>
      <c r="AE729" s="10" t="s">
        <v>3694</v>
      </c>
      <c r="AF729" s="10" t="s">
        <v>151</v>
      </c>
      <c r="AG729" s="10" t="s">
        <v>7583</v>
      </c>
      <c r="AH729" s="10" t="s">
        <v>60</v>
      </c>
      <c r="AI729" s="10" t="s">
        <v>61</v>
      </c>
      <c r="AJ729" s="10" t="s">
        <v>7572</v>
      </c>
      <c r="AK729" s="10" t="s">
        <v>7584</v>
      </c>
      <c r="AL729" s="10" t="s">
        <v>64</v>
      </c>
      <c r="AM729" s="10" t="s">
        <v>7585</v>
      </c>
      <c r="AN729" s="10" t="s">
        <v>7586</v>
      </c>
      <c r="AO729" s="11" t="s">
        <v>50</v>
      </c>
      <c r="AP729" s="10" t="s">
        <v>50</v>
      </c>
      <c r="AQ729" s="10" t="s">
        <v>50</v>
      </c>
      <c r="AR729" s="10" t="s">
        <v>50</v>
      </c>
      <c r="AS729" s="10" t="s">
        <v>50</v>
      </c>
      <c r="AT729" s="10" t="s">
        <v>50</v>
      </c>
      <c r="AU729" s="10" t="s">
        <v>50</v>
      </c>
      <c r="AV729" s="11"/>
      <c r="AW729" s="10" t="s">
        <v>66</v>
      </c>
      <c r="AX729" s="10"/>
      <c r="AY729" s="10" t="s">
        <v>66</v>
      </c>
    </row>
    <row r="730" ht="22.5" hidden="1" customHeight="1">
      <c r="A730" s="9" t="s">
        <v>7587</v>
      </c>
      <c r="B730" s="10" t="s">
        <v>7588</v>
      </c>
      <c r="C730" s="10" t="s">
        <v>43</v>
      </c>
      <c r="D730" s="10" t="s">
        <v>7518</v>
      </c>
      <c r="E730" s="10" t="s">
        <v>66</v>
      </c>
      <c r="F730" s="11">
        <v>1.0</v>
      </c>
      <c r="G730" s="11">
        <v>80.0</v>
      </c>
      <c r="H730" s="11"/>
      <c r="I730" s="11">
        <v>-13.6</v>
      </c>
      <c r="J730" s="11">
        <v>-19.95</v>
      </c>
      <c r="K730" s="11"/>
      <c r="L730" s="11">
        <v>50.45</v>
      </c>
      <c r="M730" s="10" t="s">
        <v>46</v>
      </c>
      <c r="N730" s="10" t="s">
        <v>50</v>
      </c>
      <c r="O730" s="10" t="s">
        <v>143</v>
      </c>
      <c r="P730" s="10" t="s">
        <v>144</v>
      </c>
      <c r="Q730" s="10" t="s">
        <v>145</v>
      </c>
      <c r="R730" s="10" t="s">
        <v>74</v>
      </c>
      <c r="S730" s="11">
        <v>80.0</v>
      </c>
      <c r="T730" s="11">
        <v>33.38</v>
      </c>
      <c r="U730" s="11" t="s">
        <v>51</v>
      </c>
      <c r="V730" s="10" t="s">
        <v>52</v>
      </c>
      <c r="W730" s="10" t="s">
        <v>7589</v>
      </c>
      <c r="X730" s="10" t="s">
        <v>7590</v>
      </c>
      <c r="Y730" s="10" t="s">
        <v>7591</v>
      </c>
      <c r="Z730" s="10" t="s">
        <v>3736</v>
      </c>
      <c r="AA730" s="10" t="s">
        <v>7592</v>
      </c>
      <c r="AB730" s="10" t="s">
        <v>7589</v>
      </c>
      <c r="AC730" s="10" t="s">
        <v>7593</v>
      </c>
      <c r="AD730" s="10" t="s">
        <v>7594</v>
      </c>
      <c r="AE730" s="10" t="s">
        <v>3359</v>
      </c>
      <c r="AF730" s="10" t="s">
        <v>185</v>
      </c>
      <c r="AG730" s="10" t="s">
        <v>7595</v>
      </c>
      <c r="AH730" s="10" t="s">
        <v>60</v>
      </c>
      <c r="AI730" s="10" t="s">
        <v>61</v>
      </c>
      <c r="AJ730" s="10" t="s">
        <v>7596</v>
      </c>
      <c r="AK730" s="10" t="s">
        <v>7597</v>
      </c>
      <c r="AL730" s="10" t="s">
        <v>64</v>
      </c>
      <c r="AM730" s="10" t="s">
        <v>7598</v>
      </c>
      <c r="AN730" s="10" t="s">
        <v>50</v>
      </c>
      <c r="AO730" s="11" t="s">
        <v>50</v>
      </c>
      <c r="AP730" s="10" t="s">
        <v>50</v>
      </c>
      <c r="AQ730" s="10" t="s">
        <v>50</v>
      </c>
      <c r="AR730" s="10" t="s">
        <v>50</v>
      </c>
      <c r="AS730" s="10" t="s">
        <v>50</v>
      </c>
      <c r="AT730" s="10" t="s">
        <v>50</v>
      </c>
      <c r="AU730" s="10" t="s">
        <v>50</v>
      </c>
      <c r="AV730" s="11"/>
      <c r="AW730" s="10" t="s">
        <v>66</v>
      </c>
      <c r="AX730" s="10"/>
      <c r="AY730" s="10" t="s">
        <v>66</v>
      </c>
    </row>
    <row r="731" ht="22.5" hidden="1" customHeight="1">
      <c r="A731" s="9" t="s">
        <v>7599</v>
      </c>
      <c r="B731" s="10" t="s">
        <v>7600</v>
      </c>
      <c r="C731" s="10" t="s">
        <v>43</v>
      </c>
      <c r="D731" s="10" t="s">
        <v>7530</v>
      </c>
      <c r="E731" s="10" t="s">
        <v>45</v>
      </c>
      <c r="F731" s="11">
        <v>2.0</v>
      </c>
      <c r="G731" s="11">
        <v>87.4</v>
      </c>
      <c r="H731" s="11"/>
      <c r="I731" s="11">
        <v>-26.86</v>
      </c>
      <c r="J731" s="11"/>
      <c r="K731" s="11"/>
      <c r="L731" s="11">
        <v>65.78</v>
      </c>
      <c r="M731" s="10" t="s">
        <v>46</v>
      </c>
      <c r="N731" s="10" t="s">
        <v>50</v>
      </c>
      <c r="O731" s="10" t="s">
        <v>176</v>
      </c>
      <c r="P731" s="10" t="s">
        <v>177</v>
      </c>
      <c r="Q731" s="10" t="s">
        <v>178</v>
      </c>
      <c r="R731" s="10" t="s">
        <v>74</v>
      </c>
      <c r="S731" s="11">
        <v>43.7</v>
      </c>
      <c r="T731" s="11">
        <f>2*22.58</f>
        <v>45.16</v>
      </c>
      <c r="U731" s="11" t="s">
        <v>51</v>
      </c>
      <c r="V731" s="10" t="s">
        <v>52</v>
      </c>
      <c r="W731" s="10" t="s">
        <v>7601</v>
      </c>
      <c r="X731" s="10" t="s">
        <v>7602</v>
      </c>
      <c r="Y731" s="10" t="s">
        <v>7603</v>
      </c>
      <c r="Z731" s="10" t="s">
        <v>50</v>
      </c>
      <c r="AA731" s="10" t="s">
        <v>50</v>
      </c>
      <c r="AB731" s="10" t="s">
        <v>7601</v>
      </c>
      <c r="AC731" s="10" t="s">
        <v>7604</v>
      </c>
      <c r="AD731" s="10" t="s">
        <v>7605</v>
      </c>
      <c r="AE731" s="10" t="s">
        <v>58</v>
      </c>
      <c r="AF731" s="10" t="s">
        <v>58</v>
      </c>
      <c r="AG731" s="10" t="s">
        <v>7606</v>
      </c>
      <c r="AH731" s="10" t="s">
        <v>60</v>
      </c>
      <c r="AI731" s="10" t="s">
        <v>61</v>
      </c>
      <c r="AJ731" s="10" t="s">
        <v>7607</v>
      </c>
      <c r="AK731" s="10" t="s">
        <v>7608</v>
      </c>
      <c r="AL731" s="10" t="s">
        <v>64</v>
      </c>
      <c r="AM731" s="10" t="s">
        <v>7609</v>
      </c>
      <c r="AN731" s="10" t="s">
        <v>50</v>
      </c>
      <c r="AO731" s="11" t="s">
        <v>50</v>
      </c>
      <c r="AP731" s="10" t="s">
        <v>50</v>
      </c>
      <c r="AQ731" s="10" t="s">
        <v>50</v>
      </c>
      <c r="AR731" s="10" t="s">
        <v>50</v>
      </c>
      <c r="AS731" s="10" t="s">
        <v>50</v>
      </c>
      <c r="AT731" s="10" t="s">
        <v>50</v>
      </c>
      <c r="AU731" s="10" t="s">
        <v>50</v>
      </c>
      <c r="AV731" s="11"/>
      <c r="AW731" s="10" t="s">
        <v>66</v>
      </c>
      <c r="AX731" s="10"/>
      <c r="AY731" s="10" t="s">
        <v>66</v>
      </c>
    </row>
    <row r="732" ht="22.5" hidden="1" customHeight="1">
      <c r="A732" s="9" t="s">
        <v>7610</v>
      </c>
      <c r="B732" s="10" t="s">
        <v>7611</v>
      </c>
      <c r="C732" s="10" t="s">
        <v>43</v>
      </c>
      <c r="D732" s="10" t="s">
        <v>7518</v>
      </c>
      <c r="E732" s="10" t="s">
        <v>66</v>
      </c>
      <c r="F732" s="11">
        <v>1.0</v>
      </c>
      <c r="G732" s="11">
        <v>120.0</v>
      </c>
      <c r="H732" s="11"/>
      <c r="I732" s="11">
        <v>-20.4</v>
      </c>
      <c r="J732" s="11">
        <v>-19.95</v>
      </c>
      <c r="K732" s="11"/>
      <c r="L732" s="11">
        <v>86.85</v>
      </c>
      <c r="M732" s="10" t="s">
        <v>46</v>
      </c>
      <c r="N732" s="10" t="s">
        <v>50</v>
      </c>
      <c r="O732" s="10" t="s">
        <v>85</v>
      </c>
      <c r="P732" s="10" t="s">
        <v>86</v>
      </c>
      <c r="Q732" s="10" t="s">
        <v>87</v>
      </c>
      <c r="R732" s="10" t="s">
        <v>74</v>
      </c>
      <c r="S732" s="11">
        <v>120.0</v>
      </c>
      <c r="T732" s="11">
        <v>65.78</v>
      </c>
      <c r="U732" s="11" t="s">
        <v>51</v>
      </c>
      <c r="V732" s="10" t="s">
        <v>52</v>
      </c>
      <c r="W732" s="10" t="s">
        <v>7612</v>
      </c>
      <c r="X732" s="10" t="s">
        <v>7613</v>
      </c>
      <c r="Y732" s="10" t="s">
        <v>7614</v>
      </c>
      <c r="Z732" s="10" t="s">
        <v>50</v>
      </c>
      <c r="AA732" s="10" t="s">
        <v>50</v>
      </c>
      <c r="AB732" s="10" t="s">
        <v>7612</v>
      </c>
      <c r="AC732" s="10" t="s">
        <v>7615</v>
      </c>
      <c r="AD732" s="10" t="s">
        <v>7616</v>
      </c>
      <c r="AE732" s="10" t="s">
        <v>7470</v>
      </c>
      <c r="AF732" s="10" t="s">
        <v>151</v>
      </c>
      <c r="AG732" s="10" t="s">
        <v>7617</v>
      </c>
      <c r="AH732" s="10" t="s">
        <v>60</v>
      </c>
      <c r="AI732" s="10" t="s">
        <v>61</v>
      </c>
      <c r="AJ732" s="10" t="s">
        <v>7572</v>
      </c>
      <c r="AK732" s="10" t="s">
        <v>7618</v>
      </c>
      <c r="AL732" s="10" t="s">
        <v>64</v>
      </c>
      <c r="AM732" s="10" t="s">
        <v>7619</v>
      </c>
      <c r="AN732" s="10" t="s">
        <v>50</v>
      </c>
      <c r="AO732" s="11" t="s">
        <v>50</v>
      </c>
      <c r="AP732" s="10" t="s">
        <v>50</v>
      </c>
      <c r="AQ732" s="10" t="s">
        <v>50</v>
      </c>
      <c r="AR732" s="10" t="s">
        <v>50</v>
      </c>
      <c r="AS732" s="10" t="s">
        <v>50</v>
      </c>
      <c r="AT732" s="10" t="s">
        <v>50</v>
      </c>
      <c r="AU732" s="10" t="s">
        <v>50</v>
      </c>
      <c r="AV732" s="11"/>
      <c r="AW732" s="10" t="s">
        <v>66</v>
      </c>
      <c r="AX732" s="10"/>
      <c r="AY732" s="10" t="s">
        <v>66</v>
      </c>
    </row>
    <row r="733" ht="22.5" hidden="1" customHeight="1">
      <c r="A733" s="9" t="s">
        <v>7620</v>
      </c>
      <c r="B733" s="10" t="s">
        <v>7621</v>
      </c>
      <c r="C733" s="10" t="s">
        <v>43</v>
      </c>
      <c r="D733" s="10" t="s">
        <v>5200</v>
      </c>
      <c r="E733" s="10" t="s">
        <v>66</v>
      </c>
      <c r="F733" s="11">
        <v>1.0</v>
      </c>
      <c r="G733" s="11">
        <v>43.7</v>
      </c>
      <c r="H733" s="11">
        <v>28.97</v>
      </c>
      <c r="I733" s="11">
        <v>-13.43</v>
      </c>
      <c r="J733" s="11">
        <v>-28.97</v>
      </c>
      <c r="K733" s="11"/>
      <c r="L733" s="11">
        <v>32.89</v>
      </c>
      <c r="M733" s="10" t="s">
        <v>46</v>
      </c>
      <c r="N733" s="10" t="s">
        <v>50</v>
      </c>
      <c r="O733" s="10" t="s">
        <v>176</v>
      </c>
      <c r="P733" s="10" t="s">
        <v>177</v>
      </c>
      <c r="Q733" s="10" t="s">
        <v>178</v>
      </c>
      <c r="R733" s="10" t="s">
        <v>74</v>
      </c>
      <c r="S733" s="11">
        <v>43.7</v>
      </c>
      <c r="T733" s="11">
        <v>22.58</v>
      </c>
      <c r="U733" s="11" t="s">
        <v>51</v>
      </c>
      <c r="V733" s="10" t="s">
        <v>52</v>
      </c>
      <c r="W733" s="10" t="s">
        <v>7622</v>
      </c>
      <c r="X733" s="10" t="s">
        <v>7623</v>
      </c>
      <c r="Y733" s="10" t="s">
        <v>7624</v>
      </c>
      <c r="Z733" s="10" t="s">
        <v>50</v>
      </c>
      <c r="AA733" s="10" t="s">
        <v>50</v>
      </c>
      <c r="AB733" s="10" t="s">
        <v>7622</v>
      </c>
      <c r="AC733" s="10" t="s">
        <v>7625</v>
      </c>
      <c r="AD733" s="10" t="s">
        <v>7626</v>
      </c>
      <c r="AE733" s="10" t="s">
        <v>7627</v>
      </c>
      <c r="AF733" s="10" t="s">
        <v>775</v>
      </c>
      <c r="AG733" s="10" t="s">
        <v>7628</v>
      </c>
      <c r="AH733" s="10" t="s">
        <v>60</v>
      </c>
      <c r="AI733" s="10" t="s">
        <v>61</v>
      </c>
      <c r="AJ733" s="10" t="s">
        <v>7561</v>
      </c>
      <c r="AK733" s="10" t="s">
        <v>7629</v>
      </c>
      <c r="AL733" s="10" t="s">
        <v>64</v>
      </c>
      <c r="AM733" s="10" t="s">
        <v>7630</v>
      </c>
      <c r="AN733" s="10" t="s">
        <v>50</v>
      </c>
      <c r="AO733" s="11" t="s">
        <v>50</v>
      </c>
      <c r="AP733" s="10" t="s">
        <v>50</v>
      </c>
      <c r="AQ733" s="10" t="s">
        <v>50</v>
      </c>
      <c r="AR733" s="10" t="s">
        <v>50</v>
      </c>
      <c r="AS733" s="10" t="s">
        <v>50</v>
      </c>
      <c r="AT733" s="10" t="s">
        <v>50</v>
      </c>
      <c r="AU733" s="10" t="s">
        <v>50</v>
      </c>
      <c r="AV733" s="11"/>
      <c r="AW733" s="10" t="s">
        <v>66</v>
      </c>
      <c r="AX733" s="10"/>
      <c r="AY733" s="10" t="s">
        <v>66</v>
      </c>
    </row>
    <row r="734" ht="22.5" hidden="1" customHeight="1">
      <c r="A734" s="9" t="s">
        <v>7631</v>
      </c>
      <c r="B734" s="10" t="s">
        <v>7632</v>
      </c>
      <c r="C734" s="10" t="s">
        <v>43</v>
      </c>
      <c r="D734" s="10" t="s">
        <v>734</v>
      </c>
      <c r="E734" s="10" t="s">
        <v>45</v>
      </c>
      <c r="F734" s="11">
        <v>1.0</v>
      </c>
      <c r="G734" s="11">
        <v>89.3</v>
      </c>
      <c r="H734" s="11">
        <v>29.21</v>
      </c>
      <c r="I734" s="11">
        <v>-15.18</v>
      </c>
      <c r="J734" s="11">
        <v>-49.66</v>
      </c>
      <c r="K734" s="11"/>
      <c r="L734" s="11">
        <v>59.03</v>
      </c>
      <c r="M734" s="10" t="s">
        <v>46</v>
      </c>
      <c r="N734" s="10" t="s">
        <v>50</v>
      </c>
      <c r="O734" s="10" t="s">
        <v>2185</v>
      </c>
      <c r="P734" s="10" t="s">
        <v>2186</v>
      </c>
      <c r="Q734" s="10" t="s">
        <v>2187</v>
      </c>
      <c r="R734" s="10" t="s">
        <v>74</v>
      </c>
      <c r="S734" s="11">
        <v>89.3</v>
      </c>
      <c r="T734" s="11">
        <v>28.26</v>
      </c>
      <c r="U734" s="11" t="s">
        <v>51</v>
      </c>
      <c r="V734" s="10" t="s">
        <v>52</v>
      </c>
      <c r="W734" s="10" t="s">
        <v>7633</v>
      </c>
      <c r="X734" s="10" t="s">
        <v>7634</v>
      </c>
      <c r="Y734" s="10" t="s">
        <v>7635</v>
      </c>
      <c r="Z734" s="10" t="s">
        <v>50</v>
      </c>
      <c r="AA734" s="10" t="s">
        <v>50</v>
      </c>
      <c r="AB734" s="10" t="s">
        <v>7633</v>
      </c>
      <c r="AC734" s="10" t="s">
        <v>7636</v>
      </c>
      <c r="AD734" s="10" t="s">
        <v>7637</v>
      </c>
      <c r="AE734" s="10" t="s">
        <v>7638</v>
      </c>
      <c r="AF734" s="10" t="s">
        <v>561</v>
      </c>
      <c r="AG734" s="10" t="s">
        <v>7639</v>
      </c>
      <c r="AH734" s="10" t="s">
        <v>60</v>
      </c>
      <c r="AI734" s="10" t="s">
        <v>61</v>
      </c>
      <c r="AJ734" s="10" t="s">
        <v>7640</v>
      </c>
      <c r="AK734" s="10" t="s">
        <v>7641</v>
      </c>
      <c r="AL734" s="10" t="s">
        <v>2113</v>
      </c>
      <c r="AM734" s="10" t="s">
        <v>7642</v>
      </c>
      <c r="AN734" s="10" t="s">
        <v>7643</v>
      </c>
      <c r="AO734" s="11" t="s">
        <v>50</v>
      </c>
      <c r="AP734" s="10" t="s">
        <v>50</v>
      </c>
      <c r="AQ734" s="10" t="s">
        <v>50</v>
      </c>
      <c r="AR734" s="10" t="s">
        <v>50</v>
      </c>
      <c r="AS734" s="10" t="s">
        <v>50</v>
      </c>
      <c r="AT734" s="10" t="s">
        <v>50</v>
      </c>
      <c r="AU734" s="10" t="s">
        <v>50</v>
      </c>
      <c r="AV734" s="11"/>
      <c r="AW734" s="10" t="s">
        <v>66</v>
      </c>
      <c r="AX734" s="10"/>
      <c r="AY734" s="10" t="s">
        <v>66</v>
      </c>
    </row>
    <row r="735" ht="22.5" hidden="1" customHeight="1">
      <c r="A735" s="9" t="s">
        <v>7644</v>
      </c>
      <c r="B735" s="10" t="s">
        <v>7645</v>
      </c>
      <c r="C735" s="10" t="s">
        <v>43</v>
      </c>
      <c r="D735" s="10" t="s">
        <v>7530</v>
      </c>
      <c r="E735" s="10" t="s">
        <v>66</v>
      </c>
      <c r="F735" s="11">
        <v>1.0</v>
      </c>
      <c r="G735" s="11">
        <v>120.0</v>
      </c>
      <c r="H735" s="11"/>
      <c r="I735" s="11">
        <v>-20.4</v>
      </c>
      <c r="J735" s="11">
        <v>-19.95</v>
      </c>
      <c r="K735" s="11"/>
      <c r="L735" s="11">
        <v>86.85</v>
      </c>
      <c r="M735" s="10" t="s">
        <v>46</v>
      </c>
      <c r="N735" s="10" t="s">
        <v>50</v>
      </c>
      <c r="O735" s="10" t="s">
        <v>85</v>
      </c>
      <c r="P735" s="10" t="s">
        <v>86</v>
      </c>
      <c r="Q735" s="10" t="s">
        <v>87</v>
      </c>
      <c r="R735" s="10" t="s">
        <v>74</v>
      </c>
      <c r="S735" s="11">
        <v>120.0</v>
      </c>
      <c r="T735" s="11">
        <v>65.78</v>
      </c>
      <c r="U735" s="11" t="s">
        <v>51</v>
      </c>
      <c r="V735" s="10" t="s">
        <v>52</v>
      </c>
      <c r="W735" s="10" t="s">
        <v>7646</v>
      </c>
      <c r="X735" s="10" t="s">
        <v>7647</v>
      </c>
      <c r="Y735" s="10" t="s">
        <v>7648</v>
      </c>
      <c r="Z735" s="10" t="s">
        <v>50</v>
      </c>
      <c r="AA735" s="10" t="s">
        <v>50</v>
      </c>
      <c r="AB735" s="10" t="s">
        <v>7646</v>
      </c>
      <c r="AC735" s="10" t="s">
        <v>7649</v>
      </c>
      <c r="AD735" s="10" t="s">
        <v>7650</v>
      </c>
      <c r="AE735" s="10" t="s">
        <v>845</v>
      </c>
      <c r="AF735" s="10" t="s">
        <v>119</v>
      </c>
      <c r="AG735" s="10" t="s">
        <v>7651</v>
      </c>
      <c r="AH735" s="10" t="s">
        <v>60</v>
      </c>
      <c r="AI735" s="10" t="s">
        <v>61</v>
      </c>
      <c r="AJ735" s="10" t="s">
        <v>7652</v>
      </c>
      <c r="AK735" s="10" t="s">
        <v>7653</v>
      </c>
      <c r="AL735" s="10" t="s">
        <v>64</v>
      </c>
      <c r="AM735" s="10" t="s">
        <v>7654</v>
      </c>
      <c r="AN735" s="10" t="s">
        <v>50</v>
      </c>
      <c r="AO735" s="11" t="s">
        <v>50</v>
      </c>
      <c r="AP735" s="10" t="s">
        <v>50</v>
      </c>
      <c r="AQ735" s="10" t="s">
        <v>50</v>
      </c>
      <c r="AR735" s="10" t="s">
        <v>50</v>
      </c>
      <c r="AS735" s="10" t="s">
        <v>50</v>
      </c>
      <c r="AT735" s="10" t="s">
        <v>50</v>
      </c>
      <c r="AU735" s="10" t="s">
        <v>50</v>
      </c>
      <c r="AV735" s="11"/>
      <c r="AW735" s="10" t="s">
        <v>66</v>
      </c>
      <c r="AX735" s="10"/>
      <c r="AY735" s="10" t="s">
        <v>66</v>
      </c>
    </row>
    <row r="736" ht="22.5" hidden="1" customHeight="1">
      <c r="A736" s="9" t="s">
        <v>7655</v>
      </c>
      <c r="B736" s="10" t="s">
        <v>7656</v>
      </c>
      <c r="C736" s="10" t="s">
        <v>43</v>
      </c>
      <c r="D736" s="10" t="s">
        <v>7518</v>
      </c>
      <c r="E736" s="10" t="s">
        <v>45</v>
      </c>
      <c r="F736" s="11">
        <v>1.0</v>
      </c>
      <c r="G736" s="11">
        <v>80.0</v>
      </c>
      <c r="H736" s="11"/>
      <c r="I736" s="11">
        <v>-13.6</v>
      </c>
      <c r="J736" s="11">
        <v>-19.95</v>
      </c>
      <c r="K736" s="11"/>
      <c r="L736" s="11">
        <v>50.45</v>
      </c>
      <c r="M736" s="10" t="s">
        <v>46</v>
      </c>
      <c r="N736" s="10" t="s">
        <v>45</v>
      </c>
      <c r="O736" s="10" t="s">
        <v>143</v>
      </c>
      <c r="P736" s="10" t="s">
        <v>144</v>
      </c>
      <c r="Q736" s="10" t="s">
        <v>145</v>
      </c>
      <c r="R736" s="10" t="s">
        <v>74</v>
      </c>
      <c r="S736" s="11">
        <v>80.0</v>
      </c>
      <c r="T736" s="11">
        <v>33.38</v>
      </c>
      <c r="U736" s="11" t="s">
        <v>51</v>
      </c>
      <c r="V736" s="10" t="s">
        <v>52</v>
      </c>
      <c r="W736" s="10" t="s">
        <v>7657</v>
      </c>
      <c r="X736" s="10" t="s">
        <v>7658</v>
      </c>
      <c r="Y736" s="10" t="s">
        <v>7659</v>
      </c>
      <c r="Z736" s="10" t="s">
        <v>50</v>
      </c>
      <c r="AA736" s="10" t="s">
        <v>50</v>
      </c>
      <c r="AB736" s="10" t="s">
        <v>7657</v>
      </c>
      <c r="AC736" s="10" t="s">
        <v>7660</v>
      </c>
      <c r="AD736" s="10" t="s">
        <v>7661</v>
      </c>
      <c r="AE736" s="10" t="s">
        <v>7662</v>
      </c>
      <c r="AF736" s="10" t="s">
        <v>775</v>
      </c>
      <c r="AG736" s="10" t="s">
        <v>7663</v>
      </c>
      <c r="AH736" s="10" t="s">
        <v>60</v>
      </c>
      <c r="AI736" s="10" t="s">
        <v>61</v>
      </c>
      <c r="AJ736" s="10" t="s">
        <v>7596</v>
      </c>
      <c r="AK736" s="10" t="s">
        <v>7664</v>
      </c>
      <c r="AL736" s="10" t="s">
        <v>64</v>
      </c>
      <c r="AM736" s="10" t="s">
        <v>7665</v>
      </c>
      <c r="AN736" s="10" t="s">
        <v>50</v>
      </c>
      <c r="AO736" s="11" t="s">
        <v>50</v>
      </c>
      <c r="AP736" s="10" t="s">
        <v>50</v>
      </c>
      <c r="AQ736" s="10" t="s">
        <v>50</v>
      </c>
      <c r="AR736" s="10" t="s">
        <v>50</v>
      </c>
      <c r="AS736" s="10" t="s">
        <v>50</v>
      </c>
      <c r="AT736" s="10" t="s">
        <v>50</v>
      </c>
      <c r="AU736" s="10" t="s">
        <v>50</v>
      </c>
      <c r="AV736" s="11"/>
      <c r="AW736" s="10" t="s">
        <v>66</v>
      </c>
      <c r="AX736" s="10"/>
      <c r="AY736" s="10" t="s">
        <v>66</v>
      </c>
    </row>
    <row r="737" ht="22.5" hidden="1" customHeight="1">
      <c r="A737" s="9" t="s">
        <v>7666</v>
      </c>
      <c r="B737" s="10" t="s">
        <v>7667</v>
      </c>
      <c r="C737" s="10" t="s">
        <v>43</v>
      </c>
      <c r="D737" s="10" t="s">
        <v>5200</v>
      </c>
      <c r="E737" s="10" t="s">
        <v>45</v>
      </c>
      <c r="F737" s="11">
        <v>1.0</v>
      </c>
      <c r="G737" s="11">
        <v>80.6</v>
      </c>
      <c r="H737" s="11">
        <v>9.0</v>
      </c>
      <c r="I737" s="11">
        <v>-13.7</v>
      </c>
      <c r="J737" s="11">
        <v>-29.45</v>
      </c>
      <c r="K737" s="11"/>
      <c r="L737" s="11">
        <v>46.45</v>
      </c>
      <c r="M737" s="10" t="s">
        <v>46</v>
      </c>
      <c r="N737" s="10" t="s">
        <v>45</v>
      </c>
      <c r="O737" s="10" t="s">
        <v>265</v>
      </c>
      <c r="P737" s="10" t="s">
        <v>266</v>
      </c>
      <c r="Q737" s="10" t="s">
        <v>267</v>
      </c>
      <c r="R737" s="10" t="s">
        <v>74</v>
      </c>
      <c r="S737" s="11">
        <v>80.6</v>
      </c>
      <c r="T737" s="11">
        <v>26.22</v>
      </c>
      <c r="U737" s="11" t="s">
        <v>51</v>
      </c>
      <c r="V737" s="10" t="s">
        <v>52</v>
      </c>
      <c r="W737" s="10" t="s">
        <v>7668</v>
      </c>
      <c r="X737" s="10" t="s">
        <v>7669</v>
      </c>
      <c r="Y737" s="10" t="s">
        <v>7670</v>
      </c>
      <c r="Z737" s="10" t="s">
        <v>50</v>
      </c>
      <c r="AA737" s="10" t="s">
        <v>50</v>
      </c>
      <c r="AB737" s="10" t="s">
        <v>7668</v>
      </c>
      <c r="AC737" s="10" t="s">
        <v>7671</v>
      </c>
      <c r="AD737" s="10" t="s">
        <v>7672</v>
      </c>
      <c r="AE737" s="10" t="s">
        <v>7673</v>
      </c>
      <c r="AF737" s="10" t="s">
        <v>81</v>
      </c>
      <c r="AG737" s="10" t="s">
        <v>7674</v>
      </c>
      <c r="AH737" s="10" t="s">
        <v>60</v>
      </c>
      <c r="AI737" s="10" t="s">
        <v>61</v>
      </c>
      <c r="AJ737" s="10" t="s">
        <v>7675</v>
      </c>
      <c r="AK737" s="10" t="s">
        <v>7676</v>
      </c>
      <c r="AL737" s="10" t="s">
        <v>64</v>
      </c>
      <c r="AM737" s="10" t="s">
        <v>7677</v>
      </c>
      <c r="AN737" s="10" t="s">
        <v>50</v>
      </c>
      <c r="AO737" s="11" t="s">
        <v>50</v>
      </c>
      <c r="AP737" s="10" t="s">
        <v>50</v>
      </c>
      <c r="AQ737" s="10" t="s">
        <v>50</v>
      </c>
      <c r="AR737" s="10" t="s">
        <v>50</v>
      </c>
      <c r="AS737" s="10" t="s">
        <v>50</v>
      </c>
      <c r="AT737" s="10" t="s">
        <v>50</v>
      </c>
      <c r="AU737" s="10" t="s">
        <v>50</v>
      </c>
      <c r="AV737" s="11"/>
      <c r="AW737" s="10" t="s">
        <v>66</v>
      </c>
      <c r="AX737" s="10"/>
      <c r="AY737" s="10" t="s">
        <v>66</v>
      </c>
    </row>
    <row r="738" ht="22.5" hidden="1" customHeight="1">
      <c r="A738" s="9" t="s">
        <v>7678</v>
      </c>
      <c r="B738" s="10" t="s">
        <v>7679</v>
      </c>
      <c r="C738" s="10" t="s">
        <v>43</v>
      </c>
      <c r="D738" s="10" t="s">
        <v>7518</v>
      </c>
      <c r="E738" s="10" t="s">
        <v>45</v>
      </c>
      <c r="F738" s="11">
        <v>1.0</v>
      </c>
      <c r="G738" s="11">
        <v>49.4</v>
      </c>
      <c r="H738" s="11">
        <v>14.15</v>
      </c>
      <c r="I738" s="11">
        <v>-15.39</v>
      </c>
      <c r="J738" s="11">
        <v>-14.15</v>
      </c>
      <c r="K738" s="11"/>
      <c r="L738" s="11">
        <v>36.97</v>
      </c>
      <c r="M738" s="10" t="s">
        <v>46</v>
      </c>
      <c r="N738" s="10" t="s">
        <v>45</v>
      </c>
      <c r="O738" s="10" t="s">
        <v>7680</v>
      </c>
      <c r="P738" s="10" t="s">
        <v>7681</v>
      </c>
      <c r="Q738" s="10" t="s">
        <v>7682</v>
      </c>
      <c r="R738" s="10" t="s">
        <v>50</v>
      </c>
      <c r="S738" s="11">
        <v>49.4</v>
      </c>
      <c r="T738" s="11">
        <v>4.29</v>
      </c>
      <c r="U738" s="11" t="s">
        <v>51</v>
      </c>
      <c r="V738" s="10" t="s">
        <v>52</v>
      </c>
      <c r="W738" s="10" t="s">
        <v>7683</v>
      </c>
      <c r="X738" s="10" t="s">
        <v>7684</v>
      </c>
      <c r="Y738" s="10" t="s">
        <v>7685</v>
      </c>
      <c r="Z738" s="10" t="s">
        <v>50</v>
      </c>
      <c r="AA738" s="10" t="s">
        <v>50</v>
      </c>
      <c r="AB738" s="10" t="s">
        <v>7683</v>
      </c>
      <c r="AC738" s="10" t="s">
        <v>7686</v>
      </c>
      <c r="AD738" s="10" t="s">
        <v>7687</v>
      </c>
      <c r="AE738" s="10" t="s">
        <v>283</v>
      </c>
      <c r="AF738" s="10" t="s">
        <v>284</v>
      </c>
      <c r="AG738" s="10" t="s">
        <v>7688</v>
      </c>
      <c r="AH738" s="10" t="s">
        <v>60</v>
      </c>
      <c r="AI738" s="10" t="s">
        <v>61</v>
      </c>
      <c r="AJ738" s="10" t="s">
        <v>7550</v>
      </c>
      <c r="AK738" s="10" t="s">
        <v>7689</v>
      </c>
      <c r="AL738" s="10" t="s">
        <v>64</v>
      </c>
      <c r="AM738" s="10" t="s">
        <v>7690</v>
      </c>
      <c r="AN738" s="10" t="s">
        <v>50</v>
      </c>
      <c r="AO738" s="11" t="s">
        <v>50</v>
      </c>
      <c r="AP738" s="10" t="s">
        <v>50</v>
      </c>
      <c r="AQ738" s="10" t="s">
        <v>50</v>
      </c>
      <c r="AR738" s="10" t="s">
        <v>50</v>
      </c>
      <c r="AS738" s="10" t="s">
        <v>50</v>
      </c>
      <c r="AT738" s="10" t="s">
        <v>50</v>
      </c>
      <c r="AU738" s="10" t="s">
        <v>50</v>
      </c>
      <c r="AV738" s="11"/>
      <c r="AW738" s="10" t="s">
        <v>66</v>
      </c>
      <c r="AX738" s="10"/>
      <c r="AY738" s="10" t="s">
        <v>66</v>
      </c>
    </row>
    <row r="739" ht="22.5" hidden="1" customHeight="1">
      <c r="A739" s="9" t="s">
        <v>7691</v>
      </c>
      <c r="B739" s="10" t="s">
        <v>7692</v>
      </c>
      <c r="C739" s="10" t="s">
        <v>43</v>
      </c>
      <c r="D739" s="10" t="s">
        <v>7693</v>
      </c>
      <c r="E739" s="10" t="s">
        <v>66</v>
      </c>
      <c r="F739" s="11">
        <v>1.0</v>
      </c>
      <c r="G739" s="11">
        <v>105.0</v>
      </c>
      <c r="H739" s="11"/>
      <c r="I739" s="11">
        <v>-19.95</v>
      </c>
      <c r="J739" s="11">
        <v>-19.95</v>
      </c>
      <c r="K739" s="11"/>
      <c r="L739" s="11">
        <v>65.1</v>
      </c>
      <c r="M739" s="10" t="s">
        <v>46</v>
      </c>
      <c r="N739" s="10" t="s">
        <v>45</v>
      </c>
      <c r="O739" s="10" t="s">
        <v>100</v>
      </c>
      <c r="P739" s="10" t="s">
        <v>101</v>
      </c>
      <c r="Q739" s="10" t="s">
        <v>102</v>
      </c>
      <c r="R739" s="10" t="s">
        <v>50</v>
      </c>
      <c r="S739" s="11">
        <v>105.0</v>
      </c>
      <c r="T739" s="11">
        <v>38.61</v>
      </c>
      <c r="U739" s="11" t="s">
        <v>51</v>
      </c>
      <c r="V739" s="10" t="s">
        <v>52</v>
      </c>
      <c r="W739" s="10" t="s">
        <v>7694</v>
      </c>
      <c r="X739" s="10" t="s">
        <v>7695</v>
      </c>
      <c r="Y739" s="10" t="s">
        <v>7696</v>
      </c>
      <c r="Z739" s="10" t="s">
        <v>50</v>
      </c>
      <c r="AA739" s="10" t="s">
        <v>50</v>
      </c>
      <c r="AB739" s="10" t="s">
        <v>7694</v>
      </c>
      <c r="AC739" s="10" t="s">
        <v>7697</v>
      </c>
      <c r="AD739" s="10" t="s">
        <v>7698</v>
      </c>
      <c r="AE739" s="10" t="s">
        <v>481</v>
      </c>
      <c r="AF739" s="10" t="s">
        <v>136</v>
      </c>
      <c r="AG739" s="10" t="s">
        <v>7699</v>
      </c>
      <c r="AH739" s="10" t="s">
        <v>60</v>
      </c>
      <c r="AI739" s="10" t="s">
        <v>61</v>
      </c>
      <c r="AJ739" s="10" t="s">
        <v>7700</v>
      </c>
      <c r="AK739" s="10" t="s">
        <v>7701</v>
      </c>
      <c r="AL739" s="10" t="s">
        <v>64</v>
      </c>
      <c r="AM739" s="10" t="s">
        <v>7702</v>
      </c>
      <c r="AN739" s="10" t="s">
        <v>50</v>
      </c>
      <c r="AO739" s="11" t="s">
        <v>50</v>
      </c>
      <c r="AP739" s="10" t="s">
        <v>50</v>
      </c>
      <c r="AQ739" s="10" t="s">
        <v>50</v>
      </c>
      <c r="AR739" s="10" t="s">
        <v>50</v>
      </c>
      <c r="AS739" s="10" t="s">
        <v>50</v>
      </c>
      <c r="AT739" s="10" t="s">
        <v>50</v>
      </c>
      <c r="AU739" s="10" t="s">
        <v>50</v>
      </c>
      <c r="AV739" s="11"/>
      <c r="AW739" s="10" t="s">
        <v>66</v>
      </c>
      <c r="AX739" s="10"/>
      <c r="AY739" s="10" t="s">
        <v>66</v>
      </c>
    </row>
    <row r="740" ht="22.5" hidden="1" customHeight="1">
      <c r="A740" s="9" t="s">
        <v>7703</v>
      </c>
      <c r="B740" s="10" t="s">
        <v>7704</v>
      </c>
      <c r="C740" s="10" t="s">
        <v>43</v>
      </c>
      <c r="D740" s="10" t="s">
        <v>7577</v>
      </c>
      <c r="E740" s="10" t="s">
        <v>66</v>
      </c>
      <c r="F740" s="11">
        <v>1.0</v>
      </c>
      <c r="G740" s="11">
        <v>90.0</v>
      </c>
      <c r="H740" s="11"/>
      <c r="I740" s="11">
        <v>-15.3</v>
      </c>
      <c r="J740" s="11">
        <v>-20.45</v>
      </c>
      <c r="K740" s="11"/>
      <c r="L740" s="11">
        <v>59.65</v>
      </c>
      <c r="M740" s="10" t="s">
        <v>46</v>
      </c>
      <c r="N740" s="10" t="s">
        <v>50</v>
      </c>
      <c r="O740" s="10" t="s">
        <v>5094</v>
      </c>
      <c r="P740" s="10" t="s">
        <v>5095</v>
      </c>
      <c r="Q740" s="10" t="s">
        <v>5096</v>
      </c>
      <c r="R740" s="10" t="s">
        <v>74</v>
      </c>
      <c r="S740" s="11">
        <v>90.0</v>
      </c>
      <c r="T740" s="11">
        <v>39.99</v>
      </c>
      <c r="U740" s="11" t="s">
        <v>51</v>
      </c>
      <c r="V740" s="10" t="s">
        <v>52</v>
      </c>
      <c r="W740" s="10" t="s">
        <v>7705</v>
      </c>
      <c r="X740" s="10" t="s">
        <v>7706</v>
      </c>
      <c r="Y740" s="10" t="s">
        <v>7707</v>
      </c>
      <c r="Z740" s="10" t="s">
        <v>50</v>
      </c>
      <c r="AA740" s="10" t="s">
        <v>50</v>
      </c>
      <c r="AB740" s="10" t="s">
        <v>7705</v>
      </c>
      <c r="AC740" s="10" t="s">
        <v>7708</v>
      </c>
      <c r="AD740" s="10" t="s">
        <v>7709</v>
      </c>
      <c r="AE740" s="10" t="s">
        <v>7710</v>
      </c>
      <c r="AF740" s="10" t="s">
        <v>284</v>
      </c>
      <c r="AG740" s="10" t="s">
        <v>7711</v>
      </c>
      <c r="AH740" s="10" t="s">
        <v>60</v>
      </c>
      <c r="AI740" s="10" t="s">
        <v>61</v>
      </c>
      <c r="AJ740" s="10" t="s">
        <v>7652</v>
      </c>
      <c r="AK740" s="10" t="s">
        <v>7712</v>
      </c>
      <c r="AL740" s="10" t="s">
        <v>64</v>
      </c>
      <c r="AM740" s="10" t="s">
        <v>7713</v>
      </c>
      <c r="AN740" s="10" t="s">
        <v>50</v>
      </c>
      <c r="AO740" s="11" t="s">
        <v>50</v>
      </c>
      <c r="AP740" s="10" t="s">
        <v>50</v>
      </c>
      <c r="AQ740" s="10" t="s">
        <v>50</v>
      </c>
      <c r="AR740" s="10" t="s">
        <v>50</v>
      </c>
      <c r="AS740" s="10" t="s">
        <v>50</v>
      </c>
      <c r="AT740" s="10" t="s">
        <v>50</v>
      </c>
      <c r="AU740" s="10" t="s">
        <v>50</v>
      </c>
      <c r="AV740" s="11"/>
      <c r="AW740" s="10" t="s">
        <v>66</v>
      </c>
      <c r="AX740" s="10"/>
      <c r="AY740" s="10" t="s">
        <v>66</v>
      </c>
    </row>
    <row r="741" ht="22.5" hidden="1" customHeight="1">
      <c r="A741" s="9" t="s">
        <v>7714</v>
      </c>
      <c r="B741" s="10" t="s">
        <v>7715</v>
      </c>
      <c r="C741" s="10" t="s">
        <v>43</v>
      </c>
      <c r="D741" s="10" t="s">
        <v>7518</v>
      </c>
      <c r="E741" s="10" t="s">
        <v>66</v>
      </c>
      <c r="F741" s="11">
        <v>1.0</v>
      </c>
      <c r="G741" s="11">
        <v>79.2</v>
      </c>
      <c r="H741" s="11"/>
      <c r="I741" s="11">
        <v>-13.46</v>
      </c>
      <c r="J741" s="11">
        <v>-20.45</v>
      </c>
      <c r="K741" s="11"/>
      <c r="L741" s="11">
        <v>45.29</v>
      </c>
      <c r="M741" s="10" t="s">
        <v>46</v>
      </c>
      <c r="N741" s="10" t="s">
        <v>45</v>
      </c>
      <c r="O741" s="10" t="s">
        <v>892</v>
      </c>
      <c r="P741" s="10" t="s">
        <v>893</v>
      </c>
      <c r="Q741" s="10" t="s">
        <v>894</v>
      </c>
      <c r="R741" s="10" t="s">
        <v>74</v>
      </c>
      <c r="S741" s="11">
        <v>79.2</v>
      </c>
      <c r="T741" s="11">
        <v>2.97</v>
      </c>
      <c r="U741" s="11" t="s">
        <v>51</v>
      </c>
      <c r="V741" s="10" t="s">
        <v>52</v>
      </c>
      <c r="W741" s="10" t="s">
        <v>7716</v>
      </c>
      <c r="X741" s="10" t="s">
        <v>7717</v>
      </c>
      <c r="Y741" s="10" t="s">
        <v>7718</v>
      </c>
      <c r="Z741" s="10" t="s">
        <v>50</v>
      </c>
      <c r="AA741" s="10" t="s">
        <v>50</v>
      </c>
      <c r="AB741" s="10" t="s">
        <v>7716</v>
      </c>
      <c r="AC741" s="10" t="s">
        <v>7719</v>
      </c>
      <c r="AD741" s="10" t="s">
        <v>7720</v>
      </c>
      <c r="AE741" s="10" t="s">
        <v>151</v>
      </c>
      <c r="AF741" s="10" t="s">
        <v>151</v>
      </c>
      <c r="AG741" s="10" t="s">
        <v>7721</v>
      </c>
      <c r="AH741" s="10" t="s">
        <v>60</v>
      </c>
      <c r="AI741" s="10" t="s">
        <v>61</v>
      </c>
      <c r="AJ741" s="10" t="s">
        <v>7722</v>
      </c>
      <c r="AK741" s="10" t="s">
        <v>7723</v>
      </c>
      <c r="AL741" s="10" t="s">
        <v>64</v>
      </c>
      <c r="AM741" s="10" t="s">
        <v>7724</v>
      </c>
      <c r="AN741" s="10" t="s">
        <v>50</v>
      </c>
      <c r="AO741" s="11" t="s">
        <v>50</v>
      </c>
      <c r="AP741" s="10" t="s">
        <v>50</v>
      </c>
      <c r="AQ741" s="10" t="s">
        <v>50</v>
      </c>
      <c r="AR741" s="10" t="s">
        <v>50</v>
      </c>
      <c r="AS741" s="10" t="s">
        <v>50</v>
      </c>
      <c r="AT741" s="10" t="s">
        <v>50</v>
      </c>
      <c r="AU741" s="10" t="s">
        <v>50</v>
      </c>
      <c r="AV741" s="11"/>
      <c r="AW741" s="10" t="s">
        <v>66</v>
      </c>
      <c r="AX741" s="10"/>
      <c r="AY741" s="10" t="s">
        <v>66</v>
      </c>
    </row>
    <row r="742" ht="22.5" hidden="1" customHeight="1">
      <c r="A742" s="9" t="s">
        <v>7725</v>
      </c>
      <c r="B742" s="10" t="s">
        <v>7726</v>
      </c>
      <c r="C742" s="10" t="s">
        <v>43</v>
      </c>
      <c r="D742" s="10" t="s">
        <v>7518</v>
      </c>
      <c r="E742" s="10" t="s">
        <v>66</v>
      </c>
      <c r="F742" s="11">
        <v>1.0</v>
      </c>
      <c r="G742" s="11">
        <v>79.2</v>
      </c>
      <c r="H742" s="11"/>
      <c r="I742" s="11">
        <v>-13.46</v>
      </c>
      <c r="J742" s="11">
        <v>-20.45</v>
      </c>
      <c r="K742" s="11"/>
      <c r="L742" s="11">
        <v>45.29</v>
      </c>
      <c r="M742" s="10" t="s">
        <v>46</v>
      </c>
      <c r="N742" s="10" t="s">
        <v>45</v>
      </c>
      <c r="O742" s="10" t="s">
        <v>892</v>
      </c>
      <c r="P742" s="10" t="s">
        <v>893</v>
      </c>
      <c r="Q742" s="10" t="s">
        <v>894</v>
      </c>
      <c r="R742" s="10" t="s">
        <v>74</v>
      </c>
      <c r="S742" s="11">
        <v>79.2</v>
      </c>
      <c r="T742" s="11">
        <v>2.97</v>
      </c>
      <c r="U742" s="11" t="s">
        <v>51</v>
      </c>
      <c r="V742" s="10" t="s">
        <v>52</v>
      </c>
      <c r="W742" s="10" t="s">
        <v>7727</v>
      </c>
      <c r="X742" s="10" t="s">
        <v>7728</v>
      </c>
      <c r="Y742" s="10" t="s">
        <v>7729</v>
      </c>
      <c r="Z742" s="10" t="s">
        <v>50</v>
      </c>
      <c r="AA742" s="10" t="s">
        <v>50</v>
      </c>
      <c r="AB742" s="10" t="s">
        <v>7727</v>
      </c>
      <c r="AC742" s="10" t="s">
        <v>7730</v>
      </c>
      <c r="AD742" s="10" t="s">
        <v>7731</v>
      </c>
      <c r="AE742" s="10" t="s">
        <v>3030</v>
      </c>
      <c r="AF742" s="10" t="s">
        <v>151</v>
      </c>
      <c r="AG742" s="10" t="s">
        <v>7732</v>
      </c>
      <c r="AH742" s="10" t="s">
        <v>60</v>
      </c>
      <c r="AI742" s="10" t="s">
        <v>61</v>
      </c>
      <c r="AJ742" s="10" t="s">
        <v>7572</v>
      </c>
      <c r="AK742" s="10" t="s">
        <v>7733</v>
      </c>
      <c r="AL742" s="10" t="s">
        <v>64</v>
      </c>
      <c r="AM742" s="10" t="s">
        <v>7734</v>
      </c>
      <c r="AN742" s="10" t="s">
        <v>50</v>
      </c>
      <c r="AO742" s="11" t="s">
        <v>50</v>
      </c>
      <c r="AP742" s="10" t="s">
        <v>50</v>
      </c>
      <c r="AQ742" s="10" t="s">
        <v>50</v>
      </c>
      <c r="AR742" s="10" t="s">
        <v>50</v>
      </c>
      <c r="AS742" s="10" t="s">
        <v>50</v>
      </c>
      <c r="AT742" s="10" t="s">
        <v>50</v>
      </c>
      <c r="AU742" s="10" t="s">
        <v>50</v>
      </c>
      <c r="AV742" s="11"/>
      <c r="AW742" s="10" t="s">
        <v>66</v>
      </c>
      <c r="AX742" s="10"/>
      <c r="AY742" s="10" t="s">
        <v>66</v>
      </c>
    </row>
    <row r="743" ht="22.5" hidden="1" customHeight="1">
      <c r="A743" s="12" t="s">
        <v>7735</v>
      </c>
      <c r="B743" s="13" t="s">
        <v>7736</v>
      </c>
      <c r="C743" s="13" t="s">
        <v>747</v>
      </c>
      <c r="D743" s="13" t="s">
        <v>50</v>
      </c>
      <c r="E743" s="13" t="s">
        <v>50</v>
      </c>
      <c r="F743" s="14"/>
      <c r="G743" s="14">
        <v>210.0</v>
      </c>
      <c r="H743" s="14"/>
      <c r="I743" s="14">
        <v>-35.7</v>
      </c>
      <c r="J743" s="14">
        <v>-40.4</v>
      </c>
      <c r="K743" s="14"/>
      <c r="L743" s="14">
        <v>146.5</v>
      </c>
      <c r="M743" s="13" t="s">
        <v>46</v>
      </c>
      <c r="N743" s="13" t="s">
        <v>50</v>
      </c>
      <c r="O743" s="13" t="s">
        <v>50</v>
      </c>
      <c r="P743" s="13" t="s">
        <v>50</v>
      </c>
      <c r="Q743" s="13" t="s">
        <v>50</v>
      </c>
      <c r="R743" s="13" t="s">
        <v>50</v>
      </c>
      <c r="S743" s="14"/>
      <c r="T743" s="14"/>
      <c r="U743" s="14" t="s">
        <v>50</v>
      </c>
      <c r="V743" s="13" t="s">
        <v>52</v>
      </c>
      <c r="W743" s="13" t="s">
        <v>7737</v>
      </c>
      <c r="X743" s="13" t="s">
        <v>7738</v>
      </c>
      <c r="Y743" s="13" t="s">
        <v>7739</v>
      </c>
      <c r="Z743" s="13" t="s">
        <v>50</v>
      </c>
      <c r="AA743" s="13" t="s">
        <v>50</v>
      </c>
      <c r="AB743" s="13" t="s">
        <v>7737</v>
      </c>
      <c r="AC743" s="13" t="s">
        <v>7740</v>
      </c>
      <c r="AD743" s="13" t="s">
        <v>7741</v>
      </c>
      <c r="AE743" s="13" t="s">
        <v>7742</v>
      </c>
      <c r="AF743" s="13" t="s">
        <v>58</v>
      </c>
      <c r="AG743" s="13" t="s">
        <v>7743</v>
      </c>
      <c r="AH743" s="13" t="s">
        <v>60</v>
      </c>
      <c r="AI743" s="13" t="s">
        <v>61</v>
      </c>
      <c r="AJ743" s="13" t="s">
        <v>7607</v>
      </c>
      <c r="AK743" s="13" t="s">
        <v>7744</v>
      </c>
      <c r="AL743" s="13" t="s">
        <v>64</v>
      </c>
      <c r="AM743" s="13" t="s">
        <v>7745</v>
      </c>
      <c r="AN743" s="13" t="s">
        <v>50</v>
      </c>
      <c r="AO743" s="15" t="s">
        <v>50</v>
      </c>
      <c r="AP743" s="13" t="s">
        <v>50</v>
      </c>
      <c r="AQ743" s="13" t="s">
        <v>50</v>
      </c>
      <c r="AR743" s="13" t="s">
        <v>50</v>
      </c>
      <c r="AS743" s="13" t="s">
        <v>50</v>
      </c>
      <c r="AT743" s="13" t="s">
        <v>50</v>
      </c>
      <c r="AU743" s="13" t="s">
        <v>50</v>
      </c>
      <c r="AV743" s="15"/>
      <c r="AW743" s="13" t="s">
        <v>50</v>
      </c>
      <c r="AX743" s="13"/>
      <c r="AY743" s="13" t="s">
        <v>50</v>
      </c>
    </row>
    <row r="744" ht="22.5" hidden="1" customHeight="1">
      <c r="A744" s="16" t="s">
        <v>7746</v>
      </c>
      <c r="B744" s="17" t="s">
        <v>7736</v>
      </c>
      <c r="C744" s="17" t="s">
        <v>43</v>
      </c>
      <c r="D744" s="17" t="s">
        <v>7530</v>
      </c>
      <c r="E744" s="17" t="s">
        <v>45</v>
      </c>
      <c r="F744" s="18">
        <v>1.0</v>
      </c>
      <c r="G744" s="18"/>
      <c r="H744" s="18"/>
      <c r="I744" s="18"/>
      <c r="J744" s="18"/>
      <c r="K744" s="18"/>
      <c r="L744" s="18"/>
      <c r="M744" s="17" t="s">
        <v>50</v>
      </c>
      <c r="N744" s="17" t="s">
        <v>45</v>
      </c>
      <c r="O744" s="17" t="s">
        <v>5094</v>
      </c>
      <c r="P744" s="17" t="s">
        <v>5095</v>
      </c>
      <c r="Q744" s="17" t="s">
        <v>5096</v>
      </c>
      <c r="R744" s="17" t="s">
        <v>74</v>
      </c>
      <c r="S744" s="18">
        <v>90.0</v>
      </c>
      <c r="T744" s="18">
        <v>39.99</v>
      </c>
      <c r="U744" s="18" t="s">
        <v>51</v>
      </c>
      <c r="V744" s="17" t="s">
        <v>50</v>
      </c>
      <c r="W744" s="17" t="s">
        <v>50</v>
      </c>
      <c r="X744" s="17" t="s">
        <v>50</v>
      </c>
      <c r="Y744" s="17" t="s">
        <v>50</v>
      </c>
      <c r="Z744" s="17" t="s">
        <v>50</v>
      </c>
      <c r="AA744" s="17" t="s">
        <v>50</v>
      </c>
      <c r="AB744" s="17" t="s">
        <v>50</v>
      </c>
      <c r="AC744" s="17" t="s">
        <v>50</v>
      </c>
      <c r="AD744" s="17" t="s">
        <v>50</v>
      </c>
      <c r="AE744" s="17" t="s">
        <v>50</v>
      </c>
      <c r="AF744" s="17" t="s">
        <v>50</v>
      </c>
      <c r="AG744" s="17" t="s">
        <v>50</v>
      </c>
      <c r="AH744" s="17" t="s">
        <v>50</v>
      </c>
      <c r="AI744" s="17" t="s">
        <v>50</v>
      </c>
      <c r="AJ744" s="17" t="s">
        <v>50</v>
      </c>
      <c r="AK744" s="17" t="s">
        <v>50</v>
      </c>
      <c r="AL744" s="17" t="s">
        <v>50</v>
      </c>
      <c r="AM744" s="17" t="s">
        <v>50</v>
      </c>
      <c r="AN744" s="17" t="s">
        <v>50</v>
      </c>
      <c r="AO744" s="18" t="s">
        <v>50</v>
      </c>
      <c r="AP744" s="17" t="s">
        <v>50</v>
      </c>
      <c r="AQ744" s="17" t="s">
        <v>50</v>
      </c>
      <c r="AR744" s="17" t="s">
        <v>50</v>
      </c>
      <c r="AS744" s="17" t="s">
        <v>50</v>
      </c>
      <c r="AT744" s="17" t="s">
        <v>50</v>
      </c>
      <c r="AU744" s="17" t="s">
        <v>50</v>
      </c>
      <c r="AV744" s="18"/>
      <c r="AW744" s="17" t="s">
        <v>66</v>
      </c>
      <c r="AX744" s="17"/>
      <c r="AY744" s="17" t="s">
        <v>66</v>
      </c>
    </row>
    <row r="745" ht="22.5" hidden="1" customHeight="1">
      <c r="A745" s="16" t="s">
        <v>7747</v>
      </c>
      <c r="B745" s="17" t="s">
        <v>7736</v>
      </c>
      <c r="C745" s="17" t="s">
        <v>43</v>
      </c>
      <c r="D745" s="17" t="s">
        <v>7530</v>
      </c>
      <c r="E745" s="17" t="s">
        <v>45</v>
      </c>
      <c r="F745" s="18">
        <v>1.0</v>
      </c>
      <c r="G745" s="18"/>
      <c r="H745" s="18"/>
      <c r="I745" s="18"/>
      <c r="J745" s="18"/>
      <c r="K745" s="18"/>
      <c r="L745" s="18"/>
      <c r="M745" s="17" t="s">
        <v>50</v>
      </c>
      <c r="N745" s="17" t="s">
        <v>45</v>
      </c>
      <c r="O745" s="17" t="s">
        <v>85</v>
      </c>
      <c r="P745" s="17" t="s">
        <v>86</v>
      </c>
      <c r="Q745" s="17" t="s">
        <v>87</v>
      </c>
      <c r="R745" s="17" t="s">
        <v>74</v>
      </c>
      <c r="S745" s="18">
        <v>120.0</v>
      </c>
      <c r="T745" s="18">
        <v>65.78</v>
      </c>
      <c r="U745" s="18" t="s">
        <v>51</v>
      </c>
      <c r="V745" s="17" t="s">
        <v>50</v>
      </c>
      <c r="W745" s="17" t="s">
        <v>50</v>
      </c>
      <c r="X745" s="17" t="s">
        <v>50</v>
      </c>
      <c r="Y745" s="17" t="s">
        <v>50</v>
      </c>
      <c r="Z745" s="17" t="s">
        <v>50</v>
      </c>
      <c r="AA745" s="17" t="s">
        <v>50</v>
      </c>
      <c r="AB745" s="17" t="s">
        <v>50</v>
      </c>
      <c r="AC745" s="17" t="s">
        <v>50</v>
      </c>
      <c r="AD745" s="17" t="s">
        <v>50</v>
      </c>
      <c r="AE745" s="17" t="s">
        <v>50</v>
      </c>
      <c r="AF745" s="17" t="s">
        <v>50</v>
      </c>
      <c r="AG745" s="17" t="s">
        <v>50</v>
      </c>
      <c r="AH745" s="17" t="s">
        <v>50</v>
      </c>
      <c r="AI745" s="17" t="s">
        <v>50</v>
      </c>
      <c r="AJ745" s="17" t="s">
        <v>50</v>
      </c>
      <c r="AK745" s="17" t="s">
        <v>50</v>
      </c>
      <c r="AL745" s="17" t="s">
        <v>50</v>
      </c>
      <c r="AM745" s="17" t="s">
        <v>50</v>
      </c>
      <c r="AN745" s="17" t="s">
        <v>50</v>
      </c>
      <c r="AO745" s="18" t="s">
        <v>50</v>
      </c>
      <c r="AP745" s="17" t="s">
        <v>50</v>
      </c>
      <c r="AQ745" s="17" t="s">
        <v>50</v>
      </c>
      <c r="AR745" s="17" t="s">
        <v>50</v>
      </c>
      <c r="AS745" s="17" t="s">
        <v>50</v>
      </c>
      <c r="AT745" s="17" t="s">
        <v>50</v>
      </c>
      <c r="AU745" s="17" t="s">
        <v>50</v>
      </c>
      <c r="AV745" s="18"/>
      <c r="AW745" s="17" t="s">
        <v>66</v>
      </c>
      <c r="AX745" s="17"/>
      <c r="AY745" s="17" t="s">
        <v>66</v>
      </c>
    </row>
    <row r="746" ht="22.5" hidden="1" customHeight="1">
      <c r="A746" s="9" t="s">
        <v>7748</v>
      </c>
      <c r="B746" s="10" t="s">
        <v>7749</v>
      </c>
      <c r="C746" s="10" t="s">
        <v>43</v>
      </c>
      <c r="D746" s="10" t="s">
        <v>7750</v>
      </c>
      <c r="E746" s="10" t="s">
        <v>45</v>
      </c>
      <c r="F746" s="11">
        <v>2.0</v>
      </c>
      <c r="G746" s="11">
        <v>87.4</v>
      </c>
      <c r="H746" s="11">
        <v>8.11</v>
      </c>
      <c r="I746" s="11">
        <v>-26.86</v>
      </c>
      <c r="J746" s="11">
        <v>-8.11</v>
      </c>
      <c r="K746" s="11"/>
      <c r="L746" s="11">
        <v>65.78</v>
      </c>
      <c r="M746" s="10" t="s">
        <v>46</v>
      </c>
      <c r="N746" s="10" t="s">
        <v>50</v>
      </c>
      <c r="O746" s="10" t="s">
        <v>176</v>
      </c>
      <c r="P746" s="10" t="s">
        <v>177</v>
      </c>
      <c r="Q746" s="10" t="s">
        <v>178</v>
      </c>
      <c r="R746" s="10" t="s">
        <v>74</v>
      </c>
      <c r="S746" s="11">
        <v>43.7</v>
      </c>
      <c r="T746" s="11">
        <f t="shared" ref="T746:T747" si="4">2*22.58</f>
        <v>45.16</v>
      </c>
      <c r="U746" s="11" t="s">
        <v>51</v>
      </c>
      <c r="V746" s="10" t="s">
        <v>52</v>
      </c>
      <c r="W746" s="10" t="s">
        <v>7751</v>
      </c>
      <c r="X746" s="10" t="s">
        <v>7752</v>
      </c>
      <c r="Y746" s="10" t="s">
        <v>7753</v>
      </c>
      <c r="Z746" s="10" t="s">
        <v>50</v>
      </c>
      <c r="AA746" s="10" t="s">
        <v>50</v>
      </c>
      <c r="AB746" s="10" t="s">
        <v>7751</v>
      </c>
      <c r="AC746" s="10" t="s">
        <v>7754</v>
      </c>
      <c r="AD746" s="10" t="s">
        <v>7755</v>
      </c>
      <c r="AE746" s="10" t="s">
        <v>1982</v>
      </c>
      <c r="AF746" s="10" t="s">
        <v>151</v>
      </c>
      <c r="AG746" s="10" t="s">
        <v>7756</v>
      </c>
      <c r="AH746" s="10" t="s">
        <v>60</v>
      </c>
      <c r="AI746" s="10" t="s">
        <v>61</v>
      </c>
      <c r="AJ746" s="10" t="s">
        <v>7757</v>
      </c>
      <c r="AK746" s="10" t="s">
        <v>7758</v>
      </c>
      <c r="AL746" s="10" t="s">
        <v>64</v>
      </c>
      <c r="AM746" s="10" t="s">
        <v>7759</v>
      </c>
      <c r="AN746" s="10" t="s">
        <v>50</v>
      </c>
      <c r="AO746" s="11" t="s">
        <v>50</v>
      </c>
      <c r="AP746" s="10" t="s">
        <v>50</v>
      </c>
      <c r="AQ746" s="10" t="s">
        <v>50</v>
      </c>
      <c r="AR746" s="10" t="s">
        <v>50</v>
      </c>
      <c r="AS746" s="10" t="s">
        <v>50</v>
      </c>
      <c r="AT746" s="10" t="s">
        <v>50</v>
      </c>
      <c r="AU746" s="10" t="s">
        <v>50</v>
      </c>
      <c r="AV746" s="11"/>
      <c r="AW746" s="10" t="s">
        <v>66</v>
      </c>
      <c r="AX746" s="10"/>
      <c r="AY746" s="10" t="s">
        <v>66</v>
      </c>
    </row>
    <row r="747" ht="22.5" hidden="1" customHeight="1">
      <c r="A747" s="9" t="s">
        <v>7760</v>
      </c>
      <c r="B747" s="10" t="s">
        <v>7761</v>
      </c>
      <c r="C747" s="10" t="s">
        <v>43</v>
      </c>
      <c r="D747" s="10" t="s">
        <v>7693</v>
      </c>
      <c r="E747" s="10" t="s">
        <v>45</v>
      </c>
      <c r="F747" s="11">
        <v>2.0</v>
      </c>
      <c r="G747" s="11">
        <v>87.4</v>
      </c>
      <c r="H747" s="11"/>
      <c r="I747" s="11">
        <v>-26.86</v>
      </c>
      <c r="J747" s="11"/>
      <c r="K747" s="11"/>
      <c r="L747" s="11">
        <v>65.78</v>
      </c>
      <c r="M747" s="10" t="s">
        <v>46</v>
      </c>
      <c r="N747" s="10" t="s">
        <v>50</v>
      </c>
      <c r="O747" s="10" t="s">
        <v>176</v>
      </c>
      <c r="P747" s="10" t="s">
        <v>177</v>
      </c>
      <c r="Q747" s="10" t="s">
        <v>178</v>
      </c>
      <c r="R747" s="10" t="s">
        <v>74</v>
      </c>
      <c r="S747" s="11">
        <v>43.7</v>
      </c>
      <c r="T747" s="11">
        <f t="shared" si="4"/>
        <v>45.16</v>
      </c>
      <c r="U747" s="11" t="s">
        <v>51</v>
      </c>
      <c r="V747" s="10" t="s">
        <v>52</v>
      </c>
      <c r="W747" s="10" t="s">
        <v>7762</v>
      </c>
      <c r="X747" s="10" t="s">
        <v>7763</v>
      </c>
      <c r="Y747" s="10" t="s">
        <v>7764</v>
      </c>
      <c r="Z747" s="10" t="s">
        <v>50</v>
      </c>
      <c r="AA747" s="10" t="s">
        <v>50</v>
      </c>
      <c r="AB747" s="10" t="s">
        <v>7762</v>
      </c>
      <c r="AC747" s="10" t="s">
        <v>7765</v>
      </c>
      <c r="AD747" s="10" t="s">
        <v>7766</v>
      </c>
      <c r="AE747" s="10" t="s">
        <v>7767</v>
      </c>
      <c r="AF747" s="10" t="s">
        <v>58</v>
      </c>
      <c r="AG747" s="10" t="s">
        <v>7768</v>
      </c>
      <c r="AH747" s="10" t="s">
        <v>60</v>
      </c>
      <c r="AI747" s="10" t="s">
        <v>61</v>
      </c>
      <c r="AJ747" s="10" t="s">
        <v>7675</v>
      </c>
      <c r="AK747" s="10" t="s">
        <v>7769</v>
      </c>
      <c r="AL747" s="10" t="s">
        <v>64</v>
      </c>
      <c r="AM747" s="10" t="s">
        <v>7770</v>
      </c>
      <c r="AN747" s="10" t="s">
        <v>50</v>
      </c>
      <c r="AO747" s="11" t="s">
        <v>50</v>
      </c>
      <c r="AP747" s="10" t="s">
        <v>50</v>
      </c>
      <c r="AQ747" s="10" t="s">
        <v>50</v>
      </c>
      <c r="AR747" s="10" t="s">
        <v>50</v>
      </c>
      <c r="AS747" s="10" t="s">
        <v>50</v>
      </c>
      <c r="AT747" s="10" t="s">
        <v>50</v>
      </c>
      <c r="AU747" s="10" t="s">
        <v>50</v>
      </c>
      <c r="AV747" s="11"/>
      <c r="AW747" s="10" t="s">
        <v>66</v>
      </c>
      <c r="AX747" s="10"/>
      <c r="AY747" s="10" t="s">
        <v>66</v>
      </c>
    </row>
    <row r="748" ht="22.5" hidden="1" customHeight="1">
      <c r="A748" s="9" t="s">
        <v>7771</v>
      </c>
      <c r="B748" s="10" t="s">
        <v>7772</v>
      </c>
      <c r="C748" s="10" t="s">
        <v>43</v>
      </c>
      <c r="D748" s="10" t="s">
        <v>7693</v>
      </c>
      <c r="E748" s="10" t="s">
        <v>66</v>
      </c>
      <c r="F748" s="11">
        <v>1.0</v>
      </c>
      <c r="G748" s="11">
        <v>43.7</v>
      </c>
      <c r="H748" s="11">
        <v>17.95</v>
      </c>
      <c r="I748" s="11">
        <v>-13.43</v>
      </c>
      <c r="J748" s="11">
        <v>-17.95</v>
      </c>
      <c r="K748" s="11"/>
      <c r="L748" s="11">
        <v>32.89</v>
      </c>
      <c r="M748" s="10" t="s">
        <v>46</v>
      </c>
      <c r="N748" s="10" t="s">
        <v>45</v>
      </c>
      <c r="O748" s="10" t="s">
        <v>176</v>
      </c>
      <c r="P748" s="10" t="s">
        <v>177</v>
      </c>
      <c r="Q748" s="10" t="s">
        <v>178</v>
      </c>
      <c r="R748" s="10" t="s">
        <v>74</v>
      </c>
      <c r="S748" s="11">
        <v>43.7</v>
      </c>
      <c r="T748" s="11">
        <v>22.58</v>
      </c>
      <c r="U748" s="11" t="s">
        <v>51</v>
      </c>
      <c r="V748" s="10" t="s">
        <v>52</v>
      </c>
      <c r="W748" s="10" t="s">
        <v>7773</v>
      </c>
      <c r="X748" s="10" t="s">
        <v>7774</v>
      </c>
      <c r="Y748" s="10" t="s">
        <v>7775</v>
      </c>
      <c r="Z748" s="10" t="s">
        <v>50</v>
      </c>
      <c r="AA748" s="10" t="s">
        <v>50</v>
      </c>
      <c r="AB748" s="10" t="s">
        <v>7773</v>
      </c>
      <c r="AC748" s="10" t="s">
        <v>7776</v>
      </c>
      <c r="AD748" s="10" t="s">
        <v>7777</v>
      </c>
      <c r="AE748" s="10" t="s">
        <v>2123</v>
      </c>
      <c r="AF748" s="10" t="s">
        <v>151</v>
      </c>
      <c r="AG748" s="10" t="s">
        <v>7778</v>
      </c>
      <c r="AH748" s="10" t="s">
        <v>60</v>
      </c>
      <c r="AI748" s="10" t="s">
        <v>61</v>
      </c>
      <c r="AJ748" s="10" t="s">
        <v>7779</v>
      </c>
      <c r="AK748" s="10" t="s">
        <v>7780</v>
      </c>
      <c r="AL748" s="10" t="s">
        <v>64</v>
      </c>
      <c r="AM748" s="10" t="s">
        <v>7781</v>
      </c>
      <c r="AN748" s="10" t="s">
        <v>7782</v>
      </c>
      <c r="AO748" s="11" t="s">
        <v>50</v>
      </c>
      <c r="AP748" s="10" t="s">
        <v>50</v>
      </c>
      <c r="AQ748" s="10" t="s">
        <v>50</v>
      </c>
      <c r="AR748" s="10" t="s">
        <v>50</v>
      </c>
      <c r="AS748" s="10" t="s">
        <v>50</v>
      </c>
      <c r="AT748" s="10" t="s">
        <v>50</v>
      </c>
      <c r="AU748" s="10" t="s">
        <v>50</v>
      </c>
      <c r="AV748" s="11"/>
      <c r="AW748" s="10" t="s">
        <v>66</v>
      </c>
      <c r="AX748" s="10"/>
      <c r="AY748" s="10" t="s">
        <v>66</v>
      </c>
    </row>
    <row r="749" ht="22.5" hidden="1" customHeight="1">
      <c r="A749" s="9" t="s">
        <v>7783</v>
      </c>
      <c r="B749" s="10" t="s">
        <v>7784</v>
      </c>
      <c r="C749" s="10" t="s">
        <v>43</v>
      </c>
      <c r="D749" s="10" t="s">
        <v>7530</v>
      </c>
      <c r="E749" s="10" t="s">
        <v>45</v>
      </c>
      <c r="F749" s="11">
        <v>2.0</v>
      </c>
      <c r="G749" s="11">
        <v>93.1</v>
      </c>
      <c r="H749" s="11">
        <v>17.65</v>
      </c>
      <c r="I749" s="11">
        <v>-29.68</v>
      </c>
      <c r="J749" s="11">
        <v>-17.65</v>
      </c>
      <c r="K749" s="11"/>
      <c r="L749" s="11">
        <v>69.0</v>
      </c>
      <c r="M749" s="10" t="s">
        <v>46</v>
      </c>
      <c r="N749" s="10" t="s">
        <v>45</v>
      </c>
      <c r="O749" s="10" t="s">
        <v>7785</v>
      </c>
      <c r="P749" s="10" t="s">
        <v>7786</v>
      </c>
      <c r="Q749" s="10" t="s">
        <v>7787</v>
      </c>
      <c r="R749" s="10" t="s">
        <v>50</v>
      </c>
      <c r="S749" s="11">
        <v>46.55</v>
      </c>
      <c r="T749" s="11">
        <v>6.92</v>
      </c>
      <c r="U749" s="11" t="s">
        <v>51</v>
      </c>
      <c r="V749" s="10" t="s">
        <v>52</v>
      </c>
      <c r="W749" s="10" t="s">
        <v>7788</v>
      </c>
      <c r="X749" s="10" t="s">
        <v>7789</v>
      </c>
      <c r="Y749" s="10" t="s">
        <v>7790</v>
      </c>
      <c r="Z749" s="10" t="s">
        <v>50</v>
      </c>
      <c r="AA749" s="10" t="s">
        <v>50</v>
      </c>
      <c r="AB749" s="10" t="s">
        <v>7788</v>
      </c>
      <c r="AC749" s="10" t="s">
        <v>7791</v>
      </c>
      <c r="AD749" s="10" t="s">
        <v>7792</v>
      </c>
      <c r="AE749" s="10" t="s">
        <v>2354</v>
      </c>
      <c r="AF749" s="10" t="s">
        <v>561</v>
      </c>
      <c r="AG749" s="10" t="s">
        <v>7793</v>
      </c>
      <c r="AH749" s="10" t="s">
        <v>60</v>
      </c>
      <c r="AI749" s="10" t="s">
        <v>61</v>
      </c>
      <c r="AJ749" s="10" t="s">
        <v>7675</v>
      </c>
      <c r="AK749" s="10" t="s">
        <v>7794</v>
      </c>
      <c r="AL749" s="10" t="s">
        <v>64</v>
      </c>
      <c r="AM749" s="10" t="s">
        <v>7795</v>
      </c>
      <c r="AN749" s="10" t="s">
        <v>50</v>
      </c>
      <c r="AO749" s="11" t="s">
        <v>50</v>
      </c>
      <c r="AP749" s="10" t="s">
        <v>50</v>
      </c>
      <c r="AQ749" s="10" t="s">
        <v>50</v>
      </c>
      <c r="AR749" s="10" t="s">
        <v>50</v>
      </c>
      <c r="AS749" s="10" t="s">
        <v>50</v>
      </c>
      <c r="AT749" s="10" t="s">
        <v>50</v>
      </c>
      <c r="AU749" s="10" t="s">
        <v>50</v>
      </c>
      <c r="AV749" s="11"/>
      <c r="AW749" s="10" t="s">
        <v>66</v>
      </c>
      <c r="AX749" s="10"/>
      <c r="AY749" s="10" t="s">
        <v>66</v>
      </c>
    </row>
    <row r="750" ht="22.5" hidden="1" customHeight="1">
      <c r="A750" s="9" t="s">
        <v>7796</v>
      </c>
      <c r="B750" s="10" t="s">
        <v>7797</v>
      </c>
      <c r="C750" s="10" t="s">
        <v>43</v>
      </c>
      <c r="D750" s="10" t="s">
        <v>7693</v>
      </c>
      <c r="E750" s="10" t="s">
        <v>45</v>
      </c>
      <c r="F750" s="11">
        <v>1.0</v>
      </c>
      <c r="G750" s="11">
        <v>43.7</v>
      </c>
      <c r="H750" s="11">
        <v>14.63</v>
      </c>
      <c r="I750" s="11">
        <v>-13.43</v>
      </c>
      <c r="J750" s="11">
        <v>-14.63</v>
      </c>
      <c r="K750" s="11"/>
      <c r="L750" s="11">
        <v>32.89</v>
      </c>
      <c r="M750" s="10" t="s">
        <v>46</v>
      </c>
      <c r="N750" s="10" t="s">
        <v>45</v>
      </c>
      <c r="O750" s="10" t="s">
        <v>176</v>
      </c>
      <c r="P750" s="10" t="s">
        <v>177</v>
      </c>
      <c r="Q750" s="10" t="s">
        <v>178</v>
      </c>
      <c r="R750" s="10" t="s">
        <v>74</v>
      </c>
      <c r="S750" s="11">
        <v>43.7</v>
      </c>
      <c r="T750" s="11">
        <v>22.58</v>
      </c>
      <c r="U750" s="11" t="s">
        <v>51</v>
      </c>
      <c r="V750" s="10" t="s">
        <v>52</v>
      </c>
      <c r="W750" s="10" t="s">
        <v>7798</v>
      </c>
      <c r="X750" s="10" t="s">
        <v>7799</v>
      </c>
      <c r="Y750" s="10" t="s">
        <v>7800</v>
      </c>
      <c r="Z750" s="10" t="s">
        <v>50</v>
      </c>
      <c r="AA750" s="10" t="s">
        <v>50</v>
      </c>
      <c r="AB750" s="10" t="s">
        <v>7798</v>
      </c>
      <c r="AC750" s="10" t="s">
        <v>7801</v>
      </c>
      <c r="AD750" s="10" t="s">
        <v>7802</v>
      </c>
      <c r="AE750" s="10" t="s">
        <v>7803</v>
      </c>
      <c r="AF750" s="10" t="s">
        <v>58</v>
      </c>
      <c r="AG750" s="10" t="s">
        <v>7804</v>
      </c>
      <c r="AH750" s="10" t="s">
        <v>60</v>
      </c>
      <c r="AI750" s="10" t="s">
        <v>61</v>
      </c>
      <c r="AJ750" s="10" t="s">
        <v>7675</v>
      </c>
      <c r="AK750" s="10" t="s">
        <v>7805</v>
      </c>
      <c r="AL750" s="10" t="s">
        <v>64</v>
      </c>
      <c r="AM750" s="10" t="s">
        <v>7806</v>
      </c>
      <c r="AN750" s="10" t="s">
        <v>50</v>
      </c>
      <c r="AO750" s="11" t="s">
        <v>50</v>
      </c>
      <c r="AP750" s="10" t="s">
        <v>50</v>
      </c>
      <c r="AQ750" s="10" t="s">
        <v>50</v>
      </c>
      <c r="AR750" s="10" t="s">
        <v>50</v>
      </c>
      <c r="AS750" s="10" t="s">
        <v>50</v>
      </c>
      <c r="AT750" s="10" t="s">
        <v>50</v>
      </c>
      <c r="AU750" s="10" t="s">
        <v>50</v>
      </c>
      <c r="AV750" s="11"/>
      <c r="AW750" s="10" t="s">
        <v>66</v>
      </c>
      <c r="AX750" s="10"/>
      <c r="AY750" s="10" t="s">
        <v>66</v>
      </c>
    </row>
    <row r="751" ht="22.5" hidden="1" customHeight="1">
      <c r="A751" s="9" t="s">
        <v>7807</v>
      </c>
      <c r="B751" s="10" t="s">
        <v>7808</v>
      </c>
      <c r="C751" s="10" t="s">
        <v>43</v>
      </c>
      <c r="D751" s="10" t="s">
        <v>7693</v>
      </c>
      <c r="E751" s="10" t="s">
        <v>66</v>
      </c>
      <c r="F751" s="11">
        <v>1.0</v>
      </c>
      <c r="G751" s="11">
        <v>120.0</v>
      </c>
      <c r="H751" s="11"/>
      <c r="I751" s="11">
        <v>-20.4</v>
      </c>
      <c r="J751" s="11">
        <v>-19.95</v>
      </c>
      <c r="K751" s="11"/>
      <c r="L751" s="11">
        <v>86.85</v>
      </c>
      <c r="M751" s="10" t="s">
        <v>46</v>
      </c>
      <c r="N751" s="10" t="s">
        <v>45</v>
      </c>
      <c r="O751" s="10" t="s">
        <v>85</v>
      </c>
      <c r="P751" s="10" t="s">
        <v>86</v>
      </c>
      <c r="Q751" s="10" t="s">
        <v>87</v>
      </c>
      <c r="R751" s="10" t="s">
        <v>74</v>
      </c>
      <c r="S751" s="11">
        <v>120.0</v>
      </c>
      <c r="T751" s="11">
        <v>65.78</v>
      </c>
      <c r="U751" s="11" t="s">
        <v>51</v>
      </c>
      <c r="V751" s="10" t="s">
        <v>52</v>
      </c>
      <c r="W751" s="10" t="s">
        <v>7809</v>
      </c>
      <c r="X751" s="10" t="s">
        <v>7810</v>
      </c>
      <c r="Y751" s="10" t="s">
        <v>7811</v>
      </c>
      <c r="Z751" s="10" t="s">
        <v>50</v>
      </c>
      <c r="AA751" s="10" t="s">
        <v>50</v>
      </c>
      <c r="AB751" s="10" t="s">
        <v>7809</v>
      </c>
      <c r="AC751" s="10" t="s">
        <v>7812</v>
      </c>
      <c r="AD751" s="10" t="s">
        <v>7813</v>
      </c>
      <c r="AE751" s="10" t="s">
        <v>7814</v>
      </c>
      <c r="AF751" s="10" t="s">
        <v>58</v>
      </c>
      <c r="AG751" s="10" t="s">
        <v>7815</v>
      </c>
      <c r="AH751" s="10" t="s">
        <v>60</v>
      </c>
      <c r="AI751" s="10" t="s">
        <v>61</v>
      </c>
      <c r="AJ751" s="10" t="s">
        <v>7675</v>
      </c>
      <c r="AK751" s="10" t="s">
        <v>7816</v>
      </c>
      <c r="AL751" s="10" t="s">
        <v>64</v>
      </c>
      <c r="AM751" s="10" t="s">
        <v>7817</v>
      </c>
      <c r="AN751" s="10" t="s">
        <v>50</v>
      </c>
      <c r="AO751" s="11" t="s">
        <v>50</v>
      </c>
      <c r="AP751" s="10" t="s">
        <v>50</v>
      </c>
      <c r="AQ751" s="10" t="s">
        <v>50</v>
      </c>
      <c r="AR751" s="10" t="s">
        <v>50</v>
      </c>
      <c r="AS751" s="10" t="s">
        <v>50</v>
      </c>
      <c r="AT751" s="10" t="s">
        <v>50</v>
      </c>
      <c r="AU751" s="10" t="s">
        <v>50</v>
      </c>
      <c r="AV751" s="11"/>
      <c r="AW751" s="10" t="s">
        <v>66</v>
      </c>
      <c r="AX751" s="10"/>
      <c r="AY751" s="10" t="s">
        <v>66</v>
      </c>
    </row>
    <row r="752" ht="22.5" hidden="1" customHeight="1">
      <c r="A752" s="9" t="s">
        <v>7818</v>
      </c>
      <c r="B752" s="10" t="s">
        <v>7819</v>
      </c>
      <c r="C752" s="10" t="s">
        <v>43</v>
      </c>
      <c r="D752" s="10" t="s">
        <v>7693</v>
      </c>
      <c r="E752" s="10" t="s">
        <v>66</v>
      </c>
      <c r="F752" s="11">
        <v>1.0</v>
      </c>
      <c r="G752" s="11">
        <v>120.0</v>
      </c>
      <c r="H752" s="11"/>
      <c r="I752" s="11">
        <v>-20.4</v>
      </c>
      <c r="J752" s="11">
        <v>-19.95</v>
      </c>
      <c r="K752" s="11"/>
      <c r="L752" s="11">
        <v>86.85</v>
      </c>
      <c r="M752" s="10" t="s">
        <v>46</v>
      </c>
      <c r="N752" s="10" t="s">
        <v>45</v>
      </c>
      <c r="O752" s="10" t="s">
        <v>85</v>
      </c>
      <c r="P752" s="10" t="s">
        <v>86</v>
      </c>
      <c r="Q752" s="10" t="s">
        <v>87</v>
      </c>
      <c r="R752" s="10" t="s">
        <v>74</v>
      </c>
      <c r="S752" s="11">
        <v>120.0</v>
      </c>
      <c r="T752" s="11">
        <v>65.78</v>
      </c>
      <c r="U752" s="11" t="s">
        <v>51</v>
      </c>
      <c r="V752" s="10" t="s">
        <v>52</v>
      </c>
      <c r="W752" s="10" t="s">
        <v>7820</v>
      </c>
      <c r="X752" s="10" t="s">
        <v>7821</v>
      </c>
      <c r="Y752" s="10" t="s">
        <v>7822</v>
      </c>
      <c r="Z752" s="10" t="s">
        <v>50</v>
      </c>
      <c r="AA752" s="10" t="s">
        <v>50</v>
      </c>
      <c r="AB752" s="10" t="s">
        <v>7820</v>
      </c>
      <c r="AC752" s="10" t="s">
        <v>7823</v>
      </c>
      <c r="AD752" s="10" t="s">
        <v>7824</v>
      </c>
      <c r="AE752" s="10" t="s">
        <v>7825</v>
      </c>
      <c r="AF752" s="10" t="s">
        <v>58</v>
      </c>
      <c r="AG752" s="10" t="s">
        <v>7826</v>
      </c>
      <c r="AH752" s="10" t="s">
        <v>60</v>
      </c>
      <c r="AI752" s="10" t="s">
        <v>61</v>
      </c>
      <c r="AJ752" s="10" t="s">
        <v>7675</v>
      </c>
      <c r="AK752" s="10" t="s">
        <v>7827</v>
      </c>
      <c r="AL752" s="10" t="s">
        <v>64</v>
      </c>
      <c r="AM752" s="10" t="s">
        <v>7828</v>
      </c>
      <c r="AN752" s="10" t="s">
        <v>50</v>
      </c>
      <c r="AO752" s="11" t="s">
        <v>50</v>
      </c>
      <c r="AP752" s="10" t="s">
        <v>50</v>
      </c>
      <c r="AQ752" s="10" t="s">
        <v>50</v>
      </c>
      <c r="AR752" s="10" t="s">
        <v>50</v>
      </c>
      <c r="AS752" s="10" t="s">
        <v>50</v>
      </c>
      <c r="AT752" s="10" t="s">
        <v>50</v>
      </c>
      <c r="AU752" s="10" t="s">
        <v>50</v>
      </c>
      <c r="AV752" s="11"/>
      <c r="AW752" s="10" t="s">
        <v>66</v>
      </c>
      <c r="AX752" s="10"/>
      <c r="AY752" s="10" t="s">
        <v>66</v>
      </c>
    </row>
    <row r="753" ht="22.5" hidden="1" customHeight="1">
      <c r="A753" s="9" t="s">
        <v>7829</v>
      </c>
      <c r="B753" s="10" t="s">
        <v>7830</v>
      </c>
      <c r="C753" s="10" t="s">
        <v>43</v>
      </c>
      <c r="D753" s="10" t="s">
        <v>7530</v>
      </c>
      <c r="E753" s="10" t="s">
        <v>66</v>
      </c>
      <c r="F753" s="11">
        <v>1.0</v>
      </c>
      <c r="G753" s="11">
        <v>80.3</v>
      </c>
      <c r="H753" s="11"/>
      <c r="I753" s="11">
        <v>-13.65</v>
      </c>
      <c r="J753" s="11">
        <v>-20.45</v>
      </c>
      <c r="K753" s="11"/>
      <c r="L753" s="11">
        <v>46.2</v>
      </c>
      <c r="M753" s="10" t="s">
        <v>46</v>
      </c>
      <c r="N753" s="10" t="s">
        <v>45</v>
      </c>
      <c r="O753" s="10" t="s">
        <v>127</v>
      </c>
      <c r="P753" s="10" t="s">
        <v>128</v>
      </c>
      <c r="Q753" s="10" t="s">
        <v>129</v>
      </c>
      <c r="R753" s="10" t="s">
        <v>74</v>
      </c>
      <c r="S753" s="11">
        <v>80.3</v>
      </c>
      <c r="T753" s="11">
        <v>17.68</v>
      </c>
      <c r="U753" s="11" t="s">
        <v>51</v>
      </c>
      <c r="V753" s="10" t="s">
        <v>52</v>
      </c>
      <c r="W753" s="10" t="s">
        <v>7831</v>
      </c>
      <c r="X753" s="10" t="s">
        <v>7832</v>
      </c>
      <c r="Y753" s="10" t="s">
        <v>7833</v>
      </c>
      <c r="Z753" s="10" t="s">
        <v>50</v>
      </c>
      <c r="AA753" s="10" t="s">
        <v>50</v>
      </c>
      <c r="AB753" s="10" t="s">
        <v>7831</v>
      </c>
      <c r="AC753" s="10" t="s">
        <v>7834</v>
      </c>
      <c r="AD753" s="10" t="s">
        <v>7835</v>
      </c>
      <c r="AE753" s="10" t="s">
        <v>3277</v>
      </c>
      <c r="AF753" s="10" t="s">
        <v>185</v>
      </c>
      <c r="AG753" s="10" t="s">
        <v>7836</v>
      </c>
      <c r="AH753" s="10" t="s">
        <v>60</v>
      </c>
      <c r="AI753" s="10" t="s">
        <v>61</v>
      </c>
      <c r="AJ753" s="10" t="s">
        <v>7640</v>
      </c>
      <c r="AK753" s="10" t="s">
        <v>7837</v>
      </c>
      <c r="AL753" s="10" t="s">
        <v>64</v>
      </c>
      <c r="AM753" s="10" t="s">
        <v>7838</v>
      </c>
      <c r="AN753" s="10" t="s">
        <v>50</v>
      </c>
      <c r="AO753" s="11" t="s">
        <v>50</v>
      </c>
      <c r="AP753" s="10" t="s">
        <v>50</v>
      </c>
      <c r="AQ753" s="10" t="s">
        <v>50</v>
      </c>
      <c r="AR753" s="10" t="s">
        <v>50</v>
      </c>
      <c r="AS753" s="10" t="s">
        <v>50</v>
      </c>
      <c r="AT753" s="10" t="s">
        <v>50</v>
      </c>
      <c r="AU753" s="10" t="s">
        <v>50</v>
      </c>
      <c r="AV753" s="11"/>
      <c r="AW753" s="10" t="s">
        <v>66</v>
      </c>
      <c r="AX753" s="10"/>
      <c r="AY753" s="10" t="s">
        <v>66</v>
      </c>
    </row>
    <row r="754" ht="22.5" hidden="1" customHeight="1">
      <c r="A754" s="9" t="s">
        <v>7839</v>
      </c>
      <c r="B754" s="10" t="s">
        <v>7840</v>
      </c>
      <c r="C754" s="10" t="s">
        <v>43</v>
      </c>
      <c r="D754" s="10" t="s">
        <v>7518</v>
      </c>
      <c r="E754" s="10" t="s">
        <v>45</v>
      </c>
      <c r="F754" s="11">
        <v>1.0</v>
      </c>
      <c r="G754" s="11">
        <v>80.0</v>
      </c>
      <c r="H754" s="11"/>
      <c r="I754" s="11">
        <v>-13.6</v>
      </c>
      <c r="J754" s="11">
        <v>-19.95</v>
      </c>
      <c r="K754" s="11"/>
      <c r="L754" s="11">
        <v>50.45</v>
      </c>
      <c r="M754" s="10" t="s">
        <v>46</v>
      </c>
      <c r="N754" s="10" t="s">
        <v>45</v>
      </c>
      <c r="O754" s="10" t="s">
        <v>143</v>
      </c>
      <c r="P754" s="10" t="s">
        <v>144</v>
      </c>
      <c r="Q754" s="10" t="s">
        <v>145</v>
      </c>
      <c r="R754" s="10" t="s">
        <v>74</v>
      </c>
      <c r="S754" s="11">
        <v>80.0</v>
      </c>
      <c r="T754" s="11">
        <v>33.38</v>
      </c>
      <c r="U754" s="11" t="s">
        <v>51</v>
      </c>
      <c r="V754" s="10" t="s">
        <v>52</v>
      </c>
      <c r="W754" s="10" t="s">
        <v>7841</v>
      </c>
      <c r="X754" s="10" t="s">
        <v>7842</v>
      </c>
      <c r="Y754" s="10" t="s">
        <v>7843</v>
      </c>
      <c r="Z754" s="10" t="s">
        <v>50</v>
      </c>
      <c r="AA754" s="10" t="s">
        <v>50</v>
      </c>
      <c r="AB754" s="10" t="s">
        <v>7841</v>
      </c>
      <c r="AC754" s="10" t="s">
        <v>7844</v>
      </c>
      <c r="AD754" s="10" t="s">
        <v>7845</v>
      </c>
      <c r="AE754" s="10" t="s">
        <v>492</v>
      </c>
      <c r="AF754" s="10" t="s">
        <v>58</v>
      </c>
      <c r="AG754" s="10" t="s">
        <v>7846</v>
      </c>
      <c r="AH754" s="10" t="s">
        <v>60</v>
      </c>
      <c r="AI754" s="10" t="s">
        <v>61</v>
      </c>
      <c r="AJ754" s="10" t="s">
        <v>7847</v>
      </c>
      <c r="AK754" s="10" t="s">
        <v>7848</v>
      </c>
      <c r="AL754" s="10" t="s">
        <v>64</v>
      </c>
      <c r="AM754" s="10" t="s">
        <v>7849</v>
      </c>
      <c r="AN754" s="10" t="s">
        <v>50</v>
      </c>
      <c r="AO754" s="11" t="s">
        <v>50</v>
      </c>
      <c r="AP754" s="10" t="s">
        <v>50</v>
      </c>
      <c r="AQ754" s="10" t="s">
        <v>50</v>
      </c>
      <c r="AR754" s="10" t="s">
        <v>50</v>
      </c>
      <c r="AS754" s="10" t="s">
        <v>50</v>
      </c>
      <c r="AT754" s="10" t="s">
        <v>50</v>
      </c>
      <c r="AU754" s="10" t="s">
        <v>50</v>
      </c>
      <c r="AV754" s="11"/>
      <c r="AW754" s="10" t="s">
        <v>66</v>
      </c>
      <c r="AX754" s="10"/>
      <c r="AY754" s="10" t="s">
        <v>66</v>
      </c>
    </row>
    <row r="755" ht="22.5" hidden="1" customHeight="1">
      <c r="A755" s="9" t="s">
        <v>7850</v>
      </c>
      <c r="B755" s="10" t="s">
        <v>7851</v>
      </c>
      <c r="C755" s="10" t="s">
        <v>43</v>
      </c>
      <c r="D755" s="10" t="s">
        <v>7518</v>
      </c>
      <c r="E755" s="10" t="s">
        <v>66</v>
      </c>
      <c r="F755" s="11">
        <v>1.0</v>
      </c>
      <c r="G755" s="11">
        <v>43.7</v>
      </c>
      <c r="H755" s="11"/>
      <c r="I755" s="11">
        <v>-13.43</v>
      </c>
      <c r="J755" s="11"/>
      <c r="K755" s="11"/>
      <c r="L755" s="11">
        <v>32.89</v>
      </c>
      <c r="M755" s="10" t="s">
        <v>46</v>
      </c>
      <c r="N755" s="10" t="s">
        <v>45</v>
      </c>
      <c r="O755" s="10" t="s">
        <v>176</v>
      </c>
      <c r="P755" s="10" t="s">
        <v>177</v>
      </c>
      <c r="Q755" s="10" t="s">
        <v>178</v>
      </c>
      <c r="R755" s="10" t="s">
        <v>74</v>
      </c>
      <c r="S755" s="11">
        <v>43.7</v>
      </c>
      <c r="T755" s="11">
        <v>22.58</v>
      </c>
      <c r="U755" s="11" t="s">
        <v>51</v>
      </c>
      <c r="V755" s="10" t="s">
        <v>52</v>
      </c>
      <c r="W755" s="10" t="s">
        <v>7852</v>
      </c>
      <c r="X755" s="10" t="s">
        <v>7853</v>
      </c>
      <c r="Y755" s="10" t="s">
        <v>7854</v>
      </c>
      <c r="Z755" s="10" t="s">
        <v>50</v>
      </c>
      <c r="AA755" s="10" t="s">
        <v>50</v>
      </c>
      <c r="AB755" s="10" t="s">
        <v>7852</v>
      </c>
      <c r="AC755" s="10" t="s">
        <v>7855</v>
      </c>
      <c r="AD755" s="10" t="s">
        <v>7856</v>
      </c>
      <c r="AE755" s="10" t="s">
        <v>58</v>
      </c>
      <c r="AF755" s="10" t="s">
        <v>58</v>
      </c>
      <c r="AG755" s="10" t="s">
        <v>7857</v>
      </c>
      <c r="AH755" s="10" t="s">
        <v>60</v>
      </c>
      <c r="AI755" s="10" t="s">
        <v>61</v>
      </c>
      <c r="AJ755" s="10" t="s">
        <v>7525</v>
      </c>
      <c r="AK755" s="10" t="s">
        <v>7858</v>
      </c>
      <c r="AL755" s="10" t="s">
        <v>64</v>
      </c>
      <c r="AM755" s="10" t="s">
        <v>7859</v>
      </c>
      <c r="AN755" s="10" t="s">
        <v>50</v>
      </c>
      <c r="AO755" s="11" t="s">
        <v>50</v>
      </c>
      <c r="AP755" s="10" t="s">
        <v>50</v>
      </c>
      <c r="AQ755" s="10" t="s">
        <v>50</v>
      </c>
      <c r="AR755" s="10" t="s">
        <v>50</v>
      </c>
      <c r="AS755" s="10" t="s">
        <v>50</v>
      </c>
      <c r="AT755" s="10" t="s">
        <v>50</v>
      </c>
      <c r="AU755" s="10" t="s">
        <v>50</v>
      </c>
      <c r="AV755" s="11"/>
      <c r="AW755" s="10" t="s">
        <v>66</v>
      </c>
      <c r="AX755" s="10"/>
      <c r="AY755" s="10" t="s">
        <v>66</v>
      </c>
    </row>
    <row r="756" ht="22.5" hidden="1" customHeight="1">
      <c r="A756" s="9" t="s">
        <v>7860</v>
      </c>
      <c r="B756" s="10" t="s">
        <v>7861</v>
      </c>
      <c r="C756" s="10" t="s">
        <v>43</v>
      </c>
      <c r="D756" s="10" t="s">
        <v>7693</v>
      </c>
      <c r="E756" s="10" t="s">
        <v>66</v>
      </c>
      <c r="F756" s="11">
        <v>1.0</v>
      </c>
      <c r="G756" s="11">
        <v>43.7</v>
      </c>
      <c r="H756" s="11">
        <v>12.66</v>
      </c>
      <c r="I756" s="11">
        <v>-13.43</v>
      </c>
      <c r="J756" s="11">
        <v>-12.66</v>
      </c>
      <c r="K756" s="11"/>
      <c r="L756" s="11">
        <v>32.89</v>
      </c>
      <c r="M756" s="10" t="s">
        <v>46</v>
      </c>
      <c r="N756" s="10" t="s">
        <v>50</v>
      </c>
      <c r="O756" s="10" t="s">
        <v>176</v>
      </c>
      <c r="P756" s="10" t="s">
        <v>177</v>
      </c>
      <c r="Q756" s="10" t="s">
        <v>178</v>
      </c>
      <c r="R756" s="10" t="s">
        <v>74</v>
      </c>
      <c r="S756" s="11">
        <v>43.7</v>
      </c>
      <c r="T756" s="11">
        <v>22.58</v>
      </c>
      <c r="U756" s="11" t="s">
        <v>51</v>
      </c>
      <c r="V756" s="10" t="s">
        <v>52</v>
      </c>
      <c r="W756" s="10" t="s">
        <v>7862</v>
      </c>
      <c r="X756" s="10" t="s">
        <v>7863</v>
      </c>
      <c r="Y756" s="10" t="s">
        <v>7864</v>
      </c>
      <c r="Z756" s="10" t="s">
        <v>50</v>
      </c>
      <c r="AA756" s="10" t="s">
        <v>50</v>
      </c>
      <c r="AB756" s="10" t="s">
        <v>7862</v>
      </c>
      <c r="AC756" s="10" t="s">
        <v>7865</v>
      </c>
      <c r="AD756" s="10" t="s">
        <v>7866</v>
      </c>
      <c r="AE756" s="10" t="s">
        <v>7867</v>
      </c>
      <c r="AF756" s="10" t="s">
        <v>58</v>
      </c>
      <c r="AG756" s="10" t="s">
        <v>7868</v>
      </c>
      <c r="AH756" s="10" t="s">
        <v>60</v>
      </c>
      <c r="AI756" s="10" t="s">
        <v>61</v>
      </c>
      <c r="AJ756" s="10" t="s">
        <v>7675</v>
      </c>
      <c r="AK756" s="10" t="s">
        <v>7869</v>
      </c>
      <c r="AL756" s="10" t="s">
        <v>64</v>
      </c>
      <c r="AM756" s="10" t="s">
        <v>7870</v>
      </c>
      <c r="AN756" s="10" t="s">
        <v>50</v>
      </c>
      <c r="AO756" s="11" t="s">
        <v>50</v>
      </c>
      <c r="AP756" s="10" t="s">
        <v>50</v>
      </c>
      <c r="AQ756" s="10" t="s">
        <v>50</v>
      </c>
      <c r="AR756" s="10" t="s">
        <v>50</v>
      </c>
      <c r="AS756" s="10" t="s">
        <v>50</v>
      </c>
      <c r="AT756" s="10" t="s">
        <v>50</v>
      </c>
      <c r="AU756" s="10" t="s">
        <v>50</v>
      </c>
      <c r="AV756" s="11"/>
      <c r="AW756" s="10" t="s">
        <v>66</v>
      </c>
      <c r="AX756" s="10"/>
      <c r="AY756" s="10" t="s">
        <v>66</v>
      </c>
    </row>
    <row r="757" ht="22.5" hidden="1" customHeight="1">
      <c r="A757" s="9" t="s">
        <v>7871</v>
      </c>
      <c r="B757" s="10" t="s">
        <v>7872</v>
      </c>
      <c r="C757" s="10" t="s">
        <v>43</v>
      </c>
      <c r="D757" s="10" t="s">
        <v>7693</v>
      </c>
      <c r="E757" s="10" t="s">
        <v>66</v>
      </c>
      <c r="F757" s="11">
        <v>1.0</v>
      </c>
      <c r="G757" s="11">
        <v>81.25</v>
      </c>
      <c r="H757" s="11"/>
      <c r="I757" s="11">
        <v>-13.81</v>
      </c>
      <c r="J757" s="11">
        <v>-19.95</v>
      </c>
      <c r="K757" s="11"/>
      <c r="L757" s="11">
        <v>47.49</v>
      </c>
      <c r="M757" s="10" t="s">
        <v>46</v>
      </c>
      <c r="N757" s="10" t="s">
        <v>50</v>
      </c>
      <c r="O757" s="10" t="s">
        <v>920</v>
      </c>
      <c r="P757" s="10" t="s">
        <v>921</v>
      </c>
      <c r="Q757" s="10" t="s">
        <v>922</v>
      </c>
      <c r="R757" s="10" t="s">
        <v>74</v>
      </c>
      <c r="S757" s="11">
        <v>81.25</v>
      </c>
      <c r="T757" s="11">
        <v>26.22</v>
      </c>
      <c r="U757" s="11" t="s">
        <v>51</v>
      </c>
      <c r="V757" s="10" t="s">
        <v>52</v>
      </c>
      <c r="W757" s="10" t="s">
        <v>7873</v>
      </c>
      <c r="X757" s="10" t="s">
        <v>7874</v>
      </c>
      <c r="Y757" s="10" t="s">
        <v>7875</v>
      </c>
      <c r="Z757" s="10" t="s">
        <v>50</v>
      </c>
      <c r="AA757" s="10" t="s">
        <v>50</v>
      </c>
      <c r="AB757" s="10" t="s">
        <v>7873</v>
      </c>
      <c r="AC757" s="10" t="s">
        <v>7876</v>
      </c>
      <c r="AD757" s="10" t="s">
        <v>7877</v>
      </c>
      <c r="AE757" s="10" t="s">
        <v>7470</v>
      </c>
      <c r="AF757" s="10" t="s">
        <v>151</v>
      </c>
      <c r="AG757" s="10" t="s">
        <v>7878</v>
      </c>
      <c r="AH757" s="10" t="s">
        <v>60</v>
      </c>
      <c r="AI757" s="10" t="s">
        <v>61</v>
      </c>
      <c r="AJ757" s="10" t="s">
        <v>7879</v>
      </c>
      <c r="AK757" s="10" t="s">
        <v>7880</v>
      </c>
      <c r="AL757" s="10" t="s">
        <v>64</v>
      </c>
      <c r="AM757" s="10" t="s">
        <v>7881</v>
      </c>
      <c r="AN757" s="10" t="s">
        <v>50</v>
      </c>
      <c r="AO757" s="11" t="s">
        <v>50</v>
      </c>
      <c r="AP757" s="10" t="s">
        <v>50</v>
      </c>
      <c r="AQ757" s="10" t="s">
        <v>50</v>
      </c>
      <c r="AR757" s="10" t="s">
        <v>50</v>
      </c>
      <c r="AS757" s="10" t="s">
        <v>50</v>
      </c>
      <c r="AT757" s="10" t="s">
        <v>50</v>
      </c>
      <c r="AU757" s="10" t="s">
        <v>50</v>
      </c>
      <c r="AV757" s="11"/>
      <c r="AW757" s="10" t="s">
        <v>66</v>
      </c>
      <c r="AX757" s="10"/>
      <c r="AY757" s="10" t="s">
        <v>66</v>
      </c>
    </row>
    <row r="758" ht="22.5" hidden="1" customHeight="1">
      <c r="A758" s="9" t="s">
        <v>7882</v>
      </c>
      <c r="B758" s="10" t="s">
        <v>7883</v>
      </c>
      <c r="C758" s="10" t="s">
        <v>69</v>
      </c>
      <c r="D758" s="10" t="s">
        <v>402</v>
      </c>
      <c r="E758" s="10" t="s">
        <v>66</v>
      </c>
      <c r="F758" s="11">
        <v>1.0</v>
      </c>
      <c r="G758" s="11">
        <v>80.0</v>
      </c>
      <c r="H758" s="11"/>
      <c r="I758" s="11">
        <v>-13.6</v>
      </c>
      <c r="J758" s="11">
        <v>-19.95</v>
      </c>
      <c r="K758" s="11">
        <v>-50.45</v>
      </c>
      <c r="L758" s="11">
        <v>0.0</v>
      </c>
      <c r="M758" s="10" t="s">
        <v>46</v>
      </c>
      <c r="N758" s="10" t="s">
        <v>45</v>
      </c>
      <c r="O758" s="10" t="s">
        <v>143</v>
      </c>
      <c r="P758" s="10" t="s">
        <v>144</v>
      </c>
      <c r="Q758" s="10" t="s">
        <v>145</v>
      </c>
      <c r="R758" s="10" t="s">
        <v>74</v>
      </c>
      <c r="S758" s="11">
        <v>80.0</v>
      </c>
      <c r="T758" s="11"/>
      <c r="U758" s="11" t="s">
        <v>51</v>
      </c>
      <c r="V758" s="10" t="s">
        <v>2284</v>
      </c>
      <c r="W758" s="10" t="s">
        <v>7884</v>
      </c>
      <c r="X758" s="10" t="s">
        <v>7885</v>
      </c>
      <c r="Y758" s="10" t="s">
        <v>7886</v>
      </c>
      <c r="Z758" s="10" t="s">
        <v>50</v>
      </c>
      <c r="AA758" s="10" t="s">
        <v>50</v>
      </c>
      <c r="AB758" s="10" t="s">
        <v>7884</v>
      </c>
      <c r="AC758" s="10" t="s">
        <v>7887</v>
      </c>
      <c r="AD758" s="10" t="s">
        <v>50</v>
      </c>
      <c r="AE758" s="10" t="s">
        <v>322</v>
      </c>
      <c r="AF758" s="10" t="s">
        <v>323</v>
      </c>
      <c r="AG758" s="10" t="s">
        <v>7888</v>
      </c>
      <c r="AH758" s="10" t="s">
        <v>60</v>
      </c>
      <c r="AI758" s="10" t="s">
        <v>61</v>
      </c>
      <c r="AJ758" s="10" t="s">
        <v>50</v>
      </c>
      <c r="AK758" s="10" t="s">
        <v>50</v>
      </c>
      <c r="AL758" s="10" t="s">
        <v>64</v>
      </c>
      <c r="AM758" s="10" t="s">
        <v>7889</v>
      </c>
      <c r="AN758" s="10" t="s">
        <v>50</v>
      </c>
      <c r="AO758" s="11" t="s">
        <v>50</v>
      </c>
      <c r="AP758" s="10" t="s">
        <v>50</v>
      </c>
      <c r="AQ758" s="10" t="s">
        <v>50</v>
      </c>
      <c r="AR758" s="10" t="s">
        <v>50</v>
      </c>
      <c r="AS758" s="10" t="s">
        <v>50</v>
      </c>
      <c r="AT758" s="10" t="s">
        <v>50</v>
      </c>
      <c r="AU758" s="10" t="s">
        <v>50</v>
      </c>
      <c r="AV758" s="11"/>
      <c r="AW758" s="10" t="s">
        <v>66</v>
      </c>
      <c r="AX758" s="10"/>
      <c r="AY758" s="10" t="s">
        <v>66</v>
      </c>
    </row>
    <row r="759" ht="22.5" hidden="1" customHeight="1">
      <c r="A759" s="9" t="s">
        <v>7890</v>
      </c>
      <c r="B759" s="10" t="s">
        <v>7891</v>
      </c>
      <c r="C759" s="10" t="s">
        <v>43</v>
      </c>
      <c r="D759" s="10" t="s">
        <v>5357</v>
      </c>
      <c r="E759" s="10" t="s">
        <v>66</v>
      </c>
      <c r="F759" s="11">
        <v>1.0</v>
      </c>
      <c r="G759" s="11">
        <v>80.0</v>
      </c>
      <c r="H759" s="11"/>
      <c r="I759" s="11">
        <v>-13.6</v>
      </c>
      <c r="J759" s="11">
        <v>-19.95</v>
      </c>
      <c r="K759" s="11"/>
      <c r="L759" s="11">
        <v>50.45</v>
      </c>
      <c r="M759" s="10" t="s">
        <v>46</v>
      </c>
      <c r="N759" s="10" t="s">
        <v>50</v>
      </c>
      <c r="O759" s="10" t="s">
        <v>143</v>
      </c>
      <c r="P759" s="10" t="s">
        <v>144</v>
      </c>
      <c r="Q759" s="10" t="s">
        <v>145</v>
      </c>
      <c r="R759" s="10" t="s">
        <v>74</v>
      </c>
      <c r="S759" s="11">
        <v>80.0</v>
      </c>
      <c r="T759" s="11">
        <v>33.38</v>
      </c>
      <c r="U759" s="11" t="s">
        <v>51</v>
      </c>
      <c r="V759" s="10" t="s">
        <v>52</v>
      </c>
      <c r="W759" s="10" t="s">
        <v>7892</v>
      </c>
      <c r="X759" s="10" t="s">
        <v>7893</v>
      </c>
      <c r="Y759" s="10" t="s">
        <v>7894</v>
      </c>
      <c r="Z759" s="10" t="s">
        <v>50</v>
      </c>
      <c r="AA759" s="10" t="s">
        <v>50</v>
      </c>
      <c r="AB759" s="10" t="s">
        <v>7892</v>
      </c>
      <c r="AC759" s="10" t="s">
        <v>7895</v>
      </c>
      <c r="AD759" s="10" t="s">
        <v>7896</v>
      </c>
      <c r="AE759" s="10" t="s">
        <v>7897</v>
      </c>
      <c r="AF759" s="10" t="s">
        <v>185</v>
      </c>
      <c r="AG759" s="10" t="s">
        <v>7898</v>
      </c>
      <c r="AH759" s="10" t="s">
        <v>60</v>
      </c>
      <c r="AI759" s="10" t="s">
        <v>61</v>
      </c>
      <c r="AJ759" s="10" t="s">
        <v>7675</v>
      </c>
      <c r="AK759" s="10" t="s">
        <v>7899</v>
      </c>
      <c r="AL759" s="10" t="s">
        <v>64</v>
      </c>
      <c r="AM759" s="10" t="s">
        <v>7900</v>
      </c>
      <c r="AN759" s="10" t="s">
        <v>50</v>
      </c>
      <c r="AO759" s="11" t="s">
        <v>50</v>
      </c>
      <c r="AP759" s="10" t="s">
        <v>50</v>
      </c>
      <c r="AQ759" s="10" t="s">
        <v>50</v>
      </c>
      <c r="AR759" s="10" t="s">
        <v>50</v>
      </c>
      <c r="AS759" s="10" t="s">
        <v>50</v>
      </c>
      <c r="AT759" s="10" t="s">
        <v>50</v>
      </c>
      <c r="AU759" s="10" t="s">
        <v>50</v>
      </c>
      <c r="AV759" s="11"/>
      <c r="AW759" s="10" t="s">
        <v>66</v>
      </c>
      <c r="AX759" s="10"/>
      <c r="AY759" s="10" t="s">
        <v>66</v>
      </c>
    </row>
    <row r="760" ht="22.5" hidden="1" customHeight="1">
      <c r="A760" s="9" t="s">
        <v>7901</v>
      </c>
      <c r="B760" s="10" t="s">
        <v>7902</v>
      </c>
      <c r="C760" s="10" t="s">
        <v>43</v>
      </c>
      <c r="D760" s="10" t="s">
        <v>7530</v>
      </c>
      <c r="E760" s="10" t="s">
        <v>66</v>
      </c>
      <c r="F760" s="11">
        <v>1.0</v>
      </c>
      <c r="G760" s="11">
        <v>79.0</v>
      </c>
      <c r="H760" s="11"/>
      <c r="I760" s="11">
        <v>-13.43</v>
      </c>
      <c r="J760" s="11">
        <v>-20.45</v>
      </c>
      <c r="K760" s="11"/>
      <c r="L760" s="11">
        <v>45.12</v>
      </c>
      <c r="M760" s="10" t="s">
        <v>46</v>
      </c>
      <c r="N760" s="10" t="s">
        <v>50</v>
      </c>
      <c r="O760" s="10" t="s">
        <v>160</v>
      </c>
      <c r="P760" s="10" t="s">
        <v>161</v>
      </c>
      <c r="Q760" s="10" t="s">
        <v>162</v>
      </c>
      <c r="R760" s="10" t="s">
        <v>74</v>
      </c>
      <c r="S760" s="11">
        <v>79.0</v>
      </c>
      <c r="T760" s="11">
        <v>2.49</v>
      </c>
      <c r="U760" s="11" t="s">
        <v>51</v>
      </c>
      <c r="V760" s="10" t="s">
        <v>52</v>
      </c>
      <c r="W760" s="10" t="s">
        <v>7903</v>
      </c>
      <c r="X760" s="10" t="s">
        <v>7904</v>
      </c>
      <c r="Y760" s="10" t="s">
        <v>7905</v>
      </c>
      <c r="Z760" s="10" t="s">
        <v>50</v>
      </c>
      <c r="AA760" s="10" t="s">
        <v>50</v>
      </c>
      <c r="AB760" s="10" t="s">
        <v>7903</v>
      </c>
      <c r="AC760" s="10" t="s">
        <v>7906</v>
      </c>
      <c r="AD760" s="10" t="s">
        <v>7907</v>
      </c>
      <c r="AE760" s="10" t="s">
        <v>7908</v>
      </c>
      <c r="AF760" s="10" t="s">
        <v>58</v>
      </c>
      <c r="AG760" s="10" t="s">
        <v>7909</v>
      </c>
      <c r="AH760" s="10" t="s">
        <v>60</v>
      </c>
      <c r="AI760" s="10" t="s">
        <v>61</v>
      </c>
      <c r="AJ760" s="10" t="s">
        <v>7910</v>
      </c>
      <c r="AK760" s="10" t="s">
        <v>7911</v>
      </c>
      <c r="AL760" s="10" t="s">
        <v>64</v>
      </c>
      <c r="AM760" s="10" t="s">
        <v>7912</v>
      </c>
      <c r="AN760" s="10" t="s">
        <v>50</v>
      </c>
      <c r="AO760" s="11" t="s">
        <v>50</v>
      </c>
      <c r="AP760" s="10" t="s">
        <v>50</v>
      </c>
      <c r="AQ760" s="10" t="s">
        <v>50</v>
      </c>
      <c r="AR760" s="10" t="s">
        <v>50</v>
      </c>
      <c r="AS760" s="10" t="s">
        <v>50</v>
      </c>
      <c r="AT760" s="10" t="s">
        <v>50</v>
      </c>
      <c r="AU760" s="10" t="s">
        <v>50</v>
      </c>
      <c r="AV760" s="11"/>
      <c r="AW760" s="10" t="s">
        <v>66</v>
      </c>
      <c r="AX760" s="10"/>
      <c r="AY760" s="10" t="s">
        <v>66</v>
      </c>
    </row>
    <row r="761" ht="22.5" hidden="1" customHeight="1">
      <c r="A761" s="9" t="s">
        <v>7913</v>
      </c>
      <c r="B761" s="10" t="s">
        <v>7914</v>
      </c>
      <c r="C761" s="10" t="s">
        <v>43</v>
      </c>
      <c r="D761" s="10" t="s">
        <v>7750</v>
      </c>
      <c r="E761" s="10" t="s">
        <v>66</v>
      </c>
      <c r="F761" s="11">
        <v>1.0</v>
      </c>
      <c r="G761" s="11">
        <v>80.0</v>
      </c>
      <c r="H761" s="11"/>
      <c r="I761" s="11">
        <v>-13.6</v>
      </c>
      <c r="J761" s="11">
        <v>-19.95</v>
      </c>
      <c r="K761" s="11"/>
      <c r="L761" s="11">
        <v>50.45</v>
      </c>
      <c r="M761" s="10" t="s">
        <v>46</v>
      </c>
      <c r="N761" s="10" t="s">
        <v>45</v>
      </c>
      <c r="O761" s="10" t="s">
        <v>143</v>
      </c>
      <c r="P761" s="10" t="s">
        <v>144</v>
      </c>
      <c r="Q761" s="10" t="s">
        <v>145</v>
      </c>
      <c r="R761" s="10" t="s">
        <v>74</v>
      </c>
      <c r="S761" s="11">
        <v>80.0</v>
      </c>
      <c r="T761" s="11">
        <v>33.38</v>
      </c>
      <c r="U761" s="11" t="s">
        <v>51</v>
      </c>
      <c r="V761" s="10" t="s">
        <v>52</v>
      </c>
      <c r="W761" s="10" t="s">
        <v>7915</v>
      </c>
      <c r="X761" s="10" t="s">
        <v>7916</v>
      </c>
      <c r="Y761" s="10" t="s">
        <v>7917</v>
      </c>
      <c r="Z761" s="10" t="s">
        <v>50</v>
      </c>
      <c r="AA761" s="10" t="s">
        <v>50</v>
      </c>
      <c r="AB761" s="10" t="s">
        <v>7915</v>
      </c>
      <c r="AC761" s="10" t="s">
        <v>7918</v>
      </c>
      <c r="AD761" s="10" t="s">
        <v>7919</v>
      </c>
      <c r="AE761" s="10" t="s">
        <v>151</v>
      </c>
      <c r="AF761" s="10" t="s">
        <v>151</v>
      </c>
      <c r="AG761" s="10" t="s">
        <v>7920</v>
      </c>
      <c r="AH761" s="10" t="s">
        <v>60</v>
      </c>
      <c r="AI761" s="10" t="s">
        <v>61</v>
      </c>
      <c r="AJ761" s="10" t="s">
        <v>7921</v>
      </c>
      <c r="AK761" s="10" t="s">
        <v>7922</v>
      </c>
      <c r="AL761" s="10" t="s">
        <v>64</v>
      </c>
      <c r="AM761" s="10" t="s">
        <v>7923</v>
      </c>
      <c r="AN761" s="10" t="s">
        <v>50</v>
      </c>
      <c r="AO761" s="11" t="s">
        <v>50</v>
      </c>
      <c r="AP761" s="10" t="s">
        <v>50</v>
      </c>
      <c r="AQ761" s="10" t="s">
        <v>50</v>
      </c>
      <c r="AR761" s="10" t="s">
        <v>50</v>
      </c>
      <c r="AS761" s="10" t="s">
        <v>50</v>
      </c>
      <c r="AT761" s="10" t="s">
        <v>50</v>
      </c>
      <c r="AU761" s="10" t="s">
        <v>50</v>
      </c>
      <c r="AV761" s="11"/>
      <c r="AW761" s="10" t="s">
        <v>66</v>
      </c>
      <c r="AX761" s="10"/>
      <c r="AY761" s="10" t="s">
        <v>66</v>
      </c>
    </row>
    <row r="762" ht="22.5" hidden="1" customHeight="1">
      <c r="A762" s="9" t="s">
        <v>7924</v>
      </c>
      <c r="B762" s="10" t="s">
        <v>7925</v>
      </c>
      <c r="C762" s="10" t="s">
        <v>39</v>
      </c>
      <c r="D762" s="10" t="s">
        <v>948</v>
      </c>
      <c r="E762" s="10" t="s">
        <v>45</v>
      </c>
      <c r="F762" s="11">
        <v>2.0</v>
      </c>
      <c r="G762" s="11">
        <v>158.4</v>
      </c>
      <c r="H762" s="11"/>
      <c r="I762" s="11">
        <v>-26.92</v>
      </c>
      <c r="J762" s="11">
        <v>-40.9</v>
      </c>
      <c r="K762" s="11"/>
      <c r="L762" s="11">
        <v>90.58</v>
      </c>
      <c r="M762" s="10" t="s">
        <v>46</v>
      </c>
      <c r="N762" s="10" t="s">
        <v>45</v>
      </c>
      <c r="O762" s="10" t="s">
        <v>892</v>
      </c>
      <c r="P762" s="10" t="s">
        <v>893</v>
      </c>
      <c r="Q762" s="10" t="s">
        <v>894</v>
      </c>
      <c r="R762" s="10" t="s">
        <v>74</v>
      </c>
      <c r="S762" s="11">
        <v>79.2</v>
      </c>
      <c r="T762" s="11">
        <v>2.97</v>
      </c>
      <c r="U762" s="11" t="s">
        <v>51</v>
      </c>
      <c r="V762" s="10" t="s">
        <v>52</v>
      </c>
      <c r="W762" s="10" t="s">
        <v>7926</v>
      </c>
      <c r="X762" s="10" t="s">
        <v>7927</v>
      </c>
      <c r="Y762" s="10" t="s">
        <v>7928</v>
      </c>
      <c r="Z762" s="10" t="s">
        <v>50</v>
      </c>
      <c r="AA762" s="10" t="s">
        <v>50</v>
      </c>
      <c r="AB762" s="10" t="s">
        <v>7926</v>
      </c>
      <c r="AC762" s="10" t="s">
        <v>7929</v>
      </c>
      <c r="AD762" s="10" t="s">
        <v>7930</v>
      </c>
      <c r="AE762" s="10" t="s">
        <v>4547</v>
      </c>
      <c r="AF762" s="10" t="s">
        <v>2648</v>
      </c>
      <c r="AG762" s="10" t="s">
        <v>7931</v>
      </c>
      <c r="AH762" s="10" t="s">
        <v>60</v>
      </c>
      <c r="AI762" s="10" t="s">
        <v>61</v>
      </c>
      <c r="AJ762" s="10" t="s">
        <v>7932</v>
      </c>
      <c r="AK762" s="10" t="s">
        <v>7933</v>
      </c>
      <c r="AL762" s="10" t="s">
        <v>64</v>
      </c>
      <c r="AM762" s="10" t="s">
        <v>7934</v>
      </c>
      <c r="AN762" s="10" t="s">
        <v>50</v>
      </c>
      <c r="AO762" s="11" t="s">
        <v>50</v>
      </c>
      <c r="AP762" s="10" t="s">
        <v>50</v>
      </c>
      <c r="AQ762" s="10" t="s">
        <v>50</v>
      </c>
      <c r="AR762" s="10" t="s">
        <v>50</v>
      </c>
      <c r="AS762" s="10" t="s">
        <v>50</v>
      </c>
      <c r="AT762" s="10" t="s">
        <v>50</v>
      </c>
      <c r="AU762" s="10" t="s">
        <v>50</v>
      </c>
      <c r="AV762" s="11"/>
      <c r="AW762" s="10" t="s">
        <v>66</v>
      </c>
      <c r="AX762" s="10">
        <v>1.0</v>
      </c>
      <c r="AY762" s="10" t="s">
        <v>66</v>
      </c>
    </row>
    <row r="763" ht="22.5" hidden="1" customHeight="1">
      <c r="A763" s="9" t="s">
        <v>7935</v>
      </c>
      <c r="B763" s="10" t="s">
        <v>7936</v>
      </c>
      <c r="C763" s="10" t="s">
        <v>43</v>
      </c>
      <c r="D763" s="10" t="s">
        <v>7518</v>
      </c>
      <c r="E763" s="10" t="s">
        <v>66</v>
      </c>
      <c r="F763" s="11">
        <v>1.0</v>
      </c>
      <c r="G763" s="11">
        <v>80.0</v>
      </c>
      <c r="H763" s="11"/>
      <c r="I763" s="11">
        <v>-13.6</v>
      </c>
      <c r="J763" s="11">
        <v>-19.95</v>
      </c>
      <c r="K763" s="11"/>
      <c r="L763" s="11">
        <v>50.45</v>
      </c>
      <c r="M763" s="10" t="s">
        <v>46</v>
      </c>
      <c r="N763" s="10" t="s">
        <v>45</v>
      </c>
      <c r="O763" s="10" t="s">
        <v>143</v>
      </c>
      <c r="P763" s="10" t="s">
        <v>144</v>
      </c>
      <c r="Q763" s="10" t="s">
        <v>145</v>
      </c>
      <c r="R763" s="10" t="s">
        <v>74</v>
      </c>
      <c r="S763" s="11">
        <v>80.0</v>
      </c>
      <c r="T763" s="11">
        <v>33.38</v>
      </c>
      <c r="U763" s="11" t="s">
        <v>51</v>
      </c>
      <c r="V763" s="10" t="s">
        <v>52</v>
      </c>
      <c r="W763" s="10" t="s">
        <v>7937</v>
      </c>
      <c r="X763" s="10" t="s">
        <v>7938</v>
      </c>
      <c r="Y763" s="10" t="s">
        <v>7939</v>
      </c>
      <c r="Z763" s="10" t="s">
        <v>50</v>
      </c>
      <c r="AA763" s="10" t="s">
        <v>50</v>
      </c>
      <c r="AB763" s="10" t="s">
        <v>7937</v>
      </c>
      <c r="AC763" s="10" t="s">
        <v>7940</v>
      </c>
      <c r="AD763" s="10" t="s">
        <v>7941</v>
      </c>
      <c r="AE763" s="10" t="s">
        <v>58</v>
      </c>
      <c r="AF763" s="10" t="s">
        <v>58</v>
      </c>
      <c r="AG763" s="10" t="s">
        <v>7942</v>
      </c>
      <c r="AH763" s="10" t="s">
        <v>60</v>
      </c>
      <c r="AI763" s="10" t="s">
        <v>61</v>
      </c>
      <c r="AJ763" s="10" t="s">
        <v>7943</v>
      </c>
      <c r="AK763" s="10" t="s">
        <v>7944</v>
      </c>
      <c r="AL763" s="10" t="s">
        <v>1025</v>
      </c>
      <c r="AM763" s="10" t="s">
        <v>7945</v>
      </c>
      <c r="AN763" s="10" t="s">
        <v>7946</v>
      </c>
      <c r="AO763" s="11" t="s">
        <v>50</v>
      </c>
      <c r="AP763" s="10" t="s">
        <v>50</v>
      </c>
      <c r="AQ763" s="10" t="s">
        <v>50</v>
      </c>
      <c r="AR763" s="10" t="s">
        <v>50</v>
      </c>
      <c r="AS763" s="10" t="s">
        <v>50</v>
      </c>
      <c r="AT763" s="10" t="s">
        <v>50</v>
      </c>
      <c r="AU763" s="10" t="s">
        <v>50</v>
      </c>
      <c r="AV763" s="11"/>
      <c r="AW763" s="10" t="s">
        <v>66</v>
      </c>
      <c r="AX763" s="10"/>
      <c r="AY763" s="10" t="s">
        <v>66</v>
      </c>
    </row>
    <row r="764" ht="22.5" hidden="1" customHeight="1">
      <c r="A764" s="9" t="s">
        <v>7947</v>
      </c>
      <c r="B764" s="10" t="s">
        <v>7948</v>
      </c>
      <c r="C764" s="10" t="s">
        <v>43</v>
      </c>
      <c r="D764" s="10" t="s">
        <v>7518</v>
      </c>
      <c r="E764" s="10" t="s">
        <v>66</v>
      </c>
      <c r="F764" s="11">
        <v>1.0</v>
      </c>
      <c r="G764" s="11">
        <v>80.0</v>
      </c>
      <c r="H764" s="11"/>
      <c r="I764" s="11">
        <v>-13.6</v>
      </c>
      <c r="J764" s="11">
        <v>-19.95</v>
      </c>
      <c r="K764" s="11"/>
      <c r="L764" s="11">
        <v>50.45</v>
      </c>
      <c r="M764" s="10" t="s">
        <v>46</v>
      </c>
      <c r="N764" s="10" t="s">
        <v>45</v>
      </c>
      <c r="O764" s="10" t="s">
        <v>143</v>
      </c>
      <c r="P764" s="10" t="s">
        <v>144</v>
      </c>
      <c r="Q764" s="10" t="s">
        <v>145</v>
      </c>
      <c r="R764" s="10" t="s">
        <v>74</v>
      </c>
      <c r="S764" s="11">
        <v>80.0</v>
      </c>
      <c r="T764" s="11">
        <v>33.38</v>
      </c>
      <c r="U764" s="11" t="s">
        <v>51</v>
      </c>
      <c r="V764" s="10" t="s">
        <v>52</v>
      </c>
      <c r="W764" s="10" t="s">
        <v>7949</v>
      </c>
      <c r="X764" s="10" t="s">
        <v>7950</v>
      </c>
      <c r="Y764" s="10" t="s">
        <v>7951</v>
      </c>
      <c r="Z764" s="10" t="s">
        <v>50</v>
      </c>
      <c r="AA764" s="10" t="s">
        <v>50</v>
      </c>
      <c r="AB764" s="10" t="s">
        <v>7949</v>
      </c>
      <c r="AC764" s="10" t="s">
        <v>7952</v>
      </c>
      <c r="AD764" s="10" t="s">
        <v>7953</v>
      </c>
      <c r="AE764" s="10" t="s">
        <v>58</v>
      </c>
      <c r="AF764" s="10" t="s">
        <v>58</v>
      </c>
      <c r="AG764" s="10" t="s">
        <v>7954</v>
      </c>
      <c r="AH764" s="10" t="s">
        <v>60</v>
      </c>
      <c r="AI764" s="10" t="s">
        <v>61</v>
      </c>
      <c r="AJ764" s="10" t="s">
        <v>7955</v>
      </c>
      <c r="AK764" s="10" t="s">
        <v>7956</v>
      </c>
      <c r="AL764" s="10" t="s">
        <v>1025</v>
      </c>
      <c r="AM764" s="10" t="s">
        <v>7957</v>
      </c>
      <c r="AN764" s="10" t="s">
        <v>7958</v>
      </c>
      <c r="AO764" s="11" t="s">
        <v>50</v>
      </c>
      <c r="AP764" s="10" t="s">
        <v>50</v>
      </c>
      <c r="AQ764" s="10" t="s">
        <v>50</v>
      </c>
      <c r="AR764" s="10" t="s">
        <v>50</v>
      </c>
      <c r="AS764" s="10" t="s">
        <v>50</v>
      </c>
      <c r="AT764" s="10" t="s">
        <v>50</v>
      </c>
      <c r="AU764" s="10" t="s">
        <v>50</v>
      </c>
      <c r="AV764" s="11"/>
      <c r="AW764" s="10" t="s">
        <v>66</v>
      </c>
      <c r="AX764" s="10"/>
      <c r="AY764" s="10" t="s">
        <v>66</v>
      </c>
    </row>
    <row r="765" ht="22.5" hidden="1" customHeight="1">
      <c r="A765" s="9" t="s">
        <v>7959</v>
      </c>
      <c r="B765" s="10" t="s">
        <v>7960</v>
      </c>
      <c r="C765" s="10" t="s">
        <v>43</v>
      </c>
      <c r="D765" s="10" t="s">
        <v>7518</v>
      </c>
      <c r="E765" s="10" t="s">
        <v>66</v>
      </c>
      <c r="F765" s="11">
        <v>1.0</v>
      </c>
      <c r="G765" s="11">
        <v>43.7</v>
      </c>
      <c r="H765" s="11">
        <v>17.86</v>
      </c>
      <c r="I765" s="11">
        <v>-13.43</v>
      </c>
      <c r="J765" s="11">
        <v>-17.86</v>
      </c>
      <c r="K765" s="11"/>
      <c r="L765" s="11">
        <v>32.89</v>
      </c>
      <c r="M765" s="10" t="s">
        <v>46</v>
      </c>
      <c r="N765" s="10" t="s">
        <v>45</v>
      </c>
      <c r="O765" s="10" t="s">
        <v>176</v>
      </c>
      <c r="P765" s="10" t="s">
        <v>177</v>
      </c>
      <c r="Q765" s="10" t="s">
        <v>178</v>
      </c>
      <c r="R765" s="10" t="s">
        <v>74</v>
      </c>
      <c r="S765" s="11">
        <v>43.7</v>
      </c>
      <c r="T765" s="11">
        <v>22.58</v>
      </c>
      <c r="U765" s="11" t="s">
        <v>51</v>
      </c>
      <c r="V765" s="10" t="s">
        <v>52</v>
      </c>
      <c r="W765" s="10" t="s">
        <v>7961</v>
      </c>
      <c r="X765" s="10" t="s">
        <v>7962</v>
      </c>
      <c r="Y765" s="10" t="s">
        <v>7963</v>
      </c>
      <c r="Z765" s="10" t="s">
        <v>50</v>
      </c>
      <c r="AA765" s="10" t="s">
        <v>50</v>
      </c>
      <c r="AB765" s="10" t="s">
        <v>7961</v>
      </c>
      <c r="AC765" s="10" t="s">
        <v>7964</v>
      </c>
      <c r="AD765" s="10" t="s">
        <v>7965</v>
      </c>
      <c r="AE765" s="10" t="s">
        <v>3962</v>
      </c>
      <c r="AF765" s="10" t="s">
        <v>284</v>
      </c>
      <c r="AG765" s="10" t="s">
        <v>7966</v>
      </c>
      <c r="AH765" s="10" t="s">
        <v>60</v>
      </c>
      <c r="AI765" s="10" t="s">
        <v>61</v>
      </c>
      <c r="AJ765" s="10" t="s">
        <v>7550</v>
      </c>
      <c r="AK765" s="10" t="s">
        <v>7967</v>
      </c>
      <c r="AL765" s="10" t="s">
        <v>64</v>
      </c>
      <c r="AM765" s="10" t="s">
        <v>7968</v>
      </c>
      <c r="AN765" s="10" t="s">
        <v>50</v>
      </c>
      <c r="AO765" s="11" t="s">
        <v>50</v>
      </c>
      <c r="AP765" s="10" t="s">
        <v>50</v>
      </c>
      <c r="AQ765" s="10" t="s">
        <v>50</v>
      </c>
      <c r="AR765" s="10" t="s">
        <v>50</v>
      </c>
      <c r="AS765" s="10" t="s">
        <v>50</v>
      </c>
      <c r="AT765" s="10" t="s">
        <v>50</v>
      </c>
      <c r="AU765" s="10" t="s">
        <v>50</v>
      </c>
      <c r="AV765" s="11"/>
      <c r="AW765" s="10" t="s">
        <v>66</v>
      </c>
      <c r="AX765" s="10"/>
      <c r="AY765" s="10" t="s">
        <v>66</v>
      </c>
    </row>
    <row r="766" ht="22.5" hidden="1" customHeight="1">
      <c r="A766" s="9" t="s">
        <v>7969</v>
      </c>
      <c r="B766" s="10" t="s">
        <v>7970</v>
      </c>
      <c r="C766" s="10" t="s">
        <v>43</v>
      </c>
      <c r="D766" s="10" t="s">
        <v>5357</v>
      </c>
      <c r="E766" s="10" t="s">
        <v>45</v>
      </c>
      <c r="F766" s="11">
        <v>1.0</v>
      </c>
      <c r="G766" s="11">
        <v>79.35</v>
      </c>
      <c r="H766" s="11">
        <v>10.8</v>
      </c>
      <c r="I766" s="11">
        <v>-15.08</v>
      </c>
      <c r="J766" s="11">
        <v>-30.75</v>
      </c>
      <c r="K766" s="11"/>
      <c r="L766" s="11">
        <v>44.32</v>
      </c>
      <c r="M766" s="10" t="s">
        <v>46</v>
      </c>
      <c r="N766" s="10" t="s">
        <v>45</v>
      </c>
      <c r="O766" s="10" t="s">
        <v>47</v>
      </c>
      <c r="P766" s="10" t="s">
        <v>48</v>
      </c>
      <c r="Q766" s="10" t="s">
        <v>49</v>
      </c>
      <c r="R766" s="10" t="s">
        <v>50</v>
      </c>
      <c r="S766" s="11">
        <v>79.35</v>
      </c>
      <c r="T766" s="11">
        <v>12.45</v>
      </c>
      <c r="U766" s="11" t="s">
        <v>51</v>
      </c>
      <c r="V766" s="10" t="s">
        <v>52</v>
      </c>
      <c r="W766" s="10" t="s">
        <v>7971</v>
      </c>
      <c r="X766" s="10" t="s">
        <v>7972</v>
      </c>
      <c r="Y766" s="10" t="s">
        <v>7973</v>
      </c>
      <c r="Z766" s="10" t="s">
        <v>50</v>
      </c>
      <c r="AA766" s="10" t="s">
        <v>50</v>
      </c>
      <c r="AB766" s="10" t="s">
        <v>7971</v>
      </c>
      <c r="AC766" s="10" t="s">
        <v>7974</v>
      </c>
      <c r="AD766" s="10" t="s">
        <v>7975</v>
      </c>
      <c r="AE766" s="10" t="s">
        <v>7976</v>
      </c>
      <c r="AF766" s="10" t="s">
        <v>799</v>
      </c>
      <c r="AG766" s="10" t="s">
        <v>7977</v>
      </c>
      <c r="AH766" s="10" t="s">
        <v>60</v>
      </c>
      <c r="AI766" s="10" t="s">
        <v>61</v>
      </c>
      <c r="AJ766" s="10" t="s">
        <v>7675</v>
      </c>
      <c r="AK766" s="10" t="s">
        <v>7978</v>
      </c>
      <c r="AL766" s="10" t="s">
        <v>64</v>
      </c>
      <c r="AM766" s="10" t="s">
        <v>7979</v>
      </c>
      <c r="AN766" s="10" t="s">
        <v>50</v>
      </c>
      <c r="AO766" s="11" t="s">
        <v>50</v>
      </c>
      <c r="AP766" s="10" t="s">
        <v>50</v>
      </c>
      <c r="AQ766" s="10" t="s">
        <v>50</v>
      </c>
      <c r="AR766" s="10" t="s">
        <v>50</v>
      </c>
      <c r="AS766" s="10" t="s">
        <v>50</v>
      </c>
      <c r="AT766" s="10" t="s">
        <v>50</v>
      </c>
      <c r="AU766" s="10" t="s">
        <v>50</v>
      </c>
      <c r="AV766" s="11"/>
      <c r="AW766" s="10" t="s">
        <v>66</v>
      </c>
      <c r="AX766" s="10"/>
      <c r="AY766" s="10" t="s">
        <v>66</v>
      </c>
    </row>
    <row r="767" ht="22.5" hidden="1" customHeight="1">
      <c r="A767" s="9" t="s">
        <v>7980</v>
      </c>
      <c r="B767" s="10" t="s">
        <v>7981</v>
      </c>
      <c r="C767" s="10" t="s">
        <v>43</v>
      </c>
      <c r="D767" s="10" t="s">
        <v>5357</v>
      </c>
      <c r="E767" s="10" t="s">
        <v>66</v>
      </c>
      <c r="F767" s="11">
        <v>1.0</v>
      </c>
      <c r="G767" s="11">
        <v>80.0</v>
      </c>
      <c r="H767" s="11"/>
      <c r="I767" s="11">
        <v>-13.6</v>
      </c>
      <c r="J767" s="11">
        <v>-19.95</v>
      </c>
      <c r="K767" s="11"/>
      <c r="L767" s="11">
        <v>50.45</v>
      </c>
      <c r="M767" s="10" t="s">
        <v>46</v>
      </c>
      <c r="N767" s="10" t="s">
        <v>45</v>
      </c>
      <c r="O767" s="10" t="s">
        <v>143</v>
      </c>
      <c r="P767" s="10" t="s">
        <v>144</v>
      </c>
      <c r="Q767" s="10" t="s">
        <v>145</v>
      </c>
      <c r="R767" s="10" t="s">
        <v>74</v>
      </c>
      <c r="S767" s="11">
        <v>80.0</v>
      </c>
      <c r="T767" s="11">
        <v>33.38</v>
      </c>
      <c r="U767" s="11" t="s">
        <v>51</v>
      </c>
      <c r="V767" s="10" t="s">
        <v>52</v>
      </c>
      <c r="W767" s="10" t="s">
        <v>7982</v>
      </c>
      <c r="X767" s="10" t="s">
        <v>7983</v>
      </c>
      <c r="Y767" s="10" t="s">
        <v>7984</v>
      </c>
      <c r="Z767" s="10" t="s">
        <v>50</v>
      </c>
      <c r="AA767" s="10" t="s">
        <v>50</v>
      </c>
      <c r="AB767" s="10" t="s">
        <v>7982</v>
      </c>
      <c r="AC767" s="10" t="s">
        <v>7985</v>
      </c>
      <c r="AD767" s="10" t="s">
        <v>7986</v>
      </c>
      <c r="AE767" s="10" t="s">
        <v>3244</v>
      </c>
      <c r="AF767" s="10" t="s">
        <v>58</v>
      </c>
      <c r="AG767" s="10" t="s">
        <v>7987</v>
      </c>
      <c r="AH767" s="10" t="s">
        <v>60</v>
      </c>
      <c r="AI767" s="10" t="s">
        <v>61</v>
      </c>
      <c r="AJ767" s="10" t="s">
        <v>7847</v>
      </c>
      <c r="AK767" s="10" t="s">
        <v>7988</v>
      </c>
      <c r="AL767" s="10" t="s">
        <v>64</v>
      </c>
      <c r="AM767" s="10" t="s">
        <v>7989</v>
      </c>
      <c r="AN767" s="10" t="s">
        <v>50</v>
      </c>
      <c r="AO767" s="11" t="s">
        <v>50</v>
      </c>
      <c r="AP767" s="10" t="s">
        <v>50</v>
      </c>
      <c r="AQ767" s="10" t="s">
        <v>50</v>
      </c>
      <c r="AR767" s="10" t="s">
        <v>50</v>
      </c>
      <c r="AS767" s="10" t="s">
        <v>50</v>
      </c>
      <c r="AT767" s="10" t="s">
        <v>50</v>
      </c>
      <c r="AU767" s="10" t="s">
        <v>50</v>
      </c>
      <c r="AV767" s="11"/>
      <c r="AW767" s="10" t="s">
        <v>66</v>
      </c>
      <c r="AX767" s="10"/>
      <c r="AY767" s="10" t="s">
        <v>66</v>
      </c>
    </row>
    <row r="768" ht="22.5" hidden="1" customHeight="1">
      <c r="A768" s="9" t="s">
        <v>7990</v>
      </c>
      <c r="B768" s="10" t="s">
        <v>7991</v>
      </c>
      <c r="C768" s="10" t="s">
        <v>43</v>
      </c>
      <c r="D768" s="10" t="s">
        <v>7518</v>
      </c>
      <c r="E768" s="10" t="s">
        <v>66</v>
      </c>
      <c r="F768" s="11">
        <v>1.0</v>
      </c>
      <c r="G768" s="11">
        <v>79.2</v>
      </c>
      <c r="H768" s="11"/>
      <c r="I768" s="11">
        <v>-13.46</v>
      </c>
      <c r="J768" s="11">
        <v>-20.45</v>
      </c>
      <c r="K768" s="11"/>
      <c r="L768" s="11">
        <v>45.29</v>
      </c>
      <c r="M768" s="10" t="s">
        <v>46</v>
      </c>
      <c r="N768" s="10" t="s">
        <v>45</v>
      </c>
      <c r="O768" s="10" t="s">
        <v>892</v>
      </c>
      <c r="P768" s="10" t="s">
        <v>893</v>
      </c>
      <c r="Q768" s="10" t="s">
        <v>894</v>
      </c>
      <c r="R768" s="10" t="s">
        <v>74</v>
      </c>
      <c r="S768" s="11">
        <v>79.2</v>
      </c>
      <c r="T768" s="11">
        <v>2.97</v>
      </c>
      <c r="U768" s="11" t="s">
        <v>51</v>
      </c>
      <c r="V768" s="10" t="s">
        <v>52</v>
      </c>
      <c r="W768" s="10" t="s">
        <v>7992</v>
      </c>
      <c r="X768" s="10" t="s">
        <v>7993</v>
      </c>
      <c r="Y768" s="10" t="s">
        <v>7994</v>
      </c>
      <c r="Z768" s="10" t="s">
        <v>50</v>
      </c>
      <c r="AA768" s="10" t="s">
        <v>50</v>
      </c>
      <c r="AB768" s="10" t="s">
        <v>7992</v>
      </c>
      <c r="AC768" s="10" t="s">
        <v>7995</v>
      </c>
      <c r="AD768" s="10" t="s">
        <v>7996</v>
      </c>
      <c r="AE768" s="10" t="s">
        <v>7997</v>
      </c>
      <c r="AF768" s="10" t="s">
        <v>151</v>
      </c>
      <c r="AG768" s="10" t="s">
        <v>7998</v>
      </c>
      <c r="AH768" s="10" t="s">
        <v>60</v>
      </c>
      <c r="AI768" s="10" t="s">
        <v>61</v>
      </c>
      <c r="AJ768" s="10" t="s">
        <v>7999</v>
      </c>
      <c r="AK768" s="10" t="s">
        <v>7689</v>
      </c>
      <c r="AL768" s="10" t="s">
        <v>64</v>
      </c>
      <c r="AM768" s="10" t="s">
        <v>8000</v>
      </c>
      <c r="AN768" s="10" t="s">
        <v>50</v>
      </c>
      <c r="AO768" s="11" t="s">
        <v>50</v>
      </c>
      <c r="AP768" s="10" t="s">
        <v>50</v>
      </c>
      <c r="AQ768" s="10" t="s">
        <v>50</v>
      </c>
      <c r="AR768" s="10" t="s">
        <v>50</v>
      </c>
      <c r="AS768" s="10" t="s">
        <v>50</v>
      </c>
      <c r="AT768" s="10" t="s">
        <v>50</v>
      </c>
      <c r="AU768" s="10" t="s">
        <v>50</v>
      </c>
      <c r="AV768" s="11"/>
      <c r="AW768" s="10" t="s">
        <v>66</v>
      </c>
      <c r="AX768" s="10"/>
      <c r="AY768" s="10" t="s">
        <v>66</v>
      </c>
    </row>
    <row r="769" ht="22.5" hidden="1" customHeight="1">
      <c r="A769" s="9" t="s">
        <v>8001</v>
      </c>
      <c r="B769" s="10" t="s">
        <v>8002</v>
      </c>
      <c r="C769" s="10" t="s">
        <v>43</v>
      </c>
      <c r="D769" s="10" t="s">
        <v>7518</v>
      </c>
      <c r="E769" s="10" t="s">
        <v>66</v>
      </c>
      <c r="F769" s="11">
        <v>1.0</v>
      </c>
      <c r="G769" s="11">
        <v>79.0</v>
      </c>
      <c r="H769" s="11"/>
      <c r="I769" s="11">
        <v>-13.43</v>
      </c>
      <c r="J769" s="11">
        <v>-20.45</v>
      </c>
      <c r="K769" s="11"/>
      <c r="L769" s="11">
        <v>45.12</v>
      </c>
      <c r="M769" s="10" t="s">
        <v>46</v>
      </c>
      <c r="N769" s="10" t="s">
        <v>45</v>
      </c>
      <c r="O769" s="10" t="s">
        <v>160</v>
      </c>
      <c r="P769" s="10" t="s">
        <v>161</v>
      </c>
      <c r="Q769" s="10" t="s">
        <v>162</v>
      </c>
      <c r="R769" s="10" t="s">
        <v>74</v>
      </c>
      <c r="S769" s="11">
        <v>79.0</v>
      </c>
      <c r="T769" s="11">
        <v>2.49</v>
      </c>
      <c r="U769" s="11" t="s">
        <v>51</v>
      </c>
      <c r="V769" s="10" t="s">
        <v>52</v>
      </c>
      <c r="W769" s="10" t="s">
        <v>8003</v>
      </c>
      <c r="X769" s="10" t="s">
        <v>8004</v>
      </c>
      <c r="Y769" s="10" t="s">
        <v>8005</v>
      </c>
      <c r="Z769" s="10" t="s">
        <v>50</v>
      </c>
      <c r="AA769" s="10" t="s">
        <v>50</v>
      </c>
      <c r="AB769" s="10" t="s">
        <v>8003</v>
      </c>
      <c r="AC769" s="10" t="s">
        <v>8006</v>
      </c>
      <c r="AD769" s="10" t="s">
        <v>8007</v>
      </c>
      <c r="AE769" s="10" t="s">
        <v>8008</v>
      </c>
      <c r="AF769" s="10" t="s">
        <v>58</v>
      </c>
      <c r="AG769" s="10" t="s">
        <v>8009</v>
      </c>
      <c r="AH769" s="10" t="s">
        <v>60</v>
      </c>
      <c r="AI769" s="10" t="s">
        <v>61</v>
      </c>
      <c r="AJ769" s="10" t="s">
        <v>7640</v>
      </c>
      <c r="AK769" s="10" t="s">
        <v>8010</v>
      </c>
      <c r="AL769" s="10" t="s">
        <v>64</v>
      </c>
      <c r="AM769" s="10" t="s">
        <v>8011</v>
      </c>
      <c r="AN769" s="10" t="s">
        <v>50</v>
      </c>
      <c r="AO769" s="11" t="s">
        <v>50</v>
      </c>
      <c r="AP769" s="10" t="s">
        <v>50</v>
      </c>
      <c r="AQ769" s="10" t="s">
        <v>50</v>
      </c>
      <c r="AR769" s="10" t="s">
        <v>50</v>
      </c>
      <c r="AS769" s="10" t="s">
        <v>50</v>
      </c>
      <c r="AT769" s="10" t="s">
        <v>50</v>
      </c>
      <c r="AU769" s="10" t="s">
        <v>50</v>
      </c>
      <c r="AV769" s="11"/>
      <c r="AW769" s="10" t="s">
        <v>66</v>
      </c>
      <c r="AX769" s="10"/>
      <c r="AY769" s="10" t="s">
        <v>66</v>
      </c>
    </row>
    <row r="770" ht="22.5" hidden="1" customHeight="1">
      <c r="A770" s="9" t="s">
        <v>8012</v>
      </c>
      <c r="B770" s="10" t="s">
        <v>8013</v>
      </c>
      <c r="C770" s="10" t="s">
        <v>43</v>
      </c>
      <c r="D770" s="10" t="s">
        <v>7530</v>
      </c>
      <c r="E770" s="10" t="s">
        <v>66</v>
      </c>
      <c r="F770" s="11">
        <v>1.0</v>
      </c>
      <c r="G770" s="11">
        <v>120.0</v>
      </c>
      <c r="H770" s="11"/>
      <c r="I770" s="11">
        <v>-20.4</v>
      </c>
      <c r="J770" s="11">
        <v>-19.95</v>
      </c>
      <c r="K770" s="11"/>
      <c r="L770" s="11">
        <v>86.85</v>
      </c>
      <c r="M770" s="10" t="s">
        <v>46</v>
      </c>
      <c r="N770" s="10" t="s">
        <v>45</v>
      </c>
      <c r="O770" s="10" t="s">
        <v>85</v>
      </c>
      <c r="P770" s="10" t="s">
        <v>86</v>
      </c>
      <c r="Q770" s="10" t="s">
        <v>87</v>
      </c>
      <c r="R770" s="10" t="s">
        <v>74</v>
      </c>
      <c r="S770" s="11">
        <v>120.0</v>
      </c>
      <c r="T770" s="11">
        <v>65.78</v>
      </c>
      <c r="U770" s="11" t="s">
        <v>51</v>
      </c>
      <c r="V770" s="10" t="s">
        <v>52</v>
      </c>
      <c r="W770" s="10" t="s">
        <v>8014</v>
      </c>
      <c r="X770" s="10" t="s">
        <v>8015</v>
      </c>
      <c r="Y770" s="10" t="s">
        <v>8016</v>
      </c>
      <c r="Z770" s="10" t="s">
        <v>50</v>
      </c>
      <c r="AA770" s="10" t="s">
        <v>50</v>
      </c>
      <c r="AB770" s="10" t="s">
        <v>8014</v>
      </c>
      <c r="AC770" s="10" t="s">
        <v>8017</v>
      </c>
      <c r="AD770" s="10" t="s">
        <v>8018</v>
      </c>
      <c r="AE770" s="10" t="s">
        <v>8019</v>
      </c>
      <c r="AF770" s="10" t="s">
        <v>58</v>
      </c>
      <c r="AG770" s="10" t="s">
        <v>8020</v>
      </c>
      <c r="AH770" s="10" t="s">
        <v>60</v>
      </c>
      <c r="AI770" s="10" t="s">
        <v>61</v>
      </c>
      <c r="AJ770" s="10" t="s">
        <v>8021</v>
      </c>
      <c r="AK770" s="10" t="s">
        <v>8022</v>
      </c>
      <c r="AL770" s="10" t="s">
        <v>64</v>
      </c>
      <c r="AM770" s="10" t="s">
        <v>8023</v>
      </c>
      <c r="AN770" s="10" t="s">
        <v>50</v>
      </c>
      <c r="AO770" s="11" t="s">
        <v>50</v>
      </c>
      <c r="AP770" s="10" t="s">
        <v>50</v>
      </c>
      <c r="AQ770" s="10" t="s">
        <v>50</v>
      </c>
      <c r="AR770" s="10" t="s">
        <v>50</v>
      </c>
      <c r="AS770" s="10" t="s">
        <v>50</v>
      </c>
      <c r="AT770" s="10" t="s">
        <v>50</v>
      </c>
      <c r="AU770" s="10" t="s">
        <v>50</v>
      </c>
      <c r="AV770" s="11"/>
      <c r="AW770" s="10" t="s">
        <v>66</v>
      </c>
      <c r="AX770" s="10"/>
      <c r="AY770" s="10" t="s">
        <v>66</v>
      </c>
    </row>
    <row r="771" ht="22.5" hidden="1" customHeight="1">
      <c r="A771" s="9" t="s">
        <v>8024</v>
      </c>
      <c r="B771" s="10" t="s">
        <v>8025</v>
      </c>
      <c r="C771" s="10" t="s">
        <v>43</v>
      </c>
      <c r="D771" s="10" t="s">
        <v>7518</v>
      </c>
      <c r="E771" s="10" t="s">
        <v>66</v>
      </c>
      <c r="F771" s="11">
        <v>1.0</v>
      </c>
      <c r="G771" s="11">
        <v>43.7</v>
      </c>
      <c r="H771" s="11">
        <v>14.63</v>
      </c>
      <c r="I771" s="11">
        <v>-13.43</v>
      </c>
      <c r="J771" s="11">
        <v>-14.63</v>
      </c>
      <c r="K771" s="11"/>
      <c r="L771" s="11">
        <v>32.89</v>
      </c>
      <c r="M771" s="10" t="s">
        <v>46</v>
      </c>
      <c r="N771" s="10" t="s">
        <v>45</v>
      </c>
      <c r="O771" s="10" t="s">
        <v>176</v>
      </c>
      <c r="P771" s="10" t="s">
        <v>177</v>
      </c>
      <c r="Q771" s="10" t="s">
        <v>178</v>
      </c>
      <c r="R771" s="10" t="s">
        <v>74</v>
      </c>
      <c r="S771" s="11">
        <v>43.7</v>
      </c>
      <c r="T771" s="11">
        <v>22.58</v>
      </c>
      <c r="U771" s="11" t="s">
        <v>51</v>
      </c>
      <c r="V771" s="10" t="s">
        <v>52</v>
      </c>
      <c r="W771" s="10" t="s">
        <v>8026</v>
      </c>
      <c r="X771" s="10" t="s">
        <v>8027</v>
      </c>
      <c r="Y771" s="10" t="s">
        <v>8028</v>
      </c>
      <c r="Z771" s="10" t="s">
        <v>50</v>
      </c>
      <c r="AA771" s="10" t="s">
        <v>50</v>
      </c>
      <c r="AB771" s="10" t="s">
        <v>8026</v>
      </c>
      <c r="AC771" s="10" t="s">
        <v>8029</v>
      </c>
      <c r="AD771" s="10" t="s">
        <v>8030</v>
      </c>
      <c r="AE771" s="10" t="s">
        <v>58</v>
      </c>
      <c r="AF771" s="10" t="s">
        <v>58</v>
      </c>
      <c r="AG771" s="10" t="s">
        <v>8031</v>
      </c>
      <c r="AH771" s="10" t="s">
        <v>60</v>
      </c>
      <c r="AI771" s="10" t="s">
        <v>61</v>
      </c>
      <c r="AJ771" s="10" t="s">
        <v>7847</v>
      </c>
      <c r="AK771" s="10" t="s">
        <v>8032</v>
      </c>
      <c r="AL771" s="10" t="s">
        <v>64</v>
      </c>
      <c r="AM771" s="10" t="s">
        <v>8033</v>
      </c>
      <c r="AN771" s="10" t="s">
        <v>50</v>
      </c>
      <c r="AO771" s="11" t="s">
        <v>50</v>
      </c>
      <c r="AP771" s="10" t="s">
        <v>50</v>
      </c>
      <c r="AQ771" s="10" t="s">
        <v>50</v>
      </c>
      <c r="AR771" s="10" t="s">
        <v>50</v>
      </c>
      <c r="AS771" s="10" t="s">
        <v>50</v>
      </c>
      <c r="AT771" s="10" t="s">
        <v>50</v>
      </c>
      <c r="AU771" s="10" t="s">
        <v>50</v>
      </c>
      <c r="AV771" s="11"/>
      <c r="AW771" s="10" t="s">
        <v>66</v>
      </c>
      <c r="AX771" s="10"/>
      <c r="AY771" s="10" t="s">
        <v>66</v>
      </c>
    </row>
    <row r="772" ht="22.5" hidden="1" customHeight="1">
      <c r="A772" s="9" t="s">
        <v>8034</v>
      </c>
      <c r="B772" s="10" t="s">
        <v>8035</v>
      </c>
      <c r="C772" s="10" t="s">
        <v>43</v>
      </c>
      <c r="D772" s="10" t="s">
        <v>7530</v>
      </c>
      <c r="E772" s="10" t="s">
        <v>66</v>
      </c>
      <c r="F772" s="11">
        <v>1.0</v>
      </c>
      <c r="G772" s="11">
        <v>120.0</v>
      </c>
      <c r="H772" s="11"/>
      <c r="I772" s="11">
        <v>-20.4</v>
      </c>
      <c r="J772" s="11">
        <v>-19.95</v>
      </c>
      <c r="K772" s="11"/>
      <c r="L772" s="11">
        <v>86.85</v>
      </c>
      <c r="M772" s="10" t="s">
        <v>46</v>
      </c>
      <c r="N772" s="10" t="s">
        <v>45</v>
      </c>
      <c r="O772" s="10" t="s">
        <v>85</v>
      </c>
      <c r="P772" s="10" t="s">
        <v>86</v>
      </c>
      <c r="Q772" s="10" t="s">
        <v>87</v>
      </c>
      <c r="R772" s="10" t="s">
        <v>74</v>
      </c>
      <c r="S772" s="11">
        <v>120.0</v>
      </c>
      <c r="T772" s="11">
        <v>65.78</v>
      </c>
      <c r="U772" s="11" t="s">
        <v>51</v>
      </c>
      <c r="V772" s="10" t="s">
        <v>52</v>
      </c>
      <c r="W772" s="10" t="s">
        <v>8036</v>
      </c>
      <c r="X772" s="10" t="s">
        <v>8037</v>
      </c>
      <c r="Y772" s="10" t="s">
        <v>8038</v>
      </c>
      <c r="Z772" s="10" t="s">
        <v>50</v>
      </c>
      <c r="AA772" s="10" t="s">
        <v>50</v>
      </c>
      <c r="AB772" s="10" t="s">
        <v>8036</v>
      </c>
      <c r="AC772" s="10" t="s">
        <v>8039</v>
      </c>
      <c r="AD772" s="10" t="s">
        <v>8040</v>
      </c>
      <c r="AE772" s="10" t="s">
        <v>8041</v>
      </c>
      <c r="AF772" s="10" t="s">
        <v>214</v>
      </c>
      <c r="AG772" s="10" t="s">
        <v>8042</v>
      </c>
      <c r="AH772" s="10" t="s">
        <v>60</v>
      </c>
      <c r="AI772" s="10" t="s">
        <v>61</v>
      </c>
      <c r="AJ772" s="10" t="s">
        <v>8043</v>
      </c>
      <c r="AK772" s="10" t="s">
        <v>8044</v>
      </c>
      <c r="AL772" s="10" t="s">
        <v>64</v>
      </c>
      <c r="AM772" s="10" t="s">
        <v>8045</v>
      </c>
      <c r="AN772" s="10" t="s">
        <v>50</v>
      </c>
      <c r="AO772" s="11" t="s">
        <v>50</v>
      </c>
      <c r="AP772" s="10" t="s">
        <v>50</v>
      </c>
      <c r="AQ772" s="10" t="s">
        <v>50</v>
      </c>
      <c r="AR772" s="10" t="s">
        <v>50</v>
      </c>
      <c r="AS772" s="10" t="s">
        <v>50</v>
      </c>
      <c r="AT772" s="10" t="s">
        <v>50</v>
      </c>
      <c r="AU772" s="10" t="s">
        <v>50</v>
      </c>
      <c r="AV772" s="11"/>
      <c r="AW772" s="10" t="s">
        <v>66</v>
      </c>
      <c r="AX772" s="10"/>
      <c r="AY772" s="10" t="s">
        <v>66</v>
      </c>
    </row>
    <row r="773" ht="22.5" hidden="1" customHeight="1">
      <c r="A773" s="9" t="s">
        <v>8046</v>
      </c>
      <c r="B773" s="10" t="s">
        <v>8047</v>
      </c>
      <c r="C773" s="10" t="s">
        <v>43</v>
      </c>
      <c r="D773" s="10" t="s">
        <v>7693</v>
      </c>
      <c r="E773" s="10" t="s">
        <v>66</v>
      </c>
      <c r="F773" s="11">
        <v>1.0</v>
      </c>
      <c r="G773" s="11">
        <v>43.7</v>
      </c>
      <c r="H773" s="11">
        <v>11.11</v>
      </c>
      <c r="I773" s="11">
        <v>-13.43</v>
      </c>
      <c r="J773" s="11">
        <v>-11.11</v>
      </c>
      <c r="K773" s="11"/>
      <c r="L773" s="11">
        <v>32.89</v>
      </c>
      <c r="M773" s="10" t="s">
        <v>46</v>
      </c>
      <c r="N773" s="10" t="s">
        <v>50</v>
      </c>
      <c r="O773" s="10" t="s">
        <v>176</v>
      </c>
      <c r="P773" s="10" t="s">
        <v>177</v>
      </c>
      <c r="Q773" s="10" t="s">
        <v>178</v>
      </c>
      <c r="R773" s="10" t="s">
        <v>74</v>
      </c>
      <c r="S773" s="11">
        <v>43.7</v>
      </c>
      <c r="T773" s="11">
        <v>22.58</v>
      </c>
      <c r="U773" s="11" t="s">
        <v>51</v>
      </c>
      <c r="V773" s="10" t="s">
        <v>52</v>
      </c>
      <c r="W773" s="10" t="s">
        <v>8048</v>
      </c>
      <c r="X773" s="10" t="s">
        <v>8049</v>
      </c>
      <c r="Y773" s="10" t="s">
        <v>8050</v>
      </c>
      <c r="Z773" s="10" t="s">
        <v>50</v>
      </c>
      <c r="AA773" s="10" t="s">
        <v>50</v>
      </c>
      <c r="AB773" s="10" t="s">
        <v>8048</v>
      </c>
      <c r="AC773" s="10" t="s">
        <v>8051</v>
      </c>
      <c r="AD773" s="10" t="s">
        <v>8052</v>
      </c>
      <c r="AE773" s="10" t="s">
        <v>8053</v>
      </c>
      <c r="AF773" s="10" t="s">
        <v>58</v>
      </c>
      <c r="AG773" s="10" t="s">
        <v>8054</v>
      </c>
      <c r="AH773" s="10" t="s">
        <v>60</v>
      </c>
      <c r="AI773" s="10" t="s">
        <v>61</v>
      </c>
      <c r="AJ773" s="10" t="s">
        <v>8055</v>
      </c>
      <c r="AK773" s="10" t="s">
        <v>7816</v>
      </c>
      <c r="AL773" s="10" t="s">
        <v>64</v>
      </c>
      <c r="AM773" s="10" t="s">
        <v>8056</v>
      </c>
      <c r="AN773" s="10" t="s">
        <v>50</v>
      </c>
      <c r="AO773" s="11" t="s">
        <v>50</v>
      </c>
      <c r="AP773" s="10" t="s">
        <v>50</v>
      </c>
      <c r="AQ773" s="10" t="s">
        <v>50</v>
      </c>
      <c r="AR773" s="10" t="s">
        <v>50</v>
      </c>
      <c r="AS773" s="10" t="s">
        <v>50</v>
      </c>
      <c r="AT773" s="10" t="s">
        <v>50</v>
      </c>
      <c r="AU773" s="10" t="s">
        <v>50</v>
      </c>
      <c r="AV773" s="11"/>
      <c r="AW773" s="10" t="s">
        <v>66</v>
      </c>
      <c r="AX773" s="10"/>
      <c r="AY773" s="10" t="s">
        <v>66</v>
      </c>
    </row>
    <row r="774" ht="22.5" hidden="1" customHeight="1">
      <c r="A774" s="9" t="s">
        <v>8057</v>
      </c>
      <c r="B774" s="10" t="s">
        <v>8058</v>
      </c>
      <c r="C774" s="10" t="s">
        <v>43</v>
      </c>
      <c r="D774" s="10" t="s">
        <v>7750</v>
      </c>
      <c r="E774" s="10" t="s">
        <v>66</v>
      </c>
      <c r="F774" s="11">
        <v>1.0</v>
      </c>
      <c r="G774" s="11">
        <v>79.0</v>
      </c>
      <c r="H774" s="11"/>
      <c r="I774" s="11">
        <v>-13.43</v>
      </c>
      <c r="J774" s="11">
        <v>-20.45</v>
      </c>
      <c r="K774" s="11"/>
      <c r="L774" s="11">
        <v>45.12</v>
      </c>
      <c r="M774" s="10" t="s">
        <v>46</v>
      </c>
      <c r="N774" s="10" t="s">
        <v>45</v>
      </c>
      <c r="O774" s="10" t="s">
        <v>461</v>
      </c>
      <c r="P774" s="10" t="s">
        <v>462</v>
      </c>
      <c r="Q774" s="10" t="s">
        <v>463</v>
      </c>
      <c r="R774" s="10" t="s">
        <v>74</v>
      </c>
      <c r="S774" s="11">
        <v>79.0</v>
      </c>
      <c r="T774" s="11">
        <v>10.09</v>
      </c>
      <c r="U774" s="11" t="s">
        <v>51</v>
      </c>
      <c r="V774" s="10" t="s">
        <v>52</v>
      </c>
      <c r="W774" s="10" t="s">
        <v>8059</v>
      </c>
      <c r="X774" s="10" t="s">
        <v>8060</v>
      </c>
      <c r="Y774" s="10" t="s">
        <v>8061</v>
      </c>
      <c r="Z774" s="10" t="s">
        <v>50</v>
      </c>
      <c r="AA774" s="10" t="s">
        <v>50</v>
      </c>
      <c r="AB774" s="10" t="s">
        <v>8059</v>
      </c>
      <c r="AC774" s="10" t="s">
        <v>8062</v>
      </c>
      <c r="AD774" s="10" t="s">
        <v>8063</v>
      </c>
      <c r="AE774" s="10" t="s">
        <v>8064</v>
      </c>
      <c r="AF774" s="10" t="s">
        <v>151</v>
      </c>
      <c r="AG774" s="10" t="s">
        <v>8065</v>
      </c>
      <c r="AH774" s="10" t="s">
        <v>60</v>
      </c>
      <c r="AI774" s="10" t="s">
        <v>61</v>
      </c>
      <c r="AJ774" s="10" t="s">
        <v>8066</v>
      </c>
      <c r="AK774" s="10" t="s">
        <v>8067</v>
      </c>
      <c r="AL774" s="10" t="s">
        <v>64</v>
      </c>
      <c r="AM774" s="10" t="s">
        <v>8068</v>
      </c>
      <c r="AN774" s="10" t="s">
        <v>50</v>
      </c>
      <c r="AO774" s="11" t="s">
        <v>50</v>
      </c>
      <c r="AP774" s="10" t="s">
        <v>50</v>
      </c>
      <c r="AQ774" s="10" t="s">
        <v>50</v>
      </c>
      <c r="AR774" s="10" t="s">
        <v>50</v>
      </c>
      <c r="AS774" s="10" t="s">
        <v>50</v>
      </c>
      <c r="AT774" s="10" t="s">
        <v>50</v>
      </c>
      <c r="AU774" s="10" t="s">
        <v>50</v>
      </c>
      <c r="AV774" s="11"/>
      <c r="AW774" s="10" t="s">
        <v>66</v>
      </c>
      <c r="AX774" s="10"/>
      <c r="AY774" s="10" t="s">
        <v>66</v>
      </c>
    </row>
    <row r="775" ht="22.5" hidden="1" customHeight="1">
      <c r="A775" s="9" t="s">
        <v>8069</v>
      </c>
      <c r="B775" s="10" t="s">
        <v>8070</v>
      </c>
      <c r="C775" s="10" t="s">
        <v>43</v>
      </c>
      <c r="D775" s="10" t="s">
        <v>7518</v>
      </c>
      <c r="E775" s="10" t="s">
        <v>45</v>
      </c>
      <c r="F775" s="11">
        <v>1.0</v>
      </c>
      <c r="G775" s="11">
        <v>80.6</v>
      </c>
      <c r="H775" s="11"/>
      <c r="I775" s="11">
        <v>-13.7</v>
      </c>
      <c r="J775" s="11">
        <v>-20.45</v>
      </c>
      <c r="K775" s="11"/>
      <c r="L775" s="11">
        <v>46.45</v>
      </c>
      <c r="M775" s="10" t="s">
        <v>46</v>
      </c>
      <c r="N775" s="10" t="s">
        <v>45</v>
      </c>
      <c r="O775" s="10" t="s">
        <v>265</v>
      </c>
      <c r="P775" s="10" t="s">
        <v>266</v>
      </c>
      <c r="Q775" s="10" t="s">
        <v>267</v>
      </c>
      <c r="R775" s="10" t="s">
        <v>74</v>
      </c>
      <c r="S775" s="11">
        <v>80.6</v>
      </c>
      <c r="T775" s="11">
        <v>26.22</v>
      </c>
      <c r="U775" s="11" t="s">
        <v>51</v>
      </c>
      <c r="V775" s="10" t="s">
        <v>52</v>
      </c>
      <c r="W775" s="10" t="s">
        <v>8071</v>
      </c>
      <c r="X775" s="10" t="s">
        <v>8072</v>
      </c>
      <c r="Y775" s="10" t="s">
        <v>8073</v>
      </c>
      <c r="Z775" s="10" t="s">
        <v>50</v>
      </c>
      <c r="AA775" s="10" t="s">
        <v>50</v>
      </c>
      <c r="AB775" s="10" t="s">
        <v>8071</v>
      </c>
      <c r="AC775" s="10" t="s">
        <v>8074</v>
      </c>
      <c r="AD775" s="10" t="s">
        <v>8075</v>
      </c>
      <c r="AE775" s="10" t="s">
        <v>322</v>
      </c>
      <c r="AF775" s="10" t="s">
        <v>323</v>
      </c>
      <c r="AG775" s="10" t="s">
        <v>8076</v>
      </c>
      <c r="AH775" s="10" t="s">
        <v>60</v>
      </c>
      <c r="AI775" s="10" t="s">
        <v>61</v>
      </c>
      <c r="AJ775" s="10" t="s">
        <v>8077</v>
      </c>
      <c r="AK775" s="10" t="s">
        <v>8078</v>
      </c>
      <c r="AL775" s="10" t="s">
        <v>64</v>
      </c>
      <c r="AM775" s="10" t="s">
        <v>8079</v>
      </c>
      <c r="AN775" s="10" t="s">
        <v>50</v>
      </c>
      <c r="AO775" s="11" t="s">
        <v>50</v>
      </c>
      <c r="AP775" s="10" t="s">
        <v>50</v>
      </c>
      <c r="AQ775" s="10" t="s">
        <v>50</v>
      </c>
      <c r="AR775" s="10" t="s">
        <v>50</v>
      </c>
      <c r="AS775" s="10" t="s">
        <v>50</v>
      </c>
      <c r="AT775" s="10" t="s">
        <v>50</v>
      </c>
      <c r="AU775" s="10" t="s">
        <v>50</v>
      </c>
      <c r="AV775" s="11"/>
      <c r="AW775" s="10" t="s">
        <v>66</v>
      </c>
      <c r="AX775" s="10"/>
      <c r="AY775" s="10" t="s">
        <v>66</v>
      </c>
    </row>
    <row r="776" ht="22.5" hidden="1" customHeight="1">
      <c r="A776" s="9" t="s">
        <v>8080</v>
      </c>
      <c r="B776" s="10" t="s">
        <v>8081</v>
      </c>
      <c r="C776" s="10" t="s">
        <v>43</v>
      </c>
      <c r="D776" s="10" t="s">
        <v>7530</v>
      </c>
      <c r="E776" s="10" t="s">
        <v>66</v>
      </c>
      <c r="F776" s="11">
        <v>1.0</v>
      </c>
      <c r="G776" s="11">
        <v>79.2</v>
      </c>
      <c r="H776" s="11"/>
      <c r="I776" s="11">
        <v>-13.46</v>
      </c>
      <c r="J776" s="11">
        <v>-20.45</v>
      </c>
      <c r="K776" s="11"/>
      <c r="L776" s="11">
        <v>45.29</v>
      </c>
      <c r="M776" s="10" t="s">
        <v>46</v>
      </c>
      <c r="N776" s="10" t="s">
        <v>45</v>
      </c>
      <c r="O776" s="10" t="s">
        <v>892</v>
      </c>
      <c r="P776" s="10" t="s">
        <v>893</v>
      </c>
      <c r="Q776" s="10" t="s">
        <v>894</v>
      </c>
      <c r="R776" s="10" t="s">
        <v>74</v>
      </c>
      <c r="S776" s="11">
        <v>79.2</v>
      </c>
      <c r="T776" s="11">
        <v>2.97</v>
      </c>
      <c r="U776" s="11" t="s">
        <v>51</v>
      </c>
      <c r="V776" s="10" t="s">
        <v>52</v>
      </c>
      <c r="W776" s="10" t="s">
        <v>8082</v>
      </c>
      <c r="X776" s="10" t="s">
        <v>8083</v>
      </c>
      <c r="Y776" s="10" t="s">
        <v>8084</v>
      </c>
      <c r="Z776" s="10" t="s">
        <v>50</v>
      </c>
      <c r="AA776" s="10" t="s">
        <v>50</v>
      </c>
      <c r="AB776" s="10" t="s">
        <v>8082</v>
      </c>
      <c r="AC776" s="10" t="s">
        <v>8085</v>
      </c>
      <c r="AD776" s="10" t="s">
        <v>8086</v>
      </c>
      <c r="AE776" s="10" t="s">
        <v>5067</v>
      </c>
      <c r="AF776" s="10" t="s">
        <v>58</v>
      </c>
      <c r="AG776" s="10" t="s">
        <v>8087</v>
      </c>
      <c r="AH776" s="10" t="s">
        <v>60</v>
      </c>
      <c r="AI776" s="10" t="s">
        <v>61</v>
      </c>
      <c r="AJ776" s="10" t="s">
        <v>8088</v>
      </c>
      <c r="AK776" s="10" t="s">
        <v>8089</v>
      </c>
      <c r="AL776" s="10" t="s">
        <v>64</v>
      </c>
      <c r="AM776" s="10" t="s">
        <v>8090</v>
      </c>
      <c r="AN776" s="10" t="s">
        <v>50</v>
      </c>
      <c r="AO776" s="11" t="s">
        <v>50</v>
      </c>
      <c r="AP776" s="10" t="s">
        <v>50</v>
      </c>
      <c r="AQ776" s="10" t="s">
        <v>50</v>
      </c>
      <c r="AR776" s="10" t="s">
        <v>50</v>
      </c>
      <c r="AS776" s="10" t="s">
        <v>50</v>
      </c>
      <c r="AT776" s="10" t="s">
        <v>50</v>
      </c>
      <c r="AU776" s="10" t="s">
        <v>50</v>
      </c>
      <c r="AV776" s="11"/>
      <c r="AW776" s="10" t="s">
        <v>66</v>
      </c>
      <c r="AX776" s="10"/>
      <c r="AY776" s="10" t="s">
        <v>66</v>
      </c>
    </row>
    <row r="777" ht="22.5" hidden="1" customHeight="1">
      <c r="A777" s="9" t="s">
        <v>8091</v>
      </c>
      <c r="B777" s="10" t="s">
        <v>8092</v>
      </c>
      <c r="C777" s="10" t="s">
        <v>43</v>
      </c>
      <c r="D777" s="10" t="s">
        <v>7518</v>
      </c>
      <c r="E777" s="10" t="s">
        <v>66</v>
      </c>
      <c r="F777" s="11">
        <v>1.0</v>
      </c>
      <c r="G777" s="11">
        <v>43.7</v>
      </c>
      <c r="H777" s="11">
        <v>13.77</v>
      </c>
      <c r="I777" s="11">
        <v>-13.43</v>
      </c>
      <c r="J777" s="11">
        <v>-13.77</v>
      </c>
      <c r="K777" s="11"/>
      <c r="L777" s="11">
        <v>32.89</v>
      </c>
      <c r="M777" s="10" t="s">
        <v>46</v>
      </c>
      <c r="N777" s="10" t="s">
        <v>50</v>
      </c>
      <c r="O777" s="10" t="s">
        <v>176</v>
      </c>
      <c r="P777" s="10" t="s">
        <v>177</v>
      </c>
      <c r="Q777" s="10" t="s">
        <v>178</v>
      </c>
      <c r="R777" s="10" t="s">
        <v>74</v>
      </c>
      <c r="S777" s="11">
        <v>43.7</v>
      </c>
      <c r="T777" s="11">
        <v>22.58</v>
      </c>
      <c r="U777" s="11" t="s">
        <v>51</v>
      </c>
      <c r="V777" s="10" t="s">
        <v>52</v>
      </c>
      <c r="W777" s="10" t="s">
        <v>8093</v>
      </c>
      <c r="X777" s="10" t="s">
        <v>8094</v>
      </c>
      <c r="Y777" s="10" t="s">
        <v>8095</v>
      </c>
      <c r="Z777" s="10" t="s">
        <v>50</v>
      </c>
      <c r="AA777" s="10" t="s">
        <v>50</v>
      </c>
      <c r="AB777" s="10" t="s">
        <v>8093</v>
      </c>
      <c r="AC777" s="10" t="s">
        <v>8096</v>
      </c>
      <c r="AD777" s="10" t="s">
        <v>8097</v>
      </c>
      <c r="AE777" s="10" t="s">
        <v>3320</v>
      </c>
      <c r="AF777" s="10" t="s">
        <v>323</v>
      </c>
      <c r="AG777" s="10" t="s">
        <v>8098</v>
      </c>
      <c r="AH777" s="10" t="s">
        <v>60</v>
      </c>
      <c r="AI777" s="10" t="s">
        <v>61</v>
      </c>
      <c r="AJ777" s="10" t="s">
        <v>8077</v>
      </c>
      <c r="AK777" s="10" t="s">
        <v>8099</v>
      </c>
      <c r="AL777" s="10" t="s">
        <v>64</v>
      </c>
      <c r="AM777" s="10" t="s">
        <v>8100</v>
      </c>
      <c r="AN777" s="10" t="s">
        <v>50</v>
      </c>
      <c r="AO777" s="11" t="s">
        <v>50</v>
      </c>
      <c r="AP777" s="10" t="s">
        <v>50</v>
      </c>
      <c r="AQ777" s="10" t="s">
        <v>50</v>
      </c>
      <c r="AR777" s="10" t="s">
        <v>50</v>
      </c>
      <c r="AS777" s="10" t="s">
        <v>50</v>
      </c>
      <c r="AT777" s="10" t="s">
        <v>50</v>
      </c>
      <c r="AU777" s="10" t="s">
        <v>50</v>
      </c>
      <c r="AV777" s="11"/>
      <c r="AW777" s="10" t="s">
        <v>66</v>
      </c>
      <c r="AX777" s="10"/>
      <c r="AY777" s="10" t="s">
        <v>66</v>
      </c>
    </row>
    <row r="778" ht="22.5" hidden="1" customHeight="1">
      <c r="A778" s="9" t="s">
        <v>8101</v>
      </c>
      <c r="B778" s="10" t="s">
        <v>8102</v>
      </c>
      <c r="C778" s="10" t="s">
        <v>43</v>
      </c>
      <c r="D778" s="10" t="s">
        <v>5200</v>
      </c>
      <c r="E778" s="10" t="s">
        <v>45</v>
      </c>
      <c r="F778" s="11">
        <v>2.0</v>
      </c>
      <c r="G778" s="11">
        <v>240.0</v>
      </c>
      <c r="H778" s="11"/>
      <c r="I778" s="11">
        <v>-40.8</v>
      </c>
      <c r="J778" s="11">
        <v>-39.9</v>
      </c>
      <c r="K778" s="11"/>
      <c r="L778" s="11">
        <v>173.7</v>
      </c>
      <c r="M778" s="10" t="s">
        <v>46</v>
      </c>
      <c r="N778" s="10" t="s">
        <v>45</v>
      </c>
      <c r="O778" s="10" t="s">
        <v>85</v>
      </c>
      <c r="P778" s="10" t="s">
        <v>86</v>
      </c>
      <c r="Q778" s="10" t="s">
        <v>87</v>
      </c>
      <c r="R778" s="10" t="s">
        <v>74</v>
      </c>
      <c r="S778" s="11">
        <v>120.0</v>
      </c>
      <c r="T778" s="11">
        <f>2*65.78</f>
        <v>131.56</v>
      </c>
      <c r="U778" s="11" t="s">
        <v>51</v>
      </c>
      <c r="V778" s="10" t="s">
        <v>52</v>
      </c>
      <c r="W778" s="10" t="s">
        <v>8103</v>
      </c>
      <c r="X778" s="10" t="s">
        <v>8104</v>
      </c>
      <c r="Y778" s="10" t="s">
        <v>8105</v>
      </c>
      <c r="Z778" s="10" t="s">
        <v>50</v>
      </c>
      <c r="AA778" s="10" t="s">
        <v>50</v>
      </c>
      <c r="AB778" s="10" t="s">
        <v>8103</v>
      </c>
      <c r="AC778" s="10" t="s">
        <v>8106</v>
      </c>
      <c r="AD778" s="10" t="s">
        <v>8107</v>
      </c>
      <c r="AE778" s="10" t="s">
        <v>3212</v>
      </c>
      <c r="AF778" s="10" t="s">
        <v>119</v>
      </c>
      <c r="AG778" s="10" t="s">
        <v>8108</v>
      </c>
      <c r="AH778" s="10" t="s">
        <v>60</v>
      </c>
      <c r="AI778" s="10" t="s">
        <v>61</v>
      </c>
      <c r="AJ778" s="10" t="s">
        <v>7538</v>
      </c>
      <c r="AK778" s="10" t="s">
        <v>8109</v>
      </c>
      <c r="AL778" s="10" t="s">
        <v>64</v>
      </c>
      <c r="AM778" s="10" t="s">
        <v>8110</v>
      </c>
      <c r="AN778" s="10" t="s">
        <v>50</v>
      </c>
      <c r="AO778" s="11" t="s">
        <v>50</v>
      </c>
      <c r="AP778" s="10" t="s">
        <v>50</v>
      </c>
      <c r="AQ778" s="10" t="s">
        <v>50</v>
      </c>
      <c r="AR778" s="10" t="s">
        <v>50</v>
      </c>
      <c r="AS778" s="10" t="s">
        <v>50</v>
      </c>
      <c r="AT778" s="10" t="s">
        <v>50</v>
      </c>
      <c r="AU778" s="10" t="s">
        <v>50</v>
      </c>
      <c r="AV778" s="11"/>
      <c r="AW778" s="10" t="s">
        <v>66</v>
      </c>
      <c r="AX778" s="10"/>
      <c r="AY778" s="10" t="s">
        <v>66</v>
      </c>
    </row>
    <row r="779" ht="22.5" hidden="1" customHeight="1">
      <c r="A779" s="9" t="s">
        <v>8111</v>
      </c>
      <c r="B779" s="10" t="s">
        <v>8112</v>
      </c>
      <c r="C779" s="10" t="s">
        <v>43</v>
      </c>
      <c r="D779" s="10" t="s">
        <v>7693</v>
      </c>
      <c r="E779" s="10" t="s">
        <v>66</v>
      </c>
      <c r="F779" s="11">
        <v>1.0</v>
      </c>
      <c r="G779" s="11">
        <v>80.0</v>
      </c>
      <c r="H779" s="11"/>
      <c r="I779" s="11">
        <v>-13.6</v>
      </c>
      <c r="J779" s="11">
        <v>-19.95</v>
      </c>
      <c r="K779" s="11"/>
      <c r="L779" s="11">
        <v>50.45</v>
      </c>
      <c r="M779" s="10" t="s">
        <v>46</v>
      </c>
      <c r="N779" s="10" t="s">
        <v>50</v>
      </c>
      <c r="O779" s="10" t="s">
        <v>143</v>
      </c>
      <c r="P779" s="10" t="s">
        <v>144</v>
      </c>
      <c r="Q779" s="10" t="s">
        <v>145</v>
      </c>
      <c r="R779" s="10" t="s">
        <v>74</v>
      </c>
      <c r="S779" s="11">
        <v>80.0</v>
      </c>
      <c r="T779" s="11">
        <v>33.38</v>
      </c>
      <c r="U779" s="11" t="s">
        <v>51</v>
      </c>
      <c r="V779" s="10" t="s">
        <v>52</v>
      </c>
      <c r="W779" s="10" t="s">
        <v>8113</v>
      </c>
      <c r="X779" s="10" t="s">
        <v>8114</v>
      </c>
      <c r="Y779" s="10" t="s">
        <v>8115</v>
      </c>
      <c r="Z779" s="10" t="s">
        <v>50</v>
      </c>
      <c r="AA779" s="10" t="s">
        <v>50</v>
      </c>
      <c r="AB779" s="10" t="s">
        <v>8113</v>
      </c>
      <c r="AC779" s="10" t="s">
        <v>8116</v>
      </c>
      <c r="AD779" s="10" t="s">
        <v>8117</v>
      </c>
      <c r="AE779" s="10" t="s">
        <v>322</v>
      </c>
      <c r="AF779" s="10" t="s">
        <v>323</v>
      </c>
      <c r="AG779" s="10" t="s">
        <v>8118</v>
      </c>
      <c r="AH779" s="10" t="s">
        <v>60</v>
      </c>
      <c r="AI779" s="10" t="s">
        <v>61</v>
      </c>
      <c r="AJ779" s="10" t="s">
        <v>8119</v>
      </c>
      <c r="AK779" s="10" t="s">
        <v>8120</v>
      </c>
      <c r="AL779" s="10" t="s">
        <v>64</v>
      </c>
      <c r="AM779" s="10" t="s">
        <v>8121</v>
      </c>
      <c r="AN779" s="10" t="s">
        <v>50</v>
      </c>
      <c r="AO779" s="11" t="s">
        <v>50</v>
      </c>
      <c r="AP779" s="10" t="s">
        <v>50</v>
      </c>
      <c r="AQ779" s="10" t="s">
        <v>50</v>
      </c>
      <c r="AR779" s="10" t="s">
        <v>50</v>
      </c>
      <c r="AS779" s="10" t="s">
        <v>50</v>
      </c>
      <c r="AT779" s="10" t="s">
        <v>50</v>
      </c>
      <c r="AU779" s="10" t="s">
        <v>50</v>
      </c>
      <c r="AV779" s="11"/>
      <c r="AW779" s="10" t="s">
        <v>66</v>
      </c>
      <c r="AX779" s="10"/>
      <c r="AY779" s="10" t="s">
        <v>66</v>
      </c>
    </row>
    <row r="780" ht="22.5" hidden="1" customHeight="1">
      <c r="A780" s="9" t="s">
        <v>8122</v>
      </c>
      <c r="B780" s="10" t="s">
        <v>8123</v>
      </c>
      <c r="C780" s="10" t="s">
        <v>8124</v>
      </c>
      <c r="D780" s="10" t="s">
        <v>8125</v>
      </c>
      <c r="E780" s="10" t="s">
        <v>66</v>
      </c>
      <c r="F780" s="11">
        <v>1.0</v>
      </c>
      <c r="G780" s="11">
        <v>80.6</v>
      </c>
      <c r="H780" s="11"/>
      <c r="I780" s="11">
        <v>-13.7</v>
      </c>
      <c r="J780" s="11">
        <v>-20.45</v>
      </c>
      <c r="K780" s="11"/>
      <c r="L780" s="11">
        <v>46.45</v>
      </c>
      <c r="M780" s="10" t="s">
        <v>46</v>
      </c>
      <c r="N780" s="10" t="s">
        <v>45</v>
      </c>
      <c r="O780" s="10" t="s">
        <v>265</v>
      </c>
      <c r="P780" s="10" t="s">
        <v>266</v>
      </c>
      <c r="Q780" s="10" t="s">
        <v>267</v>
      </c>
      <c r="R780" s="10" t="s">
        <v>74</v>
      </c>
      <c r="S780" s="11">
        <v>80.6</v>
      </c>
      <c r="T780" s="11">
        <v>26.22</v>
      </c>
      <c r="U780" s="11" t="s">
        <v>51</v>
      </c>
      <c r="V780" s="10" t="s">
        <v>52</v>
      </c>
      <c r="W780" s="10" t="s">
        <v>8126</v>
      </c>
      <c r="X780" s="10" t="s">
        <v>8127</v>
      </c>
      <c r="Y780" s="10" t="s">
        <v>8128</v>
      </c>
      <c r="Z780" s="10" t="s">
        <v>50</v>
      </c>
      <c r="AA780" s="10" t="s">
        <v>50</v>
      </c>
      <c r="AB780" s="10" t="s">
        <v>8126</v>
      </c>
      <c r="AC780" s="10" t="s">
        <v>8129</v>
      </c>
      <c r="AD780" s="10" t="s">
        <v>8130</v>
      </c>
      <c r="AE780" s="10" t="s">
        <v>8131</v>
      </c>
      <c r="AF780" s="10" t="s">
        <v>2648</v>
      </c>
      <c r="AG780" s="10" t="s">
        <v>8132</v>
      </c>
      <c r="AH780" s="10" t="s">
        <v>60</v>
      </c>
      <c r="AI780" s="10" t="s">
        <v>61</v>
      </c>
      <c r="AJ780" s="10" t="s">
        <v>8021</v>
      </c>
      <c r="AK780" s="10" t="s">
        <v>50</v>
      </c>
      <c r="AL780" s="10" t="s">
        <v>2138</v>
      </c>
      <c r="AM780" s="10" t="s">
        <v>8133</v>
      </c>
      <c r="AN780" s="10" t="s">
        <v>8134</v>
      </c>
      <c r="AO780" s="11" t="s">
        <v>50</v>
      </c>
      <c r="AP780" s="10" t="s">
        <v>50</v>
      </c>
      <c r="AQ780" s="10" t="s">
        <v>50</v>
      </c>
      <c r="AR780" s="10" t="s">
        <v>50</v>
      </c>
      <c r="AS780" s="10" t="s">
        <v>50</v>
      </c>
      <c r="AT780" s="10" t="s">
        <v>50</v>
      </c>
      <c r="AU780" s="10" t="s">
        <v>50</v>
      </c>
      <c r="AV780" s="11"/>
      <c r="AW780" s="10" t="s">
        <v>66</v>
      </c>
      <c r="AX780" s="10"/>
      <c r="AY780" s="10" t="s">
        <v>66</v>
      </c>
    </row>
    <row r="781" ht="22.5" hidden="1" customHeight="1">
      <c r="A781" s="9" t="s">
        <v>8135</v>
      </c>
      <c r="B781" s="10" t="s">
        <v>8136</v>
      </c>
      <c r="C781" s="10" t="s">
        <v>43</v>
      </c>
      <c r="D781" s="10" t="s">
        <v>5200</v>
      </c>
      <c r="E781" s="10" t="s">
        <v>66</v>
      </c>
      <c r="F781" s="11">
        <v>1.0</v>
      </c>
      <c r="G781" s="11">
        <v>79.0</v>
      </c>
      <c r="H781" s="11"/>
      <c r="I781" s="11">
        <v>-13.43</v>
      </c>
      <c r="J781" s="11">
        <v>-20.45</v>
      </c>
      <c r="K781" s="11"/>
      <c r="L781" s="11">
        <v>45.12</v>
      </c>
      <c r="M781" s="10" t="s">
        <v>46</v>
      </c>
      <c r="N781" s="10" t="s">
        <v>45</v>
      </c>
      <c r="O781" s="10" t="s">
        <v>160</v>
      </c>
      <c r="P781" s="10" t="s">
        <v>161</v>
      </c>
      <c r="Q781" s="10" t="s">
        <v>162</v>
      </c>
      <c r="R781" s="10" t="s">
        <v>74</v>
      </c>
      <c r="S781" s="11">
        <v>79.0</v>
      </c>
      <c r="T781" s="11">
        <v>2.49</v>
      </c>
      <c r="U781" s="11" t="s">
        <v>51</v>
      </c>
      <c r="V781" s="10" t="s">
        <v>52</v>
      </c>
      <c r="W781" s="10" t="s">
        <v>8137</v>
      </c>
      <c r="X781" s="10" t="s">
        <v>8138</v>
      </c>
      <c r="Y781" s="10" t="s">
        <v>8139</v>
      </c>
      <c r="Z781" s="10" t="s">
        <v>50</v>
      </c>
      <c r="AA781" s="10" t="s">
        <v>50</v>
      </c>
      <c r="AB781" s="10" t="s">
        <v>8137</v>
      </c>
      <c r="AC781" s="10" t="s">
        <v>8140</v>
      </c>
      <c r="AD781" s="10" t="s">
        <v>8141</v>
      </c>
      <c r="AE781" s="10" t="s">
        <v>8142</v>
      </c>
      <c r="AF781" s="10" t="s">
        <v>929</v>
      </c>
      <c r="AG781" s="10" t="s">
        <v>8143</v>
      </c>
      <c r="AH781" s="10" t="s">
        <v>60</v>
      </c>
      <c r="AI781" s="10" t="s">
        <v>61</v>
      </c>
      <c r="AJ781" s="10" t="s">
        <v>8144</v>
      </c>
      <c r="AK781" s="10" t="s">
        <v>8145</v>
      </c>
      <c r="AL781" s="10" t="s">
        <v>64</v>
      </c>
      <c r="AM781" s="10" t="s">
        <v>8146</v>
      </c>
      <c r="AN781" s="10" t="s">
        <v>50</v>
      </c>
      <c r="AO781" s="11" t="s">
        <v>50</v>
      </c>
      <c r="AP781" s="10" t="s">
        <v>50</v>
      </c>
      <c r="AQ781" s="10" t="s">
        <v>50</v>
      </c>
      <c r="AR781" s="10" t="s">
        <v>50</v>
      </c>
      <c r="AS781" s="10" t="s">
        <v>50</v>
      </c>
      <c r="AT781" s="10" t="s">
        <v>50</v>
      </c>
      <c r="AU781" s="10" t="s">
        <v>50</v>
      </c>
      <c r="AV781" s="11"/>
      <c r="AW781" s="10" t="s">
        <v>66</v>
      </c>
      <c r="AX781" s="10"/>
      <c r="AY781" s="10" t="s">
        <v>66</v>
      </c>
    </row>
    <row r="782" ht="22.5" hidden="1" customHeight="1">
      <c r="A782" s="9" t="s">
        <v>8147</v>
      </c>
      <c r="B782" s="10" t="s">
        <v>8148</v>
      </c>
      <c r="C782" s="10" t="s">
        <v>43</v>
      </c>
      <c r="D782" s="10" t="s">
        <v>5200</v>
      </c>
      <c r="E782" s="10" t="s">
        <v>66</v>
      </c>
      <c r="F782" s="11">
        <v>1.0</v>
      </c>
      <c r="G782" s="11">
        <v>80.6</v>
      </c>
      <c r="H782" s="11"/>
      <c r="I782" s="11">
        <v>-13.7</v>
      </c>
      <c r="J782" s="11">
        <v>-20.45</v>
      </c>
      <c r="K782" s="11"/>
      <c r="L782" s="11">
        <v>46.45</v>
      </c>
      <c r="M782" s="10" t="s">
        <v>46</v>
      </c>
      <c r="N782" s="10" t="s">
        <v>50</v>
      </c>
      <c r="O782" s="10" t="s">
        <v>265</v>
      </c>
      <c r="P782" s="10" t="s">
        <v>266</v>
      </c>
      <c r="Q782" s="10" t="s">
        <v>267</v>
      </c>
      <c r="R782" s="10" t="s">
        <v>74</v>
      </c>
      <c r="S782" s="11">
        <v>80.6</v>
      </c>
      <c r="T782" s="11">
        <v>26.22</v>
      </c>
      <c r="U782" s="11" t="s">
        <v>51</v>
      </c>
      <c r="V782" s="10" t="s">
        <v>52</v>
      </c>
      <c r="W782" s="10" t="s">
        <v>8149</v>
      </c>
      <c r="X782" s="10" t="s">
        <v>8150</v>
      </c>
      <c r="Y782" s="10" t="s">
        <v>8151</v>
      </c>
      <c r="Z782" s="10" t="s">
        <v>50</v>
      </c>
      <c r="AA782" s="10" t="s">
        <v>50</v>
      </c>
      <c r="AB782" s="10" t="s">
        <v>8149</v>
      </c>
      <c r="AC782" s="10" t="s">
        <v>8152</v>
      </c>
      <c r="AD782" s="10" t="s">
        <v>8153</v>
      </c>
      <c r="AE782" s="10" t="s">
        <v>1089</v>
      </c>
      <c r="AF782" s="10" t="s">
        <v>284</v>
      </c>
      <c r="AG782" s="10" t="s">
        <v>8154</v>
      </c>
      <c r="AH782" s="10" t="s">
        <v>60</v>
      </c>
      <c r="AI782" s="10" t="s">
        <v>61</v>
      </c>
      <c r="AJ782" s="10" t="s">
        <v>7652</v>
      </c>
      <c r="AK782" s="10" t="s">
        <v>8155</v>
      </c>
      <c r="AL782" s="10" t="s">
        <v>64</v>
      </c>
      <c r="AM782" s="10" t="s">
        <v>8156</v>
      </c>
      <c r="AN782" s="10" t="s">
        <v>50</v>
      </c>
      <c r="AO782" s="11" t="s">
        <v>50</v>
      </c>
      <c r="AP782" s="10" t="s">
        <v>50</v>
      </c>
      <c r="AQ782" s="10" t="s">
        <v>50</v>
      </c>
      <c r="AR782" s="10" t="s">
        <v>50</v>
      </c>
      <c r="AS782" s="10" t="s">
        <v>50</v>
      </c>
      <c r="AT782" s="10" t="s">
        <v>50</v>
      </c>
      <c r="AU782" s="10" t="s">
        <v>50</v>
      </c>
      <c r="AV782" s="11"/>
      <c r="AW782" s="10" t="s">
        <v>66</v>
      </c>
      <c r="AX782" s="10"/>
      <c r="AY782" s="10" t="s">
        <v>66</v>
      </c>
    </row>
    <row r="783" ht="22.5" hidden="1" customHeight="1">
      <c r="A783" s="9" t="s">
        <v>8157</v>
      </c>
      <c r="B783" s="10" t="s">
        <v>8158</v>
      </c>
      <c r="C783" s="10" t="s">
        <v>43</v>
      </c>
      <c r="D783" s="10" t="s">
        <v>7518</v>
      </c>
      <c r="E783" s="10" t="s">
        <v>66</v>
      </c>
      <c r="F783" s="11">
        <v>1.0</v>
      </c>
      <c r="G783" s="11">
        <v>43.7</v>
      </c>
      <c r="H783" s="11">
        <v>13.77</v>
      </c>
      <c r="I783" s="11">
        <v>-13.43</v>
      </c>
      <c r="J783" s="11">
        <v>-13.77</v>
      </c>
      <c r="K783" s="11"/>
      <c r="L783" s="11">
        <v>32.89</v>
      </c>
      <c r="M783" s="10" t="s">
        <v>46</v>
      </c>
      <c r="N783" s="10" t="s">
        <v>50</v>
      </c>
      <c r="O783" s="10" t="s">
        <v>176</v>
      </c>
      <c r="P783" s="10" t="s">
        <v>177</v>
      </c>
      <c r="Q783" s="10" t="s">
        <v>178</v>
      </c>
      <c r="R783" s="10" t="s">
        <v>74</v>
      </c>
      <c r="S783" s="11">
        <v>43.7</v>
      </c>
      <c r="T783" s="11">
        <v>22.58</v>
      </c>
      <c r="U783" s="11" t="s">
        <v>51</v>
      </c>
      <c r="V783" s="10" t="s">
        <v>52</v>
      </c>
      <c r="W783" s="10" t="s">
        <v>8159</v>
      </c>
      <c r="X783" s="10" t="s">
        <v>8160</v>
      </c>
      <c r="Y783" s="10" t="s">
        <v>8161</v>
      </c>
      <c r="Z783" s="10" t="s">
        <v>50</v>
      </c>
      <c r="AA783" s="10" t="s">
        <v>50</v>
      </c>
      <c r="AB783" s="10" t="s">
        <v>8159</v>
      </c>
      <c r="AC783" s="10" t="s">
        <v>8162</v>
      </c>
      <c r="AD783" s="10" t="s">
        <v>8163</v>
      </c>
      <c r="AE783" s="10" t="s">
        <v>151</v>
      </c>
      <c r="AF783" s="10" t="s">
        <v>151</v>
      </c>
      <c r="AG783" s="10" t="s">
        <v>8164</v>
      </c>
      <c r="AH783" s="10" t="s">
        <v>60</v>
      </c>
      <c r="AI783" s="10" t="s">
        <v>61</v>
      </c>
      <c r="AJ783" s="10" t="s">
        <v>8165</v>
      </c>
      <c r="AK783" s="10" t="s">
        <v>8166</v>
      </c>
      <c r="AL783" s="10" t="s">
        <v>64</v>
      </c>
      <c r="AM783" s="10" t="s">
        <v>8167</v>
      </c>
      <c r="AN783" s="10" t="s">
        <v>50</v>
      </c>
      <c r="AO783" s="11" t="s">
        <v>50</v>
      </c>
      <c r="AP783" s="10" t="s">
        <v>50</v>
      </c>
      <c r="AQ783" s="10" t="s">
        <v>50</v>
      </c>
      <c r="AR783" s="10" t="s">
        <v>50</v>
      </c>
      <c r="AS783" s="10" t="s">
        <v>50</v>
      </c>
      <c r="AT783" s="10" t="s">
        <v>50</v>
      </c>
      <c r="AU783" s="10" t="s">
        <v>50</v>
      </c>
      <c r="AV783" s="11"/>
      <c r="AW783" s="10" t="s">
        <v>66</v>
      </c>
      <c r="AX783" s="10"/>
      <c r="AY783" s="10" t="s">
        <v>66</v>
      </c>
    </row>
    <row r="784" ht="22.5" hidden="1" customHeight="1">
      <c r="A784" s="12" t="s">
        <v>8168</v>
      </c>
      <c r="B784" s="13" t="s">
        <v>8169</v>
      </c>
      <c r="C784" s="13" t="s">
        <v>747</v>
      </c>
      <c r="D784" s="13" t="s">
        <v>50</v>
      </c>
      <c r="E784" s="13" t="s">
        <v>50</v>
      </c>
      <c r="F784" s="14"/>
      <c r="G784" s="14">
        <v>90.25</v>
      </c>
      <c r="H784" s="14"/>
      <c r="I784" s="14">
        <v>-27.34</v>
      </c>
      <c r="J784" s="14"/>
      <c r="K784" s="14"/>
      <c r="L784" s="14">
        <v>68.32</v>
      </c>
      <c r="M784" s="13" t="s">
        <v>46</v>
      </c>
      <c r="N784" s="13" t="s">
        <v>50</v>
      </c>
      <c r="O784" s="13" t="s">
        <v>50</v>
      </c>
      <c r="P784" s="13" t="s">
        <v>50</v>
      </c>
      <c r="Q784" s="13" t="s">
        <v>50</v>
      </c>
      <c r="R784" s="13" t="s">
        <v>50</v>
      </c>
      <c r="S784" s="14"/>
      <c r="T784" s="14"/>
      <c r="U784" s="14" t="s">
        <v>50</v>
      </c>
      <c r="V784" s="13" t="s">
        <v>52</v>
      </c>
      <c r="W784" s="13" t="s">
        <v>8170</v>
      </c>
      <c r="X784" s="13" t="s">
        <v>8171</v>
      </c>
      <c r="Y784" s="13" t="s">
        <v>8172</v>
      </c>
      <c r="Z784" s="13" t="s">
        <v>50</v>
      </c>
      <c r="AA784" s="13" t="s">
        <v>50</v>
      </c>
      <c r="AB784" s="13" t="s">
        <v>8170</v>
      </c>
      <c r="AC784" s="13" t="s">
        <v>8173</v>
      </c>
      <c r="AD784" s="13" t="s">
        <v>8174</v>
      </c>
      <c r="AE784" s="13" t="s">
        <v>5067</v>
      </c>
      <c r="AF784" s="13" t="s">
        <v>58</v>
      </c>
      <c r="AG784" s="13" t="s">
        <v>8175</v>
      </c>
      <c r="AH784" s="13" t="s">
        <v>60</v>
      </c>
      <c r="AI784" s="13" t="s">
        <v>61</v>
      </c>
      <c r="AJ784" s="13" t="s">
        <v>8088</v>
      </c>
      <c r="AK784" s="13" t="s">
        <v>8176</v>
      </c>
      <c r="AL784" s="13" t="s">
        <v>64</v>
      </c>
      <c r="AM784" s="13" t="s">
        <v>8177</v>
      </c>
      <c r="AN784" s="13" t="s">
        <v>50</v>
      </c>
      <c r="AO784" s="15" t="s">
        <v>50</v>
      </c>
      <c r="AP784" s="13" t="s">
        <v>50</v>
      </c>
      <c r="AQ784" s="13" t="s">
        <v>50</v>
      </c>
      <c r="AR784" s="13" t="s">
        <v>50</v>
      </c>
      <c r="AS784" s="13" t="s">
        <v>50</v>
      </c>
      <c r="AT784" s="13" t="s">
        <v>50</v>
      </c>
      <c r="AU784" s="13" t="s">
        <v>50</v>
      </c>
      <c r="AV784" s="15"/>
      <c r="AW784" s="13" t="s">
        <v>50</v>
      </c>
      <c r="AX784" s="13"/>
      <c r="AY784" s="13" t="s">
        <v>50</v>
      </c>
    </row>
    <row r="785" ht="22.5" hidden="1" customHeight="1">
      <c r="A785" s="16" t="s">
        <v>8178</v>
      </c>
      <c r="B785" s="17" t="s">
        <v>8169</v>
      </c>
      <c r="C785" s="17" t="s">
        <v>43</v>
      </c>
      <c r="D785" s="17" t="s">
        <v>7530</v>
      </c>
      <c r="E785" s="17" t="s">
        <v>45</v>
      </c>
      <c r="F785" s="18">
        <v>1.0</v>
      </c>
      <c r="G785" s="18"/>
      <c r="H785" s="18"/>
      <c r="I785" s="18"/>
      <c r="J785" s="18"/>
      <c r="K785" s="18"/>
      <c r="L785" s="18"/>
      <c r="M785" s="17" t="s">
        <v>50</v>
      </c>
      <c r="N785" s="17" t="s">
        <v>50</v>
      </c>
      <c r="O785" s="17" t="s">
        <v>176</v>
      </c>
      <c r="P785" s="17" t="s">
        <v>177</v>
      </c>
      <c r="Q785" s="17" t="s">
        <v>178</v>
      </c>
      <c r="R785" s="17" t="s">
        <v>74</v>
      </c>
      <c r="S785" s="18">
        <v>43.7</v>
      </c>
      <c r="T785" s="18">
        <v>22.58</v>
      </c>
      <c r="U785" s="18" t="s">
        <v>51</v>
      </c>
      <c r="V785" s="17" t="s">
        <v>50</v>
      </c>
      <c r="W785" s="17" t="s">
        <v>50</v>
      </c>
      <c r="X785" s="17" t="s">
        <v>50</v>
      </c>
      <c r="Y785" s="17" t="s">
        <v>50</v>
      </c>
      <c r="Z785" s="17" t="s">
        <v>50</v>
      </c>
      <c r="AA785" s="17" t="s">
        <v>50</v>
      </c>
      <c r="AB785" s="17" t="s">
        <v>50</v>
      </c>
      <c r="AC785" s="17" t="s">
        <v>50</v>
      </c>
      <c r="AD785" s="17" t="s">
        <v>50</v>
      </c>
      <c r="AE785" s="17" t="s">
        <v>50</v>
      </c>
      <c r="AF785" s="17" t="s">
        <v>50</v>
      </c>
      <c r="AG785" s="17" t="s">
        <v>50</v>
      </c>
      <c r="AH785" s="17" t="s">
        <v>50</v>
      </c>
      <c r="AI785" s="17" t="s">
        <v>50</v>
      </c>
      <c r="AJ785" s="17" t="s">
        <v>50</v>
      </c>
      <c r="AK785" s="17" t="s">
        <v>50</v>
      </c>
      <c r="AL785" s="17" t="s">
        <v>50</v>
      </c>
      <c r="AM785" s="17" t="s">
        <v>50</v>
      </c>
      <c r="AN785" s="17" t="s">
        <v>50</v>
      </c>
      <c r="AO785" s="18" t="s">
        <v>50</v>
      </c>
      <c r="AP785" s="17" t="s">
        <v>50</v>
      </c>
      <c r="AQ785" s="17" t="s">
        <v>50</v>
      </c>
      <c r="AR785" s="17" t="s">
        <v>50</v>
      </c>
      <c r="AS785" s="17" t="s">
        <v>50</v>
      </c>
      <c r="AT785" s="17" t="s">
        <v>50</v>
      </c>
      <c r="AU785" s="17" t="s">
        <v>50</v>
      </c>
      <c r="AV785" s="18"/>
      <c r="AW785" s="17" t="s">
        <v>66</v>
      </c>
      <c r="AX785" s="17"/>
      <c r="AY785" s="17" t="s">
        <v>66</v>
      </c>
    </row>
    <row r="786" ht="22.5" hidden="1" customHeight="1">
      <c r="A786" s="16" t="s">
        <v>8179</v>
      </c>
      <c r="B786" s="17" t="s">
        <v>8169</v>
      </c>
      <c r="C786" s="17" t="s">
        <v>43</v>
      </c>
      <c r="D786" s="17" t="s">
        <v>7530</v>
      </c>
      <c r="E786" s="17" t="s">
        <v>45</v>
      </c>
      <c r="F786" s="18">
        <v>1.0</v>
      </c>
      <c r="G786" s="18"/>
      <c r="H786" s="18"/>
      <c r="I786" s="18"/>
      <c r="J786" s="18"/>
      <c r="K786" s="18"/>
      <c r="L786" s="18"/>
      <c r="M786" s="17" t="s">
        <v>50</v>
      </c>
      <c r="N786" s="17" t="s">
        <v>50</v>
      </c>
      <c r="O786" s="17" t="s">
        <v>888</v>
      </c>
      <c r="P786" s="17" t="s">
        <v>889</v>
      </c>
      <c r="Q786" s="17" t="s">
        <v>890</v>
      </c>
      <c r="R786" s="17" t="s">
        <v>74</v>
      </c>
      <c r="S786" s="18">
        <v>46.55</v>
      </c>
      <c r="T786" s="18">
        <v>16.46</v>
      </c>
      <c r="U786" s="18" t="s">
        <v>51</v>
      </c>
      <c r="V786" s="17" t="s">
        <v>50</v>
      </c>
      <c r="W786" s="17" t="s">
        <v>50</v>
      </c>
      <c r="X786" s="17" t="s">
        <v>50</v>
      </c>
      <c r="Y786" s="17" t="s">
        <v>50</v>
      </c>
      <c r="Z786" s="17" t="s">
        <v>50</v>
      </c>
      <c r="AA786" s="17" t="s">
        <v>50</v>
      </c>
      <c r="AB786" s="17" t="s">
        <v>50</v>
      </c>
      <c r="AC786" s="17" t="s">
        <v>50</v>
      </c>
      <c r="AD786" s="17" t="s">
        <v>50</v>
      </c>
      <c r="AE786" s="17" t="s">
        <v>50</v>
      </c>
      <c r="AF786" s="17" t="s">
        <v>50</v>
      </c>
      <c r="AG786" s="17" t="s">
        <v>50</v>
      </c>
      <c r="AH786" s="17" t="s">
        <v>50</v>
      </c>
      <c r="AI786" s="17" t="s">
        <v>50</v>
      </c>
      <c r="AJ786" s="17" t="s">
        <v>50</v>
      </c>
      <c r="AK786" s="17" t="s">
        <v>50</v>
      </c>
      <c r="AL786" s="17" t="s">
        <v>50</v>
      </c>
      <c r="AM786" s="17" t="s">
        <v>50</v>
      </c>
      <c r="AN786" s="17" t="s">
        <v>50</v>
      </c>
      <c r="AO786" s="18" t="s">
        <v>50</v>
      </c>
      <c r="AP786" s="17" t="s">
        <v>50</v>
      </c>
      <c r="AQ786" s="17" t="s">
        <v>50</v>
      </c>
      <c r="AR786" s="17" t="s">
        <v>50</v>
      </c>
      <c r="AS786" s="17" t="s">
        <v>50</v>
      </c>
      <c r="AT786" s="17" t="s">
        <v>50</v>
      </c>
      <c r="AU786" s="17" t="s">
        <v>50</v>
      </c>
      <c r="AV786" s="18"/>
      <c r="AW786" s="17" t="s">
        <v>66</v>
      </c>
      <c r="AX786" s="17"/>
      <c r="AY786" s="17" t="s">
        <v>66</v>
      </c>
    </row>
    <row r="787" ht="22.5" hidden="1" customHeight="1">
      <c r="A787" s="9" t="s">
        <v>8180</v>
      </c>
      <c r="B787" s="10" t="s">
        <v>8181</v>
      </c>
      <c r="C787" s="10" t="s">
        <v>43</v>
      </c>
      <c r="D787" s="10" t="s">
        <v>7693</v>
      </c>
      <c r="E787" s="10" t="s">
        <v>45</v>
      </c>
      <c r="F787" s="11">
        <v>3.0</v>
      </c>
      <c r="G787" s="11">
        <v>131.1</v>
      </c>
      <c r="H787" s="11"/>
      <c r="I787" s="11">
        <v>-40.29</v>
      </c>
      <c r="J787" s="11"/>
      <c r="K787" s="11"/>
      <c r="L787" s="11">
        <v>98.67</v>
      </c>
      <c r="M787" s="10" t="s">
        <v>46</v>
      </c>
      <c r="N787" s="10" t="s">
        <v>50</v>
      </c>
      <c r="O787" s="10" t="s">
        <v>176</v>
      </c>
      <c r="P787" s="10" t="s">
        <v>177</v>
      </c>
      <c r="Q787" s="10" t="s">
        <v>178</v>
      </c>
      <c r="R787" s="10" t="s">
        <v>74</v>
      </c>
      <c r="S787" s="11">
        <v>43.7</v>
      </c>
      <c r="T787" s="11">
        <f>3*22.58</f>
        <v>67.74</v>
      </c>
      <c r="U787" s="11" t="s">
        <v>51</v>
      </c>
      <c r="V787" s="10" t="s">
        <v>52</v>
      </c>
      <c r="W787" s="10" t="s">
        <v>8182</v>
      </c>
      <c r="X787" s="10" t="s">
        <v>8183</v>
      </c>
      <c r="Y787" s="10" t="s">
        <v>8184</v>
      </c>
      <c r="Z787" s="10" t="s">
        <v>50</v>
      </c>
      <c r="AA787" s="10" t="s">
        <v>50</v>
      </c>
      <c r="AB787" s="10" t="s">
        <v>8182</v>
      </c>
      <c r="AC787" s="10" t="s">
        <v>8185</v>
      </c>
      <c r="AD787" s="10" t="s">
        <v>8186</v>
      </c>
      <c r="AE787" s="10" t="s">
        <v>8187</v>
      </c>
      <c r="AF787" s="10" t="s">
        <v>284</v>
      </c>
      <c r="AG787" s="10" t="s">
        <v>8188</v>
      </c>
      <c r="AH787" s="10" t="s">
        <v>60</v>
      </c>
      <c r="AI787" s="10" t="s">
        <v>61</v>
      </c>
      <c r="AJ787" s="10" t="s">
        <v>8189</v>
      </c>
      <c r="AK787" s="10" t="s">
        <v>8190</v>
      </c>
      <c r="AL787" s="10" t="s">
        <v>64</v>
      </c>
      <c r="AM787" s="10" t="s">
        <v>8191</v>
      </c>
      <c r="AN787" s="10" t="s">
        <v>50</v>
      </c>
      <c r="AO787" s="11" t="s">
        <v>50</v>
      </c>
      <c r="AP787" s="10" t="s">
        <v>50</v>
      </c>
      <c r="AQ787" s="10" t="s">
        <v>50</v>
      </c>
      <c r="AR787" s="10" t="s">
        <v>50</v>
      </c>
      <c r="AS787" s="10" t="s">
        <v>50</v>
      </c>
      <c r="AT787" s="10" t="s">
        <v>50</v>
      </c>
      <c r="AU787" s="10" t="s">
        <v>50</v>
      </c>
      <c r="AV787" s="11"/>
      <c r="AW787" s="10" t="s">
        <v>66</v>
      </c>
      <c r="AX787" s="10"/>
      <c r="AY787" s="10" t="s">
        <v>66</v>
      </c>
    </row>
    <row r="788" ht="22.5" hidden="1" customHeight="1">
      <c r="A788" s="9" t="s">
        <v>8192</v>
      </c>
      <c r="B788" s="10" t="s">
        <v>8193</v>
      </c>
      <c r="C788" s="10" t="s">
        <v>43</v>
      </c>
      <c r="D788" s="10" t="s">
        <v>7693</v>
      </c>
      <c r="E788" s="10" t="s">
        <v>45</v>
      </c>
      <c r="F788" s="11">
        <v>1.0</v>
      </c>
      <c r="G788" s="11">
        <v>79.0</v>
      </c>
      <c r="H788" s="11"/>
      <c r="I788" s="11">
        <v>-13.43</v>
      </c>
      <c r="J788" s="11">
        <v>-20.45</v>
      </c>
      <c r="K788" s="11"/>
      <c r="L788" s="11">
        <v>45.12</v>
      </c>
      <c r="M788" s="10" t="s">
        <v>46</v>
      </c>
      <c r="N788" s="10" t="s">
        <v>50</v>
      </c>
      <c r="O788" s="10" t="s">
        <v>160</v>
      </c>
      <c r="P788" s="10" t="s">
        <v>161</v>
      </c>
      <c r="Q788" s="10" t="s">
        <v>162</v>
      </c>
      <c r="R788" s="10" t="s">
        <v>74</v>
      </c>
      <c r="S788" s="11">
        <v>79.0</v>
      </c>
      <c r="T788" s="11">
        <v>2.49</v>
      </c>
      <c r="U788" s="11" t="s">
        <v>51</v>
      </c>
      <c r="V788" s="10" t="s">
        <v>52</v>
      </c>
      <c r="W788" s="10" t="s">
        <v>8194</v>
      </c>
      <c r="X788" s="10" t="s">
        <v>8195</v>
      </c>
      <c r="Y788" s="10" t="s">
        <v>8196</v>
      </c>
      <c r="Z788" s="10" t="s">
        <v>50</v>
      </c>
      <c r="AA788" s="10" t="s">
        <v>50</v>
      </c>
      <c r="AB788" s="10" t="s">
        <v>8194</v>
      </c>
      <c r="AC788" s="10" t="s">
        <v>8197</v>
      </c>
      <c r="AD788" s="10" t="s">
        <v>8198</v>
      </c>
      <c r="AE788" s="10" t="s">
        <v>5840</v>
      </c>
      <c r="AF788" s="10" t="s">
        <v>214</v>
      </c>
      <c r="AG788" s="10" t="s">
        <v>8199</v>
      </c>
      <c r="AH788" s="10" t="s">
        <v>60</v>
      </c>
      <c r="AI788" s="10" t="s">
        <v>61</v>
      </c>
      <c r="AJ788" s="10" t="s">
        <v>8189</v>
      </c>
      <c r="AK788" s="10" t="s">
        <v>8200</v>
      </c>
      <c r="AL788" s="10" t="s">
        <v>64</v>
      </c>
      <c r="AM788" s="10" t="s">
        <v>8201</v>
      </c>
      <c r="AN788" s="10" t="s">
        <v>8202</v>
      </c>
      <c r="AO788" s="11" t="s">
        <v>50</v>
      </c>
      <c r="AP788" s="10" t="s">
        <v>50</v>
      </c>
      <c r="AQ788" s="10" t="s">
        <v>50</v>
      </c>
      <c r="AR788" s="10" t="s">
        <v>50</v>
      </c>
      <c r="AS788" s="10" t="s">
        <v>50</v>
      </c>
      <c r="AT788" s="10" t="s">
        <v>50</v>
      </c>
      <c r="AU788" s="10" t="s">
        <v>50</v>
      </c>
      <c r="AV788" s="11"/>
      <c r="AW788" s="10" t="s">
        <v>66</v>
      </c>
      <c r="AX788" s="10"/>
      <c r="AY788" s="10" t="s">
        <v>66</v>
      </c>
    </row>
    <row r="789" ht="22.5" hidden="1" customHeight="1">
      <c r="A789" s="9" t="s">
        <v>8203</v>
      </c>
      <c r="B789" s="10" t="s">
        <v>8204</v>
      </c>
      <c r="C789" s="10" t="s">
        <v>43</v>
      </c>
      <c r="D789" s="10" t="s">
        <v>7750</v>
      </c>
      <c r="E789" s="10" t="s">
        <v>66</v>
      </c>
      <c r="F789" s="11">
        <v>1.0</v>
      </c>
      <c r="G789" s="11">
        <v>120.0</v>
      </c>
      <c r="H789" s="11"/>
      <c r="I789" s="11">
        <v>-20.4</v>
      </c>
      <c r="J789" s="11">
        <v>-19.95</v>
      </c>
      <c r="K789" s="11"/>
      <c r="L789" s="11">
        <v>86.85</v>
      </c>
      <c r="M789" s="10" t="s">
        <v>46</v>
      </c>
      <c r="N789" s="10" t="s">
        <v>50</v>
      </c>
      <c r="O789" s="10" t="s">
        <v>85</v>
      </c>
      <c r="P789" s="10" t="s">
        <v>86</v>
      </c>
      <c r="Q789" s="10" t="s">
        <v>87</v>
      </c>
      <c r="R789" s="10" t="s">
        <v>74</v>
      </c>
      <c r="S789" s="11">
        <v>120.0</v>
      </c>
      <c r="T789" s="11">
        <v>65.78</v>
      </c>
      <c r="U789" s="11" t="s">
        <v>51</v>
      </c>
      <c r="V789" s="10" t="s">
        <v>52</v>
      </c>
      <c r="W789" s="10" t="s">
        <v>8205</v>
      </c>
      <c r="X789" s="10" t="s">
        <v>8206</v>
      </c>
      <c r="Y789" s="10" t="s">
        <v>8207</v>
      </c>
      <c r="Z789" s="10" t="s">
        <v>50</v>
      </c>
      <c r="AA789" s="10" t="s">
        <v>50</v>
      </c>
      <c r="AB789" s="10" t="s">
        <v>8205</v>
      </c>
      <c r="AC789" s="10" t="s">
        <v>8208</v>
      </c>
      <c r="AD789" s="10" t="s">
        <v>8209</v>
      </c>
      <c r="AE789" s="10" t="s">
        <v>3359</v>
      </c>
      <c r="AF789" s="10" t="s">
        <v>185</v>
      </c>
      <c r="AG789" s="10" t="s">
        <v>8210</v>
      </c>
      <c r="AH789" s="10" t="s">
        <v>60</v>
      </c>
      <c r="AI789" s="10" t="s">
        <v>61</v>
      </c>
      <c r="AJ789" s="10" t="s">
        <v>8211</v>
      </c>
      <c r="AK789" s="10" t="s">
        <v>8212</v>
      </c>
      <c r="AL789" s="10" t="s">
        <v>64</v>
      </c>
      <c r="AM789" s="10" t="s">
        <v>8213</v>
      </c>
      <c r="AN789" s="10" t="s">
        <v>50</v>
      </c>
      <c r="AO789" s="11" t="s">
        <v>50</v>
      </c>
      <c r="AP789" s="10" t="s">
        <v>50</v>
      </c>
      <c r="AQ789" s="10" t="s">
        <v>50</v>
      </c>
      <c r="AR789" s="10" t="s">
        <v>50</v>
      </c>
      <c r="AS789" s="10" t="s">
        <v>50</v>
      </c>
      <c r="AT789" s="10" t="s">
        <v>50</v>
      </c>
      <c r="AU789" s="10" t="s">
        <v>50</v>
      </c>
      <c r="AV789" s="11"/>
      <c r="AW789" s="10" t="s">
        <v>66</v>
      </c>
      <c r="AX789" s="10"/>
      <c r="AY789" s="10" t="s">
        <v>66</v>
      </c>
    </row>
    <row r="790" ht="22.5" hidden="1" customHeight="1">
      <c r="A790" s="9" t="s">
        <v>8214</v>
      </c>
      <c r="B790" s="10" t="s">
        <v>8215</v>
      </c>
      <c r="C790" s="10" t="s">
        <v>43</v>
      </c>
      <c r="D790" s="10" t="s">
        <v>7750</v>
      </c>
      <c r="E790" s="10" t="s">
        <v>45</v>
      </c>
      <c r="F790" s="11">
        <v>1.0</v>
      </c>
      <c r="G790" s="11">
        <v>79.2</v>
      </c>
      <c r="H790" s="11"/>
      <c r="I790" s="11">
        <v>-13.46</v>
      </c>
      <c r="J790" s="11">
        <v>-20.45</v>
      </c>
      <c r="K790" s="11"/>
      <c r="L790" s="11">
        <v>45.29</v>
      </c>
      <c r="M790" s="10" t="s">
        <v>46</v>
      </c>
      <c r="N790" s="10" t="s">
        <v>45</v>
      </c>
      <c r="O790" s="10" t="s">
        <v>892</v>
      </c>
      <c r="P790" s="10" t="s">
        <v>893</v>
      </c>
      <c r="Q790" s="10" t="s">
        <v>894</v>
      </c>
      <c r="R790" s="10" t="s">
        <v>74</v>
      </c>
      <c r="S790" s="11">
        <v>79.2</v>
      </c>
      <c r="T790" s="11">
        <v>2.97</v>
      </c>
      <c r="U790" s="11" t="s">
        <v>51</v>
      </c>
      <c r="V790" s="10" t="s">
        <v>52</v>
      </c>
      <c r="W790" s="10" t="s">
        <v>8216</v>
      </c>
      <c r="X790" s="10" t="s">
        <v>8217</v>
      </c>
      <c r="Y790" s="10" t="s">
        <v>8218</v>
      </c>
      <c r="Z790" s="10" t="s">
        <v>50</v>
      </c>
      <c r="AA790" s="10" t="s">
        <v>50</v>
      </c>
      <c r="AB790" s="10" t="s">
        <v>8216</v>
      </c>
      <c r="AC790" s="10" t="s">
        <v>8219</v>
      </c>
      <c r="AD790" s="10" t="s">
        <v>8220</v>
      </c>
      <c r="AE790" s="10" t="s">
        <v>58</v>
      </c>
      <c r="AF790" s="10" t="s">
        <v>58</v>
      </c>
      <c r="AG790" s="10" t="s">
        <v>8221</v>
      </c>
      <c r="AH790" s="10" t="s">
        <v>60</v>
      </c>
      <c r="AI790" s="10" t="s">
        <v>61</v>
      </c>
      <c r="AJ790" s="10" t="s">
        <v>8222</v>
      </c>
      <c r="AK790" s="10" t="s">
        <v>8223</v>
      </c>
      <c r="AL790" s="10" t="s">
        <v>64</v>
      </c>
      <c r="AM790" s="10" t="s">
        <v>8224</v>
      </c>
      <c r="AN790" s="10" t="s">
        <v>50</v>
      </c>
      <c r="AO790" s="11" t="s">
        <v>50</v>
      </c>
      <c r="AP790" s="10" t="s">
        <v>50</v>
      </c>
      <c r="AQ790" s="10" t="s">
        <v>50</v>
      </c>
      <c r="AR790" s="10" t="s">
        <v>50</v>
      </c>
      <c r="AS790" s="10" t="s">
        <v>50</v>
      </c>
      <c r="AT790" s="10" t="s">
        <v>50</v>
      </c>
      <c r="AU790" s="10" t="s">
        <v>50</v>
      </c>
      <c r="AV790" s="11"/>
      <c r="AW790" s="10" t="s">
        <v>66</v>
      </c>
      <c r="AX790" s="10"/>
      <c r="AY790" s="10" t="s">
        <v>66</v>
      </c>
    </row>
    <row r="791" ht="22.5" hidden="1" customHeight="1">
      <c r="A791" s="9" t="s">
        <v>8225</v>
      </c>
      <c r="B791" s="10" t="s">
        <v>8226</v>
      </c>
      <c r="C791" s="10" t="s">
        <v>43</v>
      </c>
      <c r="D791" s="10" t="s">
        <v>8227</v>
      </c>
      <c r="E791" s="10" t="s">
        <v>66</v>
      </c>
      <c r="F791" s="11">
        <v>1.0</v>
      </c>
      <c r="G791" s="11">
        <v>79.0</v>
      </c>
      <c r="H791" s="11"/>
      <c r="I791" s="11">
        <v>-13.43</v>
      </c>
      <c r="J791" s="11">
        <v>-20.45</v>
      </c>
      <c r="K791" s="11"/>
      <c r="L791" s="11">
        <v>45.12</v>
      </c>
      <c r="M791" s="10" t="s">
        <v>46</v>
      </c>
      <c r="N791" s="10" t="s">
        <v>45</v>
      </c>
      <c r="O791" s="10" t="s">
        <v>160</v>
      </c>
      <c r="P791" s="10" t="s">
        <v>161</v>
      </c>
      <c r="Q791" s="10" t="s">
        <v>162</v>
      </c>
      <c r="R791" s="10" t="s">
        <v>74</v>
      </c>
      <c r="S791" s="11">
        <v>79.0</v>
      </c>
      <c r="T791" s="11">
        <v>2.49</v>
      </c>
      <c r="U791" s="11" t="s">
        <v>51</v>
      </c>
      <c r="V791" s="10" t="s">
        <v>52</v>
      </c>
      <c r="W791" s="10" t="s">
        <v>8228</v>
      </c>
      <c r="X791" s="10" t="s">
        <v>8229</v>
      </c>
      <c r="Y791" s="10" t="s">
        <v>8230</v>
      </c>
      <c r="Z791" s="10" t="s">
        <v>50</v>
      </c>
      <c r="AA791" s="10" t="s">
        <v>50</v>
      </c>
      <c r="AB791" s="10" t="s">
        <v>8228</v>
      </c>
      <c r="AC791" s="10" t="s">
        <v>8231</v>
      </c>
      <c r="AD791" s="10" t="s">
        <v>8232</v>
      </c>
      <c r="AE791" s="10" t="s">
        <v>151</v>
      </c>
      <c r="AF791" s="10" t="s">
        <v>151</v>
      </c>
      <c r="AG791" s="10" t="s">
        <v>8233</v>
      </c>
      <c r="AH791" s="10" t="s">
        <v>60</v>
      </c>
      <c r="AI791" s="10" t="s">
        <v>61</v>
      </c>
      <c r="AJ791" s="10" t="s">
        <v>8234</v>
      </c>
      <c r="AK791" s="10" t="s">
        <v>8235</v>
      </c>
      <c r="AL791" s="10" t="s">
        <v>64</v>
      </c>
      <c r="AM791" s="10" t="s">
        <v>8236</v>
      </c>
      <c r="AN791" s="10" t="s">
        <v>50</v>
      </c>
      <c r="AO791" s="11" t="s">
        <v>50</v>
      </c>
      <c r="AP791" s="10" t="s">
        <v>50</v>
      </c>
      <c r="AQ791" s="10" t="s">
        <v>50</v>
      </c>
      <c r="AR791" s="10" t="s">
        <v>50</v>
      </c>
      <c r="AS791" s="10" t="s">
        <v>50</v>
      </c>
      <c r="AT791" s="10" t="s">
        <v>50</v>
      </c>
      <c r="AU791" s="10" t="s">
        <v>50</v>
      </c>
      <c r="AV791" s="11"/>
      <c r="AW791" s="10" t="s">
        <v>66</v>
      </c>
      <c r="AX791" s="10"/>
      <c r="AY791" s="10" t="s">
        <v>66</v>
      </c>
    </row>
    <row r="792" ht="22.5" hidden="1" customHeight="1">
      <c r="A792" s="9" t="s">
        <v>8237</v>
      </c>
      <c r="B792" s="10" t="s">
        <v>8238</v>
      </c>
      <c r="C792" s="10" t="s">
        <v>43</v>
      </c>
      <c r="D792" s="10" t="s">
        <v>7518</v>
      </c>
      <c r="E792" s="10" t="s">
        <v>66</v>
      </c>
      <c r="F792" s="11">
        <v>1.0</v>
      </c>
      <c r="G792" s="11">
        <v>120.0</v>
      </c>
      <c r="H792" s="11"/>
      <c r="I792" s="11">
        <v>-20.4</v>
      </c>
      <c r="J792" s="11">
        <v>-19.95</v>
      </c>
      <c r="K792" s="11"/>
      <c r="L792" s="11">
        <v>86.85</v>
      </c>
      <c r="M792" s="10" t="s">
        <v>46</v>
      </c>
      <c r="N792" s="10" t="s">
        <v>45</v>
      </c>
      <c r="O792" s="10" t="s">
        <v>85</v>
      </c>
      <c r="P792" s="10" t="s">
        <v>86</v>
      </c>
      <c r="Q792" s="10" t="s">
        <v>87</v>
      </c>
      <c r="R792" s="10" t="s">
        <v>74</v>
      </c>
      <c r="S792" s="11">
        <v>120.0</v>
      </c>
      <c r="T792" s="11">
        <v>65.78</v>
      </c>
      <c r="U792" s="11" t="s">
        <v>51</v>
      </c>
      <c r="V792" s="10" t="s">
        <v>52</v>
      </c>
      <c r="W792" s="10" t="s">
        <v>2392</v>
      </c>
      <c r="X792" s="10" t="s">
        <v>2393</v>
      </c>
      <c r="Y792" s="10" t="s">
        <v>2394</v>
      </c>
      <c r="Z792" s="10" t="s">
        <v>50</v>
      </c>
      <c r="AA792" s="10" t="s">
        <v>50</v>
      </c>
      <c r="AB792" s="10" t="s">
        <v>2392</v>
      </c>
      <c r="AC792" s="10" t="s">
        <v>2395</v>
      </c>
      <c r="AD792" s="10" t="s">
        <v>2396</v>
      </c>
      <c r="AE792" s="10" t="s">
        <v>2366</v>
      </c>
      <c r="AF792" s="10" t="s">
        <v>201</v>
      </c>
      <c r="AG792" s="10" t="s">
        <v>2367</v>
      </c>
      <c r="AH792" s="10" t="s">
        <v>60</v>
      </c>
      <c r="AI792" s="10" t="s">
        <v>61</v>
      </c>
      <c r="AJ792" s="10" t="s">
        <v>8239</v>
      </c>
      <c r="AK792" s="10" t="s">
        <v>8240</v>
      </c>
      <c r="AL792" s="10" t="s">
        <v>64</v>
      </c>
      <c r="AM792" s="10" t="s">
        <v>8241</v>
      </c>
      <c r="AN792" s="10" t="s">
        <v>50</v>
      </c>
      <c r="AO792" s="11" t="s">
        <v>50</v>
      </c>
      <c r="AP792" s="10" t="s">
        <v>50</v>
      </c>
      <c r="AQ792" s="10" t="s">
        <v>50</v>
      </c>
      <c r="AR792" s="10" t="s">
        <v>50</v>
      </c>
      <c r="AS792" s="10" t="s">
        <v>50</v>
      </c>
      <c r="AT792" s="10" t="s">
        <v>50</v>
      </c>
      <c r="AU792" s="10" t="s">
        <v>50</v>
      </c>
      <c r="AV792" s="11"/>
      <c r="AW792" s="10" t="s">
        <v>66</v>
      </c>
      <c r="AX792" s="10"/>
      <c r="AY792" s="10" t="s">
        <v>66</v>
      </c>
    </row>
    <row r="793" ht="22.5" hidden="1" customHeight="1">
      <c r="A793" s="9" t="s">
        <v>8242</v>
      </c>
      <c r="B793" s="10" t="s">
        <v>8243</v>
      </c>
      <c r="C793" s="10" t="s">
        <v>43</v>
      </c>
      <c r="D793" s="10" t="s">
        <v>7693</v>
      </c>
      <c r="E793" s="10" t="s">
        <v>66</v>
      </c>
      <c r="F793" s="11">
        <v>1.0</v>
      </c>
      <c r="G793" s="11">
        <v>43.7</v>
      </c>
      <c r="H793" s="11">
        <v>17.86</v>
      </c>
      <c r="I793" s="11">
        <v>-13.43</v>
      </c>
      <c r="J793" s="11">
        <v>-17.86</v>
      </c>
      <c r="K793" s="11"/>
      <c r="L793" s="11">
        <v>32.89</v>
      </c>
      <c r="M793" s="10" t="s">
        <v>46</v>
      </c>
      <c r="N793" s="10" t="s">
        <v>45</v>
      </c>
      <c r="O793" s="10" t="s">
        <v>176</v>
      </c>
      <c r="P793" s="10" t="s">
        <v>177</v>
      </c>
      <c r="Q793" s="10" t="s">
        <v>178</v>
      </c>
      <c r="R793" s="10" t="s">
        <v>74</v>
      </c>
      <c r="S793" s="11">
        <v>43.7</v>
      </c>
      <c r="T793" s="11">
        <v>22.58</v>
      </c>
      <c r="U793" s="11" t="s">
        <v>51</v>
      </c>
      <c r="V793" s="10" t="s">
        <v>52</v>
      </c>
      <c r="W793" s="10" t="s">
        <v>8244</v>
      </c>
      <c r="X793" s="10" t="s">
        <v>8245</v>
      </c>
      <c r="Y793" s="10" t="s">
        <v>8246</v>
      </c>
      <c r="Z793" s="10" t="s">
        <v>50</v>
      </c>
      <c r="AA793" s="10" t="s">
        <v>50</v>
      </c>
      <c r="AB793" s="10" t="s">
        <v>8244</v>
      </c>
      <c r="AC793" s="10" t="s">
        <v>8247</v>
      </c>
      <c r="AD793" s="10" t="s">
        <v>8248</v>
      </c>
      <c r="AE793" s="10" t="s">
        <v>8249</v>
      </c>
      <c r="AF793" s="10" t="s">
        <v>284</v>
      </c>
      <c r="AG793" s="10" t="s">
        <v>8250</v>
      </c>
      <c r="AH793" s="10" t="s">
        <v>60</v>
      </c>
      <c r="AI793" s="10" t="s">
        <v>61</v>
      </c>
      <c r="AJ793" s="10" t="s">
        <v>8189</v>
      </c>
      <c r="AK793" s="10" t="s">
        <v>8251</v>
      </c>
      <c r="AL793" s="10" t="s">
        <v>64</v>
      </c>
      <c r="AM793" s="10" t="s">
        <v>8252</v>
      </c>
      <c r="AN793" s="10" t="s">
        <v>50</v>
      </c>
      <c r="AO793" s="11" t="s">
        <v>50</v>
      </c>
      <c r="AP793" s="10" t="s">
        <v>50</v>
      </c>
      <c r="AQ793" s="10" t="s">
        <v>50</v>
      </c>
      <c r="AR793" s="10" t="s">
        <v>50</v>
      </c>
      <c r="AS793" s="10" t="s">
        <v>50</v>
      </c>
      <c r="AT793" s="10" t="s">
        <v>50</v>
      </c>
      <c r="AU793" s="10" t="s">
        <v>50</v>
      </c>
      <c r="AV793" s="11"/>
      <c r="AW793" s="10" t="s">
        <v>66</v>
      </c>
      <c r="AX793" s="10"/>
      <c r="AY793" s="10" t="s">
        <v>66</v>
      </c>
    </row>
    <row r="794" ht="22.5" hidden="1" customHeight="1">
      <c r="A794" s="9" t="s">
        <v>8253</v>
      </c>
      <c r="B794" s="10" t="s">
        <v>8254</v>
      </c>
      <c r="C794" s="10" t="s">
        <v>43</v>
      </c>
      <c r="D794" s="10" t="s">
        <v>7750</v>
      </c>
      <c r="E794" s="10" t="s">
        <v>66</v>
      </c>
      <c r="F794" s="11">
        <v>1.0</v>
      </c>
      <c r="G794" s="11">
        <v>80.0</v>
      </c>
      <c r="H794" s="11"/>
      <c r="I794" s="11">
        <v>-13.6</v>
      </c>
      <c r="J794" s="11">
        <v>-19.95</v>
      </c>
      <c r="K794" s="11"/>
      <c r="L794" s="11">
        <v>50.45</v>
      </c>
      <c r="M794" s="10" t="s">
        <v>46</v>
      </c>
      <c r="N794" s="10" t="s">
        <v>50</v>
      </c>
      <c r="O794" s="10" t="s">
        <v>143</v>
      </c>
      <c r="P794" s="10" t="s">
        <v>144</v>
      </c>
      <c r="Q794" s="10" t="s">
        <v>145</v>
      </c>
      <c r="R794" s="10" t="s">
        <v>74</v>
      </c>
      <c r="S794" s="11">
        <v>80.0</v>
      </c>
      <c r="T794" s="11">
        <v>33.38</v>
      </c>
      <c r="U794" s="11" t="s">
        <v>51</v>
      </c>
      <c r="V794" s="10" t="s">
        <v>52</v>
      </c>
      <c r="W794" s="10" t="s">
        <v>8255</v>
      </c>
      <c r="X794" s="10" t="s">
        <v>8256</v>
      </c>
      <c r="Y794" s="10" t="s">
        <v>8257</v>
      </c>
      <c r="Z794" s="10" t="s">
        <v>50</v>
      </c>
      <c r="AA794" s="10" t="s">
        <v>50</v>
      </c>
      <c r="AB794" s="10" t="s">
        <v>8255</v>
      </c>
      <c r="AC794" s="10" t="s">
        <v>8258</v>
      </c>
      <c r="AD794" s="10" t="s">
        <v>8259</v>
      </c>
      <c r="AE794" s="10" t="s">
        <v>8260</v>
      </c>
      <c r="AF794" s="10" t="s">
        <v>119</v>
      </c>
      <c r="AG794" s="10" t="s">
        <v>8261</v>
      </c>
      <c r="AH794" s="10" t="s">
        <v>60</v>
      </c>
      <c r="AI794" s="10" t="s">
        <v>61</v>
      </c>
      <c r="AJ794" s="10" t="s">
        <v>8262</v>
      </c>
      <c r="AK794" s="10" t="s">
        <v>8263</v>
      </c>
      <c r="AL794" s="10" t="s">
        <v>64</v>
      </c>
      <c r="AM794" s="10" t="s">
        <v>8264</v>
      </c>
      <c r="AN794" s="10" t="s">
        <v>50</v>
      </c>
      <c r="AO794" s="11" t="s">
        <v>50</v>
      </c>
      <c r="AP794" s="10" t="s">
        <v>50</v>
      </c>
      <c r="AQ794" s="10" t="s">
        <v>50</v>
      </c>
      <c r="AR794" s="10" t="s">
        <v>50</v>
      </c>
      <c r="AS794" s="10" t="s">
        <v>50</v>
      </c>
      <c r="AT794" s="10" t="s">
        <v>50</v>
      </c>
      <c r="AU794" s="10" t="s">
        <v>50</v>
      </c>
      <c r="AV794" s="11"/>
      <c r="AW794" s="10" t="s">
        <v>66</v>
      </c>
      <c r="AX794" s="10"/>
      <c r="AY794" s="10" t="s">
        <v>66</v>
      </c>
    </row>
    <row r="795" ht="22.5" hidden="1" customHeight="1">
      <c r="A795" s="9" t="s">
        <v>8265</v>
      </c>
      <c r="B795" s="10" t="s">
        <v>8266</v>
      </c>
      <c r="C795" s="10" t="s">
        <v>43</v>
      </c>
      <c r="D795" s="10" t="s">
        <v>7693</v>
      </c>
      <c r="E795" s="10" t="s">
        <v>66</v>
      </c>
      <c r="F795" s="11">
        <v>1.0</v>
      </c>
      <c r="G795" s="11">
        <v>79.35</v>
      </c>
      <c r="H795" s="11"/>
      <c r="I795" s="11">
        <v>-15.08</v>
      </c>
      <c r="J795" s="11">
        <v>-19.95</v>
      </c>
      <c r="K795" s="11"/>
      <c r="L795" s="11">
        <v>44.32</v>
      </c>
      <c r="M795" s="10" t="s">
        <v>46</v>
      </c>
      <c r="N795" s="10" t="s">
        <v>45</v>
      </c>
      <c r="O795" s="10" t="s">
        <v>47</v>
      </c>
      <c r="P795" s="10" t="s">
        <v>48</v>
      </c>
      <c r="Q795" s="10" t="s">
        <v>49</v>
      </c>
      <c r="R795" s="10" t="s">
        <v>50</v>
      </c>
      <c r="S795" s="11">
        <v>79.35</v>
      </c>
      <c r="T795" s="11">
        <v>12.45</v>
      </c>
      <c r="U795" s="11" t="s">
        <v>51</v>
      </c>
      <c r="V795" s="10" t="s">
        <v>52</v>
      </c>
      <c r="W795" s="10" t="s">
        <v>8267</v>
      </c>
      <c r="X795" s="10" t="s">
        <v>8268</v>
      </c>
      <c r="Y795" s="10" t="s">
        <v>8269</v>
      </c>
      <c r="Z795" s="10" t="s">
        <v>50</v>
      </c>
      <c r="AA795" s="10" t="s">
        <v>50</v>
      </c>
      <c r="AB795" s="10" t="s">
        <v>8267</v>
      </c>
      <c r="AC795" s="10" t="s">
        <v>8270</v>
      </c>
      <c r="AD795" s="10" t="s">
        <v>8271</v>
      </c>
      <c r="AE795" s="10" t="s">
        <v>5342</v>
      </c>
      <c r="AF795" s="10" t="s">
        <v>58</v>
      </c>
      <c r="AG795" s="10" t="s">
        <v>8272</v>
      </c>
      <c r="AH795" s="10" t="s">
        <v>60</v>
      </c>
      <c r="AI795" s="10" t="s">
        <v>61</v>
      </c>
      <c r="AJ795" s="10" t="s">
        <v>8273</v>
      </c>
      <c r="AK795" s="10" t="s">
        <v>8274</v>
      </c>
      <c r="AL795" s="10" t="s">
        <v>64</v>
      </c>
      <c r="AM795" s="10" t="s">
        <v>8275</v>
      </c>
      <c r="AN795" s="10" t="s">
        <v>8276</v>
      </c>
      <c r="AO795" s="11" t="s">
        <v>50</v>
      </c>
      <c r="AP795" s="10" t="s">
        <v>50</v>
      </c>
      <c r="AQ795" s="10" t="s">
        <v>50</v>
      </c>
      <c r="AR795" s="10" t="s">
        <v>50</v>
      </c>
      <c r="AS795" s="10" t="s">
        <v>50</v>
      </c>
      <c r="AT795" s="10" t="s">
        <v>50</v>
      </c>
      <c r="AU795" s="10" t="s">
        <v>50</v>
      </c>
      <c r="AV795" s="11"/>
      <c r="AW795" s="10" t="s">
        <v>66</v>
      </c>
      <c r="AX795" s="10"/>
      <c r="AY795" s="10" t="s">
        <v>66</v>
      </c>
    </row>
    <row r="796" ht="22.5" hidden="1" customHeight="1">
      <c r="A796" s="9" t="s">
        <v>8277</v>
      </c>
      <c r="B796" s="10" t="s">
        <v>8278</v>
      </c>
      <c r="C796" s="10" t="s">
        <v>43</v>
      </c>
      <c r="D796" s="10" t="s">
        <v>7750</v>
      </c>
      <c r="E796" s="10" t="s">
        <v>66</v>
      </c>
      <c r="F796" s="11">
        <v>1.0</v>
      </c>
      <c r="G796" s="11">
        <v>120.0</v>
      </c>
      <c r="H796" s="11"/>
      <c r="I796" s="11">
        <v>-20.4</v>
      </c>
      <c r="J796" s="11">
        <v>-19.95</v>
      </c>
      <c r="K796" s="11"/>
      <c r="L796" s="11">
        <v>86.85</v>
      </c>
      <c r="M796" s="10" t="s">
        <v>46</v>
      </c>
      <c r="N796" s="10" t="s">
        <v>50</v>
      </c>
      <c r="O796" s="10" t="s">
        <v>85</v>
      </c>
      <c r="P796" s="10" t="s">
        <v>86</v>
      </c>
      <c r="Q796" s="10" t="s">
        <v>87</v>
      </c>
      <c r="R796" s="10" t="s">
        <v>74</v>
      </c>
      <c r="S796" s="11">
        <v>120.0</v>
      </c>
      <c r="T796" s="11">
        <v>65.78</v>
      </c>
      <c r="U796" s="11" t="s">
        <v>51</v>
      </c>
      <c r="V796" s="10" t="s">
        <v>52</v>
      </c>
      <c r="W796" s="10" t="s">
        <v>8279</v>
      </c>
      <c r="X796" s="10" t="s">
        <v>8280</v>
      </c>
      <c r="Y796" s="10" t="s">
        <v>8281</v>
      </c>
      <c r="Z796" s="10" t="s">
        <v>50</v>
      </c>
      <c r="AA796" s="10" t="s">
        <v>50</v>
      </c>
      <c r="AB796" s="10" t="s">
        <v>8279</v>
      </c>
      <c r="AC796" s="10" t="s">
        <v>8282</v>
      </c>
      <c r="AD796" s="10" t="s">
        <v>8283</v>
      </c>
      <c r="AE796" s="10" t="s">
        <v>8284</v>
      </c>
      <c r="AF796" s="10" t="s">
        <v>119</v>
      </c>
      <c r="AG796" s="10" t="s">
        <v>8285</v>
      </c>
      <c r="AH796" s="10" t="s">
        <v>60</v>
      </c>
      <c r="AI796" s="10" t="s">
        <v>61</v>
      </c>
      <c r="AJ796" s="10" t="s">
        <v>8262</v>
      </c>
      <c r="AK796" s="10" t="s">
        <v>8286</v>
      </c>
      <c r="AL796" s="10" t="s">
        <v>64</v>
      </c>
      <c r="AM796" s="10" t="s">
        <v>8287</v>
      </c>
      <c r="AN796" s="10" t="s">
        <v>50</v>
      </c>
      <c r="AO796" s="11" t="s">
        <v>50</v>
      </c>
      <c r="AP796" s="10" t="s">
        <v>50</v>
      </c>
      <c r="AQ796" s="10" t="s">
        <v>50</v>
      </c>
      <c r="AR796" s="10" t="s">
        <v>50</v>
      </c>
      <c r="AS796" s="10" t="s">
        <v>50</v>
      </c>
      <c r="AT796" s="10" t="s">
        <v>50</v>
      </c>
      <c r="AU796" s="10" t="s">
        <v>50</v>
      </c>
      <c r="AV796" s="11"/>
      <c r="AW796" s="10" t="s">
        <v>66</v>
      </c>
      <c r="AX796" s="10"/>
      <c r="AY796" s="10" t="s">
        <v>66</v>
      </c>
    </row>
    <row r="797" ht="22.5" hidden="1" customHeight="1">
      <c r="A797" s="9" t="s">
        <v>8288</v>
      </c>
      <c r="B797" s="10" t="s">
        <v>8289</v>
      </c>
      <c r="C797" s="10" t="s">
        <v>43</v>
      </c>
      <c r="D797" s="10" t="s">
        <v>7750</v>
      </c>
      <c r="E797" s="10" t="s">
        <v>66</v>
      </c>
      <c r="F797" s="11">
        <v>1.0</v>
      </c>
      <c r="G797" s="11">
        <v>120.0</v>
      </c>
      <c r="H797" s="11"/>
      <c r="I797" s="11">
        <v>-20.4</v>
      </c>
      <c r="J797" s="11">
        <v>-19.95</v>
      </c>
      <c r="K797" s="11"/>
      <c r="L797" s="11">
        <v>86.85</v>
      </c>
      <c r="M797" s="10" t="s">
        <v>46</v>
      </c>
      <c r="N797" s="10" t="s">
        <v>50</v>
      </c>
      <c r="O797" s="10" t="s">
        <v>85</v>
      </c>
      <c r="P797" s="10" t="s">
        <v>86</v>
      </c>
      <c r="Q797" s="10" t="s">
        <v>87</v>
      </c>
      <c r="R797" s="10" t="s">
        <v>74</v>
      </c>
      <c r="S797" s="11">
        <v>120.0</v>
      </c>
      <c r="T797" s="11">
        <v>65.78</v>
      </c>
      <c r="U797" s="11" t="s">
        <v>51</v>
      </c>
      <c r="V797" s="10" t="s">
        <v>52</v>
      </c>
      <c r="W797" s="10" t="s">
        <v>8290</v>
      </c>
      <c r="X797" s="10" t="s">
        <v>8291</v>
      </c>
      <c r="Y797" s="10" t="s">
        <v>8292</v>
      </c>
      <c r="Z797" s="10" t="s">
        <v>50</v>
      </c>
      <c r="AA797" s="10" t="s">
        <v>50</v>
      </c>
      <c r="AB797" s="10" t="s">
        <v>8290</v>
      </c>
      <c r="AC797" s="10" t="s">
        <v>8293</v>
      </c>
      <c r="AD797" s="10" t="s">
        <v>8294</v>
      </c>
      <c r="AE797" s="10" t="s">
        <v>8295</v>
      </c>
      <c r="AF797" s="10" t="s">
        <v>323</v>
      </c>
      <c r="AG797" s="10" t="s">
        <v>8296</v>
      </c>
      <c r="AH797" s="10" t="s">
        <v>60</v>
      </c>
      <c r="AI797" s="10" t="s">
        <v>61</v>
      </c>
      <c r="AJ797" s="10" t="s">
        <v>8297</v>
      </c>
      <c r="AK797" s="10" t="s">
        <v>8298</v>
      </c>
      <c r="AL797" s="10" t="s">
        <v>64</v>
      </c>
      <c r="AM797" s="10" t="s">
        <v>8299</v>
      </c>
      <c r="AN797" s="10" t="s">
        <v>50</v>
      </c>
      <c r="AO797" s="11" t="s">
        <v>50</v>
      </c>
      <c r="AP797" s="10" t="s">
        <v>50</v>
      </c>
      <c r="AQ797" s="10" t="s">
        <v>50</v>
      </c>
      <c r="AR797" s="10" t="s">
        <v>50</v>
      </c>
      <c r="AS797" s="10" t="s">
        <v>50</v>
      </c>
      <c r="AT797" s="10" t="s">
        <v>50</v>
      </c>
      <c r="AU797" s="10" t="s">
        <v>50</v>
      </c>
      <c r="AV797" s="11"/>
      <c r="AW797" s="10" t="s">
        <v>66</v>
      </c>
      <c r="AX797" s="10"/>
      <c r="AY797" s="10" t="s">
        <v>66</v>
      </c>
    </row>
    <row r="798" ht="22.5" hidden="1" customHeight="1">
      <c r="A798" s="9" t="s">
        <v>8300</v>
      </c>
      <c r="B798" s="10" t="s">
        <v>8301</v>
      </c>
      <c r="C798" s="10" t="s">
        <v>43</v>
      </c>
      <c r="D798" s="10" t="s">
        <v>7750</v>
      </c>
      <c r="E798" s="10" t="s">
        <v>66</v>
      </c>
      <c r="F798" s="11">
        <v>1.0</v>
      </c>
      <c r="G798" s="11">
        <v>88.4</v>
      </c>
      <c r="H798" s="11"/>
      <c r="I798" s="11">
        <v>-15.03</v>
      </c>
      <c r="J798" s="11">
        <v>-19.95</v>
      </c>
      <c r="K798" s="11"/>
      <c r="L798" s="11">
        <v>53.42</v>
      </c>
      <c r="M798" s="10" t="s">
        <v>46</v>
      </c>
      <c r="N798" s="10" t="s">
        <v>45</v>
      </c>
      <c r="O798" s="10" t="s">
        <v>314</v>
      </c>
      <c r="P798" s="10" t="s">
        <v>315</v>
      </c>
      <c r="Q798" s="10" t="s">
        <v>316</v>
      </c>
      <c r="R798" s="10" t="s">
        <v>74</v>
      </c>
      <c r="S798" s="11">
        <v>88.4</v>
      </c>
      <c r="T798" s="11">
        <v>6.66</v>
      </c>
      <c r="U798" s="11" t="s">
        <v>51</v>
      </c>
      <c r="V798" s="10" t="s">
        <v>52</v>
      </c>
      <c r="W798" s="10" t="s">
        <v>8302</v>
      </c>
      <c r="X798" s="10" t="s">
        <v>8303</v>
      </c>
      <c r="Y798" s="10" t="s">
        <v>8304</v>
      </c>
      <c r="Z798" s="10" t="s">
        <v>50</v>
      </c>
      <c r="AA798" s="10" t="s">
        <v>50</v>
      </c>
      <c r="AB798" s="10" t="s">
        <v>8302</v>
      </c>
      <c r="AC798" s="10" t="s">
        <v>8305</v>
      </c>
      <c r="AD798" s="10" t="s">
        <v>8306</v>
      </c>
      <c r="AE798" s="10" t="s">
        <v>833</v>
      </c>
      <c r="AF798" s="10" t="s">
        <v>58</v>
      </c>
      <c r="AG798" s="10" t="s">
        <v>8307</v>
      </c>
      <c r="AH798" s="10" t="s">
        <v>60</v>
      </c>
      <c r="AI798" s="10" t="s">
        <v>61</v>
      </c>
      <c r="AJ798" s="10" t="s">
        <v>8308</v>
      </c>
      <c r="AK798" s="10" t="s">
        <v>8309</v>
      </c>
      <c r="AL798" s="10" t="s">
        <v>64</v>
      </c>
      <c r="AM798" s="10" t="s">
        <v>8310</v>
      </c>
      <c r="AN798" s="10" t="s">
        <v>50</v>
      </c>
      <c r="AO798" s="11" t="s">
        <v>50</v>
      </c>
      <c r="AP798" s="10" t="s">
        <v>50</v>
      </c>
      <c r="AQ798" s="10" t="s">
        <v>50</v>
      </c>
      <c r="AR798" s="10" t="s">
        <v>50</v>
      </c>
      <c r="AS798" s="10" t="s">
        <v>50</v>
      </c>
      <c r="AT798" s="10" t="s">
        <v>50</v>
      </c>
      <c r="AU798" s="10" t="s">
        <v>50</v>
      </c>
      <c r="AV798" s="11"/>
      <c r="AW798" s="10" t="s">
        <v>66</v>
      </c>
      <c r="AX798" s="10"/>
      <c r="AY798" s="10" t="s">
        <v>66</v>
      </c>
    </row>
    <row r="799" ht="22.5" hidden="1" customHeight="1">
      <c r="A799" s="9" t="s">
        <v>8311</v>
      </c>
      <c r="B799" s="10" t="s">
        <v>8312</v>
      </c>
      <c r="C799" s="10" t="s">
        <v>43</v>
      </c>
      <c r="D799" s="10" t="s">
        <v>7693</v>
      </c>
      <c r="E799" s="10" t="s">
        <v>66</v>
      </c>
      <c r="F799" s="11">
        <v>1.0</v>
      </c>
      <c r="G799" s="11">
        <v>92.15</v>
      </c>
      <c r="H799" s="11"/>
      <c r="I799" s="11">
        <v>-17.51</v>
      </c>
      <c r="J799" s="11">
        <v>-20.45</v>
      </c>
      <c r="K799" s="11"/>
      <c r="L799" s="11">
        <v>59.72</v>
      </c>
      <c r="M799" s="10" t="s">
        <v>46</v>
      </c>
      <c r="N799" s="10" t="s">
        <v>50</v>
      </c>
      <c r="O799" s="10" t="s">
        <v>586</v>
      </c>
      <c r="P799" s="10" t="s">
        <v>587</v>
      </c>
      <c r="Q799" s="10" t="s">
        <v>588</v>
      </c>
      <c r="R799" s="10" t="s">
        <v>50</v>
      </c>
      <c r="S799" s="11">
        <v>92.15</v>
      </c>
      <c r="T799" s="11">
        <v>20.76</v>
      </c>
      <c r="U799" s="11" t="s">
        <v>51</v>
      </c>
      <c r="V799" s="10" t="s">
        <v>52</v>
      </c>
      <c r="W799" s="10" t="s">
        <v>8313</v>
      </c>
      <c r="X799" s="10" t="s">
        <v>8314</v>
      </c>
      <c r="Y799" s="10" t="s">
        <v>8315</v>
      </c>
      <c r="Z799" s="10" t="s">
        <v>50</v>
      </c>
      <c r="AA799" s="10" t="s">
        <v>50</v>
      </c>
      <c r="AB799" s="10" t="s">
        <v>8313</v>
      </c>
      <c r="AC799" s="10" t="s">
        <v>8316</v>
      </c>
      <c r="AD799" s="10" t="s">
        <v>8317</v>
      </c>
      <c r="AE799" s="10" t="s">
        <v>774</v>
      </c>
      <c r="AF799" s="10" t="s">
        <v>775</v>
      </c>
      <c r="AG799" s="10" t="s">
        <v>8318</v>
      </c>
      <c r="AH799" s="10" t="s">
        <v>60</v>
      </c>
      <c r="AI799" s="10" t="s">
        <v>61</v>
      </c>
      <c r="AJ799" s="10" t="s">
        <v>8319</v>
      </c>
      <c r="AK799" s="10" t="s">
        <v>8320</v>
      </c>
      <c r="AL799" s="10" t="s">
        <v>64</v>
      </c>
      <c r="AM799" s="10" t="s">
        <v>8321</v>
      </c>
      <c r="AN799" s="10" t="s">
        <v>50</v>
      </c>
      <c r="AO799" s="11" t="s">
        <v>50</v>
      </c>
      <c r="AP799" s="10" t="s">
        <v>50</v>
      </c>
      <c r="AQ799" s="10" t="s">
        <v>50</v>
      </c>
      <c r="AR799" s="10" t="s">
        <v>50</v>
      </c>
      <c r="AS799" s="10" t="s">
        <v>50</v>
      </c>
      <c r="AT799" s="10" t="s">
        <v>50</v>
      </c>
      <c r="AU799" s="10" t="s">
        <v>50</v>
      </c>
      <c r="AV799" s="11"/>
      <c r="AW799" s="10" t="s">
        <v>66</v>
      </c>
      <c r="AX799" s="10"/>
      <c r="AY799" s="10" t="s">
        <v>66</v>
      </c>
    </row>
    <row r="800" ht="22.5" hidden="1" customHeight="1">
      <c r="A800" s="9" t="s">
        <v>8322</v>
      </c>
      <c r="B800" s="10" t="s">
        <v>8323</v>
      </c>
      <c r="C800" s="10" t="s">
        <v>43</v>
      </c>
      <c r="D800" s="10" t="s">
        <v>8227</v>
      </c>
      <c r="E800" s="10" t="s">
        <v>45</v>
      </c>
      <c r="F800" s="11">
        <v>1.0</v>
      </c>
      <c r="G800" s="11">
        <v>120.0</v>
      </c>
      <c r="H800" s="11"/>
      <c r="I800" s="11">
        <v>-20.4</v>
      </c>
      <c r="J800" s="11">
        <v>-19.95</v>
      </c>
      <c r="K800" s="11"/>
      <c r="L800" s="11">
        <v>86.85</v>
      </c>
      <c r="M800" s="10" t="s">
        <v>46</v>
      </c>
      <c r="N800" s="10" t="s">
        <v>45</v>
      </c>
      <c r="O800" s="10" t="s">
        <v>85</v>
      </c>
      <c r="P800" s="10" t="s">
        <v>86</v>
      </c>
      <c r="Q800" s="10" t="s">
        <v>87</v>
      </c>
      <c r="R800" s="10" t="s">
        <v>74</v>
      </c>
      <c r="S800" s="11">
        <v>120.0</v>
      </c>
      <c r="T800" s="11">
        <v>65.78</v>
      </c>
      <c r="U800" s="11" t="s">
        <v>51</v>
      </c>
      <c r="V800" s="10" t="s">
        <v>52</v>
      </c>
      <c r="W800" s="10" t="s">
        <v>8324</v>
      </c>
      <c r="X800" s="10" t="s">
        <v>8325</v>
      </c>
      <c r="Y800" s="10" t="s">
        <v>8326</v>
      </c>
      <c r="Z800" s="10" t="s">
        <v>50</v>
      </c>
      <c r="AA800" s="10" t="s">
        <v>50</v>
      </c>
      <c r="AB800" s="10" t="s">
        <v>8324</v>
      </c>
      <c r="AC800" s="10" t="s">
        <v>8327</v>
      </c>
      <c r="AD800" s="10" t="s">
        <v>8328</v>
      </c>
      <c r="AE800" s="10" t="s">
        <v>151</v>
      </c>
      <c r="AF800" s="10" t="s">
        <v>151</v>
      </c>
      <c r="AG800" s="10" t="s">
        <v>8329</v>
      </c>
      <c r="AH800" s="10" t="s">
        <v>60</v>
      </c>
      <c r="AI800" s="10" t="s">
        <v>61</v>
      </c>
      <c r="AJ800" s="10" t="s">
        <v>8234</v>
      </c>
      <c r="AK800" s="10" t="s">
        <v>8330</v>
      </c>
      <c r="AL800" s="10" t="s">
        <v>64</v>
      </c>
      <c r="AM800" s="10" t="s">
        <v>8331</v>
      </c>
      <c r="AN800" s="10" t="s">
        <v>50</v>
      </c>
      <c r="AO800" s="11" t="s">
        <v>50</v>
      </c>
      <c r="AP800" s="10" t="s">
        <v>50</v>
      </c>
      <c r="AQ800" s="10" t="s">
        <v>50</v>
      </c>
      <c r="AR800" s="10" t="s">
        <v>50</v>
      </c>
      <c r="AS800" s="10" t="s">
        <v>50</v>
      </c>
      <c r="AT800" s="10" t="s">
        <v>50</v>
      </c>
      <c r="AU800" s="10" t="s">
        <v>50</v>
      </c>
      <c r="AV800" s="11"/>
      <c r="AW800" s="10" t="s">
        <v>66</v>
      </c>
      <c r="AX800" s="10"/>
      <c r="AY800" s="10" t="s">
        <v>66</v>
      </c>
    </row>
    <row r="801" ht="22.5" hidden="1" customHeight="1">
      <c r="A801" s="9" t="s">
        <v>8332</v>
      </c>
      <c r="B801" s="10" t="s">
        <v>8333</v>
      </c>
      <c r="C801" s="10" t="s">
        <v>43</v>
      </c>
      <c r="D801" s="10" t="s">
        <v>7750</v>
      </c>
      <c r="E801" s="10" t="s">
        <v>45</v>
      </c>
      <c r="F801" s="11">
        <v>1.0</v>
      </c>
      <c r="G801" s="11">
        <v>120.0</v>
      </c>
      <c r="H801" s="11"/>
      <c r="I801" s="11">
        <v>-20.4</v>
      </c>
      <c r="J801" s="11">
        <v>-19.95</v>
      </c>
      <c r="K801" s="11"/>
      <c r="L801" s="11">
        <v>86.85</v>
      </c>
      <c r="M801" s="10" t="s">
        <v>46</v>
      </c>
      <c r="N801" s="10" t="s">
        <v>45</v>
      </c>
      <c r="O801" s="10" t="s">
        <v>85</v>
      </c>
      <c r="P801" s="10" t="s">
        <v>86</v>
      </c>
      <c r="Q801" s="10" t="s">
        <v>87</v>
      </c>
      <c r="R801" s="10" t="s">
        <v>74</v>
      </c>
      <c r="S801" s="11">
        <v>120.0</v>
      </c>
      <c r="T801" s="11">
        <v>65.78</v>
      </c>
      <c r="U801" s="11" t="s">
        <v>51</v>
      </c>
      <c r="V801" s="10" t="s">
        <v>52</v>
      </c>
      <c r="W801" s="10" t="s">
        <v>8334</v>
      </c>
      <c r="X801" s="10" t="s">
        <v>8335</v>
      </c>
      <c r="Y801" s="10" t="s">
        <v>8336</v>
      </c>
      <c r="Z801" s="10" t="s">
        <v>50</v>
      </c>
      <c r="AA801" s="10" t="s">
        <v>50</v>
      </c>
      <c r="AB801" s="10" t="s">
        <v>8334</v>
      </c>
      <c r="AC801" s="10" t="s">
        <v>8337</v>
      </c>
      <c r="AD801" s="10" t="s">
        <v>8338</v>
      </c>
      <c r="AE801" s="10" t="s">
        <v>940</v>
      </c>
      <c r="AF801" s="10" t="s">
        <v>323</v>
      </c>
      <c r="AG801" s="10" t="s">
        <v>8339</v>
      </c>
      <c r="AH801" s="10" t="s">
        <v>60</v>
      </c>
      <c r="AI801" s="10" t="s">
        <v>61</v>
      </c>
      <c r="AJ801" s="10" t="s">
        <v>8297</v>
      </c>
      <c r="AK801" s="10" t="s">
        <v>8340</v>
      </c>
      <c r="AL801" s="10" t="s">
        <v>64</v>
      </c>
      <c r="AM801" s="10" t="s">
        <v>8341</v>
      </c>
      <c r="AN801" s="10" t="s">
        <v>50</v>
      </c>
      <c r="AO801" s="11" t="s">
        <v>50</v>
      </c>
      <c r="AP801" s="10" t="s">
        <v>50</v>
      </c>
      <c r="AQ801" s="10" t="s">
        <v>50</v>
      </c>
      <c r="AR801" s="10" t="s">
        <v>50</v>
      </c>
      <c r="AS801" s="10" t="s">
        <v>50</v>
      </c>
      <c r="AT801" s="10" t="s">
        <v>50</v>
      </c>
      <c r="AU801" s="10" t="s">
        <v>50</v>
      </c>
      <c r="AV801" s="11"/>
      <c r="AW801" s="10" t="s">
        <v>66</v>
      </c>
      <c r="AX801" s="10"/>
      <c r="AY801" s="10" t="s">
        <v>66</v>
      </c>
    </row>
    <row r="802" ht="22.5" hidden="1" customHeight="1">
      <c r="A802" s="9" t="s">
        <v>8342</v>
      </c>
      <c r="B802" s="10" t="s">
        <v>8343</v>
      </c>
      <c r="C802" s="10" t="s">
        <v>43</v>
      </c>
      <c r="D802" s="10" t="s">
        <v>7750</v>
      </c>
      <c r="E802" s="10" t="s">
        <v>66</v>
      </c>
      <c r="F802" s="11">
        <v>1.0</v>
      </c>
      <c r="G802" s="11">
        <v>43.7</v>
      </c>
      <c r="H802" s="11">
        <v>14.63</v>
      </c>
      <c r="I802" s="11">
        <v>-13.43</v>
      </c>
      <c r="J802" s="11">
        <v>-14.63</v>
      </c>
      <c r="K802" s="11"/>
      <c r="L802" s="11">
        <v>32.89</v>
      </c>
      <c r="M802" s="10" t="s">
        <v>46</v>
      </c>
      <c r="N802" s="10" t="s">
        <v>50</v>
      </c>
      <c r="O802" s="10" t="s">
        <v>176</v>
      </c>
      <c r="P802" s="10" t="s">
        <v>177</v>
      </c>
      <c r="Q802" s="10" t="s">
        <v>178</v>
      </c>
      <c r="R802" s="10" t="s">
        <v>74</v>
      </c>
      <c r="S802" s="11">
        <v>43.7</v>
      </c>
      <c r="T802" s="11">
        <v>22.58</v>
      </c>
      <c r="U802" s="11" t="s">
        <v>51</v>
      </c>
      <c r="V802" s="10" t="s">
        <v>52</v>
      </c>
      <c r="W802" s="10" t="s">
        <v>8344</v>
      </c>
      <c r="X802" s="10" t="s">
        <v>8345</v>
      </c>
      <c r="Y802" s="10" t="s">
        <v>8346</v>
      </c>
      <c r="Z802" s="10" t="s">
        <v>50</v>
      </c>
      <c r="AA802" s="10" t="s">
        <v>50</v>
      </c>
      <c r="AB802" s="10" t="s">
        <v>8344</v>
      </c>
      <c r="AC802" s="10" t="s">
        <v>8347</v>
      </c>
      <c r="AD802" s="10" t="s">
        <v>8348</v>
      </c>
      <c r="AE802" s="10" t="s">
        <v>58</v>
      </c>
      <c r="AF802" s="10" t="s">
        <v>58</v>
      </c>
      <c r="AG802" s="10" t="s">
        <v>8349</v>
      </c>
      <c r="AH802" s="10" t="s">
        <v>60</v>
      </c>
      <c r="AI802" s="10" t="s">
        <v>61</v>
      </c>
      <c r="AJ802" s="10" t="s">
        <v>8222</v>
      </c>
      <c r="AK802" s="10" t="s">
        <v>8298</v>
      </c>
      <c r="AL802" s="10" t="s">
        <v>64</v>
      </c>
      <c r="AM802" s="10" t="s">
        <v>8350</v>
      </c>
      <c r="AN802" s="10" t="s">
        <v>50</v>
      </c>
      <c r="AO802" s="11" t="s">
        <v>50</v>
      </c>
      <c r="AP802" s="10" t="s">
        <v>50</v>
      </c>
      <c r="AQ802" s="10" t="s">
        <v>50</v>
      </c>
      <c r="AR802" s="10" t="s">
        <v>50</v>
      </c>
      <c r="AS802" s="10" t="s">
        <v>50</v>
      </c>
      <c r="AT802" s="10" t="s">
        <v>50</v>
      </c>
      <c r="AU802" s="10" t="s">
        <v>50</v>
      </c>
      <c r="AV802" s="11"/>
      <c r="AW802" s="10" t="s">
        <v>66</v>
      </c>
      <c r="AX802" s="10"/>
      <c r="AY802" s="10" t="s">
        <v>66</v>
      </c>
    </row>
    <row r="803" ht="22.5" hidden="1" customHeight="1">
      <c r="A803" s="9" t="s">
        <v>8351</v>
      </c>
      <c r="B803" s="10" t="s">
        <v>8343</v>
      </c>
      <c r="C803" s="10" t="s">
        <v>43</v>
      </c>
      <c r="D803" s="10" t="s">
        <v>7693</v>
      </c>
      <c r="E803" s="10" t="s">
        <v>66</v>
      </c>
      <c r="F803" s="11">
        <v>1.0</v>
      </c>
      <c r="G803" s="11">
        <v>79.35</v>
      </c>
      <c r="H803" s="11"/>
      <c r="I803" s="11">
        <v>-15.08</v>
      </c>
      <c r="J803" s="11">
        <v>-19.95</v>
      </c>
      <c r="K803" s="11"/>
      <c r="L803" s="11">
        <v>44.32</v>
      </c>
      <c r="M803" s="10" t="s">
        <v>46</v>
      </c>
      <c r="N803" s="10" t="s">
        <v>45</v>
      </c>
      <c r="O803" s="10" t="s">
        <v>47</v>
      </c>
      <c r="P803" s="10" t="s">
        <v>48</v>
      </c>
      <c r="Q803" s="10" t="s">
        <v>49</v>
      </c>
      <c r="R803" s="10" t="s">
        <v>50</v>
      </c>
      <c r="S803" s="11">
        <v>79.35</v>
      </c>
      <c r="T803" s="11">
        <v>12.45</v>
      </c>
      <c r="U803" s="11" t="s">
        <v>51</v>
      </c>
      <c r="V803" s="10" t="s">
        <v>52</v>
      </c>
      <c r="W803" s="10" t="s">
        <v>8352</v>
      </c>
      <c r="X803" s="10" t="s">
        <v>8353</v>
      </c>
      <c r="Y803" s="10" t="s">
        <v>8354</v>
      </c>
      <c r="Z803" s="10" t="s">
        <v>50</v>
      </c>
      <c r="AA803" s="10" t="s">
        <v>50</v>
      </c>
      <c r="AB803" s="10" t="s">
        <v>8352</v>
      </c>
      <c r="AC803" s="10" t="s">
        <v>8355</v>
      </c>
      <c r="AD803" s="10" t="s">
        <v>8356</v>
      </c>
      <c r="AE803" s="10" t="s">
        <v>774</v>
      </c>
      <c r="AF803" s="10" t="s">
        <v>775</v>
      </c>
      <c r="AG803" s="10" t="s">
        <v>8357</v>
      </c>
      <c r="AH803" s="10" t="s">
        <v>60</v>
      </c>
      <c r="AI803" s="10" t="s">
        <v>61</v>
      </c>
      <c r="AJ803" s="10" t="s">
        <v>8319</v>
      </c>
      <c r="AK803" s="10" t="s">
        <v>8358</v>
      </c>
      <c r="AL803" s="10" t="s">
        <v>64</v>
      </c>
      <c r="AM803" s="10" t="s">
        <v>8359</v>
      </c>
      <c r="AN803" s="10" t="s">
        <v>50</v>
      </c>
      <c r="AO803" s="11" t="s">
        <v>50</v>
      </c>
      <c r="AP803" s="10" t="s">
        <v>50</v>
      </c>
      <c r="AQ803" s="10" t="s">
        <v>50</v>
      </c>
      <c r="AR803" s="10" t="s">
        <v>50</v>
      </c>
      <c r="AS803" s="10" t="s">
        <v>50</v>
      </c>
      <c r="AT803" s="10" t="s">
        <v>50</v>
      </c>
      <c r="AU803" s="10" t="s">
        <v>50</v>
      </c>
      <c r="AV803" s="11"/>
      <c r="AW803" s="10" t="s">
        <v>66</v>
      </c>
      <c r="AX803" s="10"/>
      <c r="AY803" s="10" t="s">
        <v>66</v>
      </c>
    </row>
    <row r="804" ht="22.5" hidden="1" customHeight="1">
      <c r="A804" s="9" t="s">
        <v>8360</v>
      </c>
      <c r="B804" s="10" t="s">
        <v>8361</v>
      </c>
      <c r="C804" s="10" t="s">
        <v>43</v>
      </c>
      <c r="D804" s="10" t="s">
        <v>7530</v>
      </c>
      <c r="E804" s="10" t="s">
        <v>66</v>
      </c>
      <c r="F804" s="11">
        <v>1.0</v>
      </c>
      <c r="G804" s="11">
        <v>120.0</v>
      </c>
      <c r="H804" s="11"/>
      <c r="I804" s="11">
        <v>-20.4</v>
      </c>
      <c r="J804" s="11">
        <v>-19.95</v>
      </c>
      <c r="K804" s="11"/>
      <c r="L804" s="11">
        <v>86.85</v>
      </c>
      <c r="M804" s="10" t="s">
        <v>46</v>
      </c>
      <c r="N804" s="10" t="s">
        <v>50</v>
      </c>
      <c r="O804" s="10" t="s">
        <v>85</v>
      </c>
      <c r="P804" s="10" t="s">
        <v>86</v>
      </c>
      <c r="Q804" s="10" t="s">
        <v>87</v>
      </c>
      <c r="R804" s="10" t="s">
        <v>74</v>
      </c>
      <c r="S804" s="11">
        <v>120.0</v>
      </c>
      <c r="T804" s="11">
        <v>65.78</v>
      </c>
      <c r="U804" s="11" t="s">
        <v>51</v>
      </c>
      <c r="V804" s="10" t="s">
        <v>52</v>
      </c>
      <c r="W804" s="10" t="s">
        <v>8362</v>
      </c>
      <c r="X804" s="10" t="s">
        <v>8363</v>
      </c>
      <c r="Y804" s="10" t="s">
        <v>8364</v>
      </c>
      <c r="Z804" s="10" t="s">
        <v>50</v>
      </c>
      <c r="AA804" s="10" t="s">
        <v>50</v>
      </c>
      <c r="AB804" s="10" t="s">
        <v>8362</v>
      </c>
      <c r="AC804" s="10" t="s">
        <v>8365</v>
      </c>
      <c r="AD804" s="10" t="s">
        <v>8366</v>
      </c>
      <c r="AE804" s="10" t="s">
        <v>8367</v>
      </c>
      <c r="AF804" s="10" t="s">
        <v>775</v>
      </c>
      <c r="AG804" s="10" t="s">
        <v>8368</v>
      </c>
      <c r="AH804" s="10" t="s">
        <v>60</v>
      </c>
      <c r="AI804" s="10" t="s">
        <v>61</v>
      </c>
      <c r="AJ804" s="10" t="s">
        <v>8369</v>
      </c>
      <c r="AK804" s="10" t="s">
        <v>8370</v>
      </c>
      <c r="AL804" s="10" t="s">
        <v>64</v>
      </c>
      <c r="AM804" s="10" t="s">
        <v>8371</v>
      </c>
      <c r="AN804" s="10" t="s">
        <v>50</v>
      </c>
      <c r="AO804" s="11" t="s">
        <v>50</v>
      </c>
      <c r="AP804" s="10" t="s">
        <v>50</v>
      </c>
      <c r="AQ804" s="10" t="s">
        <v>50</v>
      </c>
      <c r="AR804" s="10" t="s">
        <v>50</v>
      </c>
      <c r="AS804" s="10" t="s">
        <v>50</v>
      </c>
      <c r="AT804" s="10" t="s">
        <v>50</v>
      </c>
      <c r="AU804" s="10" t="s">
        <v>50</v>
      </c>
      <c r="AV804" s="11"/>
      <c r="AW804" s="10" t="s">
        <v>66</v>
      </c>
      <c r="AX804" s="10"/>
      <c r="AY804" s="10" t="s">
        <v>66</v>
      </c>
    </row>
    <row r="805" ht="22.5" hidden="1" customHeight="1">
      <c r="A805" s="9" t="s">
        <v>8372</v>
      </c>
      <c r="B805" s="10" t="s">
        <v>8373</v>
      </c>
      <c r="C805" s="10" t="s">
        <v>43</v>
      </c>
      <c r="D805" s="10" t="s">
        <v>7518</v>
      </c>
      <c r="E805" s="10" t="s">
        <v>66</v>
      </c>
      <c r="F805" s="11">
        <v>1.0</v>
      </c>
      <c r="G805" s="11">
        <v>120.0</v>
      </c>
      <c r="H805" s="11"/>
      <c r="I805" s="11">
        <v>-20.4</v>
      </c>
      <c r="J805" s="11">
        <v>-19.95</v>
      </c>
      <c r="K805" s="11"/>
      <c r="L805" s="11">
        <v>86.85</v>
      </c>
      <c r="M805" s="10" t="s">
        <v>46</v>
      </c>
      <c r="N805" s="10" t="s">
        <v>45</v>
      </c>
      <c r="O805" s="10" t="s">
        <v>85</v>
      </c>
      <c r="P805" s="10" t="s">
        <v>86</v>
      </c>
      <c r="Q805" s="10" t="s">
        <v>87</v>
      </c>
      <c r="R805" s="10" t="s">
        <v>74</v>
      </c>
      <c r="S805" s="11">
        <v>120.0</v>
      </c>
      <c r="T805" s="11">
        <v>65.78</v>
      </c>
      <c r="U805" s="11" t="s">
        <v>51</v>
      </c>
      <c r="V805" s="10" t="s">
        <v>52</v>
      </c>
      <c r="W805" s="10" t="s">
        <v>8374</v>
      </c>
      <c r="X805" s="10" t="s">
        <v>8375</v>
      </c>
      <c r="Y805" s="10" t="s">
        <v>8376</v>
      </c>
      <c r="Z805" s="10" t="s">
        <v>50</v>
      </c>
      <c r="AA805" s="10" t="s">
        <v>50</v>
      </c>
      <c r="AB805" s="10" t="s">
        <v>8374</v>
      </c>
      <c r="AC805" s="10" t="s">
        <v>8377</v>
      </c>
      <c r="AD805" s="10" t="s">
        <v>8378</v>
      </c>
      <c r="AE805" s="10" t="s">
        <v>58</v>
      </c>
      <c r="AF805" s="10" t="s">
        <v>58</v>
      </c>
      <c r="AG805" s="10" t="s">
        <v>8379</v>
      </c>
      <c r="AH805" s="10" t="s">
        <v>60</v>
      </c>
      <c r="AI805" s="10" t="s">
        <v>61</v>
      </c>
      <c r="AJ805" s="10" t="s">
        <v>8380</v>
      </c>
      <c r="AK805" s="10" t="s">
        <v>8381</v>
      </c>
      <c r="AL805" s="10" t="s">
        <v>64</v>
      </c>
      <c r="AM805" s="10" t="s">
        <v>8382</v>
      </c>
      <c r="AN805" s="10" t="s">
        <v>8383</v>
      </c>
      <c r="AO805" s="11" t="s">
        <v>50</v>
      </c>
      <c r="AP805" s="10" t="s">
        <v>50</v>
      </c>
      <c r="AQ805" s="10" t="s">
        <v>50</v>
      </c>
      <c r="AR805" s="10" t="s">
        <v>50</v>
      </c>
      <c r="AS805" s="10" t="s">
        <v>50</v>
      </c>
      <c r="AT805" s="10" t="s">
        <v>50</v>
      </c>
      <c r="AU805" s="10" t="s">
        <v>50</v>
      </c>
      <c r="AV805" s="11"/>
      <c r="AW805" s="10" t="s">
        <v>66</v>
      </c>
      <c r="AX805" s="10"/>
      <c r="AY805" s="10" t="s">
        <v>66</v>
      </c>
    </row>
    <row r="806" ht="22.5" hidden="1" customHeight="1">
      <c r="A806" s="9" t="s">
        <v>8384</v>
      </c>
      <c r="B806" s="10" t="s">
        <v>8385</v>
      </c>
      <c r="C806" s="10" t="s">
        <v>43</v>
      </c>
      <c r="D806" s="10" t="s">
        <v>7518</v>
      </c>
      <c r="E806" s="10" t="s">
        <v>66</v>
      </c>
      <c r="F806" s="11">
        <v>1.0</v>
      </c>
      <c r="G806" s="11">
        <v>80.3</v>
      </c>
      <c r="H806" s="11"/>
      <c r="I806" s="11">
        <v>-13.65</v>
      </c>
      <c r="J806" s="11">
        <v>-20.45</v>
      </c>
      <c r="K806" s="11"/>
      <c r="L806" s="11">
        <v>46.2</v>
      </c>
      <c r="M806" s="10" t="s">
        <v>46</v>
      </c>
      <c r="N806" s="10" t="s">
        <v>45</v>
      </c>
      <c r="O806" s="10" t="s">
        <v>127</v>
      </c>
      <c r="P806" s="10" t="s">
        <v>128</v>
      </c>
      <c r="Q806" s="10" t="s">
        <v>129</v>
      </c>
      <c r="R806" s="10" t="s">
        <v>74</v>
      </c>
      <c r="S806" s="11">
        <v>80.3</v>
      </c>
      <c r="T806" s="11">
        <v>17.68</v>
      </c>
      <c r="U806" s="11" t="s">
        <v>51</v>
      </c>
      <c r="V806" s="10" t="s">
        <v>52</v>
      </c>
      <c r="W806" s="10" t="s">
        <v>8386</v>
      </c>
      <c r="X806" s="10" t="s">
        <v>8387</v>
      </c>
      <c r="Y806" s="10" t="s">
        <v>8388</v>
      </c>
      <c r="Z806" s="10" t="s">
        <v>50</v>
      </c>
      <c r="AA806" s="10" t="s">
        <v>50</v>
      </c>
      <c r="AB806" s="10" t="s">
        <v>8386</v>
      </c>
      <c r="AC806" s="10" t="s">
        <v>8389</v>
      </c>
      <c r="AD806" s="10" t="s">
        <v>8390</v>
      </c>
      <c r="AE806" s="10" t="s">
        <v>4157</v>
      </c>
      <c r="AF806" s="10" t="s">
        <v>185</v>
      </c>
      <c r="AG806" s="10" t="s">
        <v>8391</v>
      </c>
      <c r="AH806" s="10" t="s">
        <v>60</v>
      </c>
      <c r="AI806" s="10" t="s">
        <v>61</v>
      </c>
      <c r="AJ806" s="10" t="s">
        <v>8392</v>
      </c>
      <c r="AK806" s="10" t="s">
        <v>8393</v>
      </c>
      <c r="AL806" s="10" t="s">
        <v>64</v>
      </c>
      <c r="AM806" s="10" t="s">
        <v>8394</v>
      </c>
      <c r="AN806" s="10" t="s">
        <v>50</v>
      </c>
      <c r="AO806" s="11" t="s">
        <v>50</v>
      </c>
      <c r="AP806" s="10" t="s">
        <v>50</v>
      </c>
      <c r="AQ806" s="10" t="s">
        <v>50</v>
      </c>
      <c r="AR806" s="10" t="s">
        <v>50</v>
      </c>
      <c r="AS806" s="10" t="s">
        <v>50</v>
      </c>
      <c r="AT806" s="10" t="s">
        <v>50</v>
      </c>
      <c r="AU806" s="10" t="s">
        <v>50</v>
      </c>
      <c r="AV806" s="11"/>
      <c r="AW806" s="10" t="s">
        <v>66</v>
      </c>
      <c r="AX806" s="10"/>
      <c r="AY806" s="10" t="s">
        <v>66</v>
      </c>
    </row>
    <row r="807" ht="22.5" hidden="1" customHeight="1">
      <c r="A807" s="9" t="s">
        <v>8395</v>
      </c>
      <c r="B807" s="10" t="s">
        <v>8396</v>
      </c>
      <c r="C807" s="10" t="s">
        <v>43</v>
      </c>
      <c r="D807" s="10" t="s">
        <v>7750</v>
      </c>
      <c r="E807" s="10" t="s">
        <v>66</v>
      </c>
      <c r="F807" s="11">
        <v>1.0</v>
      </c>
      <c r="G807" s="11">
        <v>120.0</v>
      </c>
      <c r="H807" s="11"/>
      <c r="I807" s="11">
        <v>-20.4</v>
      </c>
      <c r="J807" s="11">
        <v>-19.95</v>
      </c>
      <c r="K807" s="11"/>
      <c r="L807" s="11">
        <v>86.85</v>
      </c>
      <c r="M807" s="10" t="s">
        <v>46</v>
      </c>
      <c r="N807" s="10" t="s">
        <v>45</v>
      </c>
      <c r="O807" s="10" t="s">
        <v>85</v>
      </c>
      <c r="P807" s="10" t="s">
        <v>86</v>
      </c>
      <c r="Q807" s="10" t="s">
        <v>87</v>
      </c>
      <c r="R807" s="10" t="s">
        <v>74</v>
      </c>
      <c r="S807" s="11">
        <v>120.0</v>
      </c>
      <c r="T807" s="11">
        <v>65.78</v>
      </c>
      <c r="U807" s="11" t="s">
        <v>51</v>
      </c>
      <c r="V807" s="10" t="s">
        <v>52</v>
      </c>
      <c r="W807" s="10" t="s">
        <v>8397</v>
      </c>
      <c r="X807" s="10" t="s">
        <v>8398</v>
      </c>
      <c r="Y807" s="10" t="s">
        <v>8399</v>
      </c>
      <c r="Z807" s="10" t="s">
        <v>50</v>
      </c>
      <c r="AA807" s="10" t="s">
        <v>50</v>
      </c>
      <c r="AB807" s="10" t="s">
        <v>8397</v>
      </c>
      <c r="AC807" s="10" t="s">
        <v>8400</v>
      </c>
      <c r="AD807" s="10" t="s">
        <v>8401</v>
      </c>
      <c r="AE807" s="10" t="s">
        <v>58</v>
      </c>
      <c r="AF807" s="10" t="s">
        <v>58</v>
      </c>
      <c r="AG807" s="10" t="s">
        <v>8402</v>
      </c>
      <c r="AH807" s="10" t="s">
        <v>60</v>
      </c>
      <c r="AI807" s="10" t="s">
        <v>61</v>
      </c>
      <c r="AJ807" s="10" t="s">
        <v>8308</v>
      </c>
      <c r="AK807" s="10" t="s">
        <v>8403</v>
      </c>
      <c r="AL807" s="10" t="s">
        <v>64</v>
      </c>
      <c r="AM807" s="10" t="s">
        <v>8404</v>
      </c>
      <c r="AN807" s="10" t="s">
        <v>50</v>
      </c>
      <c r="AO807" s="11" t="s">
        <v>50</v>
      </c>
      <c r="AP807" s="10" t="s">
        <v>50</v>
      </c>
      <c r="AQ807" s="10" t="s">
        <v>50</v>
      </c>
      <c r="AR807" s="10" t="s">
        <v>50</v>
      </c>
      <c r="AS807" s="10" t="s">
        <v>50</v>
      </c>
      <c r="AT807" s="10" t="s">
        <v>50</v>
      </c>
      <c r="AU807" s="10" t="s">
        <v>50</v>
      </c>
      <c r="AV807" s="11"/>
      <c r="AW807" s="10" t="s">
        <v>66</v>
      </c>
      <c r="AX807" s="10"/>
      <c r="AY807" s="10" t="s">
        <v>66</v>
      </c>
    </row>
    <row r="808" ht="22.5" hidden="1" customHeight="1">
      <c r="A808" s="9" t="s">
        <v>8405</v>
      </c>
      <c r="B808" s="10" t="s">
        <v>8406</v>
      </c>
      <c r="C808" s="10" t="s">
        <v>8407</v>
      </c>
      <c r="D808" s="10" t="s">
        <v>8408</v>
      </c>
      <c r="E808" s="10" t="s">
        <v>66</v>
      </c>
      <c r="F808" s="11">
        <v>1.0</v>
      </c>
      <c r="G808" s="11">
        <v>79.0</v>
      </c>
      <c r="H808" s="11"/>
      <c r="I808" s="11">
        <v>-13.43</v>
      </c>
      <c r="J808" s="11">
        <v>-20.45</v>
      </c>
      <c r="K808" s="11">
        <v>-45.12</v>
      </c>
      <c r="L808" s="11">
        <v>0.0</v>
      </c>
      <c r="M808" s="10" t="s">
        <v>46</v>
      </c>
      <c r="N808" s="10" t="s">
        <v>50</v>
      </c>
      <c r="O808" s="10" t="s">
        <v>160</v>
      </c>
      <c r="P808" s="10" t="s">
        <v>161</v>
      </c>
      <c r="Q808" s="10" t="s">
        <v>162</v>
      </c>
      <c r="R808" s="10" t="s">
        <v>74</v>
      </c>
      <c r="S808" s="11">
        <v>79.0</v>
      </c>
      <c r="T808" s="11"/>
      <c r="U808" s="11" t="s">
        <v>51</v>
      </c>
      <c r="V808" s="10" t="s">
        <v>52</v>
      </c>
      <c r="W808" s="10" t="s">
        <v>8409</v>
      </c>
      <c r="X808" s="10" t="s">
        <v>8410</v>
      </c>
      <c r="Y808" s="10" t="s">
        <v>8411</v>
      </c>
      <c r="Z808" s="10" t="s">
        <v>50</v>
      </c>
      <c r="AA808" s="10" t="s">
        <v>50</v>
      </c>
      <c r="AB808" s="10" t="s">
        <v>8409</v>
      </c>
      <c r="AC808" s="10" t="s">
        <v>8412</v>
      </c>
      <c r="AD808" s="10" t="s">
        <v>8413</v>
      </c>
      <c r="AE808" s="10" t="s">
        <v>1676</v>
      </c>
      <c r="AF808" s="10" t="s">
        <v>58</v>
      </c>
      <c r="AG808" s="10" t="s">
        <v>8414</v>
      </c>
      <c r="AH808" s="10" t="s">
        <v>60</v>
      </c>
      <c r="AI808" s="10" t="s">
        <v>61</v>
      </c>
      <c r="AJ808" s="10" t="s">
        <v>8273</v>
      </c>
      <c r="AK808" s="10" t="s">
        <v>50</v>
      </c>
      <c r="AL808" s="10" t="s">
        <v>64</v>
      </c>
      <c r="AM808" s="10" t="s">
        <v>8415</v>
      </c>
      <c r="AN808" s="10" t="s">
        <v>8416</v>
      </c>
      <c r="AO808" s="11" t="s">
        <v>50</v>
      </c>
      <c r="AP808" s="10" t="s">
        <v>50</v>
      </c>
      <c r="AQ808" s="10" t="s">
        <v>50</v>
      </c>
      <c r="AR808" s="10" t="s">
        <v>50</v>
      </c>
      <c r="AS808" s="10" t="s">
        <v>50</v>
      </c>
      <c r="AT808" s="10" t="s">
        <v>50</v>
      </c>
      <c r="AU808" s="10" t="s">
        <v>50</v>
      </c>
      <c r="AV808" s="11"/>
      <c r="AW808" s="10" t="s">
        <v>66</v>
      </c>
      <c r="AX808" s="10"/>
      <c r="AY808" s="10" t="s">
        <v>66</v>
      </c>
    </row>
    <row r="809" ht="22.5" hidden="1" customHeight="1">
      <c r="A809" s="9" t="s">
        <v>8417</v>
      </c>
      <c r="B809" s="10" t="s">
        <v>8418</v>
      </c>
      <c r="C809" s="10" t="s">
        <v>43</v>
      </c>
      <c r="D809" s="10" t="s">
        <v>7750</v>
      </c>
      <c r="E809" s="10" t="s">
        <v>45</v>
      </c>
      <c r="F809" s="11">
        <v>1.0</v>
      </c>
      <c r="G809" s="11">
        <v>79.0</v>
      </c>
      <c r="H809" s="11"/>
      <c r="I809" s="11">
        <v>-13.43</v>
      </c>
      <c r="J809" s="11">
        <v>-19.95</v>
      </c>
      <c r="K809" s="11"/>
      <c r="L809" s="11">
        <v>45.62</v>
      </c>
      <c r="M809" s="10" t="s">
        <v>46</v>
      </c>
      <c r="N809" s="10" t="s">
        <v>50</v>
      </c>
      <c r="O809" s="10" t="s">
        <v>1668</v>
      </c>
      <c r="P809" s="10" t="s">
        <v>1669</v>
      </c>
      <c r="Q809" s="10" t="s">
        <v>1670</v>
      </c>
      <c r="R809" s="10" t="s">
        <v>74</v>
      </c>
      <c r="S809" s="11">
        <v>79.0</v>
      </c>
      <c r="T809" s="11">
        <v>3.12</v>
      </c>
      <c r="U809" s="11" t="s">
        <v>51</v>
      </c>
      <c r="V809" s="10" t="s">
        <v>52</v>
      </c>
      <c r="W809" s="10" t="s">
        <v>8419</v>
      </c>
      <c r="X809" s="10" t="s">
        <v>8420</v>
      </c>
      <c r="Y809" s="10" t="s">
        <v>8421</v>
      </c>
      <c r="Z809" s="10" t="s">
        <v>50</v>
      </c>
      <c r="AA809" s="10" t="s">
        <v>50</v>
      </c>
      <c r="AB809" s="10" t="s">
        <v>8419</v>
      </c>
      <c r="AC809" s="10" t="s">
        <v>8422</v>
      </c>
      <c r="AD809" s="10" t="s">
        <v>8423</v>
      </c>
      <c r="AE809" s="10" t="s">
        <v>296</v>
      </c>
      <c r="AF809" s="10" t="s">
        <v>58</v>
      </c>
      <c r="AG809" s="10" t="s">
        <v>8424</v>
      </c>
      <c r="AH809" s="10" t="s">
        <v>60</v>
      </c>
      <c r="AI809" s="10" t="s">
        <v>61</v>
      </c>
      <c r="AJ809" s="10" t="s">
        <v>8425</v>
      </c>
      <c r="AK809" s="10" t="s">
        <v>8426</v>
      </c>
      <c r="AL809" s="10" t="s">
        <v>64</v>
      </c>
      <c r="AM809" s="10" t="s">
        <v>8427</v>
      </c>
      <c r="AN809" s="10" t="s">
        <v>50</v>
      </c>
      <c r="AO809" s="11" t="s">
        <v>50</v>
      </c>
      <c r="AP809" s="10" t="s">
        <v>50</v>
      </c>
      <c r="AQ809" s="10" t="s">
        <v>50</v>
      </c>
      <c r="AR809" s="10" t="s">
        <v>50</v>
      </c>
      <c r="AS809" s="10" t="s">
        <v>50</v>
      </c>
      <c r="AT809" s="10" t="s">
        <v>50</v>
      </c>
      <c r="AU809" s="10" t="s">
        <v>50</v>
      </c>
      <c r="AV809" s="11"/>
      <c r="AW809" s="10" t="s">
        <v>66</v>
      </c>
      <c r="AX809" s="10"/>
      <c r="AY809" s="10" t="s">
        <v>66</v>
      </c>
    </row>
    <row r="810" ht="22.5" hidden="1" customHeight="1">
      <c r="A810" s="9" t="s">
        <v>8428</v>
      </c>
      <c r="B810" s="10" t="s">
        <v>8429</v>
      </c>
      <c r="C810" s="10" t="s">
        <v>43</v>
      </c>
      <c r="D810" s="10" t="s">
        <v>7530</v>
      </c>
      <c r="E810" s="10" t="s">
        <v>66</v>
      </c>
      <c r="F810" s="11">
        <v>1.0</v>
      </c>
      <c r="G810" s="11">
        <v>92.15</v>
      </c>
      <c r="H810" s="11">
        <v>18.68</v>
      </c>
      <c r="I810" s="11">
        <v>-17.51</v>
      </c>
      <c r="J810" s="11">
        <v>-39.13</v>
      </c>
      <c r="K810" s="11"/>
      <c r="L810" s="11">
        <v>59.72</v>
      </c>
      <c r="M810" s="10" t="s">
        <v>46</v>
      </c>
      <c r="N810" s="10" t="s">
        <v>50</v>
      </c>
      <c r="O810" s="10" t="s">
        <v>586</v>
      </c>
      <c r="P810" s="10" t="s">
        <v>587</v>
      </c>
      <c r="Q810" s="10" t="s">
        <v>588</v>
      </c>
      <c r="R810" s="10" t="s">
        <v>50</v>
      </c>
      <c r="S810" s="11">
        <v>92.15</v>
      </c>
      <c r="T810" s="11">
        <v>20.76</v>
      </c>
      <c r="U810" s="11" t="s">
        <v>51</v>
      </c>
      <c r="V810" s="10" t="s">
        <v>52</v>
      </c>
      <c r="W810" s="10" t="s">
        <v>8430</v>
      </c>
      <c r="X810" s="10" t="s">
        <v>8431</v>
      </c>
      <c r="Y810" s="10" t="s">
        <v>8432</v>
      </c>
      <c r="Z810" s="10" t="s">
        <v>50</v>
      </c>
      <c r="AA810" s="10" t="s">
        <v>50</v>
      </c>
      <c r="AB810" s="10" t="s">
        <v>8430</v>
      </c>
      <c r="AC810" s="10" t="s">
        <v>8433</v>
      </c>
      <c r="AD810" s="10" t="s">
        <v>8434</v>
      </c>
      <c r="AE810" s="10" t="s">
        <v>407</v>
      </c>
      <c r="AF810" s="10" t="s">
        <v>408</v>
      </c>
      <c r="AG810" s="10" t="s">
        <v>8435</v>
      </c>
      <c r="AH810" s="10" t="s">
        <v>60</v>
      </c>
      <c r="AI810" s="10" t="s">
        <v>61</v>
      </c>
      <c r="AJ810" s="10" t="s">
        <v>8239</v>
      </c>
      <c r="AK810" s="10" t="s">
        <v>8436</v>
      </c>
      <c r="AL810" s="10" t="s">
        <v>64</v>
      </c>
      <c r="AM810" s="10" t="s">
        <v>8437</v>
      </c>
      <c r="AN810" s="10" t="s">
        <v>50</v>
      </c>
      <c r="AO810" s="11" t="s">
        <v>50</v>
      </c>
      <c r="AP810" s="10" t="s">
        <v>50</v>
      </c>
      <c r="AQ810" s="10" t="s">
        <v>50</v>
      </c>
      <c r="AR810" s="10" t="s">
        <v>50</v>
      </c>
      <c r="AS810" s="10" t="s">
        <v>50</v>
      </c>
      <c r="AT810" s="10" t="s">
        <v>50</v>
      </c>
      <c r="AU810" s="10" t="s">
        <v>50</v>
      </c>
      <c r="AV810" s="11"/>
      <c r="AW810" s="10" t="s">
        <v>66</v>
      </c>
      <c r="AX810" s="10"/>
      <c r="AY810" s="10" t="s">
        <v>66</v>
      </c>
    </row>
    <row r="811" ht="22.5" hidden="1" customHeight="1">
      <c r="A811" s="9" t="s">
        <v>8438</v>
      </c>
      <c r="B811" s="10" t="s">
        <v>8439</v>
      </c>
      <c r="C811" s="10" t="s">
        <v>43</v>
      </c>
      <c r="D811" s="10" t="s">
        <v>7750</v>
      </c>
      <c r="E811" s="10" t="s">
        <v>66</v>
      </c>
      <c r="F811" s="11">
        <v>1.0</v>
      </c>
      <c r="G811" s="11">
        <v>80.0</v>
      </c>
      <c r="H811" s="11"/>
      <c r="I811" s="11">
        <v>-13.6</v>
      </c>
      <c r="J811" s="11">
        <v>-19.95</v>
      </c>
      <c r="K811" s="11"/>
      <c r="L811" s="11">
        <v>50.45</v>
      </c>
      <c r="M811" s="10" t="s">
        <v>46</v>
      </c>
      <c r="N811" s="10" t="s">
        <v>45</v>
      </c>
      <c r="O811" s="10" t="s">
        <v>143</v>
      </c>
      <c r="P811" s="10" t="s">
        <v>144</v>
      </c>
      <c r="Q811" s="10" t="s">
        <v>145</v>
      </c>
      <c r="R811" s="10" t="s">
        <v>74</v>
      </c>
      <c r="S811" s="11">
        <v>80.0</v>
      </c>
      <c r="T811" s="11">
        <v>33.38</v>
      </c>
      <c r="U811" s="11" t="s">
        <v>51</v>
      </c>
      <c r="V811" s="10" t="s">
        <v>52</v>
      </c>
      <c r="W811" s="10" t="s">
        <v>8440</v>
      </c>
      <c r="X811" s="10" t="s">
        <v>8441</v>
      </c>
      <c r="Y811" s="10" t="s">
        <v>8442</v>
      </c>
      <c r="Z811" s="10" t="s">
        <v>50</v>
      </c>
      <c r="AA811" s="10" t="s">
        <v>50</v>
      </c>
      <c r="AB811" s="10" t="s">
        <v>8440</v>
      </c>
      <c r="AC811" s="10" t="s">
        <v>8443</v>
      </c>
      <c r="AD811" s="10" t="s">
        <v>8444</v>
      </c>
      <c r="AE811" s="10" t="s">
        <v>8445</v>
      </c>
      <c r="AF811" s="10" t="s">
        <v>58</v>
      </c>
      <c r="AG811" s="10" t="s">
        <v>8446</v>
      </c>
      <c r="AH811" s="10" t="s">
        <v>60</v>
      </c>
      <c r="AI811" s="10" t="s">
        <v>61</v>
      </c>
      <c r="AJ811" s="10" t="s">
        <v>8273</v>
      </c>
      <c r="AK811" s="10" t="s">
        <v>8447</v>
      </c>
      <c r="AL811" s="10" t="s">
        <v>64</v>
      </c>
      <c r="AM811" s="10" t="s">
        <v>8448</v>
      </c>
      <c r="AN811" s="10" t="s">
        <v>50</v>
      </c>
      <c r="AO811" s="11" t="s">
        <v>50</v>
      </c>
      <c r="AP811" s="10" t="s">
        <v>50</v>
      </c>
      <c r="AQ811" s="10" t="s">
        <v>50</v>
      </c>
      <c r="AR811" s="10" t="s">
        <v>50</v>
      </c>
      <c r="AS811" s="10" t="s">
        <v>50</v>
      </c>
      <c r="AT811" s="10" t="s">
        <v>50</v>
      </c>
      <c r="AU811" s="10" t="s">
        <v>50</v>
      </c>
      <c r="AV811" s="11"/>
      <c r="AW811" s="10" t="s">
        <v>66</v>
      </c>
      <c r="AX811" s="10"/>
      <c r="AY811" s="10" t="s">
        <v>66</v>
      </c>
    </row>
    <row r="812" ht="22.5" hidden="1" customHeight="1">
      <c r="A812" s="9" t="s">
        <v>8449</v>
      </c>
      <c r="B812" s="10" t="s">
        <v>8450</v>
      </c>
      <c r="C812" s="10" t="s">
        <v>43</v>
      </c>
      <c r="D812" s="10" t="s">
        <v>7693</v>
      </c>
      <c r="E812" s="10" t="s">
        <v>66</v>
      </c>
      <c r="F812" s="11">
        <v>1.0</v>
      </c>
      <c r="G812" s="11">
        <v>43.7</v>
      </c>
      <c r="H812" s="11">
        <v>17.86</v>
      </c>
      <c r="I812" s="11">
        <v>-13.43</v>
      </c>
      <c r="J812" s="11">
        <v>-17.86</v>
      </c>
      <c r="K812" s="11"/>
      <c r="L812" s="11">
        <v>32.89</v>
      </c>
      <c r="M812" s="10" t="s">
        <v>46</v>
      </c>
      <c r="N812" s="10" t="s">
        <v>45</v>
      </c>
      <c r="O812" s="10" t="s">
        <v>176</v>
      </c>
      <c r="P812" s="10" t="s">
        <v>177</v>
      </c>
      <c r="Q812" s="10" t="s">
        <v>178</v>
      </c>
      <c r="R812" s="10" t="s">
        <v>74</v>
      </c>
      <c r="S812" s="11">
        <v>43.7</v>
      </c>
      <c r="T812" s="11">
        <v>22.58</v>
      </c>
      <c r="U812" s="11" t="s">
        <v>51</v>
      </c>
      <c r="V812" s="10" t="s">
        <v>52</v>
      </c>
      <c r="W812" s="10" t="s">
        <v>8451</v>
      </c>
      <c r="X812" s="10" t="s">
        <v>8452</v>
      </c>
      <c r="Y812" s="10" t="s">
        <v>8453</v>
      </c>
      <c r="Z812" s="10" t="s">
        <v>50</v>
      </c>
      <c r="AA812" s="10" t="s">
        <v>50</v>
      </c>
      <c r="AB812" s="10" t="s">
        <v>8451</v>
      </c>
      <c r="AC812" s="10" t="s">
        <v>8454</v>
      </c>
      <c r="AD812" s="10" t="s">
        <v>8455</v>
      </c>
      <c r="AE812" s="10" t="s">
        <v>8456</v>
      </c>
      <c r="AF812" s="10" t="s">
        <v>119</v>
      </c>
      <c r="AG812" s="10" t="s">
        <v>8457</v>
      </c>
      <c r="AH812" s="10" t="s">
        <v>60</v>
      </c>
      <c r="AI812" s="10" t="s">
        <v>61</v>
      </c>
      <c r="AJ812" s="10" t="s">
        <v>8262</v>
      </c>
      <c r="AK812" s="10" t="s">
        <v>8458</v>
      </c>
      <c r="AL812" s="10" t="s">
        <v>64</v>
      </c>
      <c r="AM812" s="10" t="s">
        <v>8459</v>
      </c>
      <c r="AN812" s="10" t="s">
        <v>50</v>
      </c>
      <c r="AO812" s="11" t="s">
        <v>50</v>
      </c>
      <c r="AP812" s="10" t="s">
        <v>50</v>
      </c>
      <c r="AQ812" s="10" t="s">
        <v>50</v>
      </c>
      <c r="AR812" s="10" t="s">
        <v>50</v>
      </c>
      <c r="AS812" s="10" t="s">
        <v>50</v>
      </c>
      <c r="AT812" s="10" t="s">
        <v>50</v>
      </c>
      <c r="AU812" s="10" t="s">
        <v>50</v>
      </c>
      <c r="AV812" s="11"/>
      <c r="AW812" s="10" t="s">
        <v>66</v>
      </c>
      <c r="AX812" s="10"/>
      <c r="AY812" s="10" t="s">
        <v>66</v>
      </c>
    </row>
    <row r="813" ht="22.5" hidden="1" customHeight="1">
      <c r="A813" s="9" t="s">
        <v>8460</v>
      </c>
      <c r="B813" s="10" t="s">
        <v>8461</v>
      </c>
      <c r="C813" s="10" t="s">
        <v>43</v>
      </c>
      <c r="D813" s="10" t="s">
        <v>7750</v>
      </c>
      <c r="E813" s="10" t="s">
        <v>66</v>
      </c>
      <c r="F813" s="11">
        <v>1.0</v>
      </c>
      <c r="G813" s="11">
        <v>120.0</v>
      </c>
      <c r="H813" s="11"/>
      <c r="I813" s="11">
        <v>-20.4</v>
      </c>
      <c r="J813" s="11">
        <v>-19.95</v>
      </c>
      <c r="K813" s="11"/>
      <c r="L813" s="11">
        <v>86.85</v>
      </c>
      <c r="M813" s="10" t="s">
        <v>46</v>
      </c>
      <c r="N813" s="10" t="s">
        <v>45</v>
      </c>
      <c r="O813" s="10" t="s">
        <v>85</v>
      </c>
      <c r="P813" s="10" t="s">
        <v>86</v>
      </c>
      <c r="Q813" s="10" t="s">
        <v>87</v>
      </c>
      <c r="R813" s="10" t="s">
        <v>74</v>
      </c>
      <c r="S813" s="11">
        <v>120.0</v>
      </c>
      <c r="T813" s="11">
        <v>65.78</v>
      </c>
      <c r="U813" s="11" t="s">
        <v>51</v>
      </c>
      <c r="V813" s="10" t="s">
        <v>52</v>
      </c>
      <c r="W813" s="10" t="s">
        <v>8462</v>
      </c>
      <c r="X813" s="10" t="s">
        <v>8463</v>
      </c>
      <c r="Y813" s="10" t="s">
        <v>8464</v>
      </c>
      <c r="Z813" s="10" t="s">
        <v>50</v>
      </c>
      <c r="AA813" s="10" t="s">
        <v>50</v>
      </c>
      <c r="AB813" s="10" t="s">
        <v>8462</v>
      </c>
      <c r="AC813" s="10" t="s">
        <v>8465</v>
      </c>
      <c r="AD813" s="10" t="s">
        <v>8466</v>
      </c>
      <c r="AE813" s="10" t="s">
        <v>1234</v>
      </c>
      <c r="AF813" s="10" t="s">
        <v>58</v>
      </c>
      <c r="AG813" s="10" t="s">
        <v>8467</v>
      </c>
      <c r="AH813" s="10" t="s">
        <v>60</v>
      </c>
      <c r="AI813" s="10" t="s">
        <v>61</v>
      </c>
      <c r="AJ813" s="10" t="s">
        <v>8273</v>
      </c>
      <c r="AK813" s="10" t="s">
        <v>8468</v>
      </c>
      <c r="AL813" s="10" t="s">
        <v>64</v>
      </c>
      <c r="AM813" s="10" t="s">
        <v>8469</v>
      </c>
      <c r="AN813" s="10" t="s">
        <v>50</v>
      </c>
      <c r="AO813" s="11" t="s">
        <v>50</v>
      </c>
      <c r="AP813" s="10" t="s">
        <v>50</v>
      </c>
      <c r="AQ813" s="10" t="s">
        <v>50</v>
      </c>
      <c r="AR813" s="10" t="s">
        <v>50</v>
      </c>
      <c r="AS813" s="10" t="s">
        <v>50</v>
      </c>
      <c r="AT813" s="10" t="s">
        <v>50</v>
      </c>
      <c r="AU813" s="10" t="s">
        <v>50</v>
      </c>
      <c r="AV813" s="11"/>
      <c r="AW813" s="10" t="s">
        <v>66</v>
      </c>
      <c r="AX813" s="10"/>
      <c r="AY813" s="10" t="s">
        <v>66</v>
      </c>
    </row>
    <row r="814" ht="22.5" hidden="1" customHeight="1">
      <c r="A814" s="9" t="s">
        <v>8470</v>
      </c>
      <c r="B814" s="10" t="s">
        <v>8471</v>
      </c>
      <c r="C814" s="10" t="s">
        <v>43</v>
      </c>
      <c r="D814" s="10" t="s">
        <v>7693</v>
      </c>
      <c r="E814" s="10" t="s">
        <v>66</v>
      </c>
      <c r="F814" s="11">
        <v>1.0</v>
      </c>
      <c r="G814" s="11">
        <v>120.0</v>
      </c>
      <c r="H814" s="11"/>
      <c r="I814" s="11">
        <v>-20.4</v>
      </c>
      <c r="J814" s="11">
        <v>-19.95</v>
      </c>
      <c r="K814" s="11"/>
      <c r="L814" s="11">
        <v>86.85</v>
      </c>
      <c r="M814" s="10" t="s">
        <v>46</v>
      </c>
      <c r="N814" s="10" t="s">
        <v>45</v>
      </c>
      <c r="O814" s="10" t="s">
        <v>85</v>
      </c>
      <c r="P814" s="10" t="s">
        <v>86</v>
      </c>
      <c r="Q814" s="10" t="s">
        <v>87</v>
      </c>
      <c r="R814" s="10" t="s">
        <v>74</v>
      </c>
      <c r="S814" s="11">
        <v>120.0</v>
      </c>
      <c r="T814" s="11">
        <v>65.78</v>
      </c>
      <c r="U814" s="11" t="s">
        <v>51</v>
      </c>
      <c r="V814" s="10" t="s">
        <v>52</v>
      </c>
      <c r="W814" s="10" t="s">
        <v>8472</v>
      </c>
      <c r="X814" s="10" t="s">
        <v>8473</v>
      </c>
      <c r="Y814" s="10" t="s">
        <v>8474</v>
      </c>
      <c r="Z814" s="10" t="s">
        <v>50</v>
      </c>
      <c r="AA814" s="10" t="s">
        <v>50</v>
      </c>
      <c r="AB814" s="10" t="s">
        <v>8472</v>
      </c>
      <c r="AC814" s="10" t="s">
        <v>8475</v>
      </c>
      <c r="AD814" s="10" t="s">
        <v>8476</v>
      </c>
      <c r="AE814" s="10" t="s">
        <v>58</v>
      </c>
      <c r="AF814" s="10" t="s">
        <v>58</v>
      </c>
      <c r="AG814" s="10" t="s">
        <v>8477</v>
      </c>
      <c r="AH814" s="10" t="s">
        <v>60</v>
      </c>
      <c r="AI814" s="10" t="s">
        <v>61</v>
      </c>
      <c r="AJ814" s="10" t="s">
        <v>8308</v>
      </c>
      <c r="AK814" s="10" t="s">
        <v>8478</v>
      </c>
      <c r="AL814" s="10" t="s">
        <v>64</v>
      </c>
      <c r="AM814" s="10" t="s">
        <v>8479</v>
      </c>
      <c r="AN814" s="10" t="s">
        <v>8480</v>
      </c>
      <c r="AO814" s="11" t="s">
        <v>50</v>
      </c>
      <c r="AP814" s="10" t="s">
        <v>50</v>
      </c>
      <c r="AQ814" s="10" t="s">
        <v>50</v>
      </c>
      <c r="AR814" s="10" t="s">
        <v>50</v>
      </c>
      <c r="AS814" s="10" t="s">
        <v>50</v>
      </c>
      <c r="AT814" s="10" t="s">
        <v>50</v>
      </c>
      <c r="AU814" s="10" t="s">
        <v>50</v>
      </c>
      <c r="AV814" s="11"/>
      <c r="AW814" s="10" t="s">
        <v>66</v>
      </c>
      <c r="AX814" s="10"/>
      <c r="AY814" s="10" t="s">
        <v>66</v>
      </c>
    </row>
    <row r="815" ht="22.5" hidden="1" customHeight="1">
      <c r="A815" s="9" t="s">
        <v>8481</v>
      </c>
      <c r="B815" s="10" t="s">
        <v>8482</v>
      </c>
      <c r="C815" s="10" t="s">
        <v>43</v>
      </c>
      <c r="D815" s="10" t="s">
        <v>8227</v>
      </c>
      <c r="E815" s="10" t="s">
        <v>66</v>
      </c>
      <c r="F815" s="11">
        <v>1.0</v>
      </c>
      <c r="G815" s="11">
        <v>80.0</v>
      </c>
      <c r="H815" s="11"/>
      <c r="I815" s="11">
        <v>-13.6</v>
      </c>
      <c r="J815" s="11">
        <v>-19.95</v>
      </c>
      <c r="K815" s="11"/>
      <c r="L815" s="11">
        <v>50.45</v>
      </c>
      <c r="M815" s="10" t="s">
        <v>46</v>
      </c>
      <c r="N815" s="10" t="s">
        <v>45</v>
      </c>
      <c r="O815" s="10" t="s">
        <v>143</v>
      </c>
      <c r="P815" s="10" t="s">
        <v>144</v>
      </c>
      <c r="Q815" s="10" t="s">
        <v>145</v>
      </c>
      <c r="R815" s="10" t="s">
        <v>74</v>
      </c>
      <c r="S815" s="11">
        <v>80.0</v>
      </c>
      <c r="T815" s="11">
        <v>33.38</v>
      </c>
      <c r="U815" s="11" t="s">
        <v>51</v>
      </c>
      <c r="V815" s="10" t="s">
        <v>52</v>
      </c>
      <c r="W815" s="10" t="s">
        <v>8483</v>
      </c>
      <c r="X815" s="10" t="s">
        <v>8484</v>
      </c>
      <c r="Y815" s="10" t="s">
        <v>8485</v>
      </c>
      <c r="Z815" s="10" t="s">
        <v>50</v>
      </c>
      <c r="AA815" s="10" t="s">
        <v>50</v>
      </c>
      <c r="AB815" s="10" t="s">
        <v>8483</v>
      </c>
      <c r="AC815" s="10" t="s">
        <v>8486</v>
      </c>
      <c r="AD815" s="10" t="s">
        <v>8487</v>
      </c>
      <c r="AE815" s="10" t="s">
        <v>481</v>
      </c>
      <c r="AF815" s="10" t="s">
        <v>136</v>
      </c>
      <c r="AG815" s="10" t="s">
        <v>8488</v>
      </c>
      <c r="AH815" s="10" t="s">
        <v>60</v>
      </c>
      <c r="AI815" s="10" t="s">
        <v>61</v>
      </c>
      <c r="AJ815" s="10" t="s">
        <v>8489</v>
      </c>
      <c r="AK815" s="10" t="s">
        <v>8490</v>
      </c>
      <c r="AL815" s="10" t="s">
        <v>64</v>
      </c>
      <c r="AM815" s="10" t="s">
        <v>8491</v>
      </c>
      <c r="AN815" s="10" t="s">
        <v>50</v>
      </c>
      <c r="AO815" s="11" t="s">
        <v>50</v>
      </c>
      <c r="AP815" s="10" t="s">
        <v>50</v>
      </c>
      <c r="AQ815" s="10" t="s">
        <v>50</v>
      </c>
      <c r="AR815" s="10" t="s">
        <v>50</v>
      </c>
      <c r="AS815" s="10" t="s">
        <v>50</v>
      </c>
      <c r="AT815" s="10" t="s">
        <v>50</v>
      </c>
      <c r="AU815" s="10" t="s">
        <v>50</v>
      </c>
      <c r="AV815" s="11"/>
      <c r="AW815" s="10" t="s">
        <v>66</v>
      </c>
      <c r="AX815" s="10"/>
      <c r="AY815" s="10" t="s">
        <v>66</v>
      </c>
    </row>
    <row r="816" ht="22.5" hidden="1" customHeight="1">
      <c r="A816" s="9" t="s">
        <v>8492</v>
      </c>
      <c r="B816" s="10" t="s">
        <v>8493</v>
      </c>
      <c r="C816" s="10" t="s">
        <v>43</v>
      </c>
      <c r="D816" s="10" t="s">
        <v>7750</v>
      </c>
      <c r="E816" s="10" t="s">
        <v>66</v>
      </c>
      <c r="F816" s="11">
        <v>1.0</v>
      </c>
      <c r="G816" s="11">
        <v>92.15</v>
      </c>
      <c r="H816" s="11"/>
      <c r="I816" s="11">
        <v>-17.51</v>
      </c>
      <c r="J816" s="11">
        <v>-20.45</v>
      </c>
      <c r="K816" s="11"/>
      <c r="L816" s="11">
        <v>59.72</v>
      </c>
      <c r="M816" s="10" t="s">
        <v>46</v>
      </c>
      <c r="N816" s="10" t="s">
        <v>50</v>
      </c>
      <c r="O816" s="10" t="s">
        <v>586</v>
      </c>
      <c r="P816" s="10" t="s">
        <v>587</v>
      </c>
      <c r="Q816" s="10" t="s">
        <v>588</v>
      </c>
      <c r="R816" s="10" t="s">
        <v>50</v>
      </c>
      <c r="S816" s="11">
        <v>92.15</v>
      </c>
      <c r="T816" s="11">
        <v>20.76</v>
      </c>
      <c r="U816" s="11" t="s">
        <v>51</v>
      </c>
      <c r="V816" s="10" t="s">
        <v>52</v>
      </c>
      <c r="W816" s="10" t="s">
        <v>8494</v>
      </c>
      <c r="X816" s="10" t="s">
        <v>8495</v>
      </c>
      <c r="Y816" s="10" t="s">
        <v>8496</v>
      </c>
      <c r="Z816" s="10" t="s">
        <v>50</v>
      </c>
      <c r="AA816" s="10" t="s">
        <v>50</v>
      </c>
      <c r="AB816" s="10" t="s">
        <v>8494</v>
      </c>
      <c r="AC816" s="10" t="s">
        <v>8497</v>
      </c>
      <c r="AD816" s="10" t="s">
        <v>8498</v>
      </c>
      <c r="AE816" s="10" t="s">
        <v>8499</v>
      </c>
      <c r="AF816" s="10" t="s">
        <v>323</v>
      </c>
      <c r="AG816" s="10" t="s">
        <v>8500</v>
      </c>
      <c r="AH816" s="10" t="s">
        <v>60</v>
      </c>
      <c r="AI816" s="10" t="s">
        <v>61</v>
      </c>
      <c r="AJ816" s="10" t="s">
        <v>8297</v>
      </c>
      <c r="AK816" s="10" t="s">
        <v>8501</v>
      </c>
      <c r="AL816" s="10" t="s">
        <v>64</v>
      </c>
      <c r="AM816" s="10" t="s">
        <v>8502</v>
      </c>
      <c r="AN816" s="10" t="s">
        <v>50</v>
      </c>
      <c r="AO816" s="11" t="s">
        <v>50</v>
      </c>
      <c r="AP816" s="10" t="s">
        <v>50</v>
      </c>
      <c r="AQ816" s="10" t="s">
        <v>50</v>
      </c>
      <c r="AR816" s="10" t="s">
        <v>50</v>
      </c>
      <c r="AS816" s="10" t="s">
        <v>50</v>
      </c>
      <c r="AT816" s="10" t="s">
        <v>50</v>
      </c>
      <c r="AU816" s="10" t="s">
        <v>50</v>
      </c>
      <c r="AV816" s="11"/>
      <c r="AW816" s="10" t="s">
        <v>66</v>
      </c>
      <c r="AX816" s="10"/>
      <c r="AY816" s="10" t="s">
        <v>66</v>
      </c>
    </row>
    <row r="817" ht="22.5" hidden="1" customHeight="1">
      <c r="A817" s="9" t="s">
        <v>8503</v>
      </c>
      <c r="B817" s="10" t="s">
        <v>8504</v>
      </c>
      <c r="C817" s="10" t="s">
        <v>43</v>
      </c>
      <c r="D817" s="10" t="s">
        <v>7693</v>
      </c>
      <c r="E817" s="10" t="s">
        <v>66</v>
      </c>
      <c r="F817" s="11">
        <v>1.0</v>
      </c>
      <c r="G817" s="11">
        <v>120.0</v>
      </c>
      <c r="H817" s="11"/>
      <c r="I817" s="11">
        <v>-20.4</v>
      </c>
      <c r="J817" s="11">
        <v>-19.95</v>
      </c>
      <c r="K817" s="11"/>
      <c r="L817" s="11">
        <v>86.85</v>
      </c>
      <c r="M817" s="10" t="s">
        <v>46</v>
      </c>
      <c r="N817" s="10" t="s">
        <v>45</v>
      </c>
      <c r="O817" s="10" t="s">
        <v>85</v>
      </c>
      <c r="P817" s="10" t="s">
        <v>86</v>
      </c>
      <c r="Q817" s="10" t="s">
        <v>87</v>
      </c>
      <c r="R817" s="10" t="s">
        <v>74</v>
      </c>
      <c r="S817" s="11">
        <v>120.0</v>
      </c>
      <c r="T817" s="11">
        <v>65.78</v>
      </c>
      <c r="U817" s="11" t="s">
        <v>51</v>
      </c>
      <c r="V817" s="10" t="s">
        <v>52</v>
      </c>
      <c r="W817" s="10" t="s">
        <v>8505</v>
      </c>
      <c r="X817" s="10" t="s">
        <v>8506</v>
      </c>
      <c r="Y817" s="10" t="s">
        <v>8507</v>
      </c>
      <c r="Z817" s="10" t="s">
        <v>50</v>
      </c>
      <c r="AA817" s="10" t="s">
        <v>50</v>
      </c>
      <c r="AB817" s="10" t="s">
        <v>8505</v>
      </c>
      <c r="AC817" s="10" t="s">
        <v>8508</v>
      </c>
      <c r="AD817" s="10" t="s">
        <v>8509</v>
      </c>
      <c r="AE817" s="10" t="s">
        <v>1089</v>
      </c>
      <c r="AF817" s="10" t="s">
        <v>284</v>
      </c>
      <c r="AG817" s="10" t="s">
        <v>8510</v>
      </c>
      <c r="AH817" s="10" t="s">
        <v>60</v>
      </c>
      <c r="AI817" s="10" t="s">
        <v>61</v>
      </c>
      <c r="AJ817" s="10" t="s">
        <v>8189</v>
      </c>
      <c r="AK817" s="10" t="s">
        <v>8511</v>
      </c>
      <c r="AL817" s="10" t="s">
        <v>64</v>
      </c>
      <c r="AM817" s="10" t="s">
        <v>8512</v>
      </c>
      <c r="AN817" s="10" t="s">
        <v>50</v>
      </c>
      <c r="AO817" s="11" t="s">
        <v>50</v>
      </c>
      <c r="AP817" s="10" t="s">
        <v>50</v>
      </c>
      <c r="AQ817" s="10" t="s">
        <v>50</v>
      </c>
      <c r="AR817" s="10" t="s">
        <v>50</v>
      </c>
      <c r="AS817" s="10" t="s">
        <v>50</v>
      </c>
      <c r="AT817" s="10" t="s">
        <v>50</v>
      </c>
      <c r="AU817" s="10" t="s">
        <v>50</v>
      </c>
      <c r="AV817" s="11"/>
      <c r="AW817" s="10" t="s">
        <v>66</v>
      </c>
      <c r="AX817" s="10"/>
      <c r="AY817" s="10" t="s">
        <v>66</v>
      </c>
    </row>
    <row r="818" ht="22.5" hidden="1" customHeight="1">
      <c r="A818" s="9" t="s">
        <v>8513</v>
      </c>
      <c r="B818" s="10" t="s">
        <v>8514</v>
      </c>
      <c r="C818" s="10" t="s">
        <v>43</v>
      </c>
      <c r="D818" s="10" t="s">
        <v>7750</v>
      </c>
      <c r="E818" s="10" t="s">
        <v>45</v>
      </c>
      <c r="F818" s="11">
        <v>1.0</v>
      </c>
      <c r="G818" s="11">
        <v>79.0</v>
      </c>
      <c r="H818" s="11"/>
      <c r="I818" s="11">
        <v>-13.43</v>
      </c>
      <c r="J818" s="11">
        <v>-19.95</v>
      </c>
      <c r="K818" s="11"/>
      <c r="L818" s="11">
        <v>45.62</v>
      </c>
      <c r="M818" s="10" t="s">
        <v>46</v>
      </c>
      <c r="N818" s="10" t="s">
        <v>45</v>
      </c>
      <c r="O818" s="10" t="s">
        <v>766</v>
      </c>
      <c r="P818" s="10" t="s">
        <v>767</v>
      </c>
      <c r="Q818" s="10" t="s">
        <v>768</v>
      </c>
      <c r="R818" s="10" t="s">
        <v>74</v>
      </c>
      <c r="S818" s="11">
        <v>79.0</v>
      </c>
      <c r="T818" s="11">
        <v>13.62</v>
      </c>
      <c r="U818" s="11" t="s">
        <v>51</v>
      </c>
      <c r="V818" s="10" t="s">
        <v>52</v>
      </c>
      <c r="W818" s="10" t="s">
        <v>8515</v>
      </c>
      <c r="X818" s="10" t="s">
        <v>8516</v>
      </c>
      <c r="Y818" s="10" t="s">
        <v>8517</v>
      </c>
      <c r="Z818" s="10" t="s">
        <v>50</v>
      </c>
      <c r="AA818" s="10" t="s">
        <v>50</v>
      </c>
      <c r="AB818" s="10" t="s">
        <v>8515</v>
      </c>
      <c r="AC818" s="10" t="s">
        <v>8518</v>
      </c>
      <c r="AD818" s="10" t="s">
        <v>8519</v>
      </c>
      <c r="AE818" s="10" t="s">
        <v>4610</v>
      </c>
      <c r="AF818" s="10" t="s">
        <v>58</v>
      </c>
      <c r="AG818" s="10" t="s">
        <v>4611</v>
      </c>
      <c r="AH818" s="10" t="s">
        <v>60</v>
      </c>
      <c r="AI818" s="10" t="s">
        <v>61</v>
      </c>
      <c r="AJ818" s="10" t="s">
        <v>8308</v>
      </c>
      <c r="AK818" s="10" t="s">
        <v>8520</v>
      </c>
      <c r="AL818" s="10" t="s">
        <v>64</v>
      </c>
      <c r="AM818" s="10" t="s">
        <v>8521</v>
      </c>
      <c r="AN818" s="10" t="s">
        <v>50</v>
      </c>
      <c r="AO818" s="11" t="s">
        <v>50</v>
      </c>
      <c r="AP818" s="10" t="s">
        <v>50</v>
      </c>
      <c r="AQ818" s="10" t="s">
        <v>50</v>
      </c>
      <c r="AR818" s="10" t="s">
        <v>50</v>
      </c>
      <c r="AS818" s="10" t="s">
        <v>50</v>
      </c>
      <c r="AT818" s="10" t="s">
        <v>50</v>
      </c>
      <c r="AU818" s="10" t="s">
        <v>50</v>
      </c>
      <c r="AV818" s="11"/>
      <c r="AW818" s="10" t="s">
        <v>66</v>
      </c>
      <c r="AX818" s="10"/>
      <c r="AY818" s="10" t="s">
        <v>66</v>
      </c>
    </row>
    <row r="819" ht="22.5" hidden="1" customHeight="1">
      <c r="A819" s="9" t="s">
        <v>8522</v>
      </c>
      <c r="B819" s="10" t="s">
        <v>8523</v>
      </c>
      <c r="C819" s="10" t="s">
        <v>43</v>
      </c>
      <c r="D819" s="10" t="s">
        <v>7518</v>
      </c>
      <c r="E819" s="10" t="s">
        <v>66</v>
      </c>
      <c r="F819" s="11">
        <v>1.0</v>
      </c>
      <c r="G819" s="11">
        <v>43.7</v>
      </c>
      <c r="H819" s="11">
        <v>13.87</v>
      </c>
      <c r="I819" s="11">
        <v>-13.43</v>
      </c>
      <c r="J819" s="11">
        <v>-13.87</v>
      </c>
      <c r="K819" s="11"/>
      <c r="L819" s="11">
        <v>32.89</v>
      </c>
      <c r="M819" s="10" t="s">
        <v>46</v>
      </c>
      <c r="N819" s="10" t="s">
        <v>50</v>
      </c>
      <c r="O819" s="10" t="s">
        <v>176</v>
      </c>
      <c r="P819" s="10" t="s">
        <v>177</v>
      </c>
      <c r="Q819" s="10" t="s">
        <v>178</v>
      </c>
      <c r="R819" s="10" t="s">
        <v>74</v>
      </c>
      <c r="S819" s="11">
        <v>43.7</v>
      </c>
      <c r="T819" s="11">
        <v>22.58</v>
      </c>
      <c r="U819" s="11" t="s">
        <v>51</v>
      </c>
      <c r="V819" s="10" t="s">
        <v>52</v>
      </c>
      <c r="W819" s="10" t="s">
        <v>8524</v>
      </c>
      <c r="X819" s="10" t="s">
        <v>8525</v>
      </c>
      <c r="Y819" s="10" t="s">
        <v>8526</v>
      </c>
      <c r="Z819" s="10" t="s">
        <v>50</v>
      </c>
      <c r="AA819" s="10" t="s">
        <v>50</v>
      </c>
      <c r="AB819" s="10" t="s">
        <v>8524</v>
      </c>
      <c r="AC819" s="10" t="s">
        <v>8527</v>
      </c>
      <c r="AD819" s="10" t="s">
        <v>8528</v>
      </c>
      <c r="AE819" s="10" t="s">
        <v>8529</v>
      </c>
      <c r="AF819" s="10" t="s">
        <v>185</v>
      </c>
      <c r="AG819" s="10" t="s">
        <v>8530</v>
      </c>
      <c r="AH819" s="10" t="s">
        <v>60</v>
      </c>
      <c r="AI819" s="10" t="s">
        <v>61</v>
      </c>
      <c r="AJ819" s="10" t="s">
        <v>8273</v>
      </c>
      <c r="AK819" s="10" t="s">
        <v>8531</v>
      </c>
      <c r="AL819" s="10" t="s">
        <v>64</v>
      </c>
      <c r="AM819" s="10" t="s">
        <v>8532</v>
      </c>
      <c r="AN819" s="10" t="s">
        <v>50</v>
      </c>
      <c r="AO819" s="11" t="s">
        <v>50</v>
      </c>
      <c r="AP819" s="10" t="s">
        <v>50</v>
      </c>
      <c r="AQ819" s="10" t="s">
        <v>50</v>
      </c>
      <c r="AR819" s="10" t="s">
        <v>50</v>
      </c>
      <c r="AS819" s="10" t="s">
        <v>50</v>
      </c>
      <c r="AT819" s="10" t="s">
        <v>50</v>
      </c>
      <c r="AU819" s="10" t="s">
        <v>50</v>
      </c>
      <c r="AV819" s="11"/>
      <c r="AW819" s="10" t="s">
        <v>66</v>
      </c>
      <c r="AX819" s="10"/>
      <c r="AY819" s="10" t="s">
        <v>66</v>
      </c>
    </row>
    <row r="820" ht="22.5" hidden="1" customHeight="1">
      <c r="A820" s="9" t="s">
        <v>8533</v>
      </c>
      <c r="B820" s="10" t="s">
        <v>8523</v>
      </c>
      <c r="C820" s="10" t="s">
        <v>43</v>
      </c>
      <c r="D820" s="10" t="s">
        <v>7518</v>
      </c>
      <c r="E820" s="10" t="s">
        <v>66</v>
      </c>
      <c r="F820" s="11">
        <v>1.0</v>
      </c>
      <c r="G820" s="11">
        <v>80.0</v>
      </c>
      <c r="H820" s="11"/>
      <c r="I820" s="11">
        <v>-13.6</v>
      </c>
      <c r="J820" s="11">
        <v>-19.95</v>
      </c>
      <c r="K820" s="11"/>
      <c r="L820" s="11">
        <v>50.45</v>
      </c>
      <c r="M820" s="10" t="s">
        <v>46</v>
      </c>
      <c r="N820" s="10" t="s">
        <v>45</v>
      </c>
      <c r="O820" s="10" t="s">
        <v>143</v>
      </c>
      <c r="P820" s="10" t="s">
        <v>144</v>
      </c>
      <c r="Q820" s="10" t="s">
        <v>145</v>
      </c>
      <c r="R820" s="10" t="s">
        <v>74</v>
      </c>
      <c r="S820" s="11">
        <v>80.0</v>
      </c>
      <c r="T820" s="11">
        <v>33.38</v>
      </c>
      <c r="U820" s="11" t="s">
        <v>51</v>
      </c>
      <c r="V820" s="10" t="s">
        <v>52</v>
      </c>
      <c r="W820" s="10" t="s">
        <v>8534</v>
      </c>
      <c r="X820" s="10" t="s">
        <v>8535</v>
      </c>
      <c r="Y820" s="10" t="s">
        <v>8536</v>
      </c>
      <c r="Z820" s="10" t="s">
        <v>50</v>
      </c>
      <c r="AA820" s="10" t="s">
        <v>50</v>
      </c>
      <c r="AB820" s="10" t="s">
        <v>8534</v>
      </c>
      <c r="AC820" s="10" t="s">
        <v>8537</v>
      </c>
      <c r="AD820" s="10" t="s">
        <v>8538</v>
      </c>
      <c r="AE820" s="10" t="s">
        <v>8539</v>
      </c>
      <c r="AF820" s="10" t="s">
        <v>58</v>
      </c>
      <c r="AG820" s="10" t="s">
        <v>8540</v>
      </c>
      <c r="AH820" s="10" t="s">
        <v>60</v>
      </c>
      <c r="AI820" s="10" t="s">
        <v>61</v>
      </c>
      <c r="AJ820" s="10" t="s">
        <v>8273</v>
      </c>
      <c r="AK820" s="10" t="s">
        <v>8541</v>
      </c>
      <c r="AL820" s="10" t="s">
        <v>64</v>
      </c>
      <c r="AM820" s="10" t="s">
        <v>8542</v>
      </c>
      <c r="AN820" s="10" t="s">
        <v>50</v>
      </c>
      <c r="AO820" s="11" t="s">
        <v>50</v>
      </c>
      <c r="AP820" s="10" t="s">
        <v>50</v>
      </c>
      <c r="AQ820" s="10" t="s">
        <v>50</v>
      </c>
      <c r="AR820" s="10" t="s">
        <v>50</v>
      </c>
      <c r="AS820" s="10" t="s">
        <v>50</v>
      </c>
      <c r="AT820" s="10" t="s">
        <v>50</v>
      </c>
      <c r="AU820" s="10" t="s">
        <v>50</v>
      </c>
      <c r="AV820" s="11"/>
      <c r="AW820" s="10" t="s">
        <v>66</v>
      </c>
      <c r="AX820" s="10"/>
      <c r="AY820" s="10" t="s">
        <v>66</v>
      </c>
    </row>
    <row r="821" ht="22.5" hidden="1" customHeight="1">
      <c r="A821" s="9" t="s">
        <v>8543</v>
      </c>
      <c r="B821" s="10" t="s">
        <v>8544</v>
      </c>
      <c r="C821" s="10" t="s">
        <v>43</v>
      </c>
      <c r="D821" s="10" t="s">
        <v>7750</v>
      </c>
      <c r="E821" s="10" t="s">
        <v>45</v>
      </c>
      <c r="F821" s="11">
        <v>1.0</v>
      </c>
      <c r="G821" s="11">
        <v>120.0</v>
      </c>
      <c r="H821" s="11"/>
      <c r="I821" s="11">
        <v>-20.4</v>
      </c>
      <c r="J821" s="11">
        <v>-19.95</v>
      </c>
      <c r="K821" s="11"/>
      <c r="L821" s="11">
        <v>86.85</v>
      </c>
      <c r="M821" s="10" t="s">
        <v>46</v>
      </c>
      <c r="N821" s="10" t="s">
        <v>50</v>
      </c>
      <c r="O821" s="10" t="s">
        <v>85</v>
      </c>
      <c r="P821" s="10" t="s">
        <v>86</v>
      </c>
      <c r="Q821" s="10" t="s">
        <v>87</v>
      </c>
      <c r="R821" s="10" t="s">
        <v>74</v>
      </c>
      <c r="S821" s="11">
        <v>120.0</v>
      </c>
      <c r="T821" s="11">
        <v>65.78</v>
      </c>
      <c r="U821" s="11" t="s">
        <v>51</v>
      </c>
      <c r="V821" s="10" t="s">
        <v>52</v>
      </c>
      <c r="W821" s="10" t="s">
        <v>8545</v>
      </c>
      <c r="X821" s="10" t="s">
        <v>8546</v>
      </c>
      <c r="Y821" s="10" t="s">
        <v>8547</v>
      </c>
      <c r="Z821" s="10" t="s">
        <v>50</v>
      </c>
      <c r="AA821" s="10" t="s">
        <v>50</v>
      </c>
      <c r="AB821" s="10" t="s">
        <v>8545</v>
      </c>
      <c r="AC821" s="10" t="s">
        <v>8548</v>
      </c>
      <c r="AD821" s="10" t="s">
        <v>8549</v>
      </c>
      <c r="AE821" s="10" t="s">
        <v>740</v>
      </c>
      <c r="AF821" s="10" t="s">
        <v>119</v>
      </c>
      <c r="AG821" s="10" t="s">
        <v>8550</v>
      </c>
      <c r="AH821" s="10" t="s">
        <v>60</v>
      </c>
      <c r="AI821" s="10" t="s">
        <v>61</v>
      </c>
      <c r="AJ821" s="10" t="s">
        <v>8189</v>
      </c>
      <c r="AK821" s="10" t="s">
        <v>8551</v>
      </c>
      <c r="AL821" s="10" t="s">
        <v>64</v>
      </c>
      <c r="AM821" s="10" t="s">
        <v>8552</v>
      </c>
      <c r="AN821" s="10" t="s">
        <v>50</v>
      </c>
      <c r="AO821" s="11" t="s">
        <v>50</v>
      </c>
      <c r="AP821" s="10" t="s">
        <v>50</v>
      </c>
      <c r="AQ821" s="10" t="s">
        <v>50</v>
      </c>
      <c r="AR821" s="10" t="s">
        <v>50</v>
      </c>
      <c r="AS821" s="10" t="s">
        <v>50</v>
      </c>
      <c r="AT821" s="10" t="s">
        <v>50</v>
      </c>
      <c r="AU821" s="10" t="s">
        <v>50</v>
      </c>
      <c r="AV821" s="11"/>
      <c r="AW821" s="10" t="s">
        <v>66</v>
      </c>
      <c r="AX821" s="10"/>
      <c r="AY821" s="10" t="s">
        <v>66</v>
      </c>
    </row>
    <row r="822" ht="22.5" hidden="1" customHeight="1">
      <c r="A822" s="9" t="s">
        <v>8553</v>
      </c>
      <c r="B822" s="10" t="s">
        <v>8554</v>
      </c>
      <c r="C822" s="10" t="s">
        <v>43</v>
      </c>
      <c r="D822" s="10" t="s">
        <v>7750</v>
      </c>
      <c r="E822" s="10" t="s">
        <v>66</v>
      </c>
      <c r="F822" s="11">
        <v>1.0</v>
      </c>
      <c r="G822" s="11">
        <v>80.0</v>
      </c>
      <c r="H822" s="11"/>
      <c r="I822" s="11">
        <v>-13.6</v>
      </c>
      <c r="J822" s="11">
        <v>-19.95</v>
      </c>
      <c r="K822" s="11"/>
      <c r="L822" s="11">
        <v>50.45</v>
      </c>
      <c r="M822" s="10" t="s">
        <v>46</v>
      </c>
      <c r="N822" s="10" t="s">
        <v>45</v>
      </c>
      <c r="O822" s="10" t="s">
        <v>143</v>
      </c>
      <c r="P822" s="10" t="s">
        <v>144</v>
      </c>
      <c r="Q822" s="10" t="s">
        <v>145</v>
      </c>
      <c r="R822" s="10" t="s">
        <v>74</v>
      </c>
      <c r="S822" s="11">
        <v>80.0</v>
      </c>
      <c r="T822" s="11">
        <v>33.38</v>
      </c>
      <c r="U822" s="11" t="s">
        <v>51</v>
      </c>
      <c r="V822" s="10" t="s">
        <v>52</v>
      </c>
      <c r="W822" s="10" t="s">
        <v>8555</v>
      </c>
      <c r="X822" s="10" t="s">
        <v>8556</v>
      </c>
      <c r="Y822" s="10" t="s">
        <v>8557</v>
      </c>
      <c r="Z822" s="10" t="s">
        <v>3736</v>
      </c>
      <c r="AA822" s="10" t="s">
        <v>8558</v>
      </c>
      <c r="AB822" s="10" t="s">
        <v>8555</v>
      </c>
      <c r="AC822" s="10" t="s">
        <v>8559</v>
      </c>
      <c r="AD822" s="10" t="s">
        <v>8560</v>
      </c>
      <c r="AE822" s="10" t="s">
        <v>8561</v>
      </c>
      <c r="AF822" s="10" t="s">
        <v>214</v>
      </c>
      <c r="AG822" s="10" t="s">
        <v>8562</v>
      </c>
      <c r="AH822" s="10" t="s">
        <v>60</v>
      </c>
      <c r="AI822" s="10" t="s">
        <v>61</v>
      </c>
      <c r="AJ822" s="10" t="s">
        <v>8189</v>
      </c>
      <c r="AK822" s="10" t="s">
        <v>8563</v>
      </c>
      <c r="AL822" s="10" t="s">
        <v>64</v>
      </c>
      <c r="AM822" s="10" t="s">
        <v>8564</v>
      </c>
      <c r="AN822" s="10" t="s">
        <v>50</v>
      </c>
      <c r="AO822" s="11" t="s">
        <v>50</v>
      </c>
      <c r="AP822" s="10" t="s">
        <v>50</v>
      </c>
      <c r="AQ822" s="10" t="s">
        <v>50</v>
      </c>
      <c r="AR822" s="10" t="s">
        <v>50</v>
      </c>
      <c r="AS822" s="10" t="s">
        <v>50</v>
      </c>
      <c r="AT822" s="10" t="s">
        <v>50</v>
      </c>
      <c r="AU822" s="10" t="s">
        <v>50</v>
      </c>
      <c r="AV822" s="11"/>
      <c r="AW822" s="10" t="s">
        <v>66</v>
      </c>
      <c r="AX822" s="10">
        <v>1.0</v>
      </c>
      <c r="AY822" s="10" t="s">
        <v>66</v>
      </c>
    </row>
    <row r="823" ht="22.5" hidden="1" customHeight="1">
      <c r="A823" s="9" t="s">
        <v>8565</v>
      </c>
      <c r="B823" s="10" t="s">
        <v>8566</v>
      </c>
      <c r="C823" s="10" t="s">
        <v>43</v>
      </c>
      <c r="D823" s="10" t="s">
        <v>7693</v>
      </c>
      <c r="E823" s="10" t="s">
        <v>66</v>
      </c>
      <c r="F823" s="11">
        <v>1.0</v>
      </c>
      <c r="G823" s="11">
        <v>80.0</v>
      </c>
      <c r="H823" s="11"/>
      <c r="I823" s="11">
        <v>-13.6</v>
      </c>
      <c r="J823" s="11">
        <v>-19.95</v>
      </c>
      <c r="K823" s="11"/>
      <c r="L823" s="11">
        <v>50.45</v>
      </c>
      <c r="M823" s="10" t="s">
        <v>46</v>
      </c>
      <c r="N823" s="10" t="s">
        <v>45</v>
      </c>
      <c r="O823" s="10" t="s">
        <v>143</v>
      </c>
      <c r="P823" s="10" t="s">
        <v>144</v>
      </c>
      <c r="Q823" s="10" t="s">
        <v>145</v>
      </c>
      <c r="R823" s="10" t="s">
        <v>74</v>
      </c>
      <c r="S823" s="11">
        <v>80.0</v>
      </c>
      <c r="T823" s="11">
        <v>33.38</v>
      </c>
      <c r="U823" s="11" t="s">
        <v>51</v>
      </c>
      <c r="V823" s="10" t="s">
        <v>52</v>
      </c>
      <c r="W823" s="10" t="s">
        <v>4997</v>
      </c>
      <c r="X823" s="10" t="s">
        <v>4998</v>
      </c>
      <c r="Y823" s="10" t="s">
        <v>4999</v>
      </c>
      <c r="Z823" s="10" t="s">
        <v>50</v>
      </c>
      <c r="AA823" s="10" t="s">
        <v>50</v>
      </c>
      <c r="AB823" s="10" t="s">
        <v>4997</v>
      </c>
      <c r="AC823" s="10" t="s">
        <v>5000</v>
      </c>
      <c r="AD823" s="10" t="s">
        <v>5001</v>
      </c>
      <c r="AE823" s="10" t="s">
        <v>5002</v>
      </c>
      <c r="AF823" s="10" t="s">
        <v>201</v>
      </c>
      <c r="AG823" s="10" t="s">
        <v>5003</v>
      </c>
      <c r="AH823" s="10" t="s">
        <v>60</v>
      </c>
      <c r="AI823" s="10" t="s">
        <v>61</v>
      </c>
      <c r="AJ823" s="10" t="s">
        <v>8319</v>
      </c>
      <c r="AK823" s="10" t="s">
        <v>8567</v>
      </c>
      <c r="AL823" s="10" t="s">
        <v>64</v>
      </c>
      <c r="AM823" s="10" t="s">
        <v>8568</v>
      </c>
      <c r="AN823" s="10" t="s">
        <v>50</v>
      </c>
      <c r="AO823" s="11" t="s">
        <v>50</v>
      </c>
      <c r="AP823" s="10" t="s">
        <v>50</v>
      </c>
      <c r="AQ823" s="10" t="s">
        <v>50</v>
      </c>
      <c r="AR823" s="10" t="s">
        <v>50</v>
      </c>
      <c r="AS823" s="10" t="s">
        <v>50</v>
      </c>
      <c r="AT823" s="10" t="s">
        <v>50</v>
      </c>
      <c r="AU823" s="10" t="s">
        <v>50</v>
      </c>
      <c r="AV823" s="11"/>
      <c r="AW823" s="10" t="s">
        <v>66</v>
      </c>
      <c r="AX823" s="10"/>
      <c r="AY823" s="10" t="s">
        <v>66</v>
      </c>
    </row>
    <row r="824" ht="22.5" hidden="1" customHeight="1">
      <c r="A824" s="9" t="s">
        <v>8569</v>
      </c>
      <c r="B824" s="10" t="s">
        <v>8570</v>
      </c>
      <c r="C824" s="10" t="s">
        <v>43</v>
      </c>
      <c r="D824" s="10" t="s">
        <v>7693</v>
      </c>
      <c r="E824" s="10" t="s">
        <v>66</v>
      </c>
      <c r="F824" s="11">
        <v>1.0</v>
      </c>
      <c r="G824" s="11">
        <v>79.2</v>
      </c>
      <c r="H824" s="11"/>
      <c r="I824" s="11">
        <v>-13.46</v>
      </c>
      <c r="J824" s="11">
        <v>-20.45</v>
      </c>
      <c r="K824" s="11"/>
      <c r="L824" s="11">
        <v>45.29</v>
      </c>
      <c r="M824" s="10" t="s">
        <v>46</v>
      </c>
      <c r="N824" s="10" t="s">
        <v>50</v>
      </c>
      <c r="O824" s="10" t="s">
        <v>892</v>
      </c>
      <c r="P824" s="10" t="s">
        <v>893</v>
      </c>
      <c r="Q824" s="10" t="s">
        <v>894</v>
      </c>
      <c r="R824" s="10" t="s">
        <v>74</v>
      </c>
      <c r="S824" s="11">
        <v>79.2</v>
      </c>
      <c r="T824" s="11">
        <v>2.97</v>
      </c>
      <c r="U824" s="11" t="s">
        <v>51</v>
      </c>
      <c r="V824" s="10" t="s">
        <v>52</v>
      </c>
      <c r="W824" s="10" t="s">
        <v>8571</v>
      </c>
      <c r="X824" s="10" t="s">
        <v>8572</v>
      </c>
      <c r="Y824" s="10" t="s">
        <v>8573</v>
      </c>
      <c r="Z824" s="10" t="s">
        <v>50</v>
      </c>
      <c r="AA824" s="10" t="s">
        <v>50</v>
      </c>
      <c r="AB824" s="10" t="s">
        <v>8571</v>
      </c>
      <c r="AC824" s="10" t="s">
        <v>8574</v>
      </c>
      <c r="AD824" s="10" t="s">
        <v>8575</v>
      </c>
      <c r="AE824" s="10" t="s">
        <v>774</v>
      </c>
      <c r="AF824" s="10" t="s">
        <v>775</v>
      </c>
      <c r="AG824" s="10" t="s">
        <v>8576</v>
      </c>
      <c r="AH824" s="10" t="s">
        <v>60</v>
      </c>
      <c r="AI824" s="10" t="s">
        <v>61</v>
      </c>
      <c r="AJ824" s="10" t="s">
        <v>8319</v>
      </c>
      <c r="AK824" s="10" t="s">
        <v>8577</v>
      </c>
      <c r="AL824" s="10" t="s">
        <v>64</v>
      </c>
      <c r="AM824" s="10" t="s">
        <v>8578</v>
      </c>
      <c r="AN824" s="10" t="s">
        <v>50</v>
      </c>
      <c r="AO824" s="11" t="s">
        <v>50</v>
      </c>
      <c r="AP824" s="10" t="s">
        <v>50</v>
      </c>
      <c r="AQ824" s="10" t="s">
        <v>50</v>
      </c>
      <c r="AR824" s="10" t="s">
        <v>50</v>
      </c>
      <c r="AS824" s="10" t="s">
        <v>50</v>
      </c>
      <c r="AT824" s="10" t="s">
        <v>50</v>
      </c>
      <c r="AU824" s="10" t="s">
        <v>50</v>
      </c>
      <c r="AV824" s="11"/>
      <c r="AW824" s="10" t="s">
        <v>66</v>
      </c>
      <c r="AX824" s="10"/>
      <c r="AY824" s="10" t="s">
        <v>66</v>
      </c>
    </row>
    <row r="825" ht="22.5" hidden="1" customHeight="1">
      <c r="A825" s="9" t="s">
        <v>8579</v>
      </c>
      <c r="B825" s="10" t="s">
        <v>8580</v>
      </c>
      <c r="C825" s="10" t="s">
        <v>43</v>
      </c>
      <c r="D825" s="10" t="s">
        <v>7530</v>
      </c>
      <c r="E825" s="10" t="s">
        <v>66</v>
      </c>
      <c r="F825" s="11">
        <v>1.0</v>
      </c>
      <c r="G825" s="11">
        <v>120.0</v>
      </c>
      <c r="H825" s="11">
        <v>13.45</v>
      </c>
      <c r="I825" s="11">
        <v>-20.4</v>
      </c>
      <c r="J825" s="11">
        <v>-33.4</v>
      </c>
      <c r="K825" s="11"/>
      <c r="L825" s="11">
        <v>86.85</v>
      </c>
      <c r="M825" s="10" t="s">
        <v>46</v>
      </c>
      <c r="N825" s="10" t="s">
        <v>50</v>
      </c>
      <c r="O825" s="10" t="s">
        <v>85</v>
      </c>
      <c r="P825" s="10" t="s">
        <v>86</v>
      </c>
      <c r="Q825" s="10" t="s">
        <v>87</v>
      </c>
      <c r="R825" s="10" t="s">
        <v>74</v>
      </c>
      <c r="S825" s="11">
        <v>120.0</v>
      </c>
      <c r="T825" s="11">
        <v>65.78</v>
      </c>
      <c r="U825" s="11" t="s">
        <v>51</v>
      </c>
      <c r="V825" s="10" t="s">
        <v>52</v>
      </c>
      <c r="W825" s="10" t="s">
        <v>8581</v>
      </c>
      <c r="X825" s="10" t="s">
        <v>8582</v>
      </c>
      <c r="Y825" s="10" t="s">
        <v>8583</v>
      </c>
      <c r="Z825" s="10" t="s">
        <v>50</v>
      </c>
      <c r="AA825" s="10" t="s">
        <v>50</v>
      </c>
      <c r="AB825" s="10" t="s">
        <v>8581</v>
      </c>
      <c r="AC825" s="10" t="s">
        <v>8584</v>
      </c>
      <c r="AD825" s="10" t="s">
        <v>8585</v>
      </c>
      <c r="AE825" s="10" t="s">
        <v>8586</v>
      </c>
      <c r="AF825" s="10" t="s">
        <v>2648</v>
      </c>
      <c r="AG825" s="10" t="s">
        <v>8587</v>
      </c>
      <c r="AH825" s="10" t="s">
        <v>60</v>
      </c>
      <c r="AI825" s="10" t="s">
        <v>61</v>
      </c>
      <c r="AJ825" s="10" t="s">
        <v>8369</v>
      </c>
      <c r="AK825" s="10" t="s">
        <v>8588</v>
      </c>
      <c r="AL825" s="10" t="s">
        <v>64</v>
      </c>
      <c r="AM825" s="10" t="s">
        <v>8589</v>
      </c>
      <c r="AN825" s="10" t="s">
        <v>50</v>
      </c>
      <c r="AO825" s="11" t="s">
        <v>50</v>
      </c>
      <c r="AP825" s="10" t="s">
        <v>50</v>
      </c>
      <c r="AQ825" s="10" t="s">
        <v>50</v>
      </c>
      <c r="AR825" s="10" t="s">
        <v>50</v>
      </c>
      <c r="AS825" s="10" t="s">
        <v>50</v>
      </c>
      <c r="AT825" s="10" t="s">
        <v>50</v>
      </c>
      <c r="AU825" s="10" t="s">
        <v>50</v>
      </c>
      <c r="AV825" s="11"/>
      <c r="AW825" s="10" t="s">
        <v>66</v>
      </c>
      <c r="AX825" s="10"/>
      <c r="AY825" s="10" t="s">
        <v>66</v>
      </c>
    </row>
    <row r="826" ht="22.5" hidden="1" customHeight="1">
      <c r="A826" s="9" t="s">
        <v>8590</v>
      </c>
      <c r="B826" s="10" t="s">
        <v>8580</v>
      </c>
      <c r="C826" s="10" t="s">
        <v>43</v>
      </c>
      <c r="D826" s="10" t="s">
        <v>7530</v>
      </c>
      <c r="E826" s="10" t="s">
        <v>66</v>
      </c>
      <c r="F826" s="11">
        <v>1.0</v>
      </c>
      <c r="G826" s="11">
        <v>120.0</v>
      </c>
      <c r="H826" s="11">
        <v>7.55</v>
      </c>
      <c r="I826" s="11">
        <v>-20.4</v>
      </c>
      <c r="J826" s="11">
        <v>-27.5</v>
      </c>
      <c r="K826" s="11"/>
      <c r="L826" s="11">
        <v>86.85</v>
      </c>
      <c r="M826" s="10" t="s">
        <v>46</v>
      </c>
      <c r="N826" s="10" t="s">
        <v>50</v>
      </c>
      <c r="O826" s="10" t="s">
        <v>85</v>
      </c>
      <c r="P826" s="10" t="s">
        <v>86</v>
      </c>
      <c r="Q826" s="10" t="s">
        <v>87</v>
      </c>
      <c r="R826" s="10" t="s">
        <v>74</v>
      </c>
      <c r="S826" s="11">
        <v>120.0</v>
      </c>
      <c r="T826" s="11">
        <v>65.78</v>
      </c>
      <c r="U826" s="11" t="s">
        <v>51</v>
      </c>
      <c r="V826" s="10" t="s">
        <v>52</v>
      </c>
      <c r="W826" s="10" t="s">
        <v>8591</v>
      </c>
      <c r="X826" s="10" t="s">
        <v>8592</v>
      </c>
      <c r="Y826" s="10" t="s">
        <v>8593</v>
      </c>
      <c r="Z826" s="10" t="s">
        <v>50</v>
      </c>
      <c r="AA826" s="10" t="s">
        <v>50</v>
      </c>
      <c r="AB826" s="10" t="s">
        <v>8591</v>
      </c>
      <c r="AC826" s="10" t="s">
        <v>8594</v>
      </c>
      <c r="AD826" s="10" t="s">
        <v>8595</v>
      </c>
      <c r="AE826" s="10" t="s">
        <v>1416</v>
      </c>
      <c r="AF826" s="10" t="s">
        <v>1417</v>
      </c>
      <c r="AG826" s="10" t="s">
        <v>8596</v>
      </c>
      <c r="AH826" s="10" t="s">
        <v>60</v>
      </c>
      <c r="AI826" s="10" t="s">
        <v>61</v>
      </c>
      <c r="AJ826" s="10" t="s">
        <v>8273</v>
      </c>
      <c r="AK826" s="10" t="s">
        <v>8597</v>
      </c>
      <c r="AL826" s="10" t="s">
        <v>64</v>
      </c>
      <c r="AM826" s="10" t="s">
        <v>8598</v>
      </c>
      <c r="AN826" s="10" t="s">
        <v>50</v>
      </c>
      <c r="AO826" s="11" t="s">
        <v>50</v>
      </c>
      <c r="AP826" s="10" t="s">
        <v>50</v>
      </c>
      <c r="AQ826" s="10" t="s">
        <v>50</v>
      </c>
      <c r="AR826" s="10" t="s">
        <v>50</v>
      </c>
      <c r="AS826" s="10" t="s">
        <v>50</v>
      </c>
      <c r="AT826" s="10" t="s">
        <v>50</v>
      </c>
      <c r="AU826" s="10" t="s">
        <v>50</v>
      </c>
      <c r="AV826" s="11"/>
      <c r="AW826" s="10" t="s">
        <v>66</v>
      </c>
      <c r="AX826" s="10"/>
      <c r="AY826" s="10" t="s">
        <v>66</v>
      </c>
    </row>
    <row r="827" ht="22.5" hidden="1" customHeight="1">
      <c r="A827" s="9" t="s">
        <v>8599</v>
      </c>
      <c r="B827" s="10" t="s">
        <v>8600</v>
      </c>
      <c r="C827" s="10" t="s">
        <v>69</v>
      </c>
      <c r="D827" s="10" t="s">
        <v>402</v>
      </c>
      <c r="E827" s="10" t="s">
        <v>66</v>
      </c>
      <c r="F827" s="11">
        <v>1.0</v>
      </c>
      <c r="G827" s="11">
        <v>120.0</v>
      </c>
      <c r="H827" s="11">
        <v>13.45</v>
      </c>
      <c r="I827" s="11">
        <v>-20.4</v>
      </c>
      <c r="J827" s="11">
        <v>-33.4</v>
      </c>
      <c r="K827" s="11">
        <v>-86.85</v>
      </c>
      <c r="L827" s="11">
        <v>0.0</v>
      </c>
      <c r="M827" s="10" t="s">
        <v>46</v>
      </c>
      <c r="N827" s="10" t="s">
        <v>50</v>
      </c>
      <c r="O827" s="10" t="s">
        <v>85</v>
      </c>
      <c r="P827" s="10" t="s">
        <v>86</v>
      </c>
      <c r="Q827" s="10" t="s">
        <v>87</v>
      </c>
      <c r="R827" s="10" t="s">
        <v>74</v>
      </c>
      <c r="S827" s="11">
        <v>120.0</v>
      </c>
      <c r="T827" s="11"/>
      <c r="U827" s="11" t="s">
        <v>51</v>
      </c>
      <c r="V827" s="10" t="s">
        <v>75</v>
      </c>
      <c r="W827" s="10" t="s">
        <v>8581</v>
      </c>
      <c r="X827" s="10" t="s">
        <v>8582</v>
      </c>
      <c r="Y827" s="10" t="s">
        <v>8583</v>
      </c>
      <c r="Z827" s="10" t="s">
        <v>50</v>
      </c>
      <c r="AA827" s="10" t="s">
        <v>50</v>
      </c>
      <c r="AB827" s="10" t="s">
        <v>8581</v>
      </c>
      <c r="AC827" s="10" t="s">
        <v>8584</v>
      </c>
      <c r="AD827" s="10" t="s">
        <v>50</v>
      </c>
      <c r="AE827" s="10" t="s">
        <v>8586</v>
      </c>
      <c r="AF827" s="10" t="s">
        <v>2648</v>
      </c>
      <c r="AG827" s="10" t="s">
        <v>8587</v>
      </c>
      <c r="AH827" s="10" t="s">
        <v>60</v>
      </c>
      <c r="AI827" s="10" t="s">
        <v>61</v>
      </c>
      <c r="AJ827" s="10" t="s">
        <v>50</v>
      </c>
      <c r="AK827" s="10" t="s">
        <v>50</v>
      </c>
      <c r="AL827" s="10" t="s">
        <v>64</v>
      </c>
      <c r="AM827" s="10" t="s">
        <v>50</v>
      </c>
      <c r="AN827" s="10" t="s">
        <v>50</v>
      </c>
      <c r="AO827" s="11" t="s">
        <v>50</v>
      </c>
      <c r="AP827" s="10" t="s">
        <v>50</v>
      </c>
      <c r="AQ827" s="10" t="s">
        <v>50</v>
      </c>
      <c r="AR827" s="10" t="s">
        <v>50</v>
      </c>
      <c r="AS827" s="10" t="s">
        <v>50</v>
      </c>
      <c r="AT827" s="10" t="s">
        <v>50</v>
      </c>
      <c r="AU827" s="10" t="s">
        <v>50</v>
      </c>
      <c r="AV827" s="11"/>
      <c r="AW827" s="10" t="s">
        <v>66</v>
      </c>
      <c r="AX827" s="10"/>
      <c r="AY827" s="10" t="s">
        <v>66</v>
      </c>
    </row>
    <row r="828" ht="22.5" hidden="1" customHeight="1">
      <c r="A828" s="9" t="s">
        <v>8601</v>
      </c>
      <c r="B828" s="10" t="s">
        <v>8602</v>
      </c>
      <c r="C828" s="10" t="s">
        <v>43</v>
      </c>
      <c r="D828" s="10" t="s">
        <v>7750</v>
      </c>
      <c r="E828" s="10" t="s">
        <v>45</v>
      </c>
      <c r="F828" s="11">
        <v>2.0</v>
      </c>
      <c r="G828" s="11">
        <v>96.0</v>
      </c>
      <c r="H828" s="11"/>
      <c r="I828" s="11">
        <v>-28.32</v>
      </c>
      <c r="J828" s="11"/>
      <c r="K828" s="11"/>
      <c r="L828" s="11">
        <v>67.68</v>
      </c>
      <c r="M828" s="10" t="s">
        <v>46</v>
      </c>
      <c r="N828" s="10" t="s">
        <v>50</v>
      </c>
      <c r="O828" s="10" t="s">
        <v>4556</v>
      </c>
      <c r="P828" s="10" t="s">
        <v>4557</v>
      </c>
      <c r="Q828" s="10" t="s">
        <v>4558</v>
      </c>
      <c r="R828" s="10" t="s">
        <v>74</v>
      </c>
      <c r="S828" s="11">
        <v>48.0</v>
      </c>
      <c r="T828" s="11">
        <v>8.73</v>
      </c>
      <c r="U828" s="11" t="s">
        <v>51</v>
      </c>
      <c r="V828" s="10" t="s">
        <v>52</v>
      </c>
      <c r="W828" s="10" t="s">
        <v>8603</v>
      </c>
      <c r="X828" s="10" t="s">
        <v>8604</v>
      </c>
      <c r="Y828" s="10" t="s">
        <v>8605</v>
      </c>
      <c r="Z828" s="10" t="s">
        <v>50</v>
      </c>
      <c r="AA828" s="10" t="s">
        <v>50</v>
      </c>
      <c r="AB828" s="10" t="s">
        <v>8603</v>
      </c>
      <c r="AC828" s="10" t="s">
        <v>8606</v>
      </c>
      <c r="AD828" s="10" t="s">
        <v>8607</v>
      </c>
      <c r="AE828" s="10" t="s">
        <v>8608</v>
      </c>
      <c r="AF828" s="10" t="s">
        <v>58</v>
      </c>
      <c r="AG828" s="10" t="s">
        <v>8609</v>
      </c>
      <c r="AH828" s="10" t="s">
        <v>60</v>
      </c>
      <c r="AI828" s="10" t="s">
        <v>61</v>
      </c>
      <c r="AJ828" s="10" t="s">
        <v>8392</v>
      </c>
      <c r="AK828" s="10" t="s">
        <v>8610</v>
      </c>
      <c r="AL828" s="10" t="s">
        <v>64</v>
      </c>
      <c r="AM828" s="10" t="s">
        <v>8611</v>
      </c>
      <c r="AN828" s="10" t="s">
        <v>50</v>
      </c>
      <c r="AO828" s="11" t="s">
        <v>50</v>
      </c>
      <c r="AP828" s="10" t="s">
        <v>50</v>
      </c>
      <c r="AQ828" s="10" t="s">
        <v>50</v>
      </c>
      <c r="AR828" s="10" t="s">
        <v>50</v>
      </c>
      <c r="AS828" s="10" t="s">
        <v>50</v>
      </c>
      <c r="AT828" s="10" t="s">
        <v>50</v>
      </c>
      <c r="AU828" s="10" t="s">
        <v>50</v>
      </c>
      <c r="AV828" s="11"/>
      <c r="AW828" s="10" t="s">
        <v>66</v>
      </c>
      <c r="AX828" s="10"/>
      <c r="AY828" s="10" t="s">
        <v>66</v>
      </c>
    </row>
    <row r="829" ht="22.5" hidden="1" customHeight="1">
      <c r="A829" s="9" t="s">
        <v>8612</v>
      </c>
      <c r="B829" s="10" t="s">
        <v>8613</v>
      </c>
      <c r="C829" s="10" t="s">
        <v>43</v>
      </c>
      <c r="D829" s="10" t="s">
        <v>7750</v>
      </c>
      <c r="E829" s="10" t="s">
        <v>66</v>
      </c>
      <c r="F829" s="11">
        <v>1.0</v>
      </c>
      <c r="G829" s="11">
        <v>120.0</v>
      </c>
      <c r="H829" s="11"/>
      <c r="I829" s="11">
        <v>-20.4</v>
      </c>
      <c r="J829" s="11">
        <v>-19.95</v>
      </c>
      <c r="K829" s="11"/>
      <c r="L829" s="11">
        <v>86.85</v>
      </c>
      <c r="M829" s="10" t="s">
        <v>46</v>
      </c>
      <c r="N829" s="10" t="s">
        <v>50</v>
      </c>
      <c r="O829" s="10" t="s">
        <v>85</v>
      </c>
      <c r="P829" s="10" t="s">
        <v>86</v>
      </c>
      <c r="Q829" s="10" t="s">
        <v>87</v>
      </c>
      <c r="R829" s="10" t="s">
        <v>74</v>
      </c>
      <c r="S829" s="11">
        <v>120.0</v>
      </c>
      <c r="T829" s="11">
        <v>65.78</v>
      </c>
      <c r="U829" s="11" t="s">
        <v>51</v>
      </c>
      <c r="V829" s="10" t="s">
        <v>52</v>
      </c>
      <c r="W829" s="10" t="s">
        <v>8614</v>
      </c>
      <c r="X829" s="10" t="s">
        <v>8615</v>
      </c>
      <c r="Y829" s="10" t="s">
        <v>8616</v>
      </c>
      <c r="Z829" s="10" t="s">
        <v>50</v>
      </c>
      <c r="AA829" s="10" t="s">
        <v>50</v>
      </c>
      <c r="AB829" s="10" t="s">
        <v>8614</v>
      </c>
      <c r="AC829" s="10" t="s">
        <v>8617</v>
      </c>
      <c r="AD829" s="10" t="s">
        <v>8618</v>
      </c>
      <c r="AE829" s="10" t="s">
        <v>504</v>
      </c>
      <c r="AF829" s="10" t="s">
        <v>323</v>
      </c>
      <c r="AG829" s="10" t="s">
        <v>8619</v>
      </c>
      <c r="AH829" s="10" t="s">
        <v>60</v>
      </c>
      <c r="AI829" s="10" t="s">
        <v>61</v>
      </c>
      <c r="AJ829" s="10" t="s">
        <v>8297</v>
      </c>
      <c r="AK829" s="10" t="s">
        <v>8620</v>
      </c>
      <c r="AL829" s="10" t="s">
        <v>64</v>
      </c>
      <c r="AM829" s="10" t="s">
        <v>8621</v>
      </c>
      <c r="AN829" s="10" t="s">
        <v>50</v>
      </c>
      <c r="AO829" s="11" t="s">
        <v>50</v>
      </c>
      <c r="AP829" s="10" t="s">
        <v>50</v>
      </c>
      <c r="AQ829" s="10" t="s">
        <v>50</v>
      </c>
      <c r="AR829" s="10" t="s">
        <v>50</v>
      </c>
      <c r="AS829" s="10" t="s">
        <v>50</v>
      </c>
      <c r="AT829" s="10" t="s">
        <v>50</v>
      </c>
      <c r="AU829" s="10" t="s">
        <v>50</v>
      </c>
      <c r="AV829" s="11"/>
      <c r="AW829" s="10" t="s">
        <v>66</v>
      </c>
      <c r="AX829" s="10"/>
      <c r="AY829" s="10" t="s">
        <v>66</v>
      </c>
    </row>
    <row r="830" ht="22.5" hidden="1" customHeight="1">
      <c r="A830" s="12" t="s">
        <v>8622</v>
      </c>
      <c r="B830" s="13" t="s">
        <v>8623</v>
      </c>
      <c r="C830" s="13" t="s">
        <v>747</v>
      </c>
      <c r="D830" s="13" t="s">
        <v>50</v>
      </c>
      <c r="E830" s="13" t="s">
        <v>50</v>
      </c>
      <c r="F830" s="14"/>
      <c r="G830" s="14">
        <v>199.0</v>
      </c>
      <c r="H830" s="14"/>
      <c r="I830" s="14">
        <v>-33.83</v>
      </c>
      <c r="J830" s="14">
        <v>-39.9</v>
      </c>
      <c r="K830" s="14"/>
      <c r="L830" s="14">
        <v>132.47</v>
      </c>
      <c r="M830" s="13" t="s">
        <v>46</v>
      </c>
      <c r="N830" s="13" t="s">
        <v>50</v>
      </c>
      <c r="O830" s="13" t="s">
        <v>50</v>
      </c>
      <c r="P830" s="13" t="s">
        <v>50</v>
      </c>
      <c r="Q830" s="13" t="s">
        <v>50</v>
      </c>
      <c r="R830" s="13" t="s">
        <v>50</v>
      </c>
      <c r="S830" s="14"/>
      <c r="T830" s="14"/>
      <c r="U830" s="14" t="s">
        <v>50</v>
      </c>
      <c r="V830" s="13" t="s">
        <v>52</v>
      </c>
      <c r="W830" s="13" t="s">
        <v>8624</v>
      </c>
      <c r="X830" s="13" t="s">
        <v>8625</v>
      </c>
      <c r="Y830" s="13" t="s">
        <v>8626</v>
      </c>
      <c r="Z830" s="13" t="s">
        <v>50</v>
      </c>
      <c r="AA830" s="13" t="s">
        <v>50</v>
      </c>
      <c r="AB830" s="13" t="s">
        <v>8624</v>
      </c>
      <c r="AC830" s="13" t="s">
        <v>8627</v>
      </c>
      <c r="AD830" s="13" t="s">
        <v>8628</v>
      </c>
      <c r="AE830" s="13" t="s">
        <v>8629</v>
      </c>
      <c r="AF830" s="13" t="s">
        <v>1593</v>
      </c>
      <c r="AG830" s="13" t="s">
        <v>8630</v>
      </c>
      <c r="AH830" s="13" t="s">
        <v>60</v>
      </c>
      <c r="AI830" s="13" t="s">
        <v>61</v>
      </c>
      <c r="AJ830" s="13" t="s">
        <v>8211</v>
      </c>
      <c r="AK830" s="13" t="s">
        <v>8631</v>
      </c>
      <c r="AL830" s="13" t="s">
        <v>64</v>
      </c>
      <c r="AM830" s="13" t="s">
        <v>8632</v>
      </c>
      <c r="AN830" s="13" t="s">
        <v>50</v>
      </c>
      <c r="AO830" s="15" t="s">
        <v>50</v>
      </c>
      <c r="AP830" s="13" t="s">
        <v>50</v>
      </c>
      <c r="AQ830" s="13" t="s">
        <v>50</v>
      </c>
      <c r="AR830" s="13" t="s">
        <v>50</v>
      </c>
      <c r="AS830" s="13" t="s">
        <v>50</v>
      </c>
      <c r="AT830" s="13" t="s">
        <v>50</v>
      </c>
      <c r="AU830" s="13" t="s">
        <v>50</v>
      </c>
      <c r="AV830" s="15"/>
      <c r="AW830" s="13" t="s">
        <v>50</v>
      </c>
      <c r="AX830" s="13"/>
      <c r="AY830" s="13" t="s">
        <v>50</v>
      </c>
    </row>
    <row r="831" ht="22.5" hidden="1" customHeight="1">
      <c r="A831" s="16" t="s">
        <v>8633</v>
      </c>
      <c r="B831" s="17" t="s">
        <v>8623</v>
      </c>
      <c r="C831" s="17" t="s">
        <v>43</v>
      </c>
      <c r="D831" s="17" t="s">
        <v>5357</v>
      </c>
      <c r="E831" s="17" t="s">
        <v>45</v>
      </c>
      <c r="F831" s="18">
        <v>1.0</v>
      </c>
      <c r="G831" s="18"/>
      <c r="H831" s="18"/>
      <c r="I831" s="18"/>
      <c r="J831" s="18"/>
      <c r="K831" s="18"/>
      <c r="L831" s="18"/>
      <c r="M831" s="17" t="s">
        <v>50</v>
      </c>
      <c r="N831" s="17" t="s">
        <v>45</v>
      </c>
      <c r="O831" s="17" t="s">
        <v>85</v>
      </c>
      <c r="P831" s="17" t="s">
        <v>86</v>
      </c>
      <c r="Q831" s="17" t="s">
        <v>87</v>
      </c>
      <c r="R831" s="17" t="s">
        <v>74</v>
      </c>
      <c r="S831" s="18">
        <v>120.0</v>
      </c>
      <c r="T831" s="18">
        <v>65.78</v>
      </c>
      <c r="U831" s="18" t="s">
        <v>51</v>
      </c>
      <c r="V831" s="17" t="s">
        <v>50</v>
      </c>
      <c r="W831" s="17" t="s">
        <v>50</v>
      </c>
      <c r="X831" s="17" t="s">
        <v>50</v>
      </c>
      <c r="Y831" s="17" t="s">
        <v>50</v>
      </c>
      <c r="Z831" s="17" t="s">
        <v>50</v>
      </c>
      <c r="AA831" s="17" t="s">
        <v>50</v>
      </c>
      <c r="AB831" s="17" t="s">
        <v>50</v>
      </c>
      <c r="AC831" s="17" t="s">
        <v>50</v>
      </c>
      <c r="AD831" s="17" t="s">
        <v>50</v>
      </c>
      <c r="AE831" s="17" t="s">
        <v>50</v>
      </c>
      <c r="AF831" s="17" t="s">
        <v>50</v>
      </c>
      <c r="AG831" s="17" t="s">
        <v>50</v>
      </c>
      <c r="AH831" s="17" t="s">
        <v>50</v>
      </c>
      <c r="AI831" s="17" t="s">
        <v>50</v>
      </c>
      <c r="AJ831" s="17" t="s">
        <v>50</v>
      </c>
      <c r="AK831" s="17" t="s">
        <v>50</v>
      </c>
      <c r="AL831" s="17" t="s">
        <v>50</v>
      </c>
      <c r="AM831" s="17" t="s">
        <v>50</v>
      </c>
      <c r="AN831" s="17" t="s">
        <v>50</v>
      </c>
      <c r="AO831" s="18" t="s">
        <v>50</v>
      </c>
      <c r="AP831" s="17" t="s">
        <v>50</v>
      </c>
      <c r="AQ831" s="17" t="s">
        <v>50</v>
      </c>
      <c r="AR831" s="17" t="s">
        <v>50</v>
      </c>
      <c r="AS831" s="17" t="s">
        <v>50</v>
      </c>
      <c r="AT831" s="17" t="s">
        <v>50</v>
      </c>
      <c r="AU831" s="17" t="s">
        <v>50</v>
      </c>
      <c r="AV831" s="18"/>
      <c r="AW831" s="17" t="s">
        <v>66</v>
      </c>
      <c r="AX831" s="17"/>
      <c r="AY831" s="17" t="s">
        <v>66</v>
      </c>
    </row>
    <row r="832" ht="22.5" hidden="1" customHeight="1">
      <c r="A832" s="16" t="s">
        <v>8634</v>
      </c>
      <c r="B832" s="17" t="s">
        <v>8623</v>
      </c>
      <c r="C832" s="17" t="s">
        <v>43</v>
      </c>
      <c r="D832" s="17" t="s">
        <v>5357</v>
      </c>
      <c r="E832" s="17" t="s">
        <v>45</v>
      </c>
      <c r="F832" s="18">
        <v>1.0</v>
      </c>
      <c r="G832" s="18"/>
      <c r="H832" s="18"/>
      <c r="I832" s="18"/>
      <c r="J832" s="18"/>
      <c r="K832" s="18"/>
      <c r="L832" s="18"/>
      <c r="M832" s="17" t="s">
        <v>50</v>
      </c>
      <c r="N832" s="17" t="s">
        <v>45</v>
      </c>
      <c r="O832" s="17" t="s">
        <v>766</v>
      </c>
      <c r="P832" s="17" t="s">
        <v>767</v>
      </c>
      <c r="Q832" s="17" t="s">
        <v>768</v>
      </c>
      <c r="R832" s="17" t="s">
        <v>74</v>
      </c>
      <c r="S832" s="18">
        <v>79.0</v>
      </c>
      <c r="T832" s="18">
        <v>13.62</v>
      </c>
      <c r="U832" s="18" t="s">
        <v>51</v>
      </c>
      <c r="V832" s="17" t="s">
        <v>50</v>
      </c>
      <c r="W832" s="17" t="s">
        <v>50</v>
      </c>
      <c r="X832" s="17" t="s">
        <v>50</v>
      </c>
      <c r="Y832" s="17" t="s">
        <v>50</v>
      </c>
      <c r="Z832" s="17" t="s">
        <v>50</v>
      </c>
      <c r="AA832" s="17" t="s">
        <v>50</v>
      </c>
      <c r="AB832" s="17" t="s">
        <v>50</v>
      </c>
      <c r="AC832" s="17" t="s">
        <v>50</v>
      </c>
      <c r="AD832" s="17" t="s">
        <v>50</v>
      </c>
      <c r="AE832" s="17" t="s">
        <v>50</v>
      </c>
      <c r="AF832" s="17" t="s">
        <v>50</v>
      </c>
      <c r="AG832" s="17" t="s">
        <v>50</v>
      </c>
      <c r="AH832" s="17" t="s">
        <v>50</v>
      </c>
      <c r="AI832" s="17" t="s">
        <v>50</v>
      </c>
      <c r="AJ832" s="17" t="s">
        <v>50</v>
      </c>
      <c r="AK832" s="17" t="s">
        <v>50</v>
      </c>
      <c r="AL832" s="17" t="s">
        <v>50</v>
      </c>
      <c r="AM832" s="17" t="s">
        <v>50</v>
      </c>
      <c r="AN832" s="17" t="s">
        <v>50</v>
      </c>
      <c r="AO832" s="18" t="s">
        <v>50</v>
      </c>
      <c r="AP832" s="17" t="s">
        <v>50</v>
      </c>
      <c r="AQ832" s="17" t="s">
        <v>50</v>
      </c>
      <c r="AR832" s="17" t="s">
        <v>50</v>
      </c>
      <c r="AS832" s="17" t="s">
        <v>50</v>
      </c>
      <c r="AT832" s="17" t="s">
        <v>50</v>
      </c>
      <c r="AU832" s="17" t="s">
        <v>50</v>
      </c>
      <c r="AV832" s="18"/>
      <c r="AW832" s="17" t="s">
        <v>66</v>
      </c>
      <c r="AX832" s="17"/>
      <c r="AY832" s="17" t="s">
        <v>66</v>
      </c>
    </row>
    <row r="833" ht="22.5" hidden="1" customHeight="1">
      <c r="A833" s="9" t="s">
        <v>8635</v>
      </c>
      <c r="B833" s="10" t="s">
        <v>8636</v>
      </c>
      <c r="C833" s="10" t="s">
        <v>43</v>
      </c>
      <c r="D833" s="10" t="s">
        <v>7518</v>
      </c>
      <c r="E833" s="10" t="s">
        <v>66</v>
      </c>
      <c r="F833" s="11">
        <v>1.0</v>
      </c>
      <c r="G833" s="11">
        <v>120.0</v>
      </c>
      <c r="H833" s="11"/>
      <c r="I833" s="11">
        <v>-20.4</v>
      </c>
      <c r="J833" s="11">
        <v>-19.95</v>
      </c>
      <c r="K833" s="11"/>
      <c r="L833" s="11">
        <v>86.85</v>
      </c>
      <c r="M833" s="10" t="s">
        <v>46</v>
      </c>
      <c r="N833" s="10" t="s">
        <v>50</v>
      </c>
      <c r="O833" s="10" t="s">
        <v>85</v>
      </c>
      <c r="P833" s="10" t="s">
        <v>86</v>
      </c>
      <c r="Q833" s="10" t="s">
        <v>87</v>
      </c>
      <c r="R833" s="10" t="s">
        <v>74</v>
      </c>
      <c r="S833" s="11">
        <v>120.0</v>
      </c>
      <c r="T833" s="11">
        <v>65.78</v>
      </c>
      <c r="U833" s="11" t="s">
        <v>51</v>
      </c>
      <c r="V833" s="10" t="s">
        <v>52</v>
      </c>
      <c r="W833" s="10" t="s">
        <v>8637</v>
      </c>
      <c r="X833" s="10" t="s">
        <v>8638</v>
      </c>
      <c r="Y833" s="10" t="s">
        <v>8639</v>
      </c>
      <c r="Z833" s="10" t="s">
        <v>50</v>
      </c>
      <c r="AA833" s="10" t="s">
        <v>50</v>
      </c>
      <c r="AB833" s="10" t="s">
        <v>8637</v>
      </c>
      <c r="AC833" s="10" t="s">
        <v>8640</v>
      </c>
      <c r="AD833" s="10" t="s">
        <v>8641</v>
      </c>
      <c r="AE833" s="10" t="s">
        <v>8642</v>
      </c>
      <c r="AF833" s="10" t="s">
        <v>185</v>
      </c>
      <c r="AG833" s="10" t="s">
        <v>8643</v>
      </c>
      <c r="AH833" s="10" t="s">
        <v>60</v>
      </c>
      <c r="AI833" s="10" t="s">
        <v>61</v>
      </c>
      <c r="AJ833" s="10" t="s">
        <v>8273</v>
      </c>
      <c r="AK833" s="10" t="s">
        <v>8644</v>
      </c>
      <c r="AL833" s="10" t="s">
        <v>64</v>
      </c>
      <c r="AM833" s="10" t="s">
        <v>8645</v>
      </c>
      <c r="AN833" s="10" t="s">
        <v>50</v>
      </c>
      <c r="AO833" s="11" t="s">
        <v>50</v>
      </c>
      <c r="AP833" s="10" t="s">
        <v>50</v>
      </c>
      <c r="AQ833" s="10" t="s">
        <v>50</v>
      </c>
      <c r="AR833" s="10" t="s">
        <v>50</v>
      </c>
      <c r="AS833" s="10" t="s">
        <v>50</v>
      </c>
      <c r="AT833" s="10" t="s">
        <v>50</v>
      </c>
      <c r="AU833" s="10" t="s">
        <v>50</v>
      </c>
      <c r="AV833" s="11"/>
      <c r="AW833" s="10" t="s">
        <v>66</v>
      </c>
      <c r="AX833" s="10"/>
      <c r="AY833" s="10" t="s">
        <v>66</v>
      </c>
    </row>
    <row r="834" ht="22.5" hidden="1" customHeight="1">
      <c r="A834" s="9" t="s">
        <v>8646</v>
      </c>
      <c r="B834" s="10" t="s">
        <v>8647</v>
      </c>
      <c r="C834" s="10" t="s">
        <v>43</v>
      </c>
      <c r="D834" s="10" t="s">
        <v>7693</v>
      </c>
      <c r="E834" s="10" t="s">
        <v>66</v>
      </c>
      <c r="F834" s="11">
        <v>1.0</v>
      </c>
      <c r="G834" s="11">
        <v>120.0</v>
      </c>
      <c r="H834" s="11"/>
      <c r="I834" s="11">
        <v>-20.4</v>
      </c>
      <c r="J834" s="11">
        <v>-19.95</v>
      </c>
      <c r="K834" s="11"/>
      <c r="L834" s="11">
        <v>86.85</v>
      </c>
      <c r="M834" s="10" t="s">
        <v>46</v>
      </c>
      <c r="N834" s="10" t="s">
        <v>50</v>
      </c>
      <c r="O834" s="10" t="s">
        <v>85</v>
      </c>
      <c r="P834" s="10" t="s">
        <v>86</v>
      </c>
      <c r="Q834" s="10" t="s">
        <v>87</v>
      </c>
      <c r="R834" s="10" t="s">
        <v>74</v>
      </c>
      <c r="S834" s="11">
        <v>120.0</v>
      </c>
      <c r="T834" s="11">
        <v>65.78</v>
      </c>
      <c r="U834" s="11" t="s">
        <v>51</v>
      </c>
      <c r="V834" s="10" t="s">
        <v>52</v>
      </c>
      <c r="W834" s="10" t="s">
        <v>8648</v>
      </c>
      <c r="X834" s="10" t="s">
        <v>8649</v>
      </c>
      <c r="Y834" s="10" t="s">
        <v>8650</v>
      </c>
      <c r="Z834" s="10" t="s">
        <v>50</v>
      </c>
      <c r="AA834" s="10" t="s">
        <v>50</v>
      </c>
      <c r="AB834" s="10" t="s">
        <v>8648</v>
      </c>
      <c r="AC834" s="10" t="s">
        <v>8651</v>
      </c>
      <c r="AD834" s="10" t="s">
        <v>8652</v>
      </c>
      <c r="AE834" s="10" t="s">
        <v>8653</v>
      </c>
      <c r="AF834" s="10" t="s">
        <v>775</v>
      </c>
      <c r="AG834" s="10" t="s">
        <v>8654</v>
      </c>
      <c r="AH834" s="10" t="s">
        <v>60</v>
      </c>
      <c r="AI834" s="10" t="s">
        <v>61</v>
      </c>
      <c r="AJ834" s="10" t="s">
        <v>8369</v>
      </c>
      <c r="AK834" s="10" t="s">
        <v>8655</v>
      </c>
      <c r="AL834" s="10" t="s">
        <v>64</v>
      </c>
      <c r="AM834" s="10" t="s">
        <v>8656</v>
      </c>
      <c r="AN834" s="10" t="s">
        <v>50</v>
      </c>
      <c r="AO834" s="11" t="s">
        <v>50</v>
      </c>
      <c r="AP834" s="10" t="s">
        <v>50</v>
      </c>
      <c r="AQ834" s="10" t="s">
        <v>50</v>
      </c>
      <c r="AR834" s="10" t="s">
        <v>50</v>
      </c>
      <c r="AS834" s="10" t="s">
        <v>50</v>
      </c>
      <c r="AT834" s="10" t="s">
        <v>50</v>
      </c>
      <c r="AU834" s="10" t="s">
        <v>50</v>
      </c>
      <c r="AV834" s="11"/>
      <c r="AW834" s="10" t="s">
        <v>66</v>
      </c>
      <c r="AX834" s="10"/>
      <c r="AY834" s="10" t="s">
        <v>66</v>
      </c>
    </row>
    <row r="835" ht="22.5" hidden="1" customHeight="1">
      <c r="A835" s="9" t="s">
        <v>8657</v>
      </c>
      <c r="B835" s="10" t="s">
        <v>8658</v>
      </c>
      <c r="C835" s="10" t="s">
        <v>43</v>
      </c>
      <c r="D835" s="10" t="s">
        <v>7750</v>
      </c>
      <c r="E835" s="10" t="s">
        <v>45</v>
      </c>
      <c r="F835" s="11">
        <v>1.0</v>
      </c>
      <c r="G835" s="11">
        <v>79.2</v>
      </c>
      <c r="H835" s="11"/>
      <c r="I835" s="11">
        <v>-13.46</v>
      </c>
      <c r="J835" s="11">
        <v>-20.45</v>
      </c>
      <c r="K835" s="11"/>
      <c r="L835" s="11">
        <v>45.29</v>
      </c>
      <c r="M835" s="10" t="s">
        <v>46</v>
      </c>
      <c r="N835" s="10" t="s">
        <v>45</v>
      </c>
      <c r="O835" s="10" t="s">
        <v>892</v>
      </c>
      <c r="P835" s="10" t="s">
        <v>893</v>
      </c>
      <c r="Q835" s="10" t="s">
        <v>894</v>
      </c>
      <c r="R835" s="10" t="s">
        <v>74</v>
      </c>
      <c r="S835" s="11">
        <v>79.2</v>
      </c>
      <c r="T835" s="11">
        <v>2.97</v>
      </c>
      <c r="U835" s="11" t="s">
        <v>51</v>
      </c>
      <c r="V835" s="10" t="s">
        <v>52</v>
      </c>
      <c r="W835" s="10" t="s">
        <v>8659</v>
      </c>
      <c r="X835" s="10" t="s">
        <v>8660</v>
      </c>
      <c r="Y835" s="10" t="s">
        <v>8661</v>
      </c>
      <c r="Z835" s="10" t="s">
        <v>50</v>
      </c>
      <c r="AA835" s="10" t="s">
        <v>50</v>
      </c>
      <c r="AB835" s="10" t="s">
        <v>8659</v>
      </c>
      <c r="AC835" s="10" t="s">
        <v>8662</v>
      </c>
      <c r="AD835" s="10" t="s">
        <v>8663</v>
      </c>
      <c r="AE835" s="10" t="s">
        <v>3830</v>
      </c>
      <c r="AF835" s="10" t="s">
        <v>58</v>
      </c>
      <c r="AG835" s="10" t="s">
        <v>8664</v>
      </c>
      <c r="AH835" s="10" t="s">
        <v>60</v>
      </c>
      <c r="AI835" s="10" t="s">
        <v>61</v>
      </c>
      <c r="AJ835" s="10" t="s">
        <v>8239</v>
      </c>
      <c r="AK835" s="10" t="s">
        <v>8665</v>
      </c>
      <c r="AL835" s="10" t="s">
        <v>64</v>
      </c>
      <c r="AM835" s="10" t="s">
        <v>8666</v>
      </c>
      <c r="AN835" s="10" t="s">
        <v>50</v>
      </c>
      <c r="AO835" s="11" t="s">
        <v>50</v>
      </c>
      <c r="AP835" s="10" t="s">
        <v>50</v>
      </c>
      <c r="AQ835" s="10" t="s">
        <v>50</v>
      </c>
      <c r="AR835" s="10" t="s">
        <v>50</v>
      </c>
      <c r="AS835" s="10" t="s">
        <v>50</v>
      </c>
      <c r="AT835" s="10" t="s">
        <v>50</v>
      </c>
      <c r="AU835" s="10" t="s">
        <v>50</v>
      </c>
      <c r="AV835" s="11"/>
      <c r="AW835" s="10" t="s">
        <v>66</v>
      </c>
      <c r="AX835" s="10"/>
      <c r="AY835" s="10" t="s">
        <v>66</v>
      </c>
    </row>
    <row r="836" ht="22.5" hidden="1" customHeight="1">
      <c r="A836" s="12" t="s">
        <v>8667</v>
      </c>
      <c r="B836" s="13" t="s">
        <v>8668</v>
      </c>
      <c r="C836" s="13" t="s">
        <v>747</v>
      </c>
      <c r="D836" s="13" t="s">
        <v>50</v>
      </c>
      <c r="E836" s="13" t="s">
        <v>50</v>
      </c>
      <c r="F836" s="14"/>
      <c r="G836" s="14">
        <v>158.2</v>
      </c>
      <c r="H836" s="14"/>
      <c r="I836" s="14">
        <v>-26.89</v>
      </c>
      <c r="J836" s="14">
        <v>-40.9</v>
      </c>
      <c r="K836" s="14"/>
      <c r="L836" s="14">
        <v>90.41</v>
      </c>
      <c r="M836" s="13" t="s">
        <v>46</v>
      </c>
      <c r="N836" s="13" t="s">
        <v>50</v>
      </c>
      <c r="O836" s="13" t="s">
        <v>50</v>
      </c>
      <c r="P836" s="13" t="s">
        <v>50</v>
      </c>
      <c r="Q836" s="13" t="s">
        <v>50</v>
      </c>
      <c r="R836" s="13" t="s">
        <v>50</v>
      </c>
      <c r="S836" s="14"/>
      <c r="T836" s="14"/>
      <c r="U836" s="14" t="s">
        <v>50</v>
      </c>
      <c r="V836" s="13" t="s">
        <v>52</v>
      </c>
      <c r="W836" s="13" t="s">
        <v>8669</v>
      </c>
      <c r="X836" s="13" t="s">
        <v>8670</v>
      </c>
      <c r="Y836" s="13" t="s">
        <v>8671</v>
      </c>
      <c r="Z836" s="13" t="s">
        <v>50</v>
      </c>
      <c r="AA836" s="13" t="s">
        <v>50</v>
      </c>
      <c r="AB836" s="13" t="s">
        <v>8669</v>
      </c>
      <c r="AC836" s="13" t="s">
        <v>8672</v>
      </c>
      <c r="AD836" s="13" t="s">
        <v>8673</v>
      </c>
      <c r="AE836" s="13" t="s">
        <v>7493</v>
      </c>
      <c r="AF836" s="13" t="s">
        <v>284</v>
      </c>
      <c r="AG836" s="13" t="s">
        <v>8674</v>
      </c>
      <c r="AH836" s="13" t="s">
        <v>60</v>
      </c>
      <c r="AI836" s="13" t="s">
        <v>61</v>
      </c>
      <c r="AJ836" s="13" t="s">
        <v>8189</v>
      </c>
      <c r="AK836" s="13" t="s">
        <v>8675</v>
      </c>
      <c r="AL836" s="13" t="s">
        <v>64</v>
      </c>
      <c r="AM836" s="13" t="s">
        <v>8676</v>
      </c>
      <c r="AN836" s="13" t="s">
        <v>50</v>
      </c>
      <c r="AO836" s="15" t="s">
        <v>50</v>
      </c>
      <c r="AP836" s="13" t="s">
        <v>50</v>
      </c>
      <c r="AQ836" s="13" t="s">
        <v>50</v>
      </c>
      <c r="AR836" s="13" t="s">
        <v>50</v>
      </c>
      <c r="AS836" s="13" t="s">
        <v>50</v>
      </c>
      <c r="AT836" s="13" t="s">
        <v>50</v>
      </c>
      <c r="AU836" s="13" t="s">
        <v>50</v>
      </c>
      <c r="AV836" s="15"/>
      <c r="AW836" s="13" t="s">
        <v>50</v>
      </c>
      <c r="AX836" s="13"/>
      <c r="AY836" s="13" t="s">
        <v>50</v>
      </c>
    </row>
    <row r="837" ht="22.5" hidden="1" customHeight="1">
      <c r="A837" s="16" t="s">
        <v>8677</v>
      </c>
      <c r="B837" s="17" t="s">
        <v>8668</v>
      </c>
      <c r="C837" s="17" t="s">
        <v>43</v>
      </c>
      <c r="D837" s="17" t="s">
        <v>7518</v>
      </c>
      <c r="E837" s="17" t="s">
        <v>45</v>
      </c>
      <c r="F837" s="18">
        <v>1.0</v>
      </c>
      <c r="G837" s="18"/>
      <c r="H837" s="18"/>
      <c r="I837" s="18"/>
      <c r="J837" s="18"/>
      <c r="K837" s="18"/>
      <c r="L837" s="18"/>
      <c r="M837" s="17" t="s">
        <v>50</v>
      </c>
      <c r="N837" s="17" t="s">
        <v>45</v>
      </c>
      <c r="O837" s="17" t="s">
        <v>160</v>
      </c>
      <c r="P837" s="17" t="s">
        <v>161</v>
      </c>
      <c r="Q837" s="17" t="s">
        <v>162</v>
      </c>
      <c r="R837" s="17" t="s">
        <v>74</v>
      </c>
      <c r="S837" s="18">
        <v>79.0</v>
      </c>
      <c r="T837" s="18">
        <v>2.49</v>
      </c>
      <c r="U837" s="18" t="s">
        <v>51</v>
      </c>
      <c r="V837" s="17" t="s">
        <v>50</v>
      </c>
      <c r="W837" s="17" t="s">
        <v>50</v>
      </c>
      <c r="X837" s="17" t="s">
        <v>50</v>
      </c>
      <c r="Y837" s="17" t="s">
        <v>50</v>
      </c>
      <c r="Z837" s="17" t="s">
        <v>50</v>
      </c>
      <c r="AA837" s="17" t="s">
        <v>50</v>
      </c>
      <c r="AB837" s="17" t="s">
        <v>50</v>
      </c>
      <c r="AC837" s="17" t="s">
        <v>50</v>
      </c>
      <c r="AD837" s="17" t="s">
        <v>50</v>
      </c>
      <c r="AE837" s="17" t="s">
        <v>50</v>
      </c>
      <c r="AF837" s="17" t="s">
        <v>50</v>
      </c>
      <c r="AG837" s="17" t="s">
        <v>50</v>
      </c>
      <c r="AH837" s="17" t="s">
        <v>50</v>
      </c>
      <c r="AI837" s="17" t="s">
        <v>50</v>
      </c>
      <c r="AJ837" s="17" t="s">
        <v>50</v>
      </c>
      <c r="AK837" s="17" t="s">
        <v>50</v>
      </c>
      <c r="AL837" s="17" t="s">
        <v>50</v>
      </c>
      <c r="AM837" s="17" t="s">
        <v>50</v>
      </c>
      <c r="AN837" s="17" t="s">
        <v>50</v>
      </c>
      <c r="AO837" s="18" t="s">
        <v>50</v>
      </c>
      <c r="AP837" s="17" t="s">
        <v>50</v>
      </c>
      <c r="AQ837" s="17" t="s">
        <v>50</v>
      </c>
      <c r="AR837" s="17" t="s">
        <v>50</v>
      </c>
      <c r="AS837" s="17" t="s">
        <v>50</v>
      </c>
      <c r="AT837" s="17" t="s">
        <v>50</v>
      </c>
      <c r="AU837" s="17" t="s">
        <v>50</v>
      </c>
      <c r="AV837" s="18"/>
      <c r="AW837" s="17" t="s">
        <v>66</v>
      </c>
      <c r="AX837" s="17"/>
      <c r="AY837" s="17" t="s">
        <v>66</v>
      </c>
    </row>
    <row r="838" ht="22.5" hidden="1" customHeight="1">
      <c r="A838" s="16" t="s">
        <v>8678</v>
      </c>
      <c r="B838" s="17" t="s">
        <v>8668</v>
      </c>
      <c r="C838" s="17" t="s">
        <v>43</v>
      </c>
      <c r="D838" s="17" t="s">
        <v>7518</v>
      </c>
      <c r="E838" s="17" t="s">
        <v>45</v>
      </c>
      <c r="F838" s="18">
        <v>1.0</v>
      </c>
      <c r="G838" s="18"/>
      <c r="H838" s="18"/>
      <c r="I838" s="18"/>
      <c r="J838" s="18"/>
      <c r="K838" s="18"/>
      <c r="L838" s="18"/>
      <c r="M838" s="17" t="s">
        <v>50</v>
      </c>
      <c r="N838" s="17" t="s">
        <v>45</v>
      </c>
      <c r="O838" s="17" t="s">
        <v>892</v>
      </c>
      <c r="P838" s="17" t="s">
        <v>893</v>
      </c>
      <c r="Q838" s="17" t="s">
        <v>894</v>
      </c>
      <c r="R838" s="17" t="s">
        <v>74</v>
      </c>
      <c r="S838" s="18">
        <v>79.2</v>
      </c>
      <c r="T838" s="18">
        <v>2.97</v>
      </c>
      <c r="U838" s="18" t="s">
        <v>51</v>
      </c>
      <c r="V838" s="17" t="s">
        <v>50</v>
      </c>
      <c r="W838" s="17" t="s">
        <v>50</v>
      </c>
      <c r="X838" s="17" t="s">
        <v>50</v>
      </c>
      <c r="Y838" s="17" t="s">
        <v>50</v>
      </c>
      <c r="Z838" s="17" t="s">
        <v>50</v>
      </c>
      <c r="AA838" s="17" t="s">
        <v>50</v>
      </c>
      <c r="AB838" s="17" t="s">
        <v>50</v>
      </c>
      <c r="AC838" s="17" t="s">
        <v>50</v>
      </c>
      <c r="AD838" s="17" t="s">
        <v>50</v>
      </c>
      <c r="AE838" s="17" t="s">
        <v>50</v>
      </c>
      <c r="AF838" s="17" t="s">
        <v>50</v>
      </c>
      <c r="AG838" s="17" t="s">
        <v>50</v>
      </c>
      <c r="AH838" s="17" t="s">
        <v>50</v>
      </c>
      <c r="AI838" s="17" t="s">
        <v>50</v>
      </c>
      <c r="AJ838" s="17" t="s">
        <v>50</v>
      </c>
      <c r="AK838" s="17" t="s">
        <v>50</v>
      </c>
      <c r="AL838" s="17" t="s">
        <v>50</v>
      </c>
      <c r="AM838" s="17" t="s">
        <v>50</v>
      </c>
      <c r="AN838" s="17" t="s">
        <v>50</v>
      </c>
      <c r="AO838" s="18" t="s">
        <v>50</v>
      </c>
      <c r="AP838" s="17" t="s">
        <v>50</v>
      </c>
      <c r="AQ838" s="17" t="s">
        <v>50</v>
      </c>
      <c r="AR838" s="17" t="s">
        <v>50</v>
      </c>
      <c r="AS838" s="17" t="s">
        <v>50</v>
      </c>
      <c r="AT838" s="17" t="s">
        <v>50</v>
      </c>
      <c r="AU838" s="17" t="s">
        <v>50</v>
      </c>
      <c r="AV838" s="18"/>
      <c r="AW838" s="17" t="s">
        <v>66</v>
      </c>
      <c r="AX838" s="17"/>
      <c r="AY838" s="17" t="s">
        <v>66</v>
      </c>
    </row>
    <row r="839" ht="22.5" hidden="1" customHeight="1">
      <c r="A839" s="9" t="s">
        <v>8679</v>
      </c>
      <c r="B839" s="10" t="s">
        <v>8680</v>
      </c>
      <c r="C839" s="10" t="s">
        <v>43</v>
      </c>
      <c r="D839" s="10" t="s">
        <v>734</v>
      </c>
      <c r="E839" s="10" t="s">
        <v>66</v>
      </c>
      <c r="F839" s="11">
        <v>1.0</v>
      </c>
      <c r="G839" s="11">
        <v>43.7</v>
      </c>
      <c r="H839" s="11">
        <v>54.34</v>
      </c>
      <c r="I839" s="11">
        <v>-13.43</v>
      </c>
      <c r="J839" s="11">
        <v>-54.34</v>
      </c>
      <c r="K839" s="11"/>
      <c r="L839" s="11">
        <v>32.89</v>
      </c>
      <c r="M839" s="10" t="s">
        <v>46</v>
      </c>
      <c r="N839" s="10" t="s">
        <v>50</v>
      </c>
      <c r="O839" s="10" t="s">
        <v>176</v>
      </c>
      <c r="P839" s="10" t="s">
        <v>177</v>
      </c>
      <c r="Q839" s="10" t="s">
        <v>178</v>
      </c>
      <c r="R839" s="10" t="s">
        <v>74</v>
      </c>
      <c r="S839" s="11">
        <v>43.7</v>
      </c>
      <c r="T839" s="11">
        <v>22.58</v>
      </c>
      <c r="U839" s="11" t="s">
        <v>51</v>
      </c>
      <c r="V839" s="10" t="s">
        <v>52</v>
      </c>
      <c r="W839" s="10" t="s">
        <v>8681</v>
      </c>
      <c r="X839" s="10" t="s">
        <v>8682</v>
      </c>
      <c r="Y839" s="10" t="s">
        <v>8683</v>
      </c>
      <c r="Z839" s="10" t="s">
        <v>50</v>
      </c>
      <c r="AA839" s="10" t="s">
        <v>50</v>
      </c>
      <c r="AB839" s="10" t="s">
        <v>8681</v>
      </c>
      <c r="AC839" s="10" t="s">
        <v>8684</v>
      </c>
      <c r="AD839" s="10" t="s">
        <v>8685</v>
      </c>
      <c r="AE839" s="10" t="s">
        <v>8686</v>
      </c>
      <c r="AF839" s="10" t="s">
        <v>169</v>
      </c>
      <c r="AG839" s="10" t="s">
        <v>8687</v>
      </c>
      <c r="AH839" s="10" t="s">
        <v>60</v>
      </c>
      <c r="AI839" s="10" t="s">
        <v>61</v>
      </c>
      <c r="AJ839" s="10" t="s">
        <v>8239</v>
      </c>
      <c r="AK839" s="10" t="s">
        <v>8688</v>
      </c>
      <c r="AL839" s="10" t="s">
        <v>1025</v>
      </c>
      <c r="AM839" s="10" t="s">
        <v>8689</v>
      </c>
      <c r="AN839" s="10" t="s">
        <v>8690</v>
      </c>
      <c r="AO839" s="11" t="s">
        <v>50</v>
      </c>
      <c r="AP839" s="10" t="s">
        <v>50</v>
      </c>
      <c r="AQ839" s="10" t="s">
        <v>50</v>
      </c>
      <c r="AR839" s="10" t="s">
        <v>50</v>
      </c>
      <c r="AS839" s="10" t="s">
        <v>50</v>
      </c>
      <c r="AT839" s="10" t="s">
        <v>50</v>
      </c>
      <c r="AU839" s="10" t="s">
        <v>50</v>
      </c>
      <c r="AV839" s="11"/>
      <c r="AW839" s="10" t="s">
        <v>66</v>
      </c>
      <c r="AX839" s="10"/>
      <c r="AY839" s="10" t="s">
        <v>66</v>
      </c>
    </row>
    <row r="840" ht="22.5" hidden="1" customHeight="1">
      <c r="A840" s="9" t="s">
        <v>8691</v>
      </c>
      <c r="B840" s="10" t="s">
        <v>8692</v>
      </c>
      <c r="C840" s="10" t="s">
        <v>43</v>
      </c>
      <c r="D840" s="10" t="s">
        <v>8227</v>
      </c>
      <c r="E840" s="10" t="s">
        <v>66</v>
      </c>
      <c r="F840" s="11">
        <v>1.0</v>
      </c>
      <c r="G840" s="11">
        <v>79.2</v>
      </c>
      <c r="H840" s="11"/>
      <c r="I840" s="11">
        <v>-13.46</v>
      </c>
      <c r="J840" s="11">
        <v>-20.45</v>
      </c>
      <c r="K840" s="11"/>
      <c r="L840" s="11">
        <v>45.29</v>
      </c>
      <c r="M840" s="10" t="s">
        <v>46</v>
      </c>
      <c r="N840" s="10" t="s">
        <v>45</v>
      </c>
      <c r="O840" s="10" t="s">
        <v>892</v>
      </c>
      <c r="P840" s="10" t="s">
        <v>893</v>
      </c>
      <c r="Q840" s="10" t="s">
        <v>894</v>
      </c>
      <c r="R840" s="10" t="s">
        <v>74</v>
      </c>
      <c r="S840" s="11">
        <v>79.2</v>
      </c>
      <c r="T840" s="11">
        <v>2.97</v>
      </c>
      <c r="U840" s="11" t="s">
        <v>51</v>
      </c>
      <c r="V840" s="10" t="s">
        <v>52</v>
      </c>
      <c r="W840" s="10" t="s">
        <v>8693</v>
      </c>
      <c r="X840" s="10" t="s">
        <v>8694</v>
      </c>
      <c r="Y840" s="10" t="s">
        <v>8695</v>
      </c>
      <c r="Z840" s="10" t="s">
        <v>50</v>
      </c>
      <c r="AA840" s="10" t="s">
        <v>50</v>
      </c>
      <c r="AB840" s="10" t="s">
        <v>8693</v>
      </c>
      <c r="AC840" s="10" t="s">
        <v>8696</v>
      </c>
      <c r="AD840" s="10" t="s">
        <v>8697</v>
      </c>
      <c r="AE840" s="10" t="s">
        <v>151</v>
      </c>
      <c r="AF840" s="10" t="s">
        <v>151</v>
      </c>
      <c r="AG840" s="10" t="s">
        <v>8698</v>
      </c>
      <c r="AH840" s="10" t="s">
        <v>60</v>
      </c>
      <c r="AI840" s="10" t="s">
        <v>61</v>
      </c>
      <c r="AJ840" s="10" t="s">
        <v>8234</v>
      </c>
      <c r="AK840" s="10" t="s">
        <v>8699</v>
      </c>
      <c r="AL840" s="10" t="s">
        <v>64</v>
      </c>
      <c r="AM840" s="10" t="s">
        <v>8700</v>
      </c>
      <c r="AN840" s="10" t="s">
        <v>50</v>
      </c>
      <c r="AO840" s="11" t="s">
        <v>50</v>
      </c>
      <c r="AP840" s="10" t="s">
        <v>50</v>
      </c>
      <c r="AQ840" s="10" t="s">
        <v>50</v>
      </c>
      <c r="AR840" s="10" t="s">
        <v>50</v>
      </c>
      <c r="AS840" s="10" t="s">
        <v>50</v>
      </c>
      <c r="AT840" s="10" t="s">
        <v>50</v>
      </c>
      <c r="AU840" s="10" t="s">
        <v>50</v>
      </c>
      <c r="AV840" s="11"/>
      <c r="AW840" s="10" t="s">
        <v>66</v>
      </c>
      <c r="AX840" s="10"/>
      <c r="AY840" s="10" t="s">
        <v>66</v>
      </c>
    </row>
    <row r="841" ht="22.5" hidden="1" customHeight="1">
      <c r="A841" s="9" t="s">
        <v>8701</v>
      </c>
      <c r="B841" s="10" t="s">
        <v>8702</v>
      </c>
      <c r="C841" s="10" t="s">
        <v>43</v>
      </c>
      <c r="D841" s="10" t="s">
        <v>5357</v>
      </c>
      <c r="E841" s="10" t="s">
        <v>45</v>
      </c>
      <c r="F841" s="11">
        <v>1.0</v>
      </c>
      <c r="G841" s="11">
        <v>79.35</v>
      </c>
      <c r="H841" s="11">
        <v>16.7</v>
      </c>
      <c r="I841" s="11">
        <v>-15.08</v>
      </c>
      <c r="J841" s="11">
        <v>-36.65</v>
      </c>
      <c r="K841" s="11"/>
      <c r="L841" s="11">
        <v>44.32</v>
      </c>
      <c r="M841" s="10" t="s">
        <v>46</v>
      </c>
      <c r="N841" s="10" t="s">
        <v>50</v>
      </c>
      <c r="O841" s="10" t="s">
        <v>47</v>
      </c>
      <c r="P841" s="10" t="s">
        <v>48</v>
      </c>
      <c r="Q841" s="10" t="s">
        <v>49</v>
      </c>
      <c r="R841" s="10" t="s">
        <v>50</v>
      </c>
      <c r="S841" s="11">
        <v>79.35</v>
      </c>
      <c r="T841" s="11">
        <v>12.45</v>
      </c>
      <c r="U841" s="11" t="s">
        <v>51</v>
      </c>
      <c r="V841" s="10" t="s">
        <v>52</v>
      </c>
      <c r="W841" s="10" t="s">
        <v>8703</v>
      </c>
      <c r="X841" s="10" t="s">
        <v>8704</v>
      </c>
      <c r="Y841" s="10" t="s">
        <v>8705</v>
      </c>
      <c r="Z841" s="10" t="s">
        <v>50</v>
      </c>
      <c r="AA841" s="10" t="s">
        <v>50</v>
      </c>
      <c r="AB841" s="10" t="s">
        <v>8703</v>
      </c>
      <c r="AC841" s="10" t="s">
        <v>8706</v>
      </c>
      <c r="AD841" s="10" t="s">
        <v>8707</v>
      </c>
      <c r="AE841" s="10" t="s">
        <v>8708</v>
      </c>
      <c r="AF841" s="10" t="s">
        <v>2636</v>
      </c>
      <c r="AG841" s="10" t="s">
        <v>8709</v>
      </c>
      <c r="AH841" s="10" t="s">
        <v>60</v>
      </c>
      <c r="AI841" s="10" t="s">
        <v>61</v>
      </c>
      <c r="AJ841" s="10" t="s">
        <v>8392</v>
      </c>
      <c r="AK841" s="10" t="s">
        <v>8710</v>
      </c>
      <c r="AL841" s="10" t="s">
        <v>64</v>
      </c>
      <c r="AM841" s="10" t="s">
        <v>8711</v>
      </c>
      <c r="AN841" s="10" t="s">
        <v>50</v>
      </c>
      <c r="AO841" s="11" t="s">
        <v>50</v>
      </c>
      <c r="AP841" s="10" t="s">
        <v>50</v>
      </c>
      <c r="AQ841" s="10" t="s">
        <v>50</v>
      </c>
      <c r="AR841" s="10" t="s">
        <v>50</v>
      </c>
      <c r="AS841" s="10" t="s">
        <v>50</v>
      </c>
      <c r="AT841" s="10" t="s">
        <v>50</v>
      </c>
      <c r="AU841" s="10" t="s">
        <v>50</v>
      </c>
      <c r="AV841" s="11"/>
      <c r="AW841" s="10" t="s">
        <v>66</v>
      </c>
      <c r="AX841" s="10"/>
      <c r="AY841" s="10" t="s">
        <v>66</v>
      </c>
    </row>
    <row r="842" ht="22.5" hidden="1" customHeight="1">
      <c r="A842" s="9" t="s">
        <v>8712</v>
      </c>
      <c r="B842" s="10" t="s">
        <v>8713</v>
      </c>
      <c r="C842" s="10" t="s">
        <v>43</v>
      </c>
      <c r="D842" s="10" t="s">
        <v>7750</v>
      </c>
      <c r="E842" s="10" t="s">
        <v>66</v>
      </c>
      <c r="F842" s="11">
        <v>1.0</v>
      </c>
      <c r="G842" s="11">
        <v>79.0</v>
      </c>
      <c r="H842" s="11"/>
      <c r="I842" s="11">
        <v>-13.43</v>
      </c>
      <c r="J842" s="11">
        <v>-19.95</v>
      </c>
      <c r="K842" s="11"/>
      <c r="L842" s="11">
        <v>45.62</v>
      </c>
      <c r="M842" s="10" t="s">
        <v>46</v>
      </c>
      <c r="N842" s="10" t="s">
        <v>45</v>
      </c>
      <c r="O842" s="10" t="s">
        <v>766</v>
      </c>
      <c r="P842" s="10" t="s">
        <v>767</v>
      </c>
      <c r="Q842" s="10" t="s">
        <v>768</v>
      </c>
      <c r="R842" s="10" t="s">
        <v>74</v>
      </c>
      <c r="S842" s="11">
        <v>79.0</v>
      </c>
      <c r="T842" s="11">
        <v>13.62</v>
      </c>
      <c r="U842" s="11" t="s">
        <v>51</v>
      </c>
      <c r="V842" s="10" t="s">
        <v>52</v>
      </c>
      <c r="W842" s="10" t="s">
        <v>8714</v>
      </c>
      <c r="X842" s="10" t="s">
        <v>8715</v>
      </c>
      <c r="Y842" s="10" t="s">
        <v>8716</v>
      </c>
      <c r="Z842" s="10" t="s">
        <v>50</v>
      </c>
      <c r="AA842" s="10" t="s">
        <v>50</v>
      </c>
      <c r="AB842" s="10" t="s">
        <v>8714</v>
      </c>
      <c r="AC842" s="10" t="s">
        <v>8717</v>
      </c>
      <c r="AD842" s="10" t="s">
        <v>8718</v>
      </c>
      <c r="AE842" s="10" t="s">
        <v>8719</v>
      </c>
      <c r="AF842" s="10" t="s">
        <v>323</v>
      </c>
      <c r="AG842" s="10" t="s">
        <v>8720</v>
      </c>
      <c r="AH842" s="10" t="s">
        <v>60</v>
      </c>
      <c r="AI842" s="10" t="s">
        <v>61</v>
      </c>
      <c r="AJ842" s="10" t="s">
        <v>8239</v>
      </c>
      <c r="AK842" s="10" t="s">
        <v>8721</v>
      </c>
      <c r="AL842" s="10" t="s">
        <v>64</v>
      </c>
      <c r="AM842" s="10" t="s">
        <v>8722</v>
      </c>
      <c r="AN842" s="10" t="s">
        <v>50</v>
      </c>
      <c r="AO842" s="11" t="s">
        <v>50</v>
      </c>
      <c r="AP842" s="10" t="s">
        <v>50</v>
      </c>
      <c r="AQ842" s="10" t="s">
        <v>50</v>
      </c>
      <c r="AR842" s="10" t="s">
        <v>50</v>
      </c>
      <c r="AS842" s="10" t="s">
        <v>50</v>
      </c>
      <c r="AT842" s="10" t="s">
        <v>50</v>
      </c>
      <c r="AU842" s="10" t="s">
        <v>50</v>
      </c>
      <c r="AV842" s="11"/>
      <c r="AW842" s="10" t="s">
        <v>66</v>
      </c>
      <c r="AX842" s="10"/>
      <c r="AY842" s="10" t="s">
        <v>66</v>
      </c>
    </row>
    <row r="843" ht="22.5" hidden="1" customHeight="1">
      <c r="A843" s="9" t="s">
        <v>8723</v>
      </c>
      <c r="B843" s="10" t="s">
        <v>8724</v>
      </c>
      <c r="C843" s="10" t="s">
        <v>43</v>
      </c>
      <c r="D843" s="10" t="s">
        <v>8227</v>
      </c>
      <c r="E843" s="10" t="s">
        <v>66</v>
      </c>
      <c r="F843" s="11">
        <v>1.0</v>
      </c>
      <c r="G843" s="11">
        <v>43.7</v>
      </c>
      <c r="H843" s="11">
        <v>12.33</v>
      </c>
      <c r="I843" s="11">
        <v>-13.43</v>
      </c>
      <c r="J843" s="11">
        <v>-12.33</v>
      </c>
      <c r="K843" s="11"/>
      <c r="L843" s="11">
        <v>32.89</v>
      </c>
      <c r="M843" s="10" t="s">
        <v>46</v>
      </c>
      <c r="N843" s="10" t="s">
        <v>50</v>
      </c>
      <c r="O843" s="10" t="s">
        <v>176</v>
      </c>
      <c r="P843" s="10" t="s">
        <v>177</v>
      </c>
      <c r="Q843" s="10" t="s">
        <v>178</v>
      </c>
      <c r="R843" s="10" t="s">
        <v>74</v>
      </c>
      <c r="S843" s="11">
        <v>43.7</v>
      </c>
      <c r="T843" s="11">
        <v>22.58</v>
      </c>
      <c r="U843" s="11" t="s">
        <v>51</v>
      </c>
      <c r="V843" s="10" t="s">
        <v>52</v>
      </c>
      <c r="W843" s="10" t="s">
        <v>8725</v>
      </c>
      <c r="X843" s="10" t="s">
        <v>8726</v>
      </c>
      <c r="Y843" s="10" t="s">
        <v>8727</v>
      </c>
      <c r="Z843" s="10" t="s">
        <v>50</v>
      </c>
      <c r="AA843" s="10" t="s">
        <v>50</v>
      </c>
      <c r="AB843" s="10" t="s">
        <v>8725</v>
      </c>
      <c r="AC843" s="10" t="s">
        <v>8728</v>
      </c>
      <c r="AD843" s="10" t="s">
        <v>8729</v>
      </c>
      <c r="AE843" s="10" t="s">
        <v>8730</v>
      </c>
      <c r="AF843" s="10" t="s">
        <v>151</v>
      </c>
      <c r="AG843" s="10" t="s">
        <v>8731</v>
      </c>
      <c r="AH843" s="10" t="s">
        <v>60</v>
      </c>
      <c r="AI843" s="10" t="s">
        <v>61</v>
      </c>
      <c r="AJ843" s="10" t="s">
        <v>8732</v>
      </c>
      <c r="AK843" s="10" t="s">
        <v>8733</v>
      </c>
      <c r="AL843" s="10" t="s">
        <v>64</v>
      </c>
      <c r="AM843" s="10" t="s">
        <v>8734</v>
      </c>
      <c r="AN843" s="10" t="s">
        <v>50</v>
      </c>
      <c r="AO843" s="11" t="s">
        <v>50</v>
      </c>
      <c r="AP843" s="10" t="s">
        <v>50</v>
      </c>
      <c r="AQ843" s="10" t="s">
        <v>50</v>
      </c>
      <c r="AR843" s="10" t="s">
        <v>50</v>
      </c>
      <c r="AS843" s="10" t="s">
        <v>50</v>
      </c>
      <c r="AT843" s="10" t="s">
        <v>50</v>
      </c>
      <c r="AU843" s="10" t="s">
        <v>50</v>
      </c>
      <c r="AV843" s="11"/>
      <c r="AW843" s="10" t="s">
        <v>66</v>
      </c>
      <c r="AX843" s="10"/>
      <c r="AY843" s="10" t="s">
        <v>66</v>
      </c>
    </row>
    <row r="844" ht="22.5" hidden="1" customHeight="1">
      <c r="A844" s="9" t="s">
        <v>8735</v>
      </c>
      <c r="B844" s="10" t="s">
        <v>8736</v>
      </c>
      <c r="C844" s="10" t="s">
        <v>43</v>
      </c>
      <c r="D844" s="10" t="s">
        <v>7693</v>
      </c>
      <c r="E844" s="10" t="s">
        <v>66</v>
      </c>
      <c r="F844" s="11">
        <v>1.0</v>
      </c>
      <c r="G844" s="11">
        <v>80.3</v>
      </c>
      <c r="H844" s="11"/>
      <c r="I844" s="11">
        <v>-13.65</v>
      </c>
      <c r="J844" s="11">
        <v>-20.45</v>
      </c>
      <c r="K844" s="11"/>
      <c r="L844" s="11">
        <v>46.2</v>
      </c>
      <c r="M844" s="10" t="s">
        <v>46</v>
      </c>
      <c r="N844" s="10" t="s">
        <v>45</v>
      </c>
      <c r="O844" s="10" t="s">
        <v>127</v>
      </c>
      <c r="P844" s="10" t="s">
        <v>128</v>
      </c>
      <c r="Q844" s="10" t="s">
        <v>129</v>
      </c>
      <c r="R844" s="10" t="s">
        <v>74</v>
      </c>
      <c r="S844" s="11">
        <v>80.3</v>
      </c>
      <c r="T844" s="11">
        <v>17.68</v>
      </c>
      <c r="U844" s="11" t="s">
        <v>51</v>
      </c>
      <c r="V844" s="10" t="s">
        <v>52</v>
      </c>
      <c r="W844" s="10" t="s">
        <v>8737</v>
      </c>
      <c r="X844" s="10" t="s">
        <v>8738</v>
      </c>
      <c r="Y844" s="10" t="s">
        <v>8739</v>
      </c>
      <c r="Z844" s="10" t="s">
        <v>50</v>
      </c>
      <c r="AA844" s="10" t="s">
        <v>50</v>
      </c>
      <c r="AB844" s="10" t="s">
        <v>8737</v>
      </c>
      <c r="AC844" s="10" t="s">
        <v>8740</v>
      </c>
      <c r="AD844" s="10" t="s">
        <v>8741</v>
      </c>
      <c r="AE844" s="10" t="s">
        <v>8742</v>
      </c>
      <c r="AF844" s="10" t="s">
        <v>323</v>
      </c>
      <c r="AG844" s="10" t="s">
        <v>8743</v>
      </c>
      <c r="AH844" s="10" t="s">
        <v>60</v>
      </c>
      <c r="AI844" s="10" t="s">
        <v>61</v>
      </c>
      <c r="AJ844" s="10" t="s">
        <v>8297</v>
      </c>
      <c r="AK844" s="10" t="s">
        <v>8744</v>
      </c>
      <c r="AL844" s="10" t="s">
        <v>64</v>
      </c>
      <c r="AM844" s="10" t="s">
        <v>8745</v>
      </c>
      <c r="AN844" s="10" t="s">
        <v>50</v>
      </c>
      <c r="AO844" s="11" t="s">
        <v>50</v>
      </c>
      <c r="AP844" s="10" t="s">
        <v>50</v>
      </c>
      <c r="AQ844" s="10" t="s">
        <v>50</v>
      </c>
      <c r="AR844" s="10" t="s">
        <v>50</v>
      </c>
      <c r="AS844" s="10" t="s">
        <v>50</v>
      </c>
      <c r="AT844" s="10" t="s">
        <v>50</v>
      </c>
      <c r="AU844" s="10" t="s">
        <v>50</v>
      </c>
      <c r="AV844" s="11"/>
      <c r="AW844" s="10" t="s">
        <v>66</v>
      </c>
      <c r="AX844" s="10"/>
      <c r="AY844" s="10" t="s">
        <v>66</v>
      </c>
    </row>
    <row r="845" ht="22.5" hidden="1" customHeight="1">
      <c r="A845" s="9" t="s">
        <v>8746</v>
      </c>
      <c r="B845" s="10" t="s">
        <v>8747</v>
      </c>
      <c r="C845" s="10" t="s">
        <v>43</v>
      </c>
      <c r="D845" s="10" t="s">
        <v>7750</v>
      </c>
      <c r="E845" s="10" t="s">
        <v>45</v>
      </c>
      <c r="F845" s="11">
        <v>2.0</v>
      </c>
      <c r="G845" s="11">
        <v>87.4</v>
      </c>
      <c r="H845" s="11"/>
      <c r="I845" s="11">
        <v>-26.86</v>
      </c>
      <c r="J845" s="11"/>
      <c r="K845" s="11"/>
      <c r="L845" s="11">
        <v>65.78</v>
      </c>
      <c r="M845" s="10" t="s">
        <v>46</v>
      </c>
      <c r="N845" s="10" t="s">
        <v>50</v>
      </c>
      <c r="O845" s="10" t="s">
        <v>176</v>
      </c>
      <c r="P845" s="10" t="s">
        <v>177</v>
      </c>
      <c r="Q845" s="10" t="s">
        <v>178</v>
      </c>
      <c r="R845" s="10" t="s">
        <v>74</v>
      </c>
      <c r="S845" s="11">
        <v>43.7</v>
      </c>
      <c r="T845" s="11">
        <f>2*22.58</f>
        <v>45.16</v>
      </c>
      <c r="U845" s="11" t="s">
        <v>51</v>
      </c>
      <c r="V845" s="10" t="s">
        <v>52</v>
      </c>
      <c r="W845" s="10" t="s">
        <v>8748</v>
      </c>
      <c r="X845" s="10" t="s">
        <v>8749</v>
      </c>
      <c r="Y845" s="10" t="s">
        <v>8750</v>
      </c>
      <c r="Z845" s="10" t="s">
        <v>50</v>
      </c>
      <c r="AA845" s="10" t="s">
        <v>50</v>
      </c>
      <c r="AB845" s="10" t="s">
        <v>8748</v>
      </c>
      <c r="AC845" s="10" t="s">
        <v>8751</v>
      </c>
      <c r="AD845" s="10" t="s">
        <v>8752</v>
      </c>
      <c r="AE845" s="10" t="s">
        <v>8260</v>
      </c>
      <c r="AF845" s="10" t="s">
        <v>119</v>
      </c>
      <c r="AG845" s="10" t="s">
        <v>8753</v>
      </c>
      <c r="AH845" s="10" t="s">
        <v>60</v>
      </c>
      <c r="AI845" s="10" t="s">
        <v>61</v>
      </c>
      <c r="AJ845" s="10" t="s">
        <v>8262</v>
      </c>
      <c r="AK845" s="10" t="s">
        <v>8754</v>
      </c>
      <c r="AL845" s="10" t="s">
        <v>64</v>
      </c>
      <c r="AM845" s="10" t="s">
        <v>8755</v>
      </c>
      <c r="AN845" s="10" t="s">
        <v>50</v>
      </c>
      <c r="AO845" s="11" t="s">
        <v>50</v>
      </c>
      <c r="AP845" s="10" t="s">
        <v>50</v>
      </c>
      <c r="AQ845" s="10" t="s">
        <v>50</v>
      </c>
      <c r="AR845" s="10" t="s">
        <v>50</v>
      </c>
      <c r="AS845" s="10" t="s">
        <v>50</v>
      </c>
      <c r="AT845" s="10" t="s">
        <v>50</v>
      </c>
      <c r="AU845" s="10" t="s">
        <v>50</v>
      </c>
      <c r="AV845" s="11"/>
      <c r="AW845" s="10" t="s">
        <v>66</v>
      </c>
      <c r="AX845" s="10"/>
      <c r="AY845" s="10" t="s">
        <v>66</v>
      </c>
    </row>
    <row r="846" ht="22.5" hidden="1" customHeight="1">
      <c r="A846" s="9" t="s">
        <v>8756</v>
      </c>
      <c r="B846" s="10" t="s">
        <v>8757</v>
      </c>
      <c r="C846" s="10" t="s">
        <v>43</v>
      </c>
      <c r="D846" s="10" t="s">
        <v>7750</v>
      </c>
      <c r="E846" s="10" t="s">
        <v>66</v>
      </c>
      <c r="F846" s="11">
        <v>1.0</v>
      </c>
      <c r="G846" s="11">
        <v>79.35</v>
      </c>
      <c r="H846" s="11"/>
      <c r="I846" s="11">
        <v>-15.08</v>
      </c>
      <c r="J846" s="11">
        <v>-19.95</v>
      </c>
      <c r="K846" s="11"/>
      <c r="L846" s="11">
        <v>44.32</v>
      </c>
      <c r="M846" s="10" t="s">
        <v>46</v>
      </c>
      <c r="N846" s="10" t="s">
        <v>45</v>
      </c>
      <c r="O846" s="10" t="s">
        <v>47</v>
      </c>
      <c r="P846" s="10" t="s">
        <v>48</v>
      </c>
      <c r="Q846" s="10" t="s">
        <v>49</v>
      </c>
      <c r="R846" s="10" t="s">
        <v>50</v>
      </c>
      <c r="S846" s="11">
        <v>79.35</v>
      </c>
      <c r="T846" s="11">
        <v>12.45</v>
      </c>
      <c r="U846" s="11" t="s">
        <v>51</v>
      </c>
      <c r="V846" s="10" t="s">
        <v>52</v>
      </c>
      <c r="W846" s="10" t="s">
        <v>8758</v>
      </c>
      <c r="X846" s="10" t="s">
        <v>8759</v>
      </c>
      <c r="Y846" s="10" t="s">
        <v>8760</v>
      </c>
      <c r="Z846" s="10" t="s">
        <v>50</v>
      </c>
      <c r="AA846" s="10" t="s">
        <v>50</v>
      </c>
      <c r="AB846" s="10" t="s">
        <v>8758</v>
      </c>
      <c r="AC846" s="10" t="s">
        <v>8761</v>
      </c>
      <c r="AD846" s="10" t="s">
        <v>8762</v>
      </c>
      <c r="AE846" s="10" t="s">
        <v>3537</v>
      </c>
      <c r="AF846" s="10" t="s">
        <v>58</v>
      </c>
      <c r="AG846" s="10" t="s">
        <v>8763</v>
      </c>
      <c r="AH846" s="10" t="s">
        <v>60</v>
      </c>
      <c r="AI846" s="10" t="s">
        <v>61</v>
      </c>
      <c r="AJ846" s="10" t="s">
        <v>8239</v>
      </c>
      <c r="AK846" s="10" t="s">
        <v>8764</v>
      </c>
      <c r="AL846" s="10" t="s">
        <v>64</v>
      </c>
      <c r="AM846" s="10" t="s">
        <v>8765</v>
      </c>
      <c r="AN846" s="10" t="s">
        <v>50</v>
      </c>
      <c r="AO846" s="11" t="s">
        <v>50</v>
      </c>
      <c r="AP846" s="10" t="s">
        <v>50</v>
      </c>
      <c r="AQ846" s="10" t="s">
        <v>50</v>
      </c>
      <c r="AR846" s="10" t="s">
        <v>50</v>
      </c>
      <c r="AS846" s="10" t="s">
        <v>50</v>
      </c>
      <c r="AT846" s="10" t="s">
        <v>50</v>
      </c>
      <c r="AU846" s="10" t="s">
        <v>50</v>
      </c>
      <c r="AV846" s="11"/>
      <c r="AW846" s="10" t="s">
        <v>66</v>
      </c>
      <c r="AX846" s="10"/>
      <c r="AY846" s="10" t="s">
        <v>66</v>
      </c>
    </row>
    <row r="847" ht="22.5" hidden="1" customHeight="1">
      <c r="A847" s="9" t="s">
        <v>8766</v>
      </c>
      <c r="B847" s="10" t="s">
        <v>8767</v>
      </c>
      <c r="C847" s="10" t="s">
        <v>43</v>
      </c>
      <c r="D847" s="10" t="s">
        <v>7693</v>
      </c>
      <c r="E847" s="10" t="s">
        <v>66</v>
      </c>
      <c r="F847" s="11">
        <v>1.0</v>
      </c>
      <c r="G847" s="11">
        <v>120.0</v>
      </c>
      <c r="H847" s="11">
        <v>13.45</v>
      </c>
      <c r="I847" s="11">
        <v>-20.4</v>
      </c>
      <c r="J847" s="11">
        <v>-33.4</v>
      </c>
      <c r="K847" s="11"/>
      <c r="L847" s="11">
        <v>86.85</v>
      </c>
      <c r="M847" s="10" t="s">
        <v>46</v>
      </c>
      <c r="N847" s="10" t="s">
        <v>45</v>
      </c>
      <c r="O847" s="10" t="s">
        <v>85</v>
      </c>
      <c r="P847" s="10" t="s">
        <v>86</v>
      </c>
      <c r="Q847" s="10" t="s">
        <v>87</v>
      </c>
      <c r="R847" s="10" t="s">
        <v>74</v>
      </c>
      <c r="S847" s="11">
        <v>120.0</v>
      </c>
      <c r="T847" s="11">
        <v>65.78</v>
      </c>
      <c r="U847" s="11" t="s">
        <v>51</v>
      </c>
      <c r="V847" s="10" t="s">
        <v>52</v>
      </c>
      <c r="W847" s="10" t="s">
        <v>8768</v>
      </c>
      <c r="X847" s="10" t="s">
        <v>8769</v>
      </c>
      <c r="Y847" s="10" t="s">
        <v>8770</v>
      </c>
      <c r="Z847" s="10" t="s">
        <v>50</v>
      </c>
      <c r="AA847" s="10" t="s">
        <v>50</v>
      </c>
      <c r="AB847" s="10" t="s">
        <v>8768</v>
      </c>
      <c r="AC847" s="10" t="s">
        <v>8771</v>
      </c>
      <c r="AD847" s="10" t="s">
        <v>8772</v>
      </c>
      <c r="AE847" s="10" t="s">
        <v>8773</v>
      </c>
      <c r="AF847" s="10" t="s">
        <v>2636</v>
      </c>
      <c r="AG847" s="10" t="s">
        <v>8774</v>
      </c>
      <c r="AH847" s="10" t="s">
        <v>60</v>
      </c>
      <c r="AI847" s="10" t="s">
        <v>61</v>
      </c>
      <c r="AJ847" s="10" t="s">
        <v>8211</v>
      </c>
      <c r="AK847" s="10" t="s">
        <v>8775</v>
      </c>
      <c r="AL847" s="10" t="s">
        <v>64</v>
      </c>
      <c r="AM847" s="10" t="s">
        <v>8776</v>
      </c>
      <c r="AN847" s="10" t="s">
        <v>50</v>
      </c>
      <c r="AO847" s="11" t="s">
        <v>50</v>
      </c>
      <c r="AP847" s="10" t="s">
        <v>50</v>
      </c>
      <c r="AQ847" s="10" t="s">
        <v>50</v>
      </c>
      <c r="AR847" s="10" t="s">
        <v>50</v>
      </c>
      <c r="AS847" s="10" t="s">
        <v>50</v>
      </c>
      <c r="AT847" s="10" t="s">
        <v>50</v>
      </c>
      <c r="AU847" s="10" t="s">
        <v>50</v>
      </c>
      <c r="AV847" s="11"/>
      <c r="AW847" s="10" t="s">
        <v>66</v>
      </c>
      <c r="AX847" s="10"/>
      <c r="AY847" s="10" t="s">
        <v>66</v>
      </c>
    </row>
    <row r="848" ht="22.5" hidden="1" customHeight="1">
      <c r="A848" s="9" t="s">
        <v>8777</v>
      </c>
      <c r="B848" s="10" t="s">
        <v>8767</v>
      </c>
      <c r="C848" s="10" t="s">
        <v>8778</v>
      </c>
      <c r="D848" s="10" t="s">
        <v>8779</v>
      </c>
      <c r="E848" s="10" t="s">
        <v>45</v>
      </c>
      <c r="F848" s="11">
        <v>1.0</v>
      </c>
      <c r="G848" s="11">
        <v>79.2</v>
      </c>
      <c r="H848" s="11"/>
      <c r="I848" s="11">
        <v>-13.46</v>
      </c>
      <c r="J848" s="11">
        <v>-20.45</v>
      </c>
      <c r="K848" s="11"/>
      <c r="L848" s="11">
        <v>45.29</v>
      </c>
      <c r="M848" s="10" t="s">
        <v>46</v>
      </c>
      <c r="N848" s="10" t="s">
        <v>45</v>
      </c>
      <c r="O848" s="10" t="s">
        <v>412</v>
      </c>
      <c r="P848" s="10" t="s">
        <v>413</v>
      </c>
      <c r="Q848" s="10" t="s">
        <v>414</v>
      </c>
      <c r="R848" s="10" t="s">
        <v>415</v>
      </c>
      <c r="S848" s="11">
        <v>79.2</v>
      </c>
      <c r="T848" s="11">
        <v>10.05</v>
      </c>
      <c r="U848" s="11" t="s">
        <v>51</v>
      </c>
      <c r="V848" s="10" t="s">
        <v>52</v>
      </c>
      <c r="W848" s="10" t="s">
        <v>8780</v>
      </c>
      <c r="X848" s="10" t="s">
        <v>8781</v>
      </c>
      <c r="Y848" s="10" t="s">
        <v>8782</v>
      </c>
      <c r="Z848" s="10" t="s">
        <v>50</v>
      </c>
      <c r="AA848" s="10" t="s">
        <v>50</v>
      </c>
      <c r="AB848" s="10" t="s">
        <v>8780</v>
      </c>
      <c r="AC848" s="10" t="s">
        <v>8783</v>
      </c>
      <c r="AD848" s="10" t="s">
        <v>50</v>
      </c>
      <c r="AE848" s="10" t="s">
        <v>833</v>
      </c>
      <c r="AF848" s="10" t="s">
        <v>58</v>
      </c>
      <c r="AG848" s="10" t="s">
        <v>8784</v>
      </c>
      <c r="AH848" s="10" t="s">
        <v>60</v>
      </c>
      <c r="AI848" s="10" t="s">
        <v>61</v>
      </c>
      <c r="AJ848" s="10" t="s">
        <v>8308</v>
      </c>
      <c r="AK848" s="10" t="s">
        <v>8785</v>
      </c>
      <c r="AL848" s="10" t="s">
        <v>64</v>
      </c>
      <c r="AM848" s="10" t="s">
        <v>8786</v>
      </c>
      <c r="AN848" s="10" t="s">
        <v>50</v>
      </c>
      <c r="AO848" s="11" t="s">
        <v>50</v>
      </c>
      <c r="AP848" s="10" t="s">
        <v>50</v>
      </c>
      <c r="AQ848" s="10" t="s">
        <v>50</v>
      </c>
      <c r="AR848" s="10" t="s">
        <v>50</v>
      </c>
      <c r="AS848" s="10" t="s">
        <v>50</v>
      </c>
      <c r="AT848" s="10" t="s">
        <v>50</v>
      </c>
      <c r="AU848" s="10" t="s">
        <v>50</v>
      </c>
      <c r="AV848" s="11"/>
      <c r="AW848" s="10" t="s">
        <v>66</v>
      </c>
      <c r="AX848" s="10">
        <v>1.0</v>
      </c>
      <c r="AY848" s="10" t="s">
        <v>66</v>
      </c>
    </row>
    <row r="849" ht="22.5" hidden="1" customHeight="1">
      <c r="A849" s="9" t="s">
        <v>8787</v>
      </c>
      <c r="B849" s="10" t="s">
        <v>8788</v>
      </c>
      <c r="C849" s="10" t="s">
        <v>43</v>
      </c>
      <c r="D849" s="10" t="s">
        <v>7750</v>
      </c>
      <c r="E849" s="10" t="s">
        <v>66</v>
      </c>
      <c r="F849" s="11">
        <v>1.0</v>
      </c>
      <c r="G849" s="11">
        <v>115.9</v>
      </c>
      <c r="H849" s="11"/>
      <c r="I849" s="11">
        <v>-19.7</v>
      </c>
      <c r="J849" s="11">
        <v>-19.95</v>
      </c>
      <c r="K849" s="11"/>
      <c r="L849" s="11">
        <v>83.2</v>
      </c>
      <c r="M849" s="10" t="s">
        <v>46</v>
      </c>
      <c r="N849" s="10" t="s">
        <v>50</v>
      </c>
      <c r="O849" s="10" t="s">
        <v>7162</v>
      </c>
      <c r="P849" s="10" t="s">
        <v>7163</v>
      </c>
      <c r="Q849" s="10" t="s">
        <v>7164</v>
      </c>
      <c r="R849" s="10" t="s">
        <v>74</v>
      </c>
      <c r="S849" s="11">
        <v>115.9</v>
      </c>
      <c r="T849" s="11">
        <v>33.51</v>
      </c>
      <c r="U849" s="11" t="s">
        <v>51</v>
      </c>
      <c r="V849" s="10" t="s">
        <v>52</v>
      </c>
      <c r="W849" s="10" t="s">
        <v>8789</v>
      </c>
      <c r="X849" s="10" t="s">
        <v>8790</v>
      </c>
      <c r="Y849" s="10" t="s">
        <v>8791</v>
      </c>
      <c r="Z849" s="10" t="s">
        <v>50</v>
      </c>
      <c r="AA849" s="10" t="s">
        <v>50</v>
      </c>
      <c r="AB849" s="10" t="s">
        <v>8789</v>
      </c>
      <c r="AC849" s="10" t="s">
        <v>8792</v>
      </c>
      <c r="AD849" s="10" t="s">
        <v>8793</v>
      </c>
      <c r="AE849" s="10" t="s">
        <v>8794</v>
      </c>
      <c r="AF849" s="10" t="s">
        <v>58</v>
      </c>
      <c r="AG849" s="10" t="s">
        <v>8795</v>
      </c>
      <c r="AH849" s="10" t="s">
        <v>60</v>
      </c>
      <c r="AI849" s="10" t="s">
        <v>61</v>
      </c>
      <c r="AJ849" s="10" t="s">
        <v>8239</v>
      </c>
      <c r="AK849" s="10" t="s">
        <v>8796</v>
      </c>
      <c r="AL849" s="10" t="s">
        <v>64</v>
      </c>
      <c r="AM849" s="10" t="s">
        <v>8797</v>
      </c>
      <c r="AN849" s="10" t="s">
        <v>50</v>
      </c>
      <c r="AO849" s="11" t="s">
        <v>50</v>
      </c>
      <c r="AP849" s="10" t="s">
        <v>50</v>
      </c>
      <c r="AQ849" s="10" t="s">
        <v>50</v>
      </c>
      <c r="AR849" s="10" t="s">
        <v>50</v>
      </c>
      <c r="AS849" s="10" t="s">
        <v>50</v>
      </c>
      <c r="AT849" s="10" t="s">
        <v>50</v>
      </c>
      <c r="AU849" s="10" t="s">
        <v>50</v>
      </c>
      <c r="AV849" s="11"/>
      <c r="AW849" s="10" t="s">
        <v>66</v>
      </c>
      <c r="AX849" s="10"/>
      <c r="AY849" s="10" t="s">
        <v>66</v>
      </c>
    </row>
    <row r="850" ht="22.5" hidden="1" customHeight="1">
      <c r="A850" s="9" t="s">
        <v>8798</v>
      </c>
      <c r="B850" s="10" t="s">
        <v>8799</v>
      </c>
      <c r="C850" s="10" t="s">
        <v>43</v>
      </c>
      <c r="D850" s="10" t="s">
        <v>7750</v>
      </c>
      <c r="E850" s="10" t="s">
        <v>45</v>
      </c>
      <c r="F850" s="11">
        <v>1.0</v>
      </c>
      <c r="G850" s="11">
        <v>42.35</v>
      </c>
      <c r="H850" s="11">
        <v>20.04</v>
      </c>
      <c r="I850" s="11">
        <v>-14.05</v>
      </c>
      <c r="J850" s="11">
        <v>-20.04</v>
      </c>
      <c r="K850" s="11"/>
      <c r="L850" s="11">
        <v>28.3</v>
      </c>
      <c r="M850" s="10" t="s">
        <v>46</v>
      </c>
      <c r="N850" s="10" t="s">
        <v>45</v>
      </c>
      <c r="O850" s="10" t="s">
        <v>863</v>
      </c>
      <c r="P850" s="10" t="s">
        <v>864</v>
      </c>
      <c r="Q850" s="10" t="s">
        <v>865</v>
      </c>
      <c r="R850" s="10" t="s">
        <v>50</v>
      </c>
      <c r="S850" s="11">
        <v>42.35</v>
      </c>
      <c r="T850" s="11">
        <v>4.15</v>
      </c>
      <c r="U850" s="11" t="s">
        <v>51</v>
      </c>
      <c r="V850" s="10" t="s">
        <v>52</v>
      </c>
      <c r="W850" s="10" t="s">
        <v>8800</v>
      </c>
      <c r="X850" s="10" t="s">
        <v>8801</v>
      </c>
      <c r="Y850" s="10" t="s">
        <v>8802</v>
      </c>
      <c r="Z850" s="10" t="s">
        <v>50</v>
      </c>
      <c r="AA850" s="10" t="s">
        <v>50</v>
      </c>
      <c r="AB850" s="10" t="s">
        <v>8800</v>
      </c>
      <c r="AC850" s="10" t="s">
        <v>8803</v>
      </c>
      <c r="AD850" s="10" t="s">
        <v>8804</v>
      </c>
      <c r="AE850" s="10" t="s">
        <v>58</v>
      </c>
      <c r="AF850" s="10" t="s">
        <v>58</v>
      </c>
      <c r="AG850" s="10" t="s">
        <v>8805</v>
      </c>
      <c r="AH850" s="10" t="s">
        <v>60</v>
      </c>
      <c r="AI850" s="10" t="s">
        <v>61</v>
      </c>
      <c r="AJ850" s="10" t="s">
        <v>8222</v>
      </c>
      <c r="AK850" s="10" t="s">
        <v>8806</v>
      </c>
      <c r="AL850" s="10" t="s">
        <v>64</v>
      </c>
      <c r="AM850" s="10" t="s">
        <v>8807</v>
      </c>
      <c r="AN850" s="10" t="s">
        <v>50</v>
      </c>
      <c r="AO850" s="11" t="s">
        <v>50</v>
      </c>
      <c r="AP850" s="10" t="s">
        <v>50</v>
      </c>
      <c r="AQ850" s="10" t="s">
        <v>50</v>
      </c>
      <c r="AR850" s="10" t="s">
        <v>50</v>
      </c>
      <c r="AS850" s="10" t="s">
        <v>50</v>
      </c>
      <c r="AT850" s="10" t="s">
        <v>50</v>
      </c>
      <c r="AU850" s="10" t="s">
        <v>50</v>
      </c>
      <c r="AV850" s="11"/>
      <c r="AW850" s="10" t="s">
        <v>66</v>
      </c>
      <c r="AX850" s="10"/>
      <c r="AY850" s="10" t="s">
        <v>66</v>
      </c>
    </row>
    <row r="851" ht="22.5" hidden="1" customHeight="1">
      <c r="A851" s="9" t="s">
        <v>8808</v>
      </c>
      <c r="B851" s="10" t="s">
        <v>8809</v>
      </c>
      <c r="C851" s="10" t="s">
        <v>43</v>
      </c>
      <c r="D851" s="10" t="s">
        <v>7750</v>
      </c>
      <c r="E851" s="10" t="s">
        <v>66</v>
      </c>
      <c r="F851" s="11">
        <v>1.0</v>
      </c>
      <c r="G851" s="11">
        <v>79.2</v>
      </c>
      <c r="H851" s="11">
        <v>27.11</v>
      </c>
      <c r="I851" s="11">
        <v>-13.46</v>
      </c>
      <c r="J851" s="11">
        <v>-47.56</v>
      </c>
      <c r="K851" s="11"/>
      <c r="L851" s="11">
        <v>45.29</v>
      </c>
      <c r="M851" s="10" t="s">
        <v>46</v>
      </c>
      <c r="N851" s="10" t="s">
        <v>45</v>
      </c>
      <c r="O851" s="10" t="s">
        <v>892</v>
      </c>
      <c r="P851" s="10" t="s">
        <v>893</v>
      </c>
      <c r="Q851" s="10" t="s">
        <v>894</v>
      </c>
      <c r="R851" s="10" t="s">
        <v>74</v>
      </c>
      <c r="S851" s="11">
        <v>79.2</v>
      </c>
      <c r="T851" s="11">
        <v>2.97</v>
      </c>
      <c r="U851" s="11" t="s">
        <v>51</v>
      </c>
      <c r="V851" s="10" t="s">
        <v>52</v>
      </c>
      <c r="W851" s="10" t="s">
        <v>8810</v>
      </c>
      <c r="X851" s="10" t="s">
        <v>8811</v>
      </c>
      <c r="Y851" s="10" t="s">
        <v>8812</v>
      </c>
      <c r="Z851" s="10" t="s">
        <v>50</v>
      </c>
      <c r="AA851" s="10" t="s">
        <v>50</v>
      </c>
      <c r="AB851" s="10" t="s">
        <v>8810</v>
      </c>
      <c r="AC851" s="10" t="s">
        <v>8813</v>
      </c>
      <c r="AD851" s="10" t="s">
        <v>8814</v>
      </c>
      <c r="AE851" s="10" t="s">
        <v>2635</v>
      </c>
      <c r="AF851" s="10" t="s">
        <v>2636</v>
      </c>
      <c r="AG851" s="10" t="s">
        <v>8815</v>
      </c>
      <c r="AH851" s="10" t="s">
        <v>60</v>
      </c>
      <c r="AI851" s="10" t="s">
        <v>61</v>
      </c>
      <c r="AJ851" s="10" t="s">
        <v>8211</v>
      </c>
      <c r="AK851" s="10" t="s">
        <v>8816</v>
      </c>
      <c r="AL851" s="10" t="s">
        <v>64</v>
      </c>
      <c r="AM851" s="10" t="s">
        <v>8817</v>
      </c>
      <c r="AN851" s="10" t="s">
        <v>50</v>
      </c>
      <c r="AO851" s="11" t="s">
        <v>50</v>
      </c>
      <c r="AP851" s="10" t="s">
        <v>50</v>
      </c>
      <c r="AQ851" s="10" t="s">
        <v>50</v>
      </c>
      <c r="AR851" s="10" t="s">
        <v>50</v>
      </c>
      <c r="AS851" s="10" t="s">
        <v>50</v>
      </c>
      <c r="AT851" s="10" t="s">
        <v>50</v>
      </c>
      <c r="AU851" s="10" t="s">
        <v>50</v>
      </c>
      <c r="AV851" s="11"/>
      <c r="AW851" s="10" t="s">
        <v>66</v>
      </c>
      <c r="AX851" s="10"/>
      <c r="AY851" s="10" t="s">
        <v>66</v>
      </c>
    </row>
    <row r="852" ht="22.5" hidden="1" customHeight="1">
      <c r="A852" s="9" t="s">
        <v>8818</v>
      </c>
      <c r="B852" s="10" t="s">
        <v>8819</v>
      </c>
      <c r="C852" s="10" t="s">
        <v>43</v>
      </c>
      <c r="D852" s="10" t="s">
        <v>7693</v>
      </c>
      <c r="E852" s="10" t="s">
        <v>66</v>
      </c>
      <c r="F852" s="11">
        <v>1.0</v>
      </c>
      <c r="G852" s="11">
        <v>120.0</v>
      </c>
      <c r="H852" s="11"/>
      <c r="I852" s="11">
        <v>-20.4</v>
      </c>
      <c r="J852" s="11">
        <v>-19.95</v>
      </c>
      <c r="K852" s="11"/>
      <c r="L852" s="11">
        <v>86.85</v>
      </c>
      <c r="M852" s="10" t="s">
        <v>46</v>
      </c>
      <c r="N852" s="10" t="s">
        <v>45</v>
      </c>
      <c r="O852" s="10" t="s">
        <v>85</v>
      </c>
      <c r="P852" s="10" t="s">
        <v>86</v>
      </c>
      <c r="Q852" s="10" t="s">
        <v>87</v>
      </c>
      <c r="R852" s="10" t="s">
        <v>74</v>
      </c>
      <c r="S852" s="11">
        <v>120.0</v>
      </c>
      <c r="T852" s="11">
        <v>65.78</v>
      </c>
      <c r="U852" s="11" t="s">
        <v>51</v>
      </c>
      <c r="V852" s="10" t="s">
        <v>52</v>
      </c>
      <c r="W852" s="10" t="s">
        <v>8820</v>
      </c>
      <c r="X852" s="10" t="s">
        <v>8821</v>
      </c>
      <c r="Y852" s="10" t="s">
        <v>8822</v>
      </c>
      <c r="Z852" s="10" t="s">
        <v>50</v>
      </c>
      <c r="AA852" s="10" t="s">
        <v>50</v>
      </c>
      <c r="AB852" s="10" t="s">
        <v>8820</v>
      </c>
      <c r="AC852" s="10" t="s">
        <v>8823</v>
      </c>
      <c r="AD852" s="10" t="s">
        <v>8824</v>
      </c>
      <c r="AE852" s="10" t="s">
        <v>774</v>
      </c>
      <c r="AF852" s="10" t="s">
        <v>775</v>
      </c>
      <c r="AG852" s="10" t="s">
        <v>8825</v>
      </c>
      <c r="AH852" s="10" t="s">
        <v>60</v>
      </c>
      <c r="AI852" s="10" t="s">
        <v>61</v>
      </c>
      <c r="AJ852" s="10" t="s">
        <v>8319</v>
      </c>
      <c r="AK852" s="10" t="s">
        <v>8826</v>
      </c>
      <c r="AL852" s="10" t="s">
        <v>64</v>
      </c>
      <c r="AM852" s="10" t="s">
        <v>8827</v>
      </c>
      <c r="AN852" s="10" t="s">
        <v>50</v>
      </c>
      <c r="AO852" s="11" t="s">
        <v>50</v>
      </c>
      <c r="AP852" s="10" t="s">
        <v>50</v>
      </c>
      <c r="AQ852" s="10" t="s">
        <v>50</v>
      </c>
      <c r="AR852" s="10" t="s">
        <v>50</v>
      </c>
      <c r="AS852" s="10" t="s">
        <v>50</v>
      </c>
      <c r="AT852" s="10" t="s">
        <v>50</v>
      </c>
      <c r="AU852" s="10" t="s">
        <v>50</v>
      </c>
      <c r="AV852" s="11"/>
      <c r="AW852" s="10" t="s">
        <v>66</v>
      </c>
      <c r="AX852" s="10"/>
      <c r="AY852" s="10" t="s">
        <v>66</v>
      </c>
    </row>
    <row r="853" ht="22.5" hidden="1" customHeight="1">
      <c r="A853" s="9" t="s">
        <v>8828</v>
      </c>
      <c r="B853" s="10" t="s">
        <v>8829</v>
      </c>
      <c r="C853" s="10" t="s">
        <v>43</v>
      </c>
      <c r="D853" s="10" t="s">
        <v>7750</v>
      </c>
      <c r="E853" s="10" t="s">
        <v>45</v>
      </c>
      <c r="F853" s="11">
        <v>1.0</v>
      </c>
      <c r="G853" s="11">
        <v>80.3</v>
      </c>
      <c r="H853" s="11"/>
      <c r="I853" s="11">
        <v>-13.65</v>
      </c>
      <c r="J853" s="11">
        <v>-20.45</v>
      </c>
      <c r="K853" s="11"/>
      <c r="L853" s="11">
        <v>46.2</v>
      </c>
      <c r="M853" s="10" t="s">
        <v>46</v>
      </c>
      <c r="N853" s="10" t="s">
        <v>45</v>
      </c>
      <c r="O853" s="10" t="s">
        <v>127</v>
      </c>
      <c r="P853" s="10" t="s">
        <v>128</v>
      </c>
      <c r="Q853" s="10" t="s">
        <v>129</v>
      </c>
      <c r="R853" s="10" t="s">
        <v>74</v>
      </c>
      <c r="S853" s="11">
        <v>80.3</v>
      </c>
      <c r="T853" s="11">
        <v>17.68</v>
      </c>
      <c r="U853" s="11" t="s">
        <v>51</v>
      </c>
      <c r="V853" s="10" t="s">
        <v>52</v>
      </c>
      <c r="W853" s="10" t="s">
        <v>8830</v>
      </c>
      <c r="X853" s="10" t="s">
        <v>8831</v>
      </c>
      <c r="Y853" s="10" t="s">
        <v>8832</v>
      </c>
      <c r="Z853" s="10" t="s">
        <v>50</v>
      </c>
      <c r="AA853" s="10" t="s">
        <v>50</v>
      </c>
      <c r="AB853" s="10" t="s">
        <v>8830</v>
      </c>
      <c r="AC853" s="10" t="s">
        <v>8833</v>
      </c>
      <c r="AD853" s="10" t="s">
        <v>8834</v>
      </c>
      <c r="AE853" s="10" t="s">
        <v>58</v>
      </c>
      <c r="AF853" s="10" t="s">
        <v>58</v>
      </c>
      <c r="AG853" s="10" t="s">
        <v>8835</v>
      </c>
      <c r="AH853" s="10" t="s">
        <v>60</v>
      </c>
      <c r="AI853" s="10" t="s">
        <v>61</v>
      </c>
      <c r="AJ853" s="10" t="s">
        <v>8380</v>
      </c>
      <c r="AK853" s="10" t="s">
        <v>8836</v>
      </c>
      <c r="AL853" s="10" t="s">
        <v>64</v>
      </c>
      <c r="AM853" s="10" t="s">
        <v>8837</v>
      </c>
      <c r="AN853" s="10" t="s">
        <v>50</v>
      </c>
      <c r="AO853" s="11" t="s">
        <v>50</v>
      </c>
      <c r="AP853" s="10" t="s">
        <v>50</v>
      </c>
      <c r="AQ853" s="10" t="s">
        <v>50</v>
      </c>
      <c r="AR853" s="10" t="s">
        <v>50</v>
      </c>
      <c r="AS853" s="10" t="s">
        <v>50</v>
      </c>
      <c r="AT853" s="10" t="s">
        <v>50</v>
      </c>
      <c r="AU853" s="10" t="s">
        <v>50</v>
      </c>
      <c r="AV853" s="11"/>
      <c r="AW853" s="10" t="s">
        <v>66</v>
      </c>
      <c r="AX853" s="10"/>
      <c r="AY853" s="10" t="s">
        <v>66</v>
      </c>
    </row>
    <row r="854" ht="22.5" hidden="1" customHeight="1">
      <c r="A854" s="9" t="s">
        <v>8838</v>
      </c>
      <c r="B854" s="10" t="s">
        <v>8839</v>
      </c>
      <c r="C854" s="10" t="s">
        <v>43</v>
      </c>
      <c r="D854" s="10" t="s">
        <v>7750</v>
      </c>
      <c r="E854" s="10" t="s">
        <v>66</v>
      </c>
      <c r="F854" s="11">
        <v>1.0</v>
      </c>
      <c r="G854" s="11">
        <v>80.6</v>
      </c>
      <c r="H854" s="11"/>
      <c r="I854" s="11">
        <v>-13.7</v>
      </c>
      <c r="J854" s="11">
        <v>-20.45</v>
      </c>
      <c r="K854" s="11"/>
      <c r="L854" s="11">
        <v>46.45</v>
      </c>
      <c r="M854" s="10" t="s">
        <v>46</v>
      </c>
      <c r="N854" s="10" t="s">
        <v>45</v>
      </c>
      <c r="O854" s="10" t="s">
        <v>265</v>
      </c>
      <c r="P854" s="10" t="s">
        <v>266</v>
      </c>
      <c r="Q854" s="10" t="s">
        <v>267</v>
      </c>
      <c r="R854" s="10" t="s">
        <v>74</v>
      </c>
      <c r="S854" s="11">
        <v>80.6</v>
      </c>
      <c r="T854" s="11">
        <v>26.22</v>
      </c>
      <c r="U854" s="11" t="s">
        <v>51</v>
      </c>
      <c r="V854" s="10" t="s">
        <v>52</v>
      </c>
      <c r="W854" s="10" t="s">
        <v>8840</v>
      </c>
      <c r="X854" s="10" t="s">
        <v>8841</v>
      </c>
      <c r="Y854" s="10" t="s">
        <v>8842</v>
      </c>
      <c r="Z854" s="10" t="s">
        <v>50</v>
      </c>
      <c r="AA854" s="10" t="s">
        <v>50</v>
      </c>
      <c r="AB854" s="10" t="s">
        <v>8840</v>
      </c>
      <c r="AC854" s="10" t="s">
        <v>8843</v>
      </c>
      <c r="AD854" s="10" t="s">
        <v>8844</v>
      </c>
      <c r="AE854" s="10" t="s">
        <v>8845</v>
      </c>
      <c r="AF854" s="10" t="s">
        <v>323</v>
      </c>
      <c r="AG854" s="10" t="s">
        <v>8846</v>
      </c>
      <c r="AH854" s="10" t="s">
        <v>60</v>
      </c>
      <c r="AI854" s="10" t="s">
        <v>61</v>
      </c>
      <c r="AJ854" s="10" t="s">
        <v>8847</v>
      </c>
      <c r="AK854" s="10" t="s">
        <v>8848</v>
      </c>
      <c r="AL854" s="10" t="s">
        <v>64</v>
      </c>
      <c r="AM854" s="10" t="s">
        <v>8849</v>
      </c>
      <c r="AN854" s="10" t="s">
        <v>50</v>
      </c>
      <c r="AO854" s="11" t="s">
        <v>50</v>
      </c>
      <c r="AP854" s="10" t="s">
        <v>50</v>
      </c>
      <c r="AQ854" s="10" t="s">
        <v>50</v>
      </c>
      <c r="AR854" s="10" t="s">
        <v>50</v>
      </c>
      <c r="AS854" s="10" t="s">
        <v>50</v>
      </c>
      <c r="AT854" s="10" t="s">
        <v>50</v>
      </c>
      <c r="AU854" s="10" t="s">
        <v>50</v>
      </c>
      <c r="AV854" s="11"/>
      <c r="AW854" s="10" t="s">
        <v>66</v>
      </c>
      <c r="AX854" s="10"/>
      <c r="AY854" s="10" t="s">
        <v>66</v>
      </c>
    </row>
    <row r="855" ht="22.5" hidden="1" customHeight="1">
      <c r="A855" s="9" t="s">
        <v>8850</v>
      </c>
      <c r="B855" s="10" t="s">
        <v>8851</v>
      </c>
      <c r="C855" s="10" t="s">
        <v>43</v>
      </c>
      <c r="D855" s="10" t="s">
        <v>5200</v>
      </c>
      <c r="E855" s="10" t="s">
        <v>66</v>
      </c>
      <c r="F855" s="11">
        <v>1.0</v>
      </c>
      <c r="G855" s="11">
        <v>79.0</v>
      </c>
      <c r="H855" s="11"/>
      <c r="I855" s="11">
        <v>-13.43</v>
      </c>
      <c r="J855" s="11">
        <v>-20.45</v>
      </c>
      <c r="K855" s="11"/>
      <c r="L855" s="11">
        <v>45.12</v>
      </c>
      <c r="M855" s="10" t="s">
        <v>46</v>
      </c>
      <c r="N855" s="10" t="s">
        <v>50</v>
      </c>
      <c r="O855" s="10" t="s">
        <v>160</v>
      </c>
      <c r="P855" s="10" t="s">
        <v>161</v>
      </c>
      <c r="Q855" s="10" t="s">
        <v>162</v>
      </c>
      <c r="R855" s="10" t="s">
        <v>74</v>
      </c>
      <c r="S855" s="11">
        <v>79.0</v>
      </c>
      <c r="T855" s="11">
        <v>2.49</v>
      </c>
      <c r="U855" s="11" t="s">
        <v>51</v>
      </c>
      <c r="V855" s="10" t="s">
        <v>52</v>
      </c>
      <c r="W855" s="10" t="s">
        <v>8852</v>
      </c>
      <c r="X855" s="10" t="s">
        <v>8853</v>
      </c>
      <c r="Y855" s="10" t="s">
        <v>8854</v>
      </c>
      <c r="Z855" s="10" t="s">
        <v>50</v>
      </c>
      <c r="AA855" s="10" t="s">
        <v>50</v>
      </c>
      <c r="AB855" s="10" t="s">
        <v>8852</v>
      </c>
      <c r="AC855" s="10" t="s">
        <v>8855</v>
      </c>
      <c r="AD855" s="10" t="s">
        <v>8856</v>
      </c>
      <c r="AE855" s="10" t="s">
        <v>8857</v>
      </c>
      <c r="AF855" s="10" t="s">
        <v>119</v>
      </c>
      <c r="AG855" s="10" t="s">
        <v>8858</v>
      </c>
      <c r="AH855" s="10" t="s">
        <v>60</v>
      </c>
      <c r="AI855" s="10" t="s">
        <v>61</v>
      </c>
      <c r="AJ855" s="10" t="s">
        <v>8262</v>
      </c>
      <c r="AK855" s="10" t="s">
        <v>8859</v>
      </c>
      <c r="AL855" s="10" t="s">
        <v>64</v>
      </c>
      <c r="AM855" s="10" t="s">
        <v>8860</v>
      </c>
      <c r="AN855" s="10" t="s">
        <v>50</v>
      </c>
      <c r="AO855" s="11" t="s">
        <v>50</v>
      </c>
      <c r="AP855" s="10" t="s">
        <v>50</v>
      </c>
      <c r="AQ855" s="10" t="s">
        <v>50</v>
      </c>
      <c r="AR855" s="10" t="s">
        <v>50</v>
      </c>
      <c r="AS855" s="10" t="s">
        <v>50</v>
      </c>
      <c r="AT855" s="10" t="s">
        <v>50</v>
      </c>
      <c r="AU855" s="10" t="s">
        <v>50</v>
      </c>
      <c r="AV855" s="11"/>
      <c r="AW855" s="10" t="s">
        <v>66</v>
      </c>
      <c r="AX855" s="10"/>
      <c r="AY855" s="10" t="s">
        <v>66</v>
      </c>
    </row>
    <row r="856" ht="22.5" hidden="1" customHeight="1">
      <c r="A856" s="9" t="s">
        <v>8861</v>
      </c>
      <c r="B856" s="10" t="s">
        <v>8862</v>
      </c>
      <c r="C856" s="10" t="s">
        <v>43</v>
      </c>
      <c r="D856" s="10" t="s">
        <v>7693</v>
      </c>
      <c r="E856" s="10" t="s">
        <v>45</v>
      </c>
      <c r="F856" s="11">
        <v>1.0</v>
      </c>
      <c r="G856" s="11">
        <v>79.0</v>
      </c>
      <c r="H856" s="11"/>
      <c r="I856" s="11">
        <v>-13.43</v>
      </c>
      <c r="J856" s="11">
        <v>-20.45</v>
      </c>
      <c r="K856" s="11"/>
      <c r="L856" s="11">
        <v>45.12</v>
      </c>
      <c r="M856" s="10" t="s">
        <v>46</v>
      </c>
      <c r="N856" s="10" t="s">
        <v>45</v>
      </c>
      <c r="O856" s="10" t="s">
        <v>160</v>
      </c>
      <c r="P856" s="10" t="s">
        <v>161</v>
      </c>
      <c r="Q856" s="10" t="s">
        <v>162</v>
      </c>
      <c r="R856" s="10" t="s">
        <v>74</v>
      </c>
      <c r="S856" s="11">
        <v>79.0</v>
      </c>
      <c r="T856" s="11">
        <v>2.49</v>
      </c>
      <c r="U856" s="11" t="s">
        <v>51</v>
      </c>
      <c r="V856" s="10" t="s">
        <v>52</v>
      </c>
      <c r="W856" s="10" t="s">
        <v>8863</v>
      </c>
      <c r="X856" s="10" t="s">
        <v>8864</v>
      </c>
      <c r="Y856" s="10" t="s">
        <v>8865</v>
      </c>
      <c r="Z856" s="10" t="s">
        <v>50</v>
      </c>
      <c r="AA856" s="10" t="s">
        <v>50</v>
      </c>
      <c r="AB856" s="10" t="s">
        <v>8863</v>
      </c>
      <c r="AC856" s="10" t="s">
        <v>8866</v>
      </c>
      <c r="AD856" s="10" t="s">
        <v>8867</v>
      </c>
      <c r="AE856" s="10" t="s">
        <v>8868</v>
      </c>
      <c r="AF856" s="10" t="s">
        <v>323</v>
      </c>
      <c r="AG856" s="10" t="s">
        <v>8869</v>
      </c>
      <c r="AH856" s="10" t="s">
        <v>60</v>
      </c>
      <c r="AI856" s="10" t="s">
        <v>61</v>
      </c>
      <c r="AJ856" s="10" t="s">
        <v>8297</v>
      </c>
      <c r="AK856" s="10" t="s">
        <v>8870</v>
      </c>
      <c r="AL856" s="10" t="s">
        <v>64</v>
      </c>
      <c r="AM856" s="10" t="s">
        <v>8871</v>
      </c>
      <c r="AN856" s="10" t="s">
        <v>50</v>
      </c>
      <c r="AO856" s="11" t="s">
        <v>50</v>
      </c>
      <c r="AP856" s="10" t="s">
        <v>50</v>
      </c>
      <c r="AQ856" s="10" t="s">
        <v>50</v>
      </c>
      <c r="AR856" s="10" t="s">
        <v>50</v>
      </c>
      <c r="AS856" s="10" t="s">
        <v>50</v>
      </c>
      <c r="AT856" s="10" t="s">
        <v>50</v>
      </c>
      <c r="AU856" s="10" t="s">
        <v>50</v>
      </c>
      <c r="AV856" s="11"/>
      <c r="AW856" s="10" t="s">
        <v>66</v>
      </c>
      <c r="AX856" s="10"/>
      <c r="AY856" s="10" t="s">
        <v>66</v>
      </c>
    </row>
    <row r="857" ht="22.5" hidden="1" customHeight="1">
      <c r="A857" s="9" t="s">
        <v>8872</v>
      </c>
      <c r="B857" s="10" t="s">
        <v>8873</v>
      </c>
      <c r="C857" s="10" t="s">
        <v>43</v>
      </c>
      <c r="D857" s="10" t="s">
        <v>7750</v>
      </c>
      <c r="E857" s="10" t="s">
        <v>66</v>
      </c>
      <c r="F857" s="11">
        <v>1.0</v>
      </c>
      <c r="G857" s="11">
        <v>80.0</v>
      </c>
      <c r="H857" s="11"/>
      <c r="I857" s="11">
        <v>-13.6</v>
      </c>
      <c r="J857" s="11">
        <v>-19.95</v>
      </c>
      <c r="K857" s="11"/>
      <c r="L857" s="11">
        <v>50.45</v>
      </c>
      <c r="M857" s="10" t="s">
        <v>46</v>
      </c>
      <c r="N857" s="10" t="s">
        <v>45</v>
      </c>
      <c r="O857" s="10" t="s">
        <v>143</v>
      </c>
      <c r="P857" s="10" t="s">
        <v>144</v>
      </c>
      <c r="Q857" s="10" t="s">
        <v>145</v>
      </c>
      <c r="R857" s="10" t="s">
        <v>74</v>
      </c>
      <c r="S857" s="11">
        <v>80.0</v>
      </c>
      <c r="T857" s="11">
        <v>33.38</v>
      </c>
      <c r="U857" s="11" t="s">
        <v>51</v>
      </c>
      <c r="V857" s="10" t="s">
        <v>52</v>
      </c>
      <c r="W857" s="10" t="s">
        <v>8874</v>
      </c>
      <c r="X857" s="10" t="s">
        <v>8875</v>
      </c>
      <c r="Y857" s="10" t="s">
        <v>8876</v>
      </c>
      <c r="Z857" s="10" t="s">
        <v>50</v>
      </c>
      <c r="AA857" s="10" t="s">
        <v>50</v>
      </c>
      <c r="AB857" s="10" t="s">
        <v>8874</v>
      </c>
      <c r="AC857" s="10" t="s">
        <v>8877</v>
      </c>
      <c r="AD857" s="10" t="s">
        <v>8878</v>
      </c>
      <c r="AE857" s="10" t="s">
        <v>8879</v>
      </c>
      <c r="AF857" s="10" t="s">
        <v>323</v>
      </c>
      <c r="AG857" s="10" t="s">
        <v>8880</v>
      </c>
      <c r="AH857" s="10" t="s">
        <v>60</v>
      </c>
      <c r="AI857" s="10" t="s">
        <v>61</v>
      </c>
      <c r="AJ857" s="10" t="s">
        <v>8273</v>
      </c>
      <c r="AK857" s="10" t="s">
        <v>8881</v>
      </c>
      <c r="AL857" s="10" t="s">
        <v>64</v>
      </c>
      <c r="AM857" s="10" t="s">
        <v>8882</v>
      </c>
      <c r="AN857" s="10" t="s">
        <v>50</v>
      </c>
      <c r="AO857" s="11" t="s">
        <v>50</v>
      </c>
      <c r="AP857" s="10" t="s">
        <v>50</v>
      </c>
      <c r="AQ857" s="10" t="s">
        <v>50</v>
      </c>
      <c r="AR857" s="10" t="s">
        <v>50</v>
      </c>
      <c r="AS857" s="10" t="s">
        <v>50</v>
      </c>
      <c r="AT857" s="10" t="s">
        <v>50</v>
      </c>
      <c r="AU857" s="10" t="s">
        <v>50</v>
      </c>
      <c r="AV857" s="11"/>
      <c r="AW857" s="10" t="s">
        <v>66</v>
      </c>
      <c r="AX857" s="10"/>
      <c r="AY857" s="10" t="s">
        <v>66</v>
      </c>
    </row>
    <row r="858" ht="22.5" hidden="1" customHeight="1">
      <c r="A858" s="9" t="s">
        <v>8883</v>
      </c>
      <c r="B858" s="10" t="s">
        <v>8884</v>
      </c>
      <c r="C858" s="10" t="s">
        <v>8124</v>
      </c>
      <c r="D858" s="10" t="s">
        <v>8125</v>
      </c>
      <c r="E858" s="10" t="s">
        <v>66</v>
      </c>
      <c r="F858" s="11">
        <v>1.0</v>
      </c>
      <c r="G858" s="11">
        <v>120.0</v>
      </c>
      <c r="H858" s="11">
        <v>39.55</v>
      </c>
      <c r="I858" s="11">
        <v>-20.4</v>
      </c>
      <c r="J858" s="11">
        <v>-59.5</v>
      </c>
      <c r="K858" s="11"/>
      <c r="L858" s="11">
        <v>86.85</v>
      </c>
      <c r="M858" s="10" t="s">
        <v>46</v>
      </c>
      <c r="N858" s="10" t="s">
        <v>45</v>
      </c>
      <c r="O858" s="10" t="s">
        <v>85</v>
      </c>
      <c r="P858" s="10" t="s">
        <v>86</v>
      </c>
      <c r="Q858" s="10" t="s">
        <v>87</v>
      </c>
      <c r="R858" s="10" t="s">
        <v>74</v>
      </c>
      <c r="S858" s="11">
        <v>120.0</v>
      </c>
      <c r="T858" s="11">
        <v>65.78</v>
      </c>
      <c r="U858" s="11" t="s">
        <v>51</v>
      </c>
      <c r="V858" s="10" t="s">
        <v>52</v>
      </c>
      <c r="W858" s="10" t="s">
        <v>8885</v>
      </c>
      <c r="X858" s="10" t="s">
        <v>8886</v>
      </c>
      <c r="Y858" s="10" t="s">
        <v>8887</v>
      </c>
      <c r="Z858" s="10" t="s">
        <v>50</v>
      </c>
      <c r="AA858" s="10" t="s">
        <v>50</v>
      </c>
      <c r="AB858" s="10" t="s">
        <v>8885</v>
      </c>
      <c r="AC858" s="10" t="s">
        <v>8888</v>
      </c>
      <c r="AD858" s="10" t="s">
        <v>8889</v>
      </c>
      <c r="AE858" s="10" t="s">
        <v>8890</v>
      </c>
      <c r="AF858" s="10" t="s">
        <v>1593</v>
      </c>
      <c r="AG858" s="10" t="s">
        <v>8891</v>
      </c>
      <c r="AH858" s="10" t="s">
        <v>60</v>
      </c>
      <c r="AI858" s="10" t="s">
        <v>61</v>
      </c>
      <c r="AJ858" s="10" t="s">
        <v>8239</v>
      </c>
      <c r="AK858" s="10" t="s">
        <v>50</v>
      </c>
      <c r="AL858" s="10" t="s">
        <v>2113</v>
      </c>
      <c r="AM858" s="10" t="s">
        <v>8892</v>
      </c>
      <c r="AN858" s="10" t="s">
        <v>8893</v>
      </c>
      <c r="AO858" s="11" t="s">
        <v>50</v>
      </c>
      <c r="AP858" s="10" t="s">
        <v>50</v>
      </c>
      <c r="AQ858" s="10" t="s">
        <v>50</v>
      </c>
      <c r="AR858" s="10" t="s">
        <v>50</v>
      </c>
      <c r="AS858" s="10" t="s">
        <v>50</v>
      </c>
      <c r="AT858" s="10" t="s">
        <v>50</v>
      </c>
      <c r="AU858" s="10" t="s">
        <v>50</v>
      </c>
      <c r="AV858" s="11"/>
      <c r="AW858" s="10" t="s">
        <v>66</v>
      </c>
      <c r="AX858" s="10"/>
      <c r="AY858" s="10" t="s">
        <v>66</v>
      </c>
    </row>
    <row r="859" ht="22.5" hidden="1" customHeight="1">
      <c r="A859" s="9" t="s">
        <v>8894</v>
      </c>
      <c r="B859" s="10" t="s">
        <v>8895</v>
      </c>
      <c r="C859" s="10" t="s">
        <v>43</v>
      </c>
      <c r="D859" s="10" t="s">
        <v>5200</v>
      </c>
      <c r="E859" s="10" t="s">
        <v>45</v>
      </c>
      <c r="F859" s="11">
        <v>1.0</v>
      </c>
      <c r="G859" s="11">
        <v>79.0</v>
      </c>
      <c r="H859" s="11"/>
      <c r="I859" s="11">
        <v>-13.43</v>
      </c>
      <c r="J859" s="11">
        <v>-20.45</v>
      </c>
      <c r="K859" s="11"/>
      <c r="L859" s="11">
        <v>45.12</v>
      </c>
      <c r="M859" s="10" t="s">
        <v>46</v>
      </c>
      <c r="N859" s="10" t="s">
        <v>45</v>
      </c>
      <c r="O859" s="10" t="s">
        <v>160</v>
      </c>
      <c r="P859" s="10" t="s">
        <v>161</v>
      </c>
      <c r="Q859" s="10" t="s">
        <v>162</v>
      </c>
      <c r="R859" s="10" t="s">
        <v>74</v>
      </c>
      <c r="S859" s="11">
        <v>79.0</v>
      </c>
      <c r="T859" s="11">
        <v>2.49</v>
      </c>
      <c r="U859" s="11" t="s">
        <v>51</v>
      </c>
      <c r="V859" s="10" t="s">
        <v>52</v>
      </c>
      <c r="W859" s="10" t="s">
        <v>8896</v>
      </c>
      <c r="X859" s="10" t="s">
        <v>8897</v>
      </c>
      <c r="Y859" s="10" t="s">
        <v>8898</v>
      </c>
      <c r="Z859" s="10" t="s">
        <v>50</v>
      </c>
      <c r="AA859" s="10" t="s">
        <v>50</v>
      </c>
      <c r="AB859" s="10" t="s">
        <v>8896</v>
      </c>
      <c r="AC859" s="10" t="s">
        <v>8899</v>
      </c>
      <c r="AD859" s="10" t="s">
        <v>8900</v>
      </c>
      <c r="AE859" s="10" t="s">
        <v>8901</v>
      </c>
      <c r="AF859" s="10" t="s">
        <v>214</v>
      </c>
      <c r="AG859" s="10" t="s">
        <v>8902</v>
      </c>
      <c r="AH859" s="10" t="s">
        <v>60</v>
      </c>
      <c r="AI859" s="10" t="s">
        <v>61</v>
      </c>
      <c r="AJ859" s="10" t="s">
        <v>8189</v>
      </c>
      <c r="AK859" s="10" t="s">
        <v>8903</v>
      </c>
      <c r="AL859" s="10" t="s">
        <v>64</v>
      </c>
      <c r="AM859" s="10" t="s">
        <v>8904</v>
      </c>
      <c r="AN859" s="10" t="s">
        <v>8905</v>
      </c>
      <c r="AO859" s="11" t="s">
        <v>50</v>
      </c>
      <c r="AP859" s="10" t="s">
        <v>50</v>
      </c>
      <c r="AQ859" s="10" t="s">
        <v>50</v>
      </c>
      <c r="AR859" s="10" t="s">
        <v>50</v>
      </c>
      <c r="AS859" s="10" t="s">
        <v>50</v>
      </c>
      <c r="AT859" s="10" t="s">
        <v>50</v>
      </c>
      <c r="AU859" s="10" t="s">
        <v>50</v>
      </c>
      <c r="AV859" s="11"/>
      <c r="AW859" s="10" t="s">
        <v>66</v>
      </c>
      <c r="AX859" s="10"/>
      <c r="AY859" s="10" t="s">
        <v>66</v>
      </c>
    </row>
    <row r="860" ht="22.5" hidden="1" customHeight="1">
      <c r="A860" s="9" t="s">
        <v>8906</v>
      </c>
      <c r="B860" s="10" t="s">
        <v>8907</v>
      </c>
      <c r="C860" s="10" t="s">
        <v>43</v>
      </c>
      <c r="D860" s="10" t="s">
        <v>5200</v>
      </c>
      <c r="E860" s="10" t="s">
        <v>66</v>
      </c>
      <c r="F860" s="11">
        <v>1.0</v>
      </c>
      <c r="G860" s="11">
        <v>80.3</v>
      </c>
      <c r="H860" s="11"/>
      <c r="I860" s="11">
        <v>-13.65</v>
      </c>
      <c r="J860" s="11">
        <v>-20.45</v>
      </c>
      <c r="K860" s="11"/>
      <c r="L860" s="11">
        <v>46.2</v>
      </c>
      <c r="M860" s="10" t="s">
        <v>46</v>
      </c>
      <c r="N860" s="10" t="s">
        <v>50</v>
      </c>
      <c r="O860" s="10" t="s">
        <v>127</v>
      </c>
      <c r="P860" s="10" t="s">
        <v>128</v>
      </c>
      <c r="Q860" s="10" t="s">
        <v>129</v>
      </c>
      <c r="R860" s="10" t="s">
        <v>74</v>
      </c>
      <c r="S860" s="11">
        <v>80.3</v>
      </c>
      <c r="T860" s="11">
        <v>17.68</v>
      </c>
      <c r="U860" s="11" t="s">
        <v>51</v>
      </c>
      <c r="V860" s="10" t="s">
        <v>52</v>
      </c>
      <c r="W860" s="10" t="s">
        <v>8908</v>
      </c>
      <c r="X860" s="10" t="s">
        <v>8909</v>
      </c>
      <c r="Y860" s="10" t="s">
        <v>8910</v>
      </c>
      <c r="Z860" s="10" t="s">
        <v>50</v>
      </c>
      <c r="AA860" s="10" t="s">
        <v>50</v>
      </c>
      <c r="AB860" s="10" t="s">
        <v>8908</v>
      </c>
      <c r="AC860" s="10" t="s">
        <v>8911</v>
      </c>
      <c r="AD860" s="10" t="s">
        <v>8912</v>
      </c>
      <c r="AE860" s="10" t="s">
        <v>8913</v>
      </c>
      <c r="AF860" s="10" t="s">
        <v>185</v>
      </c>
      <c r="AG860" s="10" t="s">
        <v>8914</v>
      </c>
      <c r="AH860" s="10" t="s">
        <v>60</v>
      </c>
      <c r="AI860" s="10" t="s">
        <v>61</v>
      </c>
      <c r="AJ860" s="10" t="s">
        <v>8392</v>
      </c>
      <c r="AK860" s="10" t="s">
        <v>8915</v>
      </c>
      <c r="AL860" s="10" t="s">
        <v>64</v>
      </c>
      <c r="AM860" s="10" t="s">
        <v>8916</v>
      </c>
      <c r="AN860" s="10" t="s">
        <v>50</v>
      </c>
      <c r="AO860" s="11" t="s">
        <v>50</v>
      </c>
      <c r="AP860" s="10" t="s">
        <v>50</v>
      </c>
      <c r="AQ860" s="10" t="s">
        <v>50</v>
      </c>
      <c r="AR860" s="10" t="s">
        <v>50</v>
      </c>
      <c r="AS860" s="10" t="s">
        <v>50</v>
      </c>
      <c r="AT860" s="10" t="s">
        <v>50</v>
      </c>
      <c r="AU860" s="10" t="s">
        <v>50</v>
      </c>
      <c r="AV860" s="11"/>
      <c r="AW860" s="10" t="s">
        <v>66</v>
      </c>
      <c r="AX860" s="10"/>
      <c r="AY860" s="10" t="s">
        <v>66</v>
      </c>
    </row>
    <row r="861" ht="22.5" hidden="1" customHeight="1">
      <c r="A861" s="9" t="s">
        <v>8917</v>
      </c>
      <c r="B861" s="10" t="s">
        <v>8918</v>
      </c>
      <c r="C861" s="10" t="s">
        <v>43</v>
      </c>
      <c r="D861" s="10" t="s">
        <v>8227</v>
      </c>
      <c r="E861" s="10" t="s">
        <v>66</v>
      </c>
      <c r="F861" s="11">
        <v>1.0</v>
      </c>
      <c r="G861" s="11">
        <v>79.0</v>
      </c>
      <c r="H861" s="11"/>
      <c r="I861" s="11">
        <v>-13.43</v>
      </c>
      <c r="J861" s="11">
        <v>-20.45</v>
      </c>
      <c r="K861" s="11"/>
      <c r="L861" s="11">
        <v>45.12</v>
      </c>
      <c r="M861" s="10" t="s">
        <v>46</v>
      </c>
      <c r="N861" s="10" t="s">
        <v>45</v>
      </c>
      <c r="O861" s="10" t="s">
        <v>160</v>
      </c>
      <c r="P861" s="10" t="s">
        <v>161</v>
      </c>
      <c r="Q861" s="10" t="s">
        <v>162</v>
      </c>
      <c r="R861" s="10" t="s">
        <v>74</v>
      </c>
      <c r="S861" s="11">
        <v>79.0</v>
      </c>
      <c r="T861" s="11">
        <v>2.49</v>
      </c>
      <c r="U861" s="11" t="s">
        <v>51</v>
      </c>
      <c r="V861" s="10" t="s">
        <v>52</v>
      </c>
      <c r="W861" s="10" t="s">
        <v>8919</v>
      </c>
      <c r="X861" s="10" t="s">
        <v>8920</v>
      </c>
      <c r="Y861" s="10" t="s">
        <v>8921</v>
      </c>
      <c r="Z861" s="10" t="s">
        <v>50</v>
      </c>
      <c r="AA861" s="10" t="s">
        <v>50</v>
      </c>
      <c r="AB861" s="10" t="s">
        <v>8919</v>
      </c>
      <c r="AC861" s="10" t="s">
        <v>8922</v>
      </c>
      <c r="AD861" s="10" t="s">
        <v>8923</v>
      </c>
      <c r="AE861" s="10" t="s">
        <v>454</v>
      </c>
      <c r="AF861" s="10" t="s">
        <v>323</v>
      </c>
      <c r="AG861" s="10" t="s">
        <v>8924</v>
      </c>
      <c r="AH861" s="10" t="s">
        <v>60</v>
      </c>
      <c r="AI861" s="10" t="s">
        <v>61</v>
      </c>
      <c r="AJ861" s="10" t="s">
        <v>8297</v>
      </c>
      <c r="AK861" s="10" t="s">
        <v>8925</v>
      </c>
      <c r="AL861" s="10" t="s">
        <v>64</v>
      </c>
      <c r="AM861" s="10" t="s">
        <v>8926</v>
      </c>
      <c r="AN861" s="10" t="s">
        <v>50</v>
      </c>
      <c r="AO861" s="11" t="s">
        <v>50</v>
      </c>
      <c r="AP861" s="10" t="s">
        <v>50</v>
      </c>
      <c r="AQ861" s="10" t="s">
        <v>50</v>
      </c>
      <c r="AR861" s="10" t="s">
        <v>50</v>
      </c>
      <c r="AS861" s="10" t="s">
        <v>50</v>
      </c>
      <c r="AT861" s="10" t="s">
        <v>50</v>
      </c>
      <c r="AU861" s="10" t="s">
        <v>50</v>
      </c>
      <c r="AV861" s="11"/>
      <c r="AW861" s="10" t="s">
        <v>66</v>
      </c>
      <c r="AX861" s="10"/>
      <c r="AY861" s="10" t="s">
        <v>66</v>
      </c>
    </row>
    <row r="862" ht="22.5" hidden="1" customHeight="1">
      <c r="A862" s="9" t="s">
        <v>8927</v>
      </c>
      <c r="B862" s="10" t="s">
        <v>8928</v>
      </c>
      <c r="C862" s="10" t="s">
        <v>43</v>
      </c>
      <c r="D862" s="10" t="s">
        <v>7693</v>
      </c>
      <c r="E862" s="10" t="s">
        <v>45</v>
      </c>
      <c r="F862" s="11">
        <v>2.0</v>
      </c>
      <c r="G862" s="11">
        <v>87.4</v>
      </c>
      <c r="H862" s="11">
        <v>12.01</v>
      </c>
      <c r="I862" s="11">
        <v>-26.86</v>
      </c>
      <c r="J862" s="11">
        <v>-12.01</v>
      </c>
      <c r="K862" s="11"/>
      <c r="L862" s="11">
        <v>65.78</v>
      </c>
      <c r="M862" s="10" t="s">
        <v>46</v>
      </c>
      <c r="N862" s="10" t="s">
        <v>50</v>
      </c>
      <c r="O862" s="10" t="s">
        <v>176</v>
      </c>
      <c r="P862" s="10" t="s">
        <v>177</v>
      </c>
      <c r="Q862" s="10" t="s">
        <v>178</v>
      </c>
      <c r="R862" s="10" t="s">
        <v>74</v>
      </c>
      <c r="S862" s="11">
        <v>43.7</v>
      </c>
      <c r="T862" s="11">
        <f>2*22.58</f>
        <v>45.16</v>
      </c>
      <c r="U862" s="11" t="s">
        <v>51</v>
      </c>
      <c r="V862" s="10" t="s">
        <v>52</v>
      </c>
      <c r="W862" s="10" t="s">
        <v>8929</v>
      </c>
      <c r="X862" s="10" t="s">
        <v>8930</v>
      </c>
      <c r="Y862" s="10" t="s">
        <v>8931</v>
      </c>
      <c r="Z862" s="10" t="s">
        <v>50</v>
      </c>
      <c r="AA862" s="10" t="s">
        <v>50</v>
      </c>
      <c r="AB862" s="10" t="s">
        <v>8929</v>
      </c>
      <c r="AC862" s="10" t="s">
        <v>8932</v>
      </c>
      <c r="AD862" s="10" t="s">
        <v>8933</v>
      </c>
      <c r="AE862" s="10" t="s">
        <v>774</v>
      </c>
      <c r="AF862" s="10" t="s">
        <v>775</v>
      </c>
      <c r="AG862" s="10" t="s">
        <v>8934</v>
      </c>
      <c r="AH862" s="10" t="s">
        <v>60</v>
      </c>
      <c r="AI862" s="10" t="s">
        <v>61</v>
      </c>
      <c r="AJ862" s="10" t="s">
        <v>8319</v>
      </c>
      <c r="AK862" s="10" t="s">
        <v>8935</v>
      </c>
      <c r="AL862" s="10" t="s">
        <v>64</v>
      </c>
      <c r="AM862" s="10" t="s">
        <v>8936</v>
      </c>
      <c r="AN862" s="10" t="s">
        <v>50</v>
      </c>
      <c r="AO862" s="11" t="s">
        <v>50</v>
      </c>
      <c r="AP862" s="10" t="s">
        <v>50</v>
      </c>
      <c r="AQ862" s="10" t="s">
        <v>50</v>
      </c>
      <c r="AR862" s="10" t="s">
        <v>50</v>
      </c>
      <c r="AS862" s="10" t="s">
        <v>50</v>
      </c>
      <c r="AT862" s="10" t="s">
        <v>50</v>
      </c>
      <c r="AU862" s="10" t="s">
        <v>50</v>
      </c>
      <c r="AV862" s="11"/>
      <c r="AW862" s="10" t="s">
        <v>66</v>
      </c>
      <c r="AX862" s="10"/>
      <c r="AY862" s="10" t="s">
        <v>66</v>
      </c>
    </row>
    <row r="863" ht="22.5" hidden="1" customHeight="1">
      <c r="A863" s="9" t="s">
        <v>8937</v>
      </c>
      <c r="B863" s="10" t="s">
        <v>8938</v>
      </c>
      <c r="C863" s="10" t="s">
        <v>43</v>
      </c>
      <c r="D863" s="10" t="s">
        <v>7750</v>
      </c>
      <c r="E863" s="10" t="s">
        <v>66</v>
      </c>
      <c r="F863" s="11">
        <v>1.0</v>
      </c>
      <c r="G863" s="11">
        <v>120.0</v>
      </c>
      <c r="H863" s="11">
        <v>7.55</v>
      </c>
      <c r="I863" s="11">
        <v>-20.4</v>
      </c>
      <c r="J863" s="11">
        <v>-27.5</v>
      </c>
      <c r="K863" s="11"/>
      <c r="L863" s="11">
        <v>86.85</v>
      </c>
      <c r="M863" s="10" t="s">
        <v>46</v>
      </c>
      <c r="N863" s="10" t="s">
        <v>45</v>
      </c>
      <c r="O863" s="10" t="s">
        <v>85</v>
      </c>
      <c r="P863" s="10" t="s">
        <v>86</v>
      </c>
      <c r="Q863" s="10" t="s">
        <v>87</v>
      </c>
      <c r="R863" s="10" t="s">
        <v>74</v>
      </c>
      <c r="S863" s="11">
        <v>120.0</v>
      </c>
      <c r="T863" s="11">
        <v>65.78</v>
      </c>
      <c r="U863" s="11" t="s">
        <v>51</v>
      </c>
      <c r="V863" s="10" t="s">
        <v>52</v>
      </c>
      <c r="W863" s="10" t="s">
        <v>8939</v>
      </c>
      <c r="X863" s="10" t="s">
        <v>8940</v>
      </c>
      <c r="Y863" s="10" t="s">
        <v>8941</v>
      </c>
      <c r="Z863" s="10" t="s">
        <v>50</v>
      </c>
      <c r="AA863" s="10" t="s">
        <v>50</v>
      </c>
      <c r="AB863" s="10" t="s">
        <v>8939</v>
      </c>
      <c r="AC863" s="10" t="s">
        <v>8942</v>
      </c>
      <c r="AD863" s="10" t="s">
        <v>8943</v>
      </c>
      <c r="AE863" s="10" t="s">
        <v>8944</v>
      </c>
      <c r="AF863" s="10" t="s">
        <v>799</v>
      </c>
      <c r="AG863" s="10" t="s">
        <v>8945</v>
      </c>
      <c r="AH863" s="10" t="s">
        <v>60</v>
      </c>
      <c r="AI863" s="10" t="s">
        <v>61</v>
      </c>
      <c r="AJ863" s="10" t="s">
        <v>8211</v>
      </c>
      <c r="AK863" s="10" t="s">
        <v>8946</v>
      </c>
      <c r="AL863" s="10" t="s">
        <v>64</v>
      </c>
      <c r="AM863" s="10" t="s">
        <v>8947</v>
      </c>
      <c r="AN863" s="10" t="s">
        <v>50</v>
      </c>
      <c r="AO863" s="11" t="s">
        <v>50</v>
      </c>
      <c r="AP863" s="10" t="s">
        <v>50</v>
      </c>
      <c r="AQ863" s="10" t="s">
        <v>50</v>
      </c>
      <c r="AR863" s="10" t="s">
        <v>50</v>
      </c>
      <c r="AS863" s="10" t="s">
        <v>50</v>
      </c>
      <c r="AT863" s="10" t="s">
        <v>50</v>
      </c>
      <c r="AU863" s="10" t="s">
        <v>50</v>
      </c>
      <c r="AV863" s="11"/>
      <c r="AW863" s="10" t="s">
        <v>66</v>
      </c>
      <c r="AX863" s="10"/>
      <c r="AY863" s="10" t="s">
        <v>66</v>
      </c>
    </row>
    <row r="864" ht="22.5" hidden="1" customHeight="1">
      <c r="A864" s="9" t="s">
        <v>8948</v>
      </c>
      <c r="B864" s="10" t="s">
        <v>8949</v>
      </c>
      <c r="C864" s="10" t="s">
        <v>43</v>
      </c>
      <c r="D864" s="10" t="s">
        <v>7693</v>
      </c>
      <c r="E864" s="10" t="s">
        <v>66</v>
      </c>
      <c r="F864" s="11">
        <v>1.0</v>
      </c>
      <c r="G864" s="11">
        <v>120.0</v>
      </c>
      <c r="H864" s="11"/>
      <c r="I864" s="11">
        <v>-20.4</v>
      </c>
      <c r="J864" s="11">
        <v>-19.95</v>
      </c>
      <c r="K864" s="11"/>
      <c r="L864" s="11">
        <v>86.85</v>
      </c>
      <c r="M864" s="10" t="s">
        <v>46</v>
      </c>
      <c r="N864" s="10" t="s">
        <v>45</v>
      </c>
      <c r="O864" s="10" t="s">
        <v>85</v>
      </c>
      <c r="P864" s="10" t="s">
        <v>86</v>
      </c>
      <c r="Q864" s="10" t="s">
        <v>87</v>
      </c>
      <c r="R864" s="10" t="s">
        <v>74</v>
      </c>
      <c r="S864" s="11">
        <v>120.0</v>
      </c>
      <c r="T864" s="11">
        <v>65.78</v>
      </c>
      <c r="U864" s="11" t="s">
        <v>51</v>
      </c>
      <c r="V864" s="10" t="s">
        <v>52</v>
      </c>
      <c r="W864" s="10" t="s">
        <v>8950</v>
      </c>
      <c r="X864" s="10" t="s">
        <v>8951</v>
      </c>
      <c r="Y864" s="10" t="s">
        <v>8952</v>
      </c>
      <c r="Z864" s="10" t="s">
        <v>50</v>
      </c>
      <c r="AA864" s="10" t="s">
        <v>50</v>
      </c>
      <c r="AB864" s="10" t="s">
        <v>8950</v>
      </c>
      <c r="AC864" s="10" t="s">
        <v>8953</v>
      </c>
      <c r="AD864" s="10" t="s">
        <v>8954</v>
      </c>
      <c r="AE864" s="10" t="s">
        <v>361</v>
      </c>
      <c r="AF864" s="10" t="s">
        <v>323</v>
      </c>
      <c r="AG864" s="10" t="s">
        <v>8955</v>
      </c>
      <c r="AH864" s="10" t="s">
        <v>60</v>
      </c>
      <c r="AI864" s="10" t="s">
        <v>61</v>
      </c>
      <c r="AJ864" s="10" t="s">
        <v>8297</v>
      </c>
      <c r="AK864" s="10" t="s">
        <v>8956</v>
      </c>
      <c r="AL864" s="10" t="s">
        <v>64</v>
      </c>
      <c r="AM864" s="10" t="s">
        <v>8957</v>
      </c>
      <c r="AN864" s="10" t="s">
        <v>50</v>
      </c>
      <c r="AO864" s="11" t="s">
        <v>50</v>
      </c>
      <c r="AP864" s="10" t="s">
        <v>50</v>
      </c>
      <c r="AQ864" s="10" t="s">
        <v>50</v>
      </c>
      <c r="AR864" s="10" t="s">
        <v>50</v>
      </c>
      <c r="AS864" s="10" t="s">
        <v>50</v>
      </c>
      <c r="AT864" s="10" t="s">
        <v>50</v>
      </c>
      <c r="AU864" s="10" t="s">
        <v>50</v>
      </c>
      <c r="AV864" s="11"/>
      <c r="AW864" s="10" t="s">
        <v>66</v>
      </c>
      <c r="AX864" s="10"/>
      <c r="AY864" s="10" t="s">
        <v>66</v>
      </c>
    </row>
    <row r="865" ht="22.5" hidden="1" customHeight="1">
      <c r="A865" s="9" t="s">
        <v>8958</v>
      </c>
      <c r="B865" s="10" t="s">
        <v>8959</v>
      </c>
      <c r="C865" s="10" t="s">
        <v>43</v>
      </c>
      <c r="D865" s="10" t="s">
        <v>7693</v>
      </c>
      <c r="E865" s="10" t="s">
        <v>66</v>
      </c>
      <c r="F865" s="11">
        <v>1.0</v>
      </c>
      <c r="G865" s="11">
        <v>43.7</v>
      </c>
      <c r="H865" s="11">
        <v>17.86</v>
      </c>
      <c r="I865" s="11">
        <v>-13.43</v>
      </c>
      <c r="J865" s="11">
        <v>-17.86</v>
      </c>
      <c r="K865" s="11"/>
      <c r="L865" s="11">
        <v>32.89</v>
      </c>
      <c r="M865" s="10" t="s">
        <v>46</v>
      </c>
      <c r="N865" s="10" t="s">
        <v>50</v>
      </c>
      <c r="O865" s="10" t="s">
        <v>176</v>
      </c>
      <c r="P865" s="10" t="s">
        <v>177</v>
      </c>
      <c r="Q865" s="10" t="s">
        <v>178</v>
      </c>
      <c r="R865" s="10" t="s">
        <v>74</v>
      </c>
      <c r="S865" s="11">
        <v>43.7</v>
      </c>
      <c r="T865" s="11">
        <v>22.58</v>
      </c>
      <c r="U865" s="11" t="s">
        <v>51</v>
      </c>
      <c r="V865" s="10" t="s">
        <v>52</v>
      </c>
      <c r="W865" s="10" t="s">
        <v>8960</v>
      </c>
      <c r="X865" s="10" t="s">
        <v>8961</v>
      </c>
      <c r="Y865" s="10" t="s">
        <v>8962</v>
      </c>
      <c r="Z865" s="10" t="s">
        <v>50</v>
      </c>
      <c r="AA865" s="10" t="s">
        <v>50</v>
      </c>
      <c r="AB865" s="10" t="s">
        <v>8960</v>
      </c>
      <c r="AC865" s="10" t="s">
        <v>8963</v>
      </c>
      <c r="AD865" s="10" t="s">
        <v>8964</v>
      </c>
      <c r="AE865" s="10" t="s">
        <v>8965</v>
      </c>
      <c r="AF865" s="10" t="s">
        <v>284</v>
      </c>
      <c r="AG865" s="10" t="s">
        <v>8966</v>
      </c>
      <c r="AH865" s="10" t="s">
        <v>60</v>
      </c>
      <c r="AI865" s="10" t="s">
        <v>61</v>
      </c>
      <c r="AJ865" s="10" t="s">
        <v>8189</v>
      </c>
      <c r="AK865" s="10" t="s">
        <v>8967</v>
      </c>
      <c r="AL865" s="10" t="s">
        <v>64</v>
      </c>
      <c r="AM865" s="10" t="s">
        <v>8968</v>
      </c>
      <c r="AN865" s="10" t="s">
        <v>50</v>
      </c>
      <c r="AO865" s="11" t="s">
        <v>50</v>
      </c>
      <c r="AP865" s="10" t="s">
        <v>50</v>
      </c>
      <c r="AQ865" s="10" t="s">
        <v>50</v>
      </c>
      <c r="AR865" s="10" t="s">
        <v>50</v>
      </c>
      <c r="AS865" s="10" t="s">
        <v>50</v>
      </c>
      <c r="AT865" s="10" t="s">
        <v>50</v>
      </c>
      <c r="AU865" s="10" t="s">
        <v>50</v>
      </c>
      <c r="AV865" s="11"/>
      <c r="AW865" s="10" t="s">
        <v>66</v>
      </c>
      <c r="AX865" s="10"/>
      <c r="AY865" s="10" t="s">
        <v>66</v>
      </c>
    </row>
    <row r="866" ht="22.5" hidden="1" customHeight="1">
      <c r="A866" s="9" t="s">
        <v>8969</v>
      </c>
      <c r="B866" s="10" t="s">
        <v>8970</v>
      </c>
      <c r="C866" s="10" t="s">
        <v>43</v>
      </c>
      <c r="D866" s="10" t="s">
        <v>7693</v>
      </c>
      <c r="E866" s="10" t="s">
        <v>66</v>
      </c>
      <c r="F866" s="11">
        <v>1.0</v>
      </c>
      <c r="G866" s="11">
        <v>79.2</v>
      </c>
      <c r="H866" s="11"/>
      <c r="I866" s="11">
        <v>-13.46</v>
      </c>
      <c r="J866" s="11">
        <v>-20.45</v>
      </c>
      <c r="K866" s="11"/>
      <c r="L866" s="11">
        <v>45.29</v>
      </c>
      <c r="M866" s="10" t="s">
        <v>46</v>
      </c>
      <c r="N866" s="10" t="s">
        <v>45</v>
      </c>
      <c r="O866" s="10" t="s">
        <v>892</v>
      </c>
      <c r="P866" s="10" t="s">
        <v>893</v>
      </c>
      <c r="Q866" s="10" t="s">
        <v>894</v>
      </c>
      <c r="R866" s="10" t="s">
        <v>74</v>
      </c>
      <c r="S866" s="11">
        <v>79.2</v>
      </c>
      <c r="T866" s="11">
        <v>2.97</v>
      </c>
      <c r="U866" s="11" t="s">
        <v>51</v>
      </c>
      <c r="V866" s="10" t="s">
        <v>52</v>
      </c>
      <c r="W866" s="10" t="s">
        <v>8971</v>
      </c>
      <c r="X866" s="10" t="s">
        <v>8972</v>
      </c>
      <c r="Y866" s="10" t="s">
        <v>8973</v>
      </c>
      <c r="Z866" s="10" t="s">
        <v>50</v>
      </c>
      <c r="AA866" s="10" t="s">
        <v>50</v>
      </c>
      <c r="AB866" s="10" t="s">
        <v>8971</v>
      </c>
      <c r="AC866" s="10" t="s">
        <v>8974</v>
      </c>
      <c r="AD866" s="10" t="s">
        <v>8975</v>
      </c>
      <c r="AE866" s="10" t="s">
        <v>8976</v>
      </c>
      <c r="AF866" s="10" t="s">
        <v>119</v>
      </c>
      <c r="AG866" s="10" t="s">
        <v>8977</v>
      </c>
      <c r="AH866" s="10" t="s">
        <v>60</v>
      </c>
      <c r="AI866" s="10" t="s">
        <v>61</v>
      </c>
      <c r="AJ866" s="10" t="s">
        <v>8262</v>
      </c>
      <c r="AK866" s="10" t="s">
        <v>8978</v>
      </c>
      <c r="AL866" s="10" t="s">
        <v>64</v>
      </c>
      <c r="AM866" s="10" t="s">
        <v>8979</v>
      </c>
      <c r="AN866" s="10" t="s">
        <v>50</v>
      </c>
      <c r="AO866" s="11" t="s">
        <v>50</v>
      </c>
      <c r="AP866" s="10" t="s">
        <v>50</v>
      </c>
      <c r="AQ866" s="10" t="s">
        <v>50</v>
      </c>
      <c r="AR866" s="10" t="s">
        <v>50</v>
      </c>
      <c r="AS866" s="10" t="s">
        <v>50</v>
      </c>
      <c r="AT866" s="10" t="s">
        <v>50</v>
      </c>
      <c r="AU866" s="10" t="s">
        <v>50</v>
      </c>
      <c r="AV866" s="11"/>
      <c r="AW866" s="10" t="s">
        <v>66</v>
      </c>
      <c r="AX866" s="10"/>
      <c r="AY866" s="10" t="s">
        <v>66</v>
      </c>
    </row>
    <row r="867" ht="22.5" hidden="1" customHeight="1">
      <c r="A867" s="9" t="s">
        <v>8980</v>
      </c>
      <c r="B867" s="10" t="s">
        <v>8981</v>
      </c>
      <c r="C867" s="10" t="s">
        <v>43</v>
      </c>
      <c r="D867" s="10" t="s">
        <v>7693</v>
      </c>
      <c r="E867" s="10" t="s">
        <v>66</v>
      </c>
      <c r="F867" s="11">
        <v>1.0</v>
      </c>
      <c r="G867" s="11">
        <v>79.0</v>
      </c>
      <c r="H867" s="11">
        <v>27.13</v>
      </c>
      <c r="I867" s="11">
        <v>-13.43</v>
      </c>
      <c r="J867" s="11">
        <v>-47.58</v>
      </c>
      <c r="K867" s="11"/>
      <c r="L867" s="11">
        <v>45.12</v>
      </c>
      <c r="M867" s="10" t="s">
        <v>46</v>
      </c>
      <c r="N867" s="10" t="s">
        <v>45</v>
      </c>
      <c r="O867" s="10" t="s">
        <v>160</v>
      </c>
      <c r="P867" s="10" t="s">
        <v>161</v>
      </c>
      <c r="Q867" s="10" t="s">
        <v>162</v>
      </c>
      <c r="R867" s="10" t="s">
        <v>74</v>
      </c>
      <c r="S867" s="11">
        <v>79.0</v>
      </c>
      <c r="T867" s="11">
        <v>2.49</v>
      </c>
      <c r="U867" s="11" t="s">
        <v>51</v>
      </c>
      <c r="V867" s="10" t="s">
        <v>52</v>
      </c>
      <c r="W867" s="10" t="s">
        <v>8982</v>
      </c>
      <c r="X867" s="10" t="s">
        <v>8983</v>
      </c>
      <c r="Y867" s="10" t="s">
        <v>8984</v>
      </c>
      <c r="Z867" s="10" t="s">
        <v>50</v>
      </c>
      <c r="AA867" s="10" t="s">
        <v>50</v>
      </c>
      <c r="AB867" s="10" t="s">
        <v>8982</v>
      </c>
      <c r="AC867" s="10" t="s">
        <v>8985</v>
      </c>
      <c r="AD867" s="10" t="s">
        <v>8986</v>
      </c>
      <c r="AE867" s="10" t="s">
        <v>8987</v>
      </c>
      <c r="AF867" s="10" t="s">
        <v>6728</v>
      </c>
      <c r="AG867" s="10" t="s">
        <v>8988</v>
      </c>
      <c r="AH867" s="10" t="s">
        <v>60</v>
      </c>
      <c r="AI867" s="10" t="s">
        <v>61</v>
      </c>
      <c r="AJ867" s="10" t="s">
        <v>8239</v>
      </c>
      <c r="AK867" s="10" t="s">
        <v>8989</v>
      </c>
      <c r="AL867" s="10" t="s">
        <v>64</v>
      </c>
      <c r="AM867" s="10" t="s">
        <v>8990</v>
      </c>
      <c r="AN867" s="10" t="s">
        <v>50</v>
      </c>
      <c r="AO867" s="11" t="s">
        <v>50</v>
      </c>
      <c r="AP867" s="10" t="s">
        <v>50</v>
      </c>
      <c r="AQ867" s="10" t="s">
        <v>50</v>
      </c>
      <c r="AR867" s="10" t="s">
        <v>50</v>
      </c>
      <c r="AS867" s="10" t="s">
        <v>50</v>
      </c>
      <c r="AT867" s="10" t="s">
        <v>50</v>
      </c>
      <c r="AU867" s="10" t="s">
        <v>50</v>
      </c>
      <c r="AV867" s="11"/>
      <c r="AW867" s="10" t="s">
        <v>66</v>
      </c>
      <c r="AX867" s="10"/>
      <c r="AY867" s="10" t="s">
        <v>66</v>
      </c>
    </row>
    <row r="868" ht="22.5" hidden="1" customHeight="1">
      <c r="A868" s="9" t="s">
        <v>8991</v>
      </c>
      <c r="B868" s="10" t="s">
        <v>8992</v>
      </c>
      <c r="C868" s="10" t="s">
        <v>43</v>
      </c>
      <c r="D868" s="10" t="s">
        <v>7530</v>
      </c>
      <c r="E868" s="10" t="s">
        <v>45</v>
      </c>
      <c r="F868" s="11">
        <v>1.0</v>
      </c>
      <c r="G868" s="11">
        <v>120.0</v>
      </c>
      <c r="H868" s="11"/>
      <c r="I868" s="11">
        <v>-20.4</v>
      </c>
      <c r="J868" s="11">
        <v>-19.95</v>
      </c>
      <c r="K868" s="11"/>
      <c r="L868" s="11">
        <v>86.85</v>
      </c>
      <c r="M868" s="10" t="s">
        <v>46</v>
      </c>
      <c r="N868" s="10" t="s">
        <v>50</v>
      </c>
      <c r="O868" s="10" t="s">
        <v>85</v>
      </c>
      <c r="P868" s="10" t="s">
        <v>86</v>
      </c>
      <c r="Q868" s="10" t="s">
        <v>87</v>
      </c>
      <c r="R868" s="10" t="s">
        <v>74</v>
      </c>
      <c r="S868" s="11">
        <v>120.0</v>
      </c>
      <c r="T868" s="11">
        <v>65.78</v>
      </c>
      <c r="U868" s="11" t="s">
        <v>51</v>
      </c>
      <c r="V868" s="10" t="s">
        <v>52</v>
      </c>
      <c r="W868" s="10" t="s">
        <v>8993</v>
      </c>
      <c r="X868" s="10" t="s">
        <v>8994</v>
      </c>
      <c r="Y868" s="10" t="s">
        <v>8995</v>
      </c>
      <c r="Z868" s="10" t="s">
        <v>50</v>
      </c>
      <c r="AA868" s="10" t="s">
        <v>50</v>
      </c>
      <c r="AB868" s="10" t="s">
        <v>8993</v>
      </c>
      <c r="AC868" s="10" t="s">
        <v>8996</v>
      </c>
      <c r="AD868" s="10" t="s">
        <v>8997</v>
      </c>
      <c r="AE868" s="10" t="s">
        <v>2670</v>
      </c>
      <c r="AF868" s="10" t="s">
        <v>1593</v>
      </c>
      <c r="AG868" s="10" t="s">
        <v>8998</v>
      </c>
      <c r="AH868" s="10" t="s">
        <v>60</v>
      </c>
      <c r="AI868" s="10" t="s">
        <v>61</v>
      </c>
      <c r="AJ868" s="10" t="s">
        <v>8319</v>
      </c>
      <c r="AK868" s="10" t="s">
        <v>8999</v>
      </c>
      <c r="AL868" s="10" t="s">
        <v>64</v>
      </c>
      <c r="AM868" s="10" t="s">
        <v>9000</v>
      </c>
      <c r="AN868" s="10" t="s">
        <v>50</v>
      </c>
      <c r="AO868" s="11" t="s">
        <v>50</v>
      </c>
      <c r="AP868" s="10" t="s">
        <v>50</v>
      </c>
      <c r="AQ868" s="10" t="s">
        <v>50</v>
      </c>
      <c r="AR868" s="10" t="s">
        <v>50</v>
      </c>
      <c r="AS868" s="10" t="s">
        <v>50</v>
      </c>
      <c r="AT868" s="10" t="s">
        <v>50</v>
      </c>
      <c r="AU868" s="10" t="s">
        <v>50</v>
      </c>
      <c r="AV868" s="11"/>
      <c r="AW868" s="10" t="s">
        <v>66</v>
      </c>
      <c r="AX868" s="10"/>
      <c r="AY868" s="10" t="s">
        <v>66</v>
      </c>
    </row>
    <row r="869" ht="22.5" hidden="1" customHeight="1">
      <c r="A869" s="9" t="s">
        <v>9001</v>
      </c>
      <c r="B869" s="10" t="s">
        <v>9002</v>
      </c>
      <c r="C869" s="10" t="s">
        <v>43</v>
      </c>
      <c r="D869" s="10" t="s">
        <v>7693</v>
      </c>
      <c r="E869" s="10" t="s">
        <v>66</v>
      </c>
      <c r="F869" s="11">
        <v>1.0</v>
      </c>
      <c r="G869" s="11">
        <v>79.0</v>
      </c>
      <c r="H869" s="11"/>
      <c r="I869" s="11">
        <v>-13.43</v>
      </c>
      <c r="J869" s="11">
        <v>-19.95</v>
      </c>
      <c r="K869" s="11"/>
      <c r="L869" s="11">
        <v>45.62</v>
      </c>
      <c r="M869" s="10" t="s">
        <v>46</v>
      </c>
      <c r="N869" s="10" t="s">
        <v>50</v>
      </c>
      <c r="O869" s="10" t="s">
        <v>766</v>
      </c>
      <c r="P869" s="10" t="s">
        <v>767</v>
      </c>
      <c r="Q869" s="10" t="s">
        <v>768</v>
      </c>
      <c r="R869" s="10" t="s">
        <v>74</v>
      </c>
      <c r="S869" s="11">
        <v>79.0</v>
      </c>
      <c r="T869" s="11">
        <v>13.62</v>
      </c>
      <c r="U869" s="11" t="s">
        <v>51</v>
      </c>
      <c r="V869" s="10" t="s">
        <v>52</v>
      </c>
      <c r="W869" s="10" t="s">
        <v>9003</v>
      </c>
      <c r="X869" s="10" t="s">
        <v>9004</v>
      </c>
      <c r="Y869" s="10" t="s">
        <v>9005</v>
      </c>
      <c r="Z869" s="10" t="s">
        <v>50</v>
      </c>
      <c r="AA869" s="10" t="s">
        <v>50</v>
      </c>
      <c r="AB869" s="10" t="s">
        <v>9003</v>
      </c>
      <c r="AC869" s="10" t="s">
        <v>9006</v>
      </c>
      <c r="AD869" s="10" t="s">
        <v>9007</v>
      </c>
      <c r="AE869" s="10" t="s">
        <v>5308</v>
      </c>
      <c r="AF869" s="10" t="s">
        <v>58</v>
      </c>
      <c r="AG869" s="10" t="s">
        <v>9008</v>
      </c>
      <c r="AH869" s="10" t="s">
        <v>60</v>
      </c>
      <c r="AI869" s="10" t="s">
        <v>61</v>
      </c>
      <c r="AJ869" s="10" t="s">
        <v>8392</v>
      </c>
      <c r="AK869" s="10" t="s">
        <v>9009</v>
      </c>
      <c r="AL869" s="10" t="s">
        <v>64</v>
      </c>
      <c r="AM869" s="10" t="s">
        <v>9010</v>
      </c>
      <c r="AN869" s="10" t="s">
        <v>50</v>
      </c>
      <c r="AO869" s="11" t="s">
        <v>50</v>
      </c>
      <c r="AP869" s="10" t="s">
        <v>50</v>
      </c>
      <c r="AQ869" s="10" t="s">
        <v>50</v>
      </c>
      <c r="AR869" s="10" t="s">
        <v>50</v>
      </c>
      <c r="AS869" s="10" t="s">
        <v>50</v>
      </c>
      <c r="AT869" s="10" t="s">
        <v>50</v>
      </c>
      <c r="AU869" s="10" t="s">
        <v>50</v>
      </c>
      <c r="AV869" s="11"/>
      <c r="AW869" s="10" t="s">
        <v>66</v>
      </c>
      <c r="AX869" s="10"/>
      <c r="AY869" s="10" t="s">
        <v>66</v>
      </c>
    </row>
    <row r="870" ht="22.5" hidden="1" customHeight="1">
      <c r="A870" s="9" t="s">
        <v>9011</v>
      </c>
      <c r="B870" s="10" t="s">
        <v>9012</v>
      </c>
      <c r="C870" s="10" t="s">
        <v>43</v>
      </c>
      <c r="D870" s="10" t="s">
        <v>7750</v>
      </c>
      <c r="E870" s="10" t="s">
        <v>66</v>
      </c>
      <c r="F870" s="11">
        <v>1.0</v>
      </c>
      <c r="G870" s="11">
        <v>36.8</v>
      </c>
      <c r="H870" s="11">
        <v>9.94</v>
      </c>
      <c r="I870" s="11">
        <v>-12.26</v>
      </c>
      <c r="J870" s="11">
        <v>-9.94</v>
      </c>
      <c r="K870" s="11"/>
      <c r="L870" s="11">
        <v>26.38</v>
      </c>
      <c r="M870" s="10" t="s">
        <v>46</v>
      </c>
      <c r="N870" s="10" t="s">
        <v>50</v>
      </c>
      <c r="O870" s="10" t="s">
        <v>71</v>
      </c>
      <c r="P870" s="10" t="s">
        <v>72</v>
      </c>
      <c r="Q870" s="10" t="s">
        <v>73</v>
      </c>
      <c r="R870" s="10" t="s">
        <v>74</v>
      </c>
      <c r="S870" s="11">
        <v>36.8</v>
      </c>
      <c r="T870" s="11">
        <v>4.58</v>
      </c>
      <c r="U870" s="11" t="s">
        <v>51</v>
      </c>
      <c r="V870" s="10" t="s">
        <v>52</v>
      </c>
      <c r="W870" s="10" t="s">
        <v>9013</v>
      </c>
      <c r="X870" s="10" t="s">
        <v>9014</v>
      </c>
      <c r="Y870" s="10" t="s">
        <v>9015</v>
      </c>
      <c r="Z870" s="10" t="s">
        <v>50</v>
      </c>
      <c r="AA870" s="10" t="s">
        <v>50</v>
      </c>
      <c r="AB870" s="10" t="s">
        <v>9013</v>
      </c>
      <c r="AC870" s="10" t="s">
        <v>9016</v>
      </c>
      <c r="AD870" s="10" t="s">
        <v>9017</v>
      </c>
      <c r="AE870" s="10" t="s">
        <v>9018</v>
      </c>
      <c r="AF870" s="10" t="s">
        <v>58</v>
      </c>
      <c r="AG870" s="10" t="s">
        <v>9019</v>
      </c>
      <c r="AH870" s="10" t="s">
        <v>60</v>
      </c>
      <c r="AI870" s="10" t="s">
        <v>61</v>
      </c>
      <c r="AJ870" s="10" t="s">
        <v>8239</v>
      </c>
      <c r="AK870" s="10" t="s">
        <v>9020</v>
      </c>
      <c r="AL870" s="10" t="s">
        <v>64</v>
      </c>
      <c r="AM870" s="10" t="s">
        <v>9021</v>
      </c>
      <c r="AN870" s="10" t="s">
        <v>50</v>
      </c>
      <c r="AO870" s="11" t="s">
        <v>50</v>
      </c>
      <c r="AP870" s="10" t="s">
        <v>50</v>
      </c>
      <c r="AQ870" s="10" t="s">
        <v>50</v>
      </c>
      <c r="AR870" s="10" t="s">
        <v>50</v>
      </c>
      <c r="AS870" s="10" t="s">
        <v>50</v>
      </c>
      <c r="AT870" s="10" t="s">
        <v>50</v>
      </c>
      <c r="AU870" s="10" t="s">
        <v>50</v>
      </c>
      <c r="AV870" s="11"/>
      <c r="AW870" s="10" t="s">
        <v>66</v>
      </c>
      <c r="AX870" s="10"/>
      <c r="AY870" s="10" t="s">
        <v>66</v>
      </c>
    </row>
    <row r="871" ht="22.5" hidden="1" customHeight="1">
      <c r="A871" s="9" t="s">
        <v>9022</v>
      </c>
      <c r="B871" s="10" t="s">
        <v>9023</v>
      </c>
      <c r="C871" s="10" t="s">
        <v>43</v>
      </c>
      <c r="D871" s="10" t="s">
        <v>7530</v>
      </c>
      <c r="E871" s="10" t="s">
        <v>45</v>
      </c>
      <c r="F871" s="11">
        <v>2.0</v>
      </c>
      <c r="G871" s="11">
        <v>158.4</v>
      </c>
      <c r="H871" s="11"/>
      <c r="I871" s="11">
        <v>-26.92</v>
      </c>
      <c r="J871" s="11">
        <v>-40.9</v>
      </c>
      <c r="K871" s="11"/>
      <c r="L871" s="11">
        <v>90.58</v>
      </c>
      <c r="M871" s="10" t="s">
        <v>46</v>
      </c>
      <c r="N871" s="10" t="s">
        <v>45</v>
      </c>
      <c r="O871" s="10" t="s">
        <v>892</v>
      </c>
      <c r="P871" s="10" t="s">
        <v>893</v>
      </c>
      <c r="Q871" s="10" t="s">
        <v>894</v>
      </c>
      <c r="R871" s="10" t="s">
        <v>74</v>
      </c>
      <c r="S871" s="11">
        <v>79.2</v>
      </c>
      <c r="T871" s="11">
        <v>2.97</v>
      </c>
      <c r="U871" s="11" t="s">
        <v>51</v>
      </c>
      <c r="V871" s="10" t="s">
        <v>52</v>
      </c>
      <c r="W871" s="10" t="s">
        <v>9024</v>
      </c>
      <c r="X871" s="10" t="s">
        <v>9025</v>
      </c>
      <c r="Y871" s="10" t="s">
        <v>9026</v>
      </c>
      <c r="Z871" s="10" t="s">
        <v>50</v>
      </c>
      <c r="AA871" s="10" t="s">
        <v>50</v>
      </c>
      <c r="AB871" s="10" t="s">
        <v>9024</v>
      </c>
      <c r="AC871" s="10" t="s">
        <v>9027</v>
      </c>
      <c r="AD871" s="10" t="s">
        <v>9028</v>
      </c>
      <c r="AE871" s="10" t="s">
        <v>80</v>
      </c>
      <c r="AF871" s="10" t="s">
        <v>81</v>
      </c>
      <c r="AG871" s="10" t="s">
        <v>9029</v>
      </c>
      <c r="AH871" s="10" t="s">
        <v>60</v>
      </c>
      <c r="AI871" s="10" t="s">
        <v>61</v>
      </c>
      <c r="AJ871" s="10" t="s">
        <v>8392</v>
      </c>
      <c r="AK871" s="10" t="s">
        <v>9030</v>
      </c>
      <c r="AL871" s="10" t="s">
        <v>64</v>
      </c>
      <c r="AM871" s="10" t="s">
        <v>9031</v>
      </c>
      <c r="AN871" s="10" t="s">
        <v>50</v>
      </c>
      <c r="AO871" s="11" t="s">
        <v>50</v>
      </c>
      <c r="AP871" s="10" t="s">
        <v>50</v>
      </c>
      <c r="AQ871" s="10" t="s">
        <v>50</v>
      </c>
      <c r="AR871" s="10" t="s">
        <v>50</v>
      </c>
      <c r="AS871" s="10" t="s">
        <v>50</v>
      </c>
      <c r="AT871" s="10" t="s">
        <v>50</v>
      </c>
      <c r="AU871" s="10" t="s">
        <v>50</v>
      </c>
      <c r="AV871" s="11"/>
      <c r="AW871" s="10" t="s">
        <v>66</v>
      </c>
      <c r="AX871" s="10"/>
      <c r="AY871" s="10" t="s">
        <v>66</v>
      </c>
    </row>
    <row r="872" ht="22.5" hidden="1" customHeight="1">
      <c r="A872" s="9" t="s">
        <v>9032</v>
      </c>
      <c r="B872" s="10" t="s">
        <v>9033</v>
      </c>
      <c r="C872" s="10" t="s">
        <v>43</v>
      </c>
      <c r="D872" s="10" t="s">
        <v>7693</v>
      </c>
      <c r="E872" s="10" t="s">
        <v>66</v>
      </c>
      <c r="F872" s="11">
        <v>1.0</v>
      </c>
      <c r="G872" s="11">
        <v>79.2</v>
      </c>
      <c r="H872" s="11"/>
      <c r="I872" s="11">
        <v>-13.46</v>
      </c>
      <c r="J872" s="11">
        <v>-20.45</v>
      </c>
      <c r="K872" s="11"/>
      <c r="L872" s="11">
        <v>45.29</v>
      </c>
      <c r="M872" s="10" t="s">
        <v>46</v>
      </c>
      <c r="N872" s="10" t="s">
        <v>50</v>
      </c>
      <c r="O872" s="10" t="s">
        <v>892</v>
      </c>
      <c r="P872" s="10" t="s">
        <v>893</v>
      </c>
      <c r="Q872" s="10" t="s">
        <v>894</v>
      </c>
      <c r="R872" s="10" t="s">
        <v>74</v>
      </c>
      <c r="S872" s="11">
        <v>79.2</v>
      </c>
      <c r="T872" s="11">
        <v>2.97</v>
      </c>
      <c r="U872" s="11" t="s">
        <v>51</v>
      </c>
      <c r="V872" s="10" t="s">
        <v>52</v>
      </c>
      <c r="W872" s="10" t="s">
        <v>9034</v>
      </c>
      <c r="X872" s="10" t="s">
        <v>9035</v>
      </c>
      <c r="Y872" s="10" t="s">
        <v>9036</v>
      </c>
      <c r="Z872" s="10" t="s">
        <v>50</v>
      </c>
      <c r="AA872" s="10" t="s">
        <v>50</v>
      </c>
      <c r="AB872" s="10" t="s">
        <v>9034</v>
      </c>
      <c r="AC872" s="10" t="s">
        <v>9037</v>
      </c>
      <c r="AD872" s="10" t="s">
        <v>9038</v>
      </c>
      <c r="AE872" s="10" t="s">
        <v>9039</v>
      </c>
      <c r="AF872" s="10" t="s">
        <v>284</v>
      </c>
      <c r="AG872" s="10" t="s">
        <v>9040</v>
      </c>
      <c r="AH872" s="10" t="s">
        <v>60</v>
      </c>
      <c r="AI872" s="10" t="s">
        <v>61</v>
      </c>
      <c r="AJ872" s="10" t="s">
        <v>8189</v>
      </c>
      <c r="AK872" s="10" t="s">
        <v>9041</v>
      </c>
      <c r="AL872" s="10" t="s">
        <v>64</v>
      </c>
      <c r="AM872" s="10" t="s">
        <v>9042</v>
      </c>
      <c r="AN872" s="10" t="s">
        <v>50</v>
      </c>
      <c r="AO872" s="11" t="s">
        <v>50</v>
      </c>
      <c r="AP872" s="10" t="s">
        <v>50</v>
      </c>
      <c r="AQ872" s="10" t="s">
        <v>50</v>
      </c>
      <c r="AR872" s="10" t="s">
        <v>50</v>
      </c>
      <c r="AS872" s="10" t="s">
        <v>50</v>
      </c>
      <c r="AT872" s="10" t="s">
        <v>50</v>
      </c>
      <c r="AU872" s="10" t="s">
        <v>50</v>
      </c>
      <c r="AV872" s="11"/>
      <c r="AW872" s="10" t="s">
        <v>66</v>
      </c>
      <c r="AX872" s="10"/>
      <c r="AY872" s="10" t="s">
        <v>66</v>
      </c>
    </row>
    <row r="873" ht="22.5" hidden="1" customHeight="1">
      <c r="A873" s="9" t="s">
        <v>9043</v>
      </c>
      <c r="B873" s="10" t="s">
        <v>9044</v>
      </c>
      <c r="C873" s="10" t="s">
        <v>3175</v>
      </c>
      <c r="D873" s="10" t="s">
        <v>3176</v>
      </c>
      <c r="E873" s="10" t="s">
        <v>66</v>
      </c>
      <c r="F873" s="11">
        <v>1.0</v>
      </c>
      <c r="G873" s="11">
        <v>120.0</v>
      </c>
      <c r="H873" s="11"/>
      <c r="I873" s="11">
        <v>-20.4</v>
      </c>
      <c r="J873" s="11">
        <v>-19.95</v>
      </c>
      <c r="K873" s="11"/>
      <c r="L873" s="11">
        <v>86.85</v>
      </c>
      <c r="M873" s="10" t="s">
        <v>46</v>
      </c>
      <c r="N873" s="10" t="s">
        <v>45</v>
      </c>
      <c r="O873" s="10" t="s">
        <v>85</v>
      </c>
      <c r="P873" s="10" t="s">
        <v>86</v>
      </c>
      <c r="Q873" s="10" t="s">
        <v>87</v>
      </c>
      <c r="R873" s="10" t="s">
        <v>74</v>
      </c>
      <c r="S873" s="11">
        <v>120.0</v>
      </c>
      <c r="T873" s="11">
        <v>65.78</v>
      </c>
      <c r="U873" s="11" t="s">
        <v>51</v>
      </c>
      <c r="V873" s="10" t="s">
        <v>52</v>
      </c>
      <c r="W873" s="10" t="s">
        <v>9045</v>
      </c>
      <c r="X873" s="10" t="s">
        <v>9046</v>
      </c>
      <c r="Y873" s="10" t="s">
        <v>9047</v>
      </c>
      <c r="Z873" s="10" t="s">
        <v>50</v>
      </c>
      <c r="AA873" s="10" t="s">
        <v>50</v>
      </c>
      <c r="AB873" s="10" t="s">
        <v>9045</v>
      </c>
      <c r="AC873" s="10" t="s">
        <v>9048</v>
      </c>
      <c r="AD873" s="10" t="s">
        <v>50</v>
      </c>
      <c r="AE873" s="10" t="s">
        <v>9049</v>
      </c>
      <c r="AF873" s="10" t="s">
        <v>214</v>
      </c>
      <c r="AG873" s="10" t="s">
        <v>9050</v>
      </c>
      <c r="AH873" s="10" t="s">
        <v>60</v>
      </c>
      <c r="AI873" s="10" t="s">
        <v>61</v>
      </c>
      <c r="AJ873" s="10" t="s">
        <v>8189</v>
      </c>
      <c r="AK873" s="10" t="s">
        <v>50</v>
      </c>
      <c r="AL873" s="10" t="s">
        <v>64</v>
      </c>
      <c r="AM873" s="10" t="s">
        <v>9051</v>
      </c>
      <c r="AN873" s="10" t="s">
        <v>50</v>
      </c>
      <c r="AO873" s="11" t="s">
        <v>50</v>
      </c>
      <c r="AP873" s="10" t="s">
        <v>50</v>
      </c>
      <c r="AQ873" s="10" t="s">
        <v>50</v>
      </c>
      <c r="AR873" s="10" t="s">
        <v>50</v>
      </c>
      <c r="AS873" s="10" t="s">
        <v>50</v>
      </c>
      <c r="AT873" s="10" t="s">
        <v>50</v>
      </c>
      <c r="AU873" s="10" t="s">
        <v>50</v>
      </c>
      <c r="AV873" s="11"/>
      <c r="AW873" s="10" t="s">
        <v>66</v>
      </c>
      <c r="AX873" s="10"/>
      <c r="AY873" s="10" t="s">
        <v>66</v>
      </c>
    </row>
    <row r="874" ht="22.5" hidden="1" customHeight="1">
      <c r="A874" s="9" t="s">
        <v>9052</v>
      </c>
      <c r="B874" s="10" t="s">
        <v>9053</v>
      </c>
      <c r="C874" s="10" t="s">
        <v>69</v>
      </c>
      <c r="D874" s="10" t="s">
        <v>50</v>
      </c>
      <c r="E874" s="10" t="s">
        <v>45</v>
      </c>
      <c r="F874" s="11">
        <v>3.0</v>
      </c>
      <c r="G874" s="11">
        <v>131.1</v>
      </c>
      <c r="H874" s="11"/>
      <c r="I874" s="11">
        <v>-40.29</v>
      </c>
      <c r="J874" s="11"/>
      <c r="K874" s="11">
        <v>-98.67</v>
      </c>
      <c r="L874" s="11">
        <v>0.0</v>
      </c>
      <c r="M874" s="10" t="s">
        <v>46</v>
      </c>
      <c r="N874" s="10" t="s">
        <v>50</v>
      </c>
      <c r="O874" s="10" t="s">
        <v>176</v>
      </c>
      <c r="P874" s="10" t="s">
        <v>177</v>
      </c>
      <c r="Q874" s="10" t="s">
        <v>178</v>
      </c>
      <c r="R874" s="10" t="s">
        <v>74</v>
      </c>
      <c r="S874" s="11">
        <v>43.7</v>
      </c>
      <c r="T874" s="11"/>
      <c r="U874" s="11" t="s">
        <v>51</v>
      </c>
      <c r="V874" s="10" t="s">
        <v>52</v>
      </c>
      <c r="W874" s="10" t="s">
        <v>9054</v>
      </c>
      <c r="X874" s="10" t="s">
        <v>9055</v>
      </c>
      <c r="Y874" s="10" t="s">
        <v>9056</v>
      </c>
      <c r="Z874" s="10" t="s">
        <v>50</v>
      </c>
      <c r="AA874" s="10" t="s">
        <v>50</v>
      </c>
      <c r="AB874" s="10" t="s">
        <v>9054</v>
      </c>
      <c r="AC874" s="10" t="s">
        <v>9057</v>
      </c>
      <c r="AD874" s="10" t="s">
        <v>50</v>
      </c>
      <c r="AE874" s="10" t="s">
        <v>9058</v>
      </c>
      <c r="AF874" s="10" t="s">
        <v>119</v>
      </c>
      <c r="AG874" s="10" t="s">
        <v>9059</v>
      </c>
      <c r="AH874" s="10" t="s">
        <v>60</v>
      </c>
      <c r="AI874" s="10" t="s">
        <v>61</v>
      </c>
      <c r="AJ874" s="10" t="s">
        <v>50</v>
      </c>
      <c r="AK874" s="10" t="s">
        <v>50</v>
      </c>
      <c r="AL874" s="10" t="s">
        <v>64</v>
      </c>
      <c r="AM874" s="10" t="s">
        <v>9060</v>
      </c>
      <c r="AN874" s="10" t="s">
        <v>50</v>
      </c>
      <c r="AO874" s="11" t="s">
        <v>50</v>
      </c>
      <c r="AP874" s="10" t="s">
        <v>50</v>
      </c>
      <c r="AQ874" s="10" t="s">
        <v>50</v>
      </c>
      <c r="AR874" s="10" t="s">
        <v>50</v>
      </c>
      <c r="AS874" s="10" t="s">
        <v>50</v>
      </c>
      <c r="AT874" s="10" t="s">
        <v>50</v>
      </c>
      <c r="AU874" s="10" t="s">
        <v>50</v>
      </c>
      <c r="AV874" s="11"/>
      <c r="AW874" s="10" t="s">
        <v>66</v>
      </c>
      <c r="AX874" s="10"/>
      <c r="AY874" s="10" t="s">
        <v>66</v>
      </c>
    </row>
    <row r="875" ht="22.5" hidden="1" customHeight="1">
      <c r="A875" s="9" t="s">
        <v>9061</v>
      </c>
      <c r="B875" s="10" t="s">
        <v>9062</v>
      </c>
      <c r="C875" s="10" t="s">
        <v>43</v>
      </c>
      <c r="D875" s="10" t="s">
        <v>2402</v>
      </c>
      <c r="E875" s="10" t="s">
        <v>45</v>
      </c>
      <c r="F875" s="11">
        <v>2.0</v>
      </c>
      <c r="G875" s="11">
        <v>161.2</v>
      </c>
      <c r="H875" s="11"/>
      <c r="I875" s="11">
        <v>-27.4</v>
      </c>
      <c r="J875" s="11">
        <v>-40.9</v>
      </c>
      <c r="K875" s="11"/>
      <c r="L875" s="11">
        <v>92.9</v>
      </c>
      <c r="M875" s="10" t="s">
        <v>46</v>
      </c>
      <c r="N875" s="10" t="s">
        <v>45</v>
      </c>
      <c r="O875" s="10" t="s">
        <v>265</v>
      </c>
      <c r="P875" s="10" t="s">
        <v>266</v>
      </c>
      <c r="Q875" s="10" t="s">
        <v>267</v>
      </c>
      <c r="R875" s="10" t="s">
        <v>74</v>
      </c>
      <c r="S875" s="11">
        <v>80.6</v>
      </c>
      <c r="T875" s="11">
        <v>26.22</v>
      </c>
      <c r="U875" s="11" t="s">
        <v>51</v>
      </c>
      <c r="V875" s="10" t="s">
        <v>52</v>
      </c>
      <c r="W875" s="10" t="s">
        <v>9063</v>
      </c>
      <c r="X875" s="10" t="s">
        <v>9064</v>
      </c>
      <c r="Y875" s="10" t="s">
        <v>9065</v>
      </c>
      <c r="Z875" s="10" t="s">
        <v>50</v>
      </c>
      <c r="AA875" s="10" t="s">
        <v>50</v>
      </c>
      <c r="AB875" s="10" t="s">
        <v>9063</v>
      </c>
      <c r="AC875" s="10" t="s">
        <v>9066</v>
      </c>
      <c r="AD875" s="10" t="s">
        <v>9067</v>
      </c>
      <c r="AE875" s="10" t="s">
        <v>1089</v>
      </c>
      <c r="AF875" s="10" t="s">
        <v>284</v>
      </c>
      <c r="AG875" s="10" t="s">
        <v>9068</v>
      </c>
      <c r="AH875" s="10" t="s">
        <v>60</v>
      </c>
      <c r="AI875" s="10" t="s">
        <v>61</v>
      </c>
      <c r="AJ875" s="10" t="s">
        <v>6751</v>
      </c>
      <c r="AK875" s="10" t="s">
        <v>9069</v>
      </c>
      <c r="AL875" s="10" t="s">
        <v>64</v>
      </c>
      <c r="AM875" s="10" t="s">
        <v>9070</v>
      </c>
      <c r="AN875" s="10" t="s">
        <v>50</v>
      </c>
      <c r="AO875" s="11" t="s">
        <v>50</v>
      </c>
      <c r="AP875" s="10" t="s">
        <v>50</v>
      </c>
      <c r="AQ875" s="10" t="s">
        <v>50</v>
      </c>
      <c r="AR875" s="10" t="s">
        <v>50</v>
      </c>
      <c r="AS875" s="10" t="s">
        <v>50</v>
      </c>
      <c r="AT875" s="10" t="s">
        <v>50</v>
      </c>
      <c r="AU875" s="10" t="s">
        <v>50</v>
      </c>
      <c r="AV875" s="11"/>
      <c r="AW875" s="10" t="s">
        <v>66</v>
      </c>
      <c r="AX875" s="10"/>
      <c r="AY875" s="10" t="s">
        <v>66</v>
      </c>
    </row>
    <row r="876" ht="22.5" hidden="1" customHeight="1">
      <c r="A876" s="9" t="s">
        <v>9071</v>
      </c>
      <c r="B876" s="10" t="s">
        <v>9072</v>
      </c>
      <c r="C876" s="10" t="s">
        <v>43</v>
      </c>
      <c r="D876" s="10" t="s">
        <v>3477</v>
      </c>
      <c r="E876" s="10" t="s">
        <v>66</v>
      </c>
      <c r="F876" s="11">
        <v>1.0</v>
      </c>
      <c r="G876" s="11">
        <v>80.3</v>
      </c>
      <c r="H876" s="11"/>
      <c r="I876" s="11">
        <v>-13.65</v>
      </c>
      <c r="J876" s="11">
        <v>-20.45</v>
      </c>
      <c r="K876" s="11"/>
      <c r="L876" s="11">
        <v>46.2</v>
      </c>
      <c r="M876" s="10" t="s">
        <v>46</v>
      </c>
      <c r="N876" s="10" t="s">
        <v>45</v>
      </c>
      <c r="O876" s="10" t="s">
        <v>127</v>
      </c>
      <c r="P876" s="10" t="s">
        <v>128</v>
      </c>
      <c r="Q876" s="10" t="s">
        <v>129</v>
      </c>
      <c r="R876" s="10" t="s">
        <v>74</v>
      </c>
      <c r="S876" s="11">
        <v>80.3</v>
      </c>
      <c r="T876" s="11">
        <v>17.68</v>
      </c>
      <c r="U876" s="11" t="s">
        <v>51</v>
      </c>
      <c r="V876" s="10" t="s">
        <v>52</v>
      </c>
      <c r="W876" s="10" t="s">
        <v>9073</v>
      </c>
      <c r="X876" s="10" t="s">
        <v>9074</v>
      </c>
      <c r="Y876" s="10" t="s">
        <v>9075</v>
      </c>
      <c r="Z876" s="10" t="s">
        <v>50</v>
      </c>
      <c r="AA876" s="10" t="s">
        <v>50</v>
      </c>
      <c r="AB876" s="10" t="s">
        <v>9073</v>
      </c>
      <c r="AC876" s="10" t="s">
        <v>9076</v>
      </c>
      <c r="AD876" s="10" t="s">
        <v>9077</v>
      </c>
      <c r="AE876" s="10" t="s">
        <v>1730</v>
      </c>
      <c r="AF876" s="10" t="s">
        <v>58</v>
      </c>
      <c r="AG876" s="10" t="s">
        <v>9078</v>
      </c>
      <c r="AH876" s="10" t="s">
        <v>60</v>
      </c>
      <c r="AI876" s="10" t="s">
        <v>61</v>
      </c>
      <c r="AJ876" s="10" t="s">
        <v>7324</v>
      </c>
      <c r="AK876" s="10" t="s">
        <v>9079</v>
      </c>
      <c r="AL876" s="10" t="s">
        <v>64</v>
      </c>
      <c r="AM876" s="10" t="s">
        <v>9080</v>
      </c>
      <c r="AN876" s="10" t="s">
        <v>50</v>
      </c>
      <c r="AO876" s="11" t="s">
        <v>50</v>
      </c>
      <c r="AP876" s="10" t="s">
        <v>50</v>
      </c>
      <c r="AQ876" s="10" t="s">
        <v>50</v>
      </c>
      <c r="AR876" s="10" t="s">
        <v>50</v>
      </c>
      <c r="AS876" s="10" t="s">
        <v>50</v>
      </c>
      <c r="AT876" s="10" t="s">
        <v>50</v>
      </c>
      <c r="AU876" s="10" t="s">
        <v>50</v>
      </c>
      <c r="AV876" s="11"/>
      <c r="AW876" s="10" t="s">
        <v>66</v>
      </c>
      <c r="AX876" s="10"/>
      <c r="AY876" s="10" t="s">
        <v>66</v>
      </c>
    </row>
    <row r="877" ht="22.5" hidden="1" customHeight="1">
      <c r="A877" s="9" t="s">
        <v>9081</v>
      </c>
      <c r="B877" s="10" t="s">
        <v>9082</v>
      </c>
      <c r="C877" s="10" t="s">
        <v>43</v>
      </c>
      <c r="D877" s="10" t="s">
        <v>6539</v>
      </c>
      <c r="E877" s="10" t="s">
        <v>66</v>
      </c>
      <c r="F877" s="11">
        <v>1.0</v>
      </c>
      <c r="G877" s="11">
        <v>79.35</v>
      </c>
      <c r="H877" s="11"/>
      <c r="I877" s="11">
        <v>-15.08</v>
      </c>
      <c r="J877" s="11">
        <v>-19.95</v>
      </c>
      <c r="K877" s="11"/>
      <c r="L877" s="11">
        <v>44.32</v>
      </c>
      <c r="M877" s="10" t="s">
        <v>46</v>
      </c>
      <c r="N877" s="10" t="s">
        <v>45</v>
      </c>
      <c r="O877" s="10" t="s">
        <v>47</v>
      </c>
      <c r="P877" s="10" t="s">
        <v>48</v>
      </c>
      <c r="Q877" s="10" t="s">
        <v>49</v>
      </c>
      <c r="R877" s="10" t="s">
        <v>50</v>
      </c>
      <c r="S877" s="11">
        <v>79.35</v>
      </c>
      <c r="T877" s="11">
        <v>12.45</v>
      </c>
      <c r="U877" s="11" t="s">
        <v>51</v>
      </c>
      <c r="V877" s="10" t="s">
        <v>52</v>
      </c>
      <c r="W877" s="10" t="s">
        <v>9083</v>
      </c>
      <c r="X877" s="10" t="s">
        <v>9084</v>
      </c>
      <c r="Y877" s="10" t="s">
        <v>9085</v>
      </c>
      <c r="Z877" s="10" t="s">
        <v>50</v>
      </c>
      <c r="AA877" s="10" t="s">
        <v>50</v>
      </c>
      <c r="AB877" s="10" t="s">
        <v>9083</v>
      </c>
      <c r="AC877" s="10" t="s">
        <v>9086</v>
      </c>
      <c r="AD877" s="10" t="s">
        <v>9087</v>
      </c>
      <c r="AE877" s="10" t="s">
        <v>9088</v>
      </c>
      <c r="AF877" s="10" t="s">
        <v>151</v>
      </c>
      <c r="AG877" s="10" t="s">
        <v>9089</v>
      </c>
      <c r="AH877" s="10" t="s">
        <v>60</v>
      </c>
      <c r="AI877" s="10" t="s">
        <v>61</v>
      </c>
      <c r="AJ877" s="10" t="s">
        <v>7108</v>
      </c>
      <c r="AK877" s="10" t="s">
        <v>9090</v>
      </c>
      <c r="AL877" s="10" t="s">
        <v>64</v>
      </c>
      <c r="AM877" s="10" t="s">
        <v>9091</v>
      </c>
      <c r="AN877" s="10" t="s">
        <v>50</v>
      </c>
      <c r="AO877" s="11" t="s">
        <v>50</v>
      </c>
      <c r="AP877" s="10" t="s">
        <v>50</v>
      </c>
      <c r="AQ877" s="10" t="s">
        <v>50</v>
      </c>
      <c r="AR877" s="10" t="s">
        <v>50</v>
      </c>
      <c r="AS877" s="10" t="s">
        <v>50</v>
      </c>
      <c r="AT877" s="10" t="s">
        <v>50</v>
      </c>
      <c r="AU877" s="10" t="s">
        <v>50</v>
      </c>
      <c r="AV877" s="11"/>
      <c r="AW877" s="10" t="s">
        <v>66</v>
      </c>
      <c r="AX877" s="10"/>
      <c r="AY877" s="10" t="s">
        <v>66</v>
      </c>
    </row>
    <row r="878" ht="22.5" hidden="1" customHeight="1">
      <c r="A878" s="9" t="s">
        <v>9092</v>
      </c>
      <c r="B878" s="10" t="s">
        <v>9093</v>
      </c>
      <c r="C878" s="10" t="s">
        <v>69</v>
      </c>
      <c r="D878" s="10" t="s">
        <v>70</v>
      </c>
      <c r="E878" s="10" t="s">
        <v>66</v>
      </c>
      <c r="F878" s="11">
        <v>1.0</v>
      </c>
      <c r="G878" s="11">
        <v>120.0</v>
      </c>
      <c r="H878" s="11"/>
      <c r="I878" s="11">
        <v>-20.4</v>
      </c>
      <c r="J878" s="11">
        <v>-19.95</v>
      </c>
      <c r="K878" s="11">
        <v>-86.85</v>
      </c>
      <c r="L878" s="11">
        <v>0.0</v>
      </c>
      <c r="M878" s="10" t="s">
        <v>46</v>
      </c>
      <c r="N878" s="10" t="s">
        <v>50</v>
      </c>
      <c r="O878" s="10" t="s">
        <v>85</v>
      </c>
      <c r="P878" s="10" t="s">
        <v>86</v>
      </c>
      <c r="Q878" s="10" t="s">
        <v>87</v>
      </c>
      <c r="R878" s="10" t="s">
        <v>74</v>
      </c>
      <c r="S878" s="11">
        <v>120.0</v>
      </c>
      <c r="T878" s="11"/>
      <c r="U878" s="11" t="s">
        <v>51</v>
      </c>
      <c r="V878" s="10" t="s">
        <v>52</v>
      </c>
      <c r="W878" s="10" t="s">
        <v>9094</v>
      </c>
      <c r="X878" s="10" t="s">
        <v>9095</v>
      </c>
      <c r="Y878" s="10" t="s">
        <v>9096</v>
      </c>
      <c r="Z878" s="10" t="s">
        <v>50</v>
      </c>
      <c r="AA878" s="10" t="s">
        <v>50</v>
      </c>
      <c r="AB878" s="10" t="s">
        <v>9094</v>
      </c>
      <c r="AC878" s="10" t="s">
        <v>9097</v>
      </c>
      <c r="AD878" s="10" t="s">
        <v>50</v>
      </c>
      <c r="AE878" s="10" t="s">
        <v>9098</v>
      </c>
      <c r="AF878" s="10" t="s">
        <v>185</v>
      </c>
      <c r="AG878" s="10" t="s">
        <v>9099</v>
      </c>
      <c r="AH878" s="10" t="s">
        <v>60</v>
      </c>
      <c r="AI878" s="10" t="s">
        <v>61</v>
      </c>
      <c r="AJ878" s="10" t="s">
        <v>50</v>
      </c>
      <c r="AK878" s="10" t="s">
        <v>50</v>
      </c>
      <c r="AL878" s="10" t="s">
        <v>64</v>
      </c>
      <c r="AM878" s="10" t="s">
        <v>9100</v>
      </c>
      <c r="AN878" s="10" t="s">
        <v>50</v>
      </c>
      <c r="AO878" s="11" t="s">
        <v>50</v>
      </c>
      <c r="AP878" s="10" t="s">
        <v>50</v>
      </c>
      <c r="AQ878" s="10" t="s">
        <v>50</v>
      </c>
      <c r="AR878" s="10" t="s">
        <v>50</v>
      </c>
      <c r="AS878" s="10" t="s">
        <v>50</v>
      </c>
      <c r="AT878" s="10" t="s">
        <v>50</v>
      </c>
      <c r="AU878" s="10" t="s">
        <v>50</v>
      </c>
      <c r="AV878" s="11"/>
      <c r="AW878" s="10" t="s">
        <v>66</v>
      </c>
      <c r="AX878" s="10"/>
      <c r="AY878" s="10" t="s">
        <v>66</v>
      </c>
    </row>
    <row r="879" ht="22.5" hidden="1" customHeight="1">
      <c r="A879" s="12" t="s">
        <v>9101</v>
      </c>
      <c r="B879" s="13" t="s">
        <v>9102</v>
      </c>
      <c r="C879" s="13" t="s">
        <v>747</v>
      </c>
      <c r="D879" s="13" t="s">
        <v>50</v>
      </c>
      <c r="E879" s="13" t="s">
        <v>50</v>
      </c>
      <c r="F879" s="14"/>
      <c r="G879" s="14">
        <v>127.3</v>
      </c>
      <c r="H879" s="14"/>
      <c r="I879" s="14">
        <v>-27.73</v>
      </c>
      <c r="J879" s="14">
        <v>-20.45</v>
      </c>
      <c r="K879" s="14"/>
      <c r="L879" s="14">
        <v>86.76</v>
      </c>
      <c r="M879" s="13" t="s">
        <v>46</v>
      </c>
      <c r="N879" s="13" t="s">
        <v>50</v>
      </c>
      <c r="O879" s="13" t="s">
        <v>50</v>
      </c>
      <c r="P879" s="13" t="s">
        <v>50</v>
      </c>
      <c r="Q879" s="13" t="s">
        <v>50</v>
      </c>
      <c r="R879" s="13" t="s">
        <v>50</v>
      </c>
      <c r="S879" s="14"/>
      <c r="T879" s="14"/>
      <c r="U879" s="14" t="s">
        <v>50</v>
      </c>
      <c r="V879" s="13" t="s">
        <v>52</v>
      </c>
      <c r="W879" s="13" t="s">
        <v>9103</v>
      </c>
      <c r="X879" s="13" t="s">
        <v>9104</v>
      </c>
      <c r="Y879" s="13" t="s">
        <v>9105</v>
      </c>
      <c r="Z879" s="13" t="s">
        <v>50</v>
      </c>
      <c r="AA879" s="13" t="s">
        <v>50</v>
      </c>
      <c r="AB879" s="13" t="s">
        <v>9103</v>
      </c>
      <c r="AC879" s="13" t="s">
        <v>9106</v>
      </c>
      <c r="AD879" s="13" t="s">
        <v>9107</v>
      </c>
      <c r="AE879" s="13" t="s">
        <v>58</v>
      </c>
      <c r="AF879" s="13" t="s">
        <v>58</v>
      </c>
      <c r="AG879" s="13" t="s">
        <v>9108</v>
      </c>
      <c r="AH879" s="13" t="s">
        <v>60</v>
      </c>
      <c r="AI879" s="13" t="s">
        <v>61</v>
      </c>
      <c r="AJ879" s="13" t="s">
        <v>3484</v>
      </c>
      <c r="AK879" s="13" t="s">
        <v>4645</v>
      </c>
      <c r="AL879" s="13" t="s">
        <v>64</v>
      </c>
      <c r="AM879" s="13" t="s">
        <v>9109</v>
      </c>
      <c r="AN879" s="13" t="s">
        <v>9110</v>
      </c>
      <c r="AO879" s="15" t="s">
        <v>50</v>
      </c>
      <c r="AP879" s="13" t="s">
        <v>50</v>
      </c>
      <c r="AQ879" s="13" t="s">
        <v>50</v>
      </c>
      <c r="AR879" s="13" t="s">
        <v>50</v>
      </c>
      <c r="AS879" s="13" t="s">
        <v>50</v>
      </c>
      <c r="AT879" s="13" t="s">
        <v>50</v>
      </c>
      <c r="AU879" s="13" t="s">
        <v>50</v>
      </c>
      <c r="AV879" s="15"/>
      <c r="AW879" s="13" t="s">
        <v>50</v>
      </c>
      <c r="AX879" s="13"/>
      <c r="AY879" s="13" t="s">
        <v>50</v>
      </c>
    </row>
    <row r="880" ht="22.5" hidden="1" customHeight="1">
      <c r="A880" s="16" t="s">
        <v>9111</v>
      </c>
      <c r="B880" s="17" t="s">
        <v>9102</v>
      </c>
      <c r="C880" s="17" t="s">
        <v>43</v>
      </c>
      <c r="D880" s="17" t="s">
        <v>290</v>
      </c>
      <c r="E880" s="17" t="s">
        <v>45</v>
      </c>
      <c r="F880" s="18">
        <v>1.0</v>
      </c>
      <c r="G880" s="18"/>
      <c r="H880" s="18"/>
      <c r="I880" s="18"/>
      <c r="J880" s="18"/>
      <c r="K880" s="18"/>
      <c r="L880" s="18"/>
      <c r="M880" s="17" t="s">
        <v>50</v>
      </c>
      <c r="N880" s="17" t="s">
        <v>45</v>
      </c>
      <c r="O880" s="17" t="s">
        <v>9112</v>
      </c>
      <c r="P880" s="17" t="s">
        <v>9113</v>
      </c>
      <c r="Q880" s="17" t="s">
        <v>9114</v>
      </c>
      <c r="R880" s="17" t="s">
        <v>74</v>
      </c>
      <c r="S880" s="18">
        <v>35.15</v>
      </c>
      <c r="T880" s="18">
        <v>10.05</v>
      </c>
      <c r="U880" s="18" t="s">
        <v>194</v>
      </c>
      <c r="V880" s="17" t="s">
        <v>50</v>
      </c>
      <c r="W880" s="17" t="s">
        <v>50</v>
      </c>
      <c r="X880" s="17" t="s">
        <v>50</v>
      </c>
      <c r="Y880" s="17" t="s">
        <v>50</v>
      </c>
      <c r="Z880" s="17" t="s">
        <v>50</v>
      </c>
      <c r="AA880" s="17" t="s">
        <v>50</v>
      </c>
      <c r="AB880" s="17" t="s">
        <v>50</v>
      </c>
      <c r="AC880" s="17" t="s">
        <v>50</v>
      </c>
      <c r="AD880" s="17" t="s">
        <v>50</v>
      </c>
      <c r="AE880" s="17" t="s">
        <v>50</v>
      </c>
      <c r="AF880" s="17" t="s">
        <v>50</v>
      </c>
      <c r="AG880" s="17" t="s">
        <v>50</v>
      </c>
      <c r="AH880" s="17" t="s">
        <v>50</v>
      </c>
      <c r="AI880" s="17" t="s">
        <v>50</v>
      </c>
      <c r="AJ880" s="17" t="s">
        <v>50</v>
      </c>
      <c r="AK880" s="17" t="s">
        <v>50</v>
      </c>
      <c r="AL880" s="17" t="s">
        <v>50</v>
      </c>
      <c r="AM880" s="17" t="s">
        <v>50</v>
      </c>
      <c r="AN880" s="17" t="s">
        <v>50</v>
      </c>
      <c r="AO880" s="18" t="s">
        <v>50</v>
      </c>
      <c r="AP880" s="17" t="s">
        <v>50</v>
      </c>
      <c r="AQ880" s="17" t="s">
        <v>50</v>
      </c>
      <c r="AR880" s="17" t="s">
        <v>50</v>
      </c>
      <c r="AS880" s="17" t="s">
        <v>50</v>
      </c>
      <c r="AT880" s="17" t="s">
        <v>50</v>
      </c>
      <c r="AU880" s="17" t="s">
        <v>50</v>
      </c>
      <c r="AV880" s="18"/>
      <c r="AW880" s="17" t="s">
        <v>66</v>
      </c>
      <c r="AX880" s="17"/>
      <c r="AY880" s="17" t="s">
        <v>66</v>
      </c>
    </row>
    <row r="881" ht="22.5" hidden="1" customHeight="1">
      <c r="A881" s="16" t="s">
        <v>9115</v>
      </c>
      <c r="B881" s="17" t="s">
        <v>9102</v>
      </c>
      <c r="C881" s="17" t="s">
        <v>43</v>
      </c>
      <c r="D881" s="17" t="s">
        <v>290</v>
      </c>
      <c r="E881" s="17" t="s">
        <v>45</v>
      </c>
      <c r="F881" s="18">
        <v>1.0</v>
      </c>
      <c r="G881" s="18"/>
      <c r="H881" s="18"/>
      <c r="I881" s="18"/>
      <c r="J881" s="18"/>
      <c r="K881" s="18"/>
      <c r="L881" s="18"/>
      <c r="M881" s="17" t="s">
        <v>50</v>
      </c>
      <c r="N881" s="17" t="s">
        <v>45</v>
      </c>
      <c r="O881" s="17" t="s">
        <v>586</v>
      </c>
      <c r="P881" s="17" t="s">
        <v>587</v>
      </c>
      <c r="Q881" s="17" t="s">
        <v>588</v>
      </c>
      <c r="R881" s="17" t="s">
        <v>50</v>
      </c>
      <c r="S881" s="18">
        <v>92.15</v>
      </c>
      <c r="T881" s="18">
        <v>20.76</v>
      </c>
      <c r="U881" s="18" t="s">
        <v>51</v>
      </c>
      <c r="V881" s="17" t="s">
        <v>50</v>
      </c>
      <c r="W881" s="17" t="s">
        <v>50</v>
      </c>
      <c r="X881" s="17" t="s">
        <v>50</v>
      </c>
      <c r="Y881" s="17" t="s">
        <v>50</v>
      </c>
      <c r="Z881" s="17" t="s">
        <v>50</v>
      </c>
      <c r="AA881" s="17" t="s">
        <v>50</v>
      </c>
      <c r="AB881" s="17" t="s">
        <v>50</v>
      </c>
      <c r="AC881" s="17" t="s">
        <v>50</v>
      </c>
      <c r="AD881" s="17" t="s">
        <v>50</v>
      </c>
      <c r="AE881" s="17" t="s">
        <v>50</v>
      </c>
      <c r="AF881" s="17" t="s">
        <v>50</v>
      </c>
      <c r="AG881" s="17" t="s">
        <v>50</v>
      </c>
      <c r="AH881" s="17" t="s">
        <v>50</v>
      </c>
      <c r="AI881" s="17" t="s">
        <v>50</v>
      </c>
      <c r="AJ881" s="17" t="s">
        <v>50</v>
      </c>
      <c r="AK881" s="17" t="s">
        <v>50</v>
      </c>
      <c r="AL881" s="17" t="s">
        <v>50</v>
      </c>
      <c r="AM881" s="17" t="s">
        <v>50</v>
      </c>
      <c r="AN881" s="17" t="s">
        <v>50</v>
      </c>
      <c r="AO881" s="18" t="s">
        <v>50</v>
      </c>
      <c r="AP881" s="17" t="s">
        <v>50</v>
      </c>
      <c r="AQ881" s="17" t="s">
        <v>50</v>
      </c>
      <c r="AR881" s="17" t="s">
        <v>50</v>
      </c>
      <c r="AS881" s="17" t="s">
        <v>50</v>
      </c>
      <c r="AT881" s="17" t="s">
        <v>50</v>
      </c>
      <c r="AU881" s="17" t="s">
        <v>50</v>
      </c>
      <c r="AV881" s="18"/>
      <c r="AW881" s="17" t="s">
        <v>66</v>
      </c>
      <c r="AX881" s="17"/>
      <c r="AY881" s="17" t="s">
        <v>66</v>
      </c>
    </row>
    <row r="882" ht="22.5" hidden="1" customHeight="1">
      <c r="A882" s="9" t="s">
        <v>9116</v>
      </c>
      <c r="B882" s="10" t="s">
        <v>9117</v>
      </c>
      <c r="C882" s="10" t="s">
        <v>43</v>
      </c>
      <c r="D882" s="10" t="s">
        <v>3477</v>
      </c>
      <c r="E882" s="10" t="s">
        <v>66</v>
      </c>
      <c r="F882" s="11">
        <v>1.0</v>
      </c>
      <c r="G882" s="11">
        <v>80.0</v>
      </c>
      <c r="H882" s="11"/>
      <c r="I882" s="11">
        <v>-13.6</v>
      </c>
      <c r="J882" s="11">
        <v>-19.95</v>
      </c>
      <c r="K882" s="11"/>
      <c r="L882" s="11">
        <v>50.45</v>
      </c>
      <c r="M882" s="10" t="s">
        <v>46</v>
      </c>
      <c r="N882" s="10" t="s">
        <v>50</v>
      </c>
      <c r="O882" s="10" t="s">
        <v>143</v>
      </c>
      <c r="P882" s="10" t="s">
        <v>144</v>
      </c>
      <c r="Q882" s="10" t="s">
        <v>145</v>
      </c>
      <c r="R882" s="10" t="s">
        <v>74</v>
      </c>
      <c r="S882" s="11">
        <v>80.0</v>
      </c>
      <c r="T882" s="11">
        <v>33.38</v>
      </c>
      <c r="U882" s="11" t="s">
        <v>51</v>
      </c>
      <c r="V882" s="10" t="s">
        <v>52</v>
      </c>
      <c r="W882" s="10" t="s">
        <v>9118</v>
      </c>
      <c r="X882" s="10" t="s">
        <v>9119</v>
      </c>
      <c r="Y882" s="10" t="s">
        <v>9120</v>
      </c>
      <c r="Z882" s="10" t="s">
        <v>50</v>
      </c>
      <c r="AA882" s="10" t="s">
        <v>50</v>
      </c>
      <c r="AB882" s="10" t="s">
        <v>9118</v>
      </c>
      <c r="AC882" s="10" t="s">
        <v>9121</v>
      </c>
      <c r="AD882" s="10" t="s">
        <v>9122</v>
      </c>
      <c r="AE882" s="10" t="s">
        <v>9123</v>
      </c>
      <c r="AF882" s="10" t="s">
        <v>323</v>
      </c>
      <c r="AG882" s="10" t="s">
        <v>9124</v>
      </c>
      <c r="AH882" s="10" t="s">
        <v>60</v>
      </c>
      <c r="AI882" s="10" t="s">
        <v>61</v>
      </c>
      <c r="AJ882" s="10" t="s">
        <v>7369</v>
      </c>
      <c r="AK882" s="10" t="s">
        <v>9125</v>
      </c>
      <c r="AL882" s="10" t="s">
        <v>64</v>
      </c>
      <c r="AM882" s="10" t="s">
        <v>9126</v>
      </c>
      <c r="AN882" s="10" t="s">
        <v>50</v>
      </c>
      <c r="AO882" s="11" t="s">
        <v>50</v>
      </c>
      <c r="AP882" s="10" t="s">
        <v>50</v>
      </c>
      <c r="AQ882" s="10" t="s">
        <v>50</v>
      </c>
      <c r="AR882" s="10" t="s">
        <v>50</v>
      </c>
      <c r="AS882" s="10" t="s">
        <v>50</v>
      </c>
      <c r="AT882" s="10" t="s">
        <v>50</v>
      </c>
      <c r="AU882" s="10" t="s">
        <v>50</v>
      </c>
      <c r="AV882" s="11"/>
      <c r="AW882" s="10" t="s">
        <v>66</v>
      </c>
      <c r="AX882" s="10"/>
      <c r="AY882" s="10" t="s">
        <v>66</v>
      </c>
    </row>
    <row r="883" ht="22.5" hidden="1" customHeight="1">
      <c r="A883" s="9" t="s">
        <v>9127</v>
      </c>
      <c r="B883" s="10" t="s">
        <v>9128</v>
      </c>
      <c r="C883" s="10" t="s">
        <v>43</v>
      </c>
      <c r="D883" s="10" t="s">
        <v>6539</v>
      </c>
      <c r="E883" s="10" t="s">
        <v>66</v>
      </c>
      <c r="F883" s="11">
        <v>1.0</v>
      </c>
      <c r="G883" s="11">
        <v>80.6</v>
      </c>
      <c r="H883" s="11"/>
      <c r="I883" s="11">
        <v>-13.7</v>
      </c>
      <c r="J883" s="11">
        <v>-20.45</v>
      </c>
      <c r="K883" s="11"/>
      <c r="L883" s="11">
        <v>46.45</v>
      </c>
      <c r="M883" s="10" t="s">
        <v>46</v>
      </c>
      <c r="N883" s="10" t="s">
        <v>45</v>
      </c>
      <c r="O883" s="10" t="s">
        <v>265</v>
      </c>
      <c r="P883" s="10" t="s">
        <v>266</v>
      </c>
      <c r="Q883" s="10" t="s">
        <v>267</v>
      </c>
      <c r="R883" s="10" t="s">
        <v>74</v>
      </c>
      <c r="S883" s="11">
        <v>80.6</v>
      </c>
      <c r="T883" s="11">
        <v>26.22</v>
      </c>
      <c r="U883" s="11" t="s">
        <v>51</v>
      </c>
      <c r="V883" s="10" t="s">
        <v>52</v>
      </c>
      <c r="W883" s="10" t="s">
        <v>9129</v>
      </c>
      <c r="X883" s="10" t="s">
        <v>9130</v>
      </c>
      <c r="Y883" s="10" t="s">
        <v>9131</v>
      </c>
      <c r="Z883" s="10" t="s">
        <v>50</v>
      </c>
      <c r="AA883" s="10" t="s">
        <v>50</v>
      </c>
      <c r="AB883" s="10" t="s">
        <v>9129</v>
      </c>
      <c r="AC883" s="10" t="s">
        <v>9132</v>
      </c>
      <c r="AD883" s="10" t="s">
        <v>9133</v>
      </c>
      <c r="AE883" s="10" t="s">
        <v>9134</v>
      </c>
      <c r="AF883" s="10" t="s">
        <v>151</v>
      </c>
      <c r="AG883" s="10" t="s">
        <v>9135</v>
      </c>
      <c r="AH883" s="10" t="s">
        <v>60</v>
      </c>
      <c r="AI883" s="10" t="s">
        <v>61</v>
      </c>
      <c r="AJ883" s="10" t="s">
        <v>9136</v>
      </c>
      <c r="AK883" s="10" t="s">
        <v>9137</v>
      </c>
      <c r="AL883" s="10" t="s">
        <v>64</v>
      </c>
      <c r="AM883" s="10" t="s">
        <v>9138</v>
      </c>
      <c r="AN883" s="10" t="s">
        <v>50</v>
      </c>
      <c r="AO883" s="11" t="s">
        <v>50</v>
      </c>
      <c r="AP883" s="10" t="s">
        <v>50</v>
      </c>
      <c r="AQ883" s="10" t="s">
        <v>50</v>
      </c>
      <c r="AR883" s="10" t="s">
        <v>50</v>
      </c>
      <c r="AS883" s="10" t="s">
        <v>50</v>
      </c>
      <c r="AT883" s="10" t="s">
        <v>50</v>
      </c>
      <c r="AU883" s="10" t="s">
        <v>50</v>
      </c>
      <c r="AV883" s="11"/>
      <c r="AW883" s="10" t="s">
        <v>66</v>
      </c>
      <c r="AX883" s="10"/>
      <c r="AY883" s="10" t="s">
        <v>66</v>
      </c>
    </row>
    <row r="884" ht="22.5" hidden="1" customHeight="1">
      <c r="A884" s="9" t="s">
        <v>9139</v>
      </c>
      <c r="B884" s="10" t="s">
        <v>9140</v>
      </c>
      <c r="C884" s="10" t="s">
        <v>43</v>
      </c>
      <c r="D884" s="10" t="s">
        <v>2481</v>
      </c>
      <c r="E884" s="10" t="s">
        <v>45</v>
      </c>
      <c r="F884" s="11">
        <v>1.0</v>
      </c>
      <c r="G884" s="11">
        <v>80.6</v>
      </c>
      <c r="H884" s="11"/>
      <c r="I884" s="11">
        <v>-13.7</v>
      </c>
      <c r="J884" s="11">
        <v>-20.45</v>
      </c>
      <c r="K884" s="11"/>
      <c r="L884" s="11">
        <v>46.45</v>
      </c>
      <c r="M884" s="10" t="s">
        <v>46</v>
      </c>
      <c r="N884" s="10" t="s">
        <v>45</v>
      </c>
      <c r="O884" s="10" t="s">
        <v>265</v>
      </c>
      <c r="P884" s="10" t="s">
        <v>266</v>
      </c>
      <c r="Q884" s="10" t="s">
        <v>267</v>
      </c>
      <c r="R884" s="10" t="s">
        <v>74</v>
      </c>
      <c r="S884" s="11">
        <v>80.6</v>
      </c>
      <c r="T884" s="11">
        <v>26.22</v>
      </c>
      <c r="U884" s="11" t="s">
        <v>51</v>
      </c>
      <c r="V884" s="10" t="s">
        <v>52</v>
      </c>
      <c r="W884" s="10" t="s">
        <v>9141</v>
      </c>
      <c r="X884" s="10" t="s">
        <v>9142</v>
      </c>
      <c r="Y884" s="10" t="s">
        <v>9143</v>
      </c>
      <c r="Z884" s="10" t="s">
        <v>50</v>
      </c>
      <c r="AA884" s="10" t="s">
        <v>50</v>
      </c>
      <c r="AB884" s="10" t="s">
        <v>9141</v>
      </c>
      <c r="AC884" s="10" t="s">
        <v>9144</v>
      </c>
      <c r="AD884" s="10" t="s">
        <v>9145</v>
      </c>
      <c r="AE884" s="10" t="s">
        <v>9146</v>
      </c>
      <c r="AF884" s="10" t="s">
        <v>185</v>
      </c>
      <c r="AG884" s="10" t="s">
        <v>9147</v>
      </c>
      <c r="AH884" s="10" t="s">
        <v>60</v>
      </c>
      <c r="AI884" s="10" t="s">
        <v>61</v>
      </c>
      <c r="AJ884" s="10" t="s">
        <v>6571</v>
      </c>
      <c r="AK884" s="10" t="s">
        <v>9148</v>
      </c>
      <c r="AL884" s="10" t="s">
        <v>64</v>
      </c>
      <c r="AM884" s="10" t="s">
        <v>9149</v>
      </c>
      <c r="AN884" s="10" t="s">
        <v>50</v>
      </c>
      <c r="AO884" s="11" t="s">
        <v>50</v>
      </c>
      <c r="AP884" s="10" t="s">
        <v>50</v>
      </c>
      <c r="AQ884" s="10" t="s">
        <v>50</v>
      </c>
      <c r="AR884" s="10" t="s">
        <v>50</v>
      </c>
      <c r="AS884" s="10" t="s">
        <v>50</v>
      </c>
      <c r="AT884" s="10" t="s">
        <v>50</v>
      </c>
      <c r="AU884" s="10" t="s">
        <v>50</v>
      </c>
      <c r="AV884" s="11"/>
      <c r="AW884" s="10" t="s">
        <v>66</v>
      </c>
      <c r="AX884" s="10"/>
      <c r="AY884" s="10" t="s">
        <v>66</v>
      </c>
    </row>
    <row r="885" ht="22.5" hidden="1" customHeight="1">
      <c r="A885" s="9" t="s">
        <v>9150</v>
      </c>
      <c r="B885" s="10" t="s">
        <v>9151</v>
      </c>
      <c r="C885" s="10" t="s">
        <v>43</v>
      </c>
      <c r="D885" s="10" t="s">
        <v>3477</v>
      </c>
      <c r="E885" s="10" t="s">
        <v>66</v>
      </c>
      <c r="F885" s="11">
        <v>1.0</v>
      </c>
      <c r="G885" s="11">
        <v>43.7</v>
      </c>
      <c r="H885" s="11">
        <v>11.11</v>
      </c>
      <c r="I885" s="11">
        <v>-13.43</v>
      </c>
      <c r="J885" s="11">
        <v>-11.11</v>
      </c>
      <c r="K885" s="11"/>
      <c r="L885" s="11">
        <v>32.89</v>
      </c>
      <c r="M885" s="10" t="s">
        <v>46</v>
      </c>
      <c r="N885" s="10" t="s">
        <v>50</v>
      </c>
      <c r="O885" s="10" t="s">
        <v>176</v>
      </c>
      <c r="P885" s="10" t="s">
        <v>177</v>
      </c>
      <c r="Q885" s="10" t="s">
        <v>178</v>
      </c>
      <c r="R885" s="10" t="s">
        <v>74</v>
      </c>
      <c r="S885" s="11">
        <v>43.7</v>
      </c>
      <c r="T885" s="11">
        <v>22.58</v>
      </c>
      <c r="U885" s="11" t="s">
        <v>51</v>
      </c>
      <c r="V885" s="10" t="s">
        <v>52</v>
      </c>
      <c r="W885" s="10" t="s">
        <v>9152</v>
      </c>
      <c r="X885" s="10" t="s">
        <v>9153</v>
      </c>
      <c r="Y885" s="10" t="s">
        <v>9154</v>
      </c>
      <c r="Z885" s="10" t="s">
        <v>50</v>
      </c>
      <c r="AA885" s="10" t="s">
        <v>50</v>
      </c>
      <c r="AB885" s="10" t="s">
        <v>9152</v>
      </c>
      <c r="AC885" s="10" t="s">
        <v>9155</v>
      </c>
      <c r="AD885" s="10" t="s">
        <v>9156</v>
      </c>
      <c r="AE885" s="10" t="s">
        <v>235</v>
      </c>
      <c r="AF885" s="10" t="s">
        <v>58</v>
      </c>
      <c r="AG885" s="10" t="s">
        <v>9157</v>
      </c>
      <c r="AH885" s="10" t="s">
        <v>60</v>
      </c>
      <c r="AI885" s="10" t="s">
        <v>61</v>
      </c>
      <c r="AJ885" s="10" t="s">
        <v>3484</v>
      </c>
      <c r="AK885" s="10" t="s">
        <v>9158</v>
      </c>
      <c r="AL885" s="10" t="s">
        <v>64</v>
      </c>
      <c r="AM885" s="10" t="s">
        <v>9159</v>
      </c>
      <c r="AN885" s="10" t="s">
        <v>50</v>
      </c>
      <c r="AO885" s="11" t="s">
        <v>50</v>
      </c>
      <c r="AP885" s="10" t="s">
        <v>50</v>
      </c>
      <c r="AQ885" s="10" t="s">
        <v>50</v>
      </c>
      <c r="AR885" s="10" t="s">
        <v>50</v>
      </c>
      <c r="AS885" s="10" t="s">
        <v>50</v>
      </c>
      <c r="AT885" s="10" t="s">
        <v>50</v>
      </c>
      <c r="AU885" s="10" t="s">
        <v>50</v>
      </c>
      <c r="AV885" s="11"/>
      <c r="AW885" s="10" t="s">
        <v>66</v>
      </c>
      <c r="AX885" s="10"/>
      <c r="AY885" s="10" t="s">
        <v>66</v>
      </c>
    </row>
    <row r="886" ht="22.5" hidden="1" customHeight="1">
      <c r="A886" s="9" t="s">
        <v>9160</v>
      </c>
      <c r="B886" s="10" t="s">
        <v>9161</v>
      </c>
      <c r="C886" s="10" t="s">
        <v>43</v>
      </c>
      <c r="D886" s="10" t="s">
        <v>6539</v>
      </c>
      <c r="E886" s="10" t="s">
        <v>45</v>
      </c>
      <c r="F886" s="11">
        <v>1.0</v>
      </c>
      <c r="G886" s="11">
        <v>79.2</v>
      </c>
      <c r="H886" s="11"/>
      <c r="I886" s="11">
        <v>-13.46</v>
      </c>
      <c r="J886" s="11">
        <v>-20.45</v>
      </c>
      <c r="K886" s="11"/>
      <c r="L886" s="11">
        <v>45.29</v>
      </c>
      <c r="M886" s="10" t="s">
        <v>46</v>
      </c>
      <c r="N886" s="10" t="s">
        <v>45</v>
      </c>
      <c r="O886" s="10" t="s">
        <v>892</v>
      </c>
      <c r="P886" s="10" t="s">
        <v>893</v>
      </c>
      <c r="Q886" s="10" t="s">
        <v>894</v>
      </c>
      <c r="R886" s="10" t="s">
        <v>74</v>
      </c>
      <c r="S886" s="11">
        <v>79.2</v>
      </c>
      <c r="T886" s="11">
        <v>2.97</v>
      </c>
      <c r="U886" s="11" t="s">
        <v>51</v>
      </c>
      <c r="V886" s="10" t="s">
        <v>52</v>
      </c>
      <c r="W886" s="10" t="s">
        <v>9162</v>
      </c>
      <c r="X886" s="10" t="s">
        <v>9163</v>
      </c>
      <c r="Y886" s="10" t="s">
        <v>9164</v>
      </c>
      <c r="Z886" s="10" t="s">
        <v>50</v>
      </c>
      <c r="AA886" s="10" t="s">
        <v>50</v>
      </c>
      <c r="AB886" s="10" t="s">
        <v>9162</v>
      </c>
      <c r="AC886" s="10" t="s">
        <v>9165</v>
      </c>
      <c r="AD886" s="10" t="s">
        <v>9166</v>
      </c>
      <c r="AE886" s="10" t="s">
        <v>151</v>
      </c>
      <c r="AF886" s="10" t="s">
        <v>151</v>
      </c>
      <c r="AG886" s="10" t="s">
        <v>9167</v>
      </c>
      <c r="AH886" s="10" t="s">
        <v>60</v>
      </c>
      <c r="AI886" s="10" t="s">
        <v>61</v>
      </c>
      <c r="AJ886" s="10" t="s">
        <v>9168</v>
      </c>
      <c r="AK886" s="10" t="s">
        <v>9169</v>
      </c>
      <c r="AL886" s="10" t="s">
        <v>64</v>
      </c>
      <c r="AM886" s="10" t="s">
        <v>9170</v>
      </c>
      <c r="AN886" s="10" t="s">
        <v>50</v>
      </c>
      <c r="AO886" s="11" t="s">
        <v>50</v>
      </c>
      <c r="AP886" s="10" t="s">
        <v>50</v>
      </c>
      <c r="AQ886" s="10" t="s">
        <v>50</v>
      </c>
      <c r="AR886" s="10" t="s">
        <v>50</v>
      </c>
      <c r="AS886" s="10" t="s">
        <v>50</v>
      </c>
      <c r="AT886" s="10" t="s">
        <v>50</v>
      </c>
      <c r="AU886" s="10" t="s">
        <v>50</v>
      </c>
      <c r="AV886" s="11"/>
      <c r="AW886" s="10" t="s">
        <v>66</v>
      </c>
      <c r="AX886" s="10"/>
      <c r="AY886" s="10" t="s">
        <v>66</v>
      </c>
    </row>
    <row r="887" ht="22.5" hidden="1" customHeight="1">
      <c r="A887" s="9" t="s">
        <v>9171</v>
      </c>
      <c r="B887" s="10" t="s">
        <v>9172</v>
      </c>
      <c r="C887" s="10" t="s">
        <v>43</v>
      </c>
      <c r="D887" s="10" t="s">
        <v>3477</v>
      </c>
      <c r="E887" s="10" t="s">
        <v>66</v>
      </c>
      <c r="F887" s="11">
        <v>1.0</v>
      </c>
      <c r="G887" s="11">
        <v>43.7</v>
      </c>
      <c r="H887" s="11">
        <v>14.15</v>
      </c>
      <c r="I887" s="11">
        <v>-13.43</v>
      </c>
      <c r="J887" s="11">
        <v>-14.15</v>
      </c>
      <c r="K887" s="11"/>
      <c r="L887" s="11">
        <v>32.89</v>
      </c>
      <c r="M887" s="10" t="s">
        <v>46</v>
      </c>
      <c r="N887" s="10" t="s">
        <v>50</v>
      </c>
      <c r="O887" s="10" t="s">
        <v>176</v>
      </c>
      <c r="P887" s="10" t="s">
        <v>177</v>
      </c>
      <c r="Q887" s="10" t="s">
        <v>178</v>
      </c>
      <c r="R887" s="10" t="s">
        <v>74</v>
      </c>
      <c r="S887" s="11">
        <v>43.7</v>
      </c>
      <c r="T887" s="11">
        <v>22.58</v>
      </c>
      <c r="U887" s="11" t="s">
        <v>51</v>
      </c>
      <c r="V887" s="10" t="s">
        <v>52</v>
      </c>
      <c r="W887" s="10" t="s">
        <v>9173</v>
      </c>
      <c r="X887" s="10" t="s">
        <v>9174</v>
      </c>
      <c r="Y887" s="10" t="s">
        <v>9175</v>
      </c>
      <c r="Z887" s="10" t="s">
        <v>50</v>
      </c>
      <c r="AA887" s="10" t="s">
        <v>50</v>
      </c>
      <c r="AB887" s="10" t="s">
        <v>9173</v>
      </c>
      <c r="AC887" s="10" t="s">
        <v>9176</v>
      </c>
      <c r="AD887" s="10" t="s">
        <v>9177</v>
      </c>
      <c r="AE887" s="10" t="s">
        <v>2443</v>
      </c>
      <c r="AF887" s="10" t="s">
        <v>58</v>
      </c>
      <c r="AG887" s="10" t="s">
        <v>9178</v>
      </c>
      <c r="AH887" s="10" t="s">
        <v>60</v>
      </c>
      <c r="AI887" s="10" t="s">
        <v>61</v>
      </c>
      <c r="AJ887" s="10" t="s">
        <v>6571</v>
      </c>
      <c r="AK887" s="10" t="s">
        <v>7335</v>
      </c>
      <c r="AL887" s="10" t="s">
        <v>64</v>
      </c>
      <c r="AM887" s="10" t="s">
        <v>9179</v>
      </c>
      <c r="AN887" s="10" t="s">
        <v>50</v>
      </c>
      <c r="AO887" s="11" t="s">
        <v>50</v>
      </c>
      <c r="AP887" s="10" t="s">
        <v>50</v>
      </c>
      <c r="AQ887" s="10" t="s">
        <v>50</v>
      </c>
      <c r="AR887" s="10" t="s">
        <v>50</v>
      </c>
      <c r="AS887" s="10" t="s">
        <v>50</v>
      </c>
      <c r="AT887" s="10" t="s">
        <v>50</v>
      </c>
      <c r="AU887" s="10" t="s">
        <v>50</v>
      </c>
      <c r="AV887" s="11"/>
      <c r="AW887" s="10" t="s">
        <v>66</v>
      </c>
      <c r="AX887" s="10"/>
      <c r="AY887" s="10" t="s">
        <v>66</v>
      </c>
    </row>
    <row r="888" ht="22.5" hidden="1" customHeight="1">
      <c r="A888" s="9" t="s">
        <v>9180</v>
      </c>
      <c r="B888" s="10" t="s">
        <v>9181</v>
      </c>
      <c r="C888" s="10" t="s">
        <v>43</v>
      </c>
      <c r="D888" s="10" t="s">
        <v>2402</v>
      </c>
      <c r="E888" s="10" t="s">
        <v>45</v>
      </c>
      <c r="F888" s="11">
        <v>1.0</v>
      </c>
      <c r="G888" s="11">
        <v>88.4</v>
      </c>
      <c r="H888" s="11"/>
      <c r="I888" s="11">
        <v>-15.03</v>
      </c>
      <c r="J888" s="11">
        <v>-19.95</v>
      </c>
      <c r="K888" s="11"/>
      <c r="L888" s="11">
        <v>53.42</v>
      </c>
      <c r="M888" s="10" t="s">
        <v>46</v>
      </c>
      <c r="N888" s="10" t="s">
        <v>45</v>
      </c>
      <c r="O888" s="10" t="s">
        <v>314</v>
      </c>
      <c r="P888" s="10" t="s">
        <v>315</v>
      </c>
      <c r="Q888" s="10" t="s">
        <v>316</v>
      </c>
      <c r="R888" s="10" t="s">
        <v>74</v>
      </c>
      <c r="S888" s="11">
        <v>88.4</v>
      </c>
      <c r="T888" s="11">
        <v>6.66</v>
      </c>
      <c r="U888" s="11" t="s">
        <v>51</v>
      </c>
      <c r="V888" s="10" t="s">
        <v>52</v>
      </c>
      <c r="W888" s="10" t="s">
        <v>9182</v>
      </c>
      <c r="X888" s="10" t="s">
        <v>9183</v>
      </c>
      <c r="Y888" s="10" t="s">
        <v>9184</v>
      </c>
      <c r="Z888" s="10" t="s">
        <v>50</v>
      </c>
      <c r="AA888" s="10" t="s">
        <v>50</v>
      </c>
      <c r="AB888" s="10" t="s">
        <v>9182</v>
      </c>
      <c r="AC888" s="10" t="s">
        <v>9185</v>
      </c>
      <c r="AD888" s="10" t="s">
        <v>9186</v>
      </c>
      <c r="AE888" s="10" t="s">
        <v>5193</v>
      </c>
      <c r="AF888" s="10" t="s">
        <v>119</v>
      </c>
      <c r="AG888" s="10" t="s">
        <v>5194</v>
      </c>
      <c r="AH888" s="10" t="s">
        <v>60</v>
      </c>
      <c r="AI888" s="10" t="s">
        <v>61</v>
      </c>
      <c r="AJ888" s="10" t="s">
        <v>6751</v>
      </c>
      <c r="AK888" s="10" t="s">
        <v>6491</v>
      </c>
      <c r="AL888" s="10" t="s">
        <v>64</v>
      </c>
      <c r="AM888" s="10" t="s">
        <v>9187</v>
      </c>
      <c r="AN888" s="10" t="s">
        <v>50</v>
      </c>
      <c r="AO888" s="11" t="s">
        <v>50</v>
      </c>
      <c r="AP888" s="10" t="s">
        <v>50</v>
      </c>
      <c r="AQ888" s="10" t="s">
        <v>50</v>
      </c>
      <c r="AR888" s="10" t="s">
        <v>50</v>
      </c>
      <c r="AS888" s="10" t="s">
        <v>50</v>
      </c>
      <c r="AT888" s="10" t="s">
        <v>50</v>
      </c>
      <c r="AU888" s="10" t="s">
        <v>50</v>
      </c>
      <c r="AV888" s="11"/>
      <c r="AW888" s="10" t="s">
        <v>66</v>
      </c>
      <c r="AX888" s="10"/>
      <c r="AY888" s="10" t="s">
        <v>66</v>
      </c>
    </row>
    <row r="889" ht="22.5" hidden="1" customHeight="1">
      <c r="A889" s="9" t="s">
        <v>9188</v>
      </c>
      <c r="B889" s="10" t="s">
        <v>9189</v>
      </c>
      <c r="C889" s="10" t="s">
        <v>43</v>
      </c>
      <c r="D889" s="10" t="s">
        <v>6539</v>
      </c>
      <c r="E889" s="10" t="s">
        <v>45</v>
      </c>
      <c r="F889" s="11">
        <v>2.0</v>
      </c>
      <c r="G889" s="11">
        <v>87.4</v>
      </c>
      <c r="H889" s="11">
        <v>17.61</v>
      </c>
      <c r="I889" s="11">
        <v>-26.86</v>
      </c>
      <c r="J889" s="11">
        <v>-17.61</v>
      </c>
      <c r="K889" s="11"/>
      <c r="L889" s="11">
        <v>65.78</v>
      </c>
      <c r="M889" s="10" t="s">
        <v>46</v>
      </c>
      <c r="N889" s="10" t="s">
        <v>50</v>
      </c>
      <c r="O889" s="10" t="s">
        <v>176</v>
      </c>
      <c r="P889" s="10" t="s">
        <v>177</v>
      </c>
      <c r="Q889" s="10" t="s">
        <v>178</v>
      </c>
      <c r="R889" s="10" t="s">
        <v>74</v>
      </c>
      <c r="S889" s="11">
        <v>43.7</v>
      </c>
      <c r="T889" s="11">
        <f>2*22.58</f>
        <v>45.16</v>
      </c>
      <c r="U889" s="11" t="s">
        <v>51</v>
      </c>
      <c r="V889" s="10" t="s">
        <v>52</v>
      </c>
      <c r="W889" s="10" t="s">
        <v>9190</v>
      </c>
      <c r="X889" s="10" t="s">
        <v>9191</v>
      </c>
      <c r="Y889" s="10" t="s">
        <v>9192</v>
      </c>
      <c r="Z889" s="10" t="s">
        <v>50</v>
      </c>
      <c r="AA889" s="10" t="s">
        <v>50</v>
      </c>
      <c r="AB889" s="10" t="s">
        <v>9190</v>
      </c>
      <c r="AC889" s="10" t="s">
        <v>9193</v>
      </c>
      <c r="AD889" s="10" t="s">
        <v>9194</v>
      </c>
      <c r="AE889" s="10" t="s">
        <v>308</v>
      </c>
      <c r="AF889" s="10" t="s">
        <v>136</v>
      </c>
      <c r="AG889" s="10" t="s">
        <v>9195</v>
      </c>
      <c r="AH889" s="10" t="s">
        <v>60</v>
      </c>
      <c r="AI889" s="10" t="s">
        <v>61</v>
      </c>
      <c r="AJ889" s="10" t="s">
        <v>7303</v>
      </c>
      <c r="AK889" s="10" t="s">
        <v>9196</v>
      </c>
      <c r="AL889" s="10" t="s">
        <v>64</v>
      </c>
      <c r="AM889" s="10" t="s">
        <v>9197</v>
      </c>
      <c r="AN889" s="10" t="s">
        <v>50</v>
      </c>
      <c r="AO889" s="11" t="s">
        <v>50</v>
      </c>
      <c r="AP889" s="10" t="s">
        <v>50</v>
      </c>
      <c r="AQ889" s="10" t="s">
        <v>50</v>
      </c>
      <c r="AR889" s="10" t="s">
        <v>50</v>
      </c>
      <c r="AS889" s="10" t="s">
        <v>50</v>
      </c>
      <c r="AT889" s="10" t="s">
        <v>50</v>
      </c>
      <c r="AU889" s="10" t="s">
        <v>50</v>
      </c>
      <c r="AV889" s="11"/>
      <c r="AW889" s="10" t="s">
        <v>66</v>
      </c>
      <c r="AX889" s="10">
        <v>1.0</v>
      </c>
      <c r="AY889" s="10" t="s">
        <v>66</v>
      </c>
    </row>
    <row r="890" ht="22.5" hidden="1" customHeight="1">
      <c r="A890" s="9" t="s">
        <v>9198</v>
      </c>
      <c r="B890" s="10" t="s">
        <v>9199</v>
      </c>
      <c r="C890" s="10" t="s">
        <v>43</v>
      </c>
      <c r="D890" s="10" t="s">
        <v>3477</v>
      </c>
      <c r="E890" s="10" t="s">
        <v>66</v>
      </c>
      <c r="F890" s="11">
        <v>1.0</v>
      </c>
      <c r="G890" s="11">
        <v>92.15</v>
      </c>
      <c r="H890" s="11"/>
      <c r="I890" s="11">
        <v>-17.51</v>
      </c>
      <c r="J890" s="11">
        <v>-20.45</v>
      </c>
      <c r="K890" s="11"/>
      <c r="L890" s="11">
        <v>59.72</v>
      </c>
      <c r="M890" s="10" t="s">
        <v>46</v>
      </c>
      <c r="N890" s="10" t="s">
        <v>50</v>
      </c>
      <c r="O890" s="10" t="s">
        <v>586</v>
      </c>
      <c r="P890" s="10" t="s">
        <v>587</v>
      </c>
      <c r="Q890" s="10" t="s">
        <v>588</v>
      </c>
      <c r="R890" s="10" t="s">
        <v>50</v>
      </c>
      <c r="S890" s="11">
        <v>92.15</v>
      </c>
      <c r="T890" s="11">
        <v>20.76</v>
      </c>
      <c r="U890" s="11" t="s">
        <v>51</v>
      </c>
      <c r="V890" s="10" t="s">
        <v>52</v>
      </c>
      <c r="W890" s="10" t="s">
        <v>9200</v>
      </c>
      <c r="X890" s="10" t="s">
        <v>9201</v>
      </c>
      <c r="Y890" s="10" t="s">
        <v>9202</v>
      </c>
      <c r="Z890" s="10" t="s">
        <v>50</v>
      </c>
      <c r="AA890" s="10" t="s">
        <v>50</v>
      </c>
      <c r="AB890" s="10" t="s">
        <v>9200</v>
      </c>
      <c r="AC890" s="10" t="s">
        <v>9203</v>
      </c>
      <c r="AD890" s="10" t="s">
        <v>9204</v>
      </c>
      <c r="AE890" s="10" t="s">
        <v>1617</v>
      </c>
      <c r="AF890" s="10" t="s">
        <v>58</v>
      </c>
      <c r="AG890" s="10" t="s">
        <v>9205</v>
      </c>
      <c r="AH890" s="10" t="s">
        <v>60</v>
      </c>
      <c r="AI890" s="10" t="s">
        <v>61</v>
      </c>
      <c r="AJ890" s="10" t="s">
        <v>3484</v>
      </c>
      <c r="AK890" s="10" t="s">
        <v>9206</v>
      </c>
      <c r="AL890" s="10" t="s">
        <v>64</v>
      </c>
      <c r="AM890" s="10" t="s">
        <v>9207</v>
      </c>
      <c r="AN890" s="10" t="s">
        <v>50</v>
      </c>
      <c r="AO890" s="11" t="s">
        <v>50</v>
      </c>
      <c r="AP890" s="10" t="s">
        <v>50</v>
      </c>
      <c r="AQ890" s="10" t="s">
        <v>50</v>
      </c>
      <c r="AR890" s="10" t="s">
        <v>50</v>
      </c>
      <c r="AS890" s="10" t="s">
        <v>50</v>
      </c>
      <c r="AT890" s="10" t="s">
        <v>50</v>
      </c>
      <c r="AU890" s="10" t="s">
        <v>50</v>
      </c>
      <c r="AV890" s="11"/>
      <c r="AW890" s="10" t="s">
        <v>66</v>
      </c>
      <c r="AX890" s="10"/>
      <c r="AY890" s="10" t="s">
        <v>66</v>
      </c>
    </row>
    <row r="891" ht="22.5" hidden="1" customHeight="1">
      <c r="A891" s="9" t="s">
        <v>9208</v>
      </c>
      <c r="B891" s="10" t="s">
        <v>9209</v>
      </c>
      <c r="C891" s="10" t="s">
        <v>43</v>
      </c>
      <c r="D891" s="10" t="s">
        <v>6539</v>
      </c>
      <c r="E891" s="10" t="s">
        <v>66</v>
      </c>
      <c r="F891" s="11">
        <v>1.0</v>
      </c>
      <c r="G891" s="11">
        <v>79.0</v>
      </c>
      <c r="H891" s="11"/>
      <c r="I891" s="11">
        <v>-13.43</v>
      </c>
      <c r="J891" s="11">
        <v>-20.45</v>
      </c>
      <c r="K891" s="11"/>
      <c r="L891" s="11">
        <v>45.12</v>
      </c>
      <c r="M891" s="10" t="s">
        <v>46</v>
      </c>
      <c r="N891" s="10" t="s">
        <v>45</v>
      </c>
      <c r="O891" s="10" t="s">
        <v>160</v>
      </c>
      <c r="P891" s="10" t="s">
        <v>161</v>
      </c>
      <c r="Q891" s="10" t="s">
        <v>162</v>
      </c>
      <c r="R891" s="10" t="s">
        <v>74</v>
      </c>
      <c r="S891" s="11">
        <v>79.0</v>
      </c>
      <c r="T891" s="11">
        <v>2.49</v>
      </c>
      <c r="U891" s="11" t="s">
        <v>51</v>
      </c>
      <c r="V891" s="10" t="s">
        <v>52</v>
      </c>
      <c r="W891" s="10" t="s">
        <v>9210</v>
      </c>
      <c r="X891" s="10" t="s">
        <v>9211</v>
      </c>
      <c r="Y891" s="10" t="s">
        <v>9212</v>
      </c>
      <c r="Z891" s="10" t="s">
        <v>50</v>
      </c>
      <c r="AA891" s="10" t="s">
        <v>50</v>
      </c>
      <c r="AB891" s="10" t="s">
        <v>9210</v>
      </c>
      <c r="AC891" s="10" t="s">
        <v>9213</v>
      </c>
      <c r="AD891" s="10" t="s">
        <v>9214</v>
      </c>
      <c r="AE891" s="10" t="s">
        <v>151</v>
      </c>
      <c r="AF891" s="10" t="s">
        <v>151</v>
      </c>
      <c r="AG891" s="10" t="s">
        <v>9215</v>
      </c>
      <c r="AH891" s="10" t="s">
        <v>60</v>
      </c>
      <c r="AI891" s="10" t="s">
        <v>61</v>
      </c>
      <c r="AJ891" s="10" t="s">
        <v>7357</v>
      </c>
      <c r="AK891" s="10" t="s">
        <v>9216</v>
      </c>
      <c r="AL891" s="10" t="s">
        <v>64</v>
      </c>
      <c r="AM891" s="10" t="s">
        <v>9217</v>
      </c>
      <c r="AN891" s="10" t="s">
        <v>50</v>
      </c>
      <c r="AO891" s="11" t="s">
        <v>50</v>
      </c>
      <c r="AP891" s="10" t="s">
        <v>50</v>
      </c>
      <c r="AQ891" s="10" t="s">
        <v>50</v>
      </c>
      <c r="AR891" s="10" t="s">
        <v>50</v>
      </c>
      <c r="AS891" s="10" t="s">
        <v>50</v>
      </c>
      <c r="AT891" s="10" t="s">
        <v>50</v>
      </c>
      <c r="AU891" s="10" t="s">
        <v>50</v>
      </c>
      <c r="AV891" s="11"/>
      <c r="AW891" s="10" t="s">
        <v>66</v>
      </c>
      <c r="AX891" s="10"/>
      <c r="AY891" s="10" t="s">
        <v>66</v>
      </c>
    </row>
    <row r="892" ht="22.5" hidden="1" customHeight="1">
      <c r="A892" s="9" t="s">
        <v>9218</v>
      </c>
      <c r="B892" s="10" t="s">
        <v>9219</v>
      </c>
      <c r="C892" s="10" t="s">
        <v>43</v>
      </c>
      <c r="D892" s="10" t="s">
        <v>3477</v>
      </c>
      <c r="E892" s="10" t="s">
        <v>45</v>
      </c>
      <c r="F892" s="11">
        <v>1.0</v>
      </c>
      <c r="G892" s="11">
        <v>43.7</v>
      </c>
      <c r="H892" s="11">
        <v>18.9</v>
      </c>
      <c r="I892" s="11">
        <v>-13.43</v>
      </c>
      <c r="J892" s="11">
        <v>-18.9</v>
      </c>
      <c r="K892" s="11"/>
      <c r="L892" s="11">
        <v>32.89</v>
      </c>
      <c r="M892" s="10" t="s">
        <v>46</v>
      </c>
      <c r="N892" s="10" t="s">
        <v>45</v>
      </c>
      <c r="O892" s="10" t="s">
        <v>176</v>
      </c>
      <c r="P892" s="10" t="s">
        <v>177</v>
      </c>
      <c r="Q892" s="10" t="s">
        <v>178</v>
      </c>
      <c r="R892" s="10" t="s">
        <v>74</v>
      </c>
      <c r="S892" s="11">
        <v>43.7</v>
      </c>
      <c r="T892" s="11">
        <v>22.58</v>
      </c>
      <c r="U892" s="11" t="s">
        <v>51</v>
      </c>
      <c r="V892" s="10" t="s">
        <v>52</v>
      </c>
      <c r="W892" s="10" t="s">
        <v>9220</v>
      </c>
      <c r="X892" s="10" t="s">
        <v>9221</v>
      </c>
      <c r="Y892" s="10" t="s">
        <v>9222</v>
      </c>
      <c r="Z892" s="10" t="s">
        <v>50</v>
      </c>
      <c r="AA892" s="10" t="s">
        <v>50</v>
      </c>
      <c r="AB892" s="10" t="s">
        <v>9220</v>
      </c>
      <c r="AC892" s="10" t="s">
        <v>9223</v>
      </c>
      <c r="AD892" s="10" t="s">
        <v>9224</v>
      </c>
      <c r="AE892" s="10" t="s">
        <v>2123</v>
      </c>
      <c r="AF892" s="10" t="s">
        <v>151</v>
      </c>
      <c r="AG892" s="10" t="s">
        <v>9225</v>
      </c>
      <c r="AH892" s="10" t="s">
        <v>60</v>
      </c>
      <c r="AI892" s="10" t="s">
        <v>61</v>
      </c>
      <c r="AJ892" s="10" t="s">
        <v>9136</v>
      </c>
      <c r="AK892" s="10" t="s">
        <v>9226</v>
      </c>
      <c r="AL892" s="10" t="s">
        <v>64</v>
      </c>
      <c r="AM892" s="10" t="s">
        <v>9227</v>
      </c>
      <c r="AN892" s="10" t="s">
        <v>50</v>
      </c>
      <c r="AO892" s="11" t="s">
        <v>50</v>
      </c>
      <c r="AP892" s="10" t="s">
        <v>50</v>
      </c>
      <c r="AQ892" s="10" t="s">
        <v>50</v>
      </c>
      <c r="AR892" s="10" t="s">
        <v>50</v>
      </c>
      <c r="AS892" s="10" t="s">
        <v>50</v>
      </c>
      <c r="AT892" s="10" t="s">
        <v>50</v>
      </c>
      <c r="AU892" s="10" t="s">
        <v>50</v>
      </c>
      <c r="AV892" s="11"/>
      <c r="AW892" s="10" t="s">
        <v>66</v>
      </c>
      <c r="AX892" s="10"/>
      <c r="AY892" s="10" t="s">
        <v>66</v>
      </c>
    </row>
    <row r="893" ht="22.5" hidden="1" customHeight="1">
      <c r="A893" s="9" t="s">
        <v>9228</v>
      </c>
      <c r="B893" s="10" t="s">
        <v>9229</v>
      </c>
      <c r="C893" s="10" t="s">
        <v>43</v>
      </c>
      <c r="D893" s="10" t="s">
        <v>6539</v>
      </c>
      <c r="E893" s="10" t="s">
        <v>66</v>
      </c>
      <c r="F893" s="11">
        <v>1.0</v>
      </c>
      <c r="G893" s="11">
        <v>43.7</v>
      </c>
      <c r="H893" s="11">
        <v>18.9</v>
      </c>
      <c r="I893" s="11">
        <v>-13.43</v>
      </c>
      <c r="J893" s="11">
        <v>-18.9</v>
      </c>
      <c r="K893" s="11"/>
      <c r="L893" s="11">
        <v>32.89</v>
      </c>
      <c r="M893" s="10" t="s">
        <v>46</v>
      </c>
      <c r="N893" s="10" t="s">
        <v>50</v>
      </c>
      <c r="O893" s="10" t="s">
        <v>176</v>
      </c>
      <c r="P893" s="10" t="s">
        <v>177</v>
      </c>
      <c r="Q893" s="10" t="s">
        <v>178</v>
      </c>
      <c r="R893" s="10" t="s">
        <v>74</v>
      </c>
      <c r="S893" s="11">
        <v>43.7</v>
      </c>
      <c r="T893" s="11">
        <v>22.58</v>
      </c>
      <c r="U893" s="11" t="s">
        <v>51</v>
      </c>
      <c r="V893" s="10" t="s">
        <v>52</v>
      </c>
      <c r="W893" s="10" t="s">
        <v>9230</v>
      </c>
      <c r="X893" s="10" t="s">
        <v>9231</v>
      </c>
      <c r="Y893" s="10" t="s">
        <v>9232</v>
      </c>
      <c r="Z893" s="10" t="s">
        <v>50</v>
      </c>
      <c r="AA893" s="10" t="s">
        <v>50</v>
      </c>
      <c r="AB893" s="10" t="s">
        <v>9230</v>
      </c>
      <c r="AC893" s="10" t="s">
        <v>9233</v>
      </c>
      <c r="AD893" s="10" t="s">
        <v>9234</v>
      </c>
      <c r="AE893" s="10" t="s">
        <v>9235</v>
      </c>
      <c r="AF893" s="10" t="s">
        <v>151</v>
      </c>
      <c r="AG893" s="10" t="s">
        <v>9236</v>
      </c>
      <c r="AH893" s="10" t="s">
        <v>60</v>
      </c>
      <c r="AI893" s="10" t="s">
        <v>61</v>
      </c>
      <c r="AJ893" s="10" t="s">
        <v>9237</v>
      </c>
      <c r="AK893" s="10" t="s">
        <v>9238</v>
      </c>
      <c r="AL893" s="10" t="s">
        <v>64</v>
      </c>
      <c r="AM893" s="10" t="s">
        <v>9239</v>
      </c>
      <c r="AN893" s="10" t="s">
        <v>50</v>
      </c>
      <c r="AO893" s="11" t="s">
        <v>50</v>
      </c>
      <c r="AP893" s="10" t="s">
        <v>50</v>
      </c>
      <c r="AQ893" s="10" t="s">
        <v>50</v>
      </c>
      <c r="AR893" s="10" t="s">
        <v>50</v>
      </c>
      <c r="AS893" s="10" t="s">
        <v>50</v>
      </c>
      <c r="AT893" s="10" t="s">
        <v>50</v>
      </c>
      <c r="AU893" s="10" t="s">
        <v>50</v>
      </c>
      <c r="AV893" s="11"/>
      <c r="AW893" s="10" t="s">
        <v>66</v>
      </c>
      <c r="AX893" s="10"/>
      <c r="AY893" s="10" t="s">
        <v>66</v>
      </c>
    </row>
    <row r="894" ht="22.5" hidden="1" customHeight="1">
      <c r="A894" s="9" t="s">
        <v>9240</v>
      </c>
      <c r="B894" s="10" t="s">
        <v>9241</v>
      </c>
      <c r="C894" s="10" t="s">
        <v>43</v>
      </c>
      <c r="D894" s="10" t="s">
        <v>2481</v>
      </c>
      <c r="E894" s="10" t="s">
        <v>45</v>
      </c>
      <c r="F894" s="11">
        <v>1.0</v>
      </c>
      <c r="G894" s="11">
        <v>79.2</v>
      </c>
      <c r="H894" s="11"/>
      <c r="I894" s="11">
        <v>-15.05</v>
      </c>
      <c r="J894" s="11">
        <v>-19.95</v>
      </c>
      <c r="K894" s="11"/>
      <c r="L894" s="11">
        <v>44.2</v>
      </c>
      <c r="M894" s="10" t="s">
        <v>46</v>
      </c>
      <c r="N894" s="10" t="s">
        <v>45</v>
      </c>
      <c r="O894" s="10" t="s">
        <v>586</v>
      </c>
      <c r="P894" s="10" t="s">
        <v>1467</v>
      </c>
      <c r="Q894" s="10" t="s">
        <v>1468</v>
      </c>
      <c r="R894" s="10" t="s">
        <v>50</v>
      </c>
      <c r="S894" s="11">
        <v>79.2</v>
      </c>
      <c r="T894" s="11">
        <v>9.89</v>
      </c>
      <c r="U894" s="11" t="s">
        <v>51</v>
      </c>
      <c r="V894" s="10" t="s">
        <v>52</v>
      </c>
      <c r="W894" s="10" t="s">
        <v>9242</v>
      </c>
      <c r="X894" s="10" t="s">
        <v>9243</v>
      </c>
      <c r="Y894" s="10" t="s">
        <v>9244</v>
      </c>
      <c r="Z894" s="10" t="s">
        <v>50</v>
      </c>
      <c r="AA894" s="10" t="s">
        <v>50</v>
      </c>
      <c r="AB894" s="10" t="s">
        <v>9242</v>
      </c>
      <c r="AC894" s="10" t="s">
        <v>9245</v>
      </c>
      <c r="AD894" s="10" t="s">
        <v>9246</v>
      </c>
      <c r="AE894" s="10" t="s">
        <v>3168</v>
      </c>
      <c r="AF894" s="10" t="s">
        <v>185</v>
      </c>
      <c r="AG894" s="10" t="s">
        <v>9247</v>
      </c>
      <c r="AH894" s="10" t="s">
        <v>60</v>
      </c>
      <c r="AI894" s="10" t="s">
        <v>61</v>
      </c>
      <c r="AJ894" s="10" t="s">
        <v>6825</v>
      </c>
      <c r="AK894" s="10" t="s">
        <v>9248</v>
      </c>
      <c r="AL894" s="10" t="s">
        <v>64</v>
      </c>
      <c r="AM894" s="10" t="s">
        <v>9249</v>
      </c>
      <c r="AN894" s="10" t="s">
        <v>50</v>
      </c>
      <c r="AO894" s="11" t="s">
        <v>50</v>
      </c>
      <c r="AP894" s="10" t="s">
        <v>50</v>
      </c>
      <c r="AQ894" s="10" t="s">
        <v>50</v>
      </c>
      <c r="AR894" s="10" t="s">
        <v>50</v>
      </c>
      <c r="AS894" s="10" t="s">
        <v>50</v>
      </c>
      <c r="AT894" s="10" t="s">
        <v>50</v>
      </c>
      <c r="AU894" s="10" t="s">
        <v>50</v>
      </c>
      <c r="AV894" s="11"/>
      <c r="AW894" s="10" t="s">
        <v>66</v>
      </c>
      <c r="AX894" s="10"/>
      <c r="AY894" s="10" t="s">
        <v>66</v>
      </c>
    </row>
    <row r="895" ht="22.5" hidden="1" customHeight="1">
      <c r="A895" s="9" t="s">
        <v>9250</v>
      </c>
      <c r="B895" s="10" t="s">
        <v>9251</v>
      </c>
      <c r="C895" s="10" t="s">
        <v>43</v>
      </c>
      <c r="D895" s="10" t="s">
        <v>2402</v>
      </c>
      <c r="E895" s="10" t="s">
        <v>66</v>
      </c>
      <c r="F895" s="11">
        <v>1.0</v>
      </c>
      <c r="G895" s="11">
        <v>80.0</v>
      </c>
      <c r="H895" s="11"/>
      <c r="I895" s="11">
        <v>-13.6</v>
      </c>
      <c r="J895" s="11">
        <v>-19.95</v>
      </c>
      <c r="K895" s="11"/>
      <c r="L895" s="11">
        <v>50.45</v>
      </c>
      <c r="M895" s="10" t="s">
        <v>46</v>
      </c>
      <c r="N895" s="10" t="s">
        <v>50</v>
      </c>
      <c r="O895" s="10" t="s">
        <v>143</v>
      </c>
      <c r="P895" s="10" t="s">
        <v>144</v>
      </c>
      <c r="Q895" s="10" t="s">
        <v>145</v>
      </c>
      <c r="R895" s="10" t="s">
        <v>74</v>
      </c>
      <c r="S895" s="11">
        <v>80.0</v>
      </c>
      <c r="T895" s="11">
        <v>33.38</v>
      </c>
      <c r="U895" s="11" t="s">
        <v>51</v>
      </c>
      <c r="V895" s="10" t="s">
        <v>52</v>
      </c>
      <c r="W895" s="10" t="s">
        <v>9252</v>
      </c>
      <c r="X895" s="10" t="s">
        <v>9253</v>
      </c>
      <c r="Y895" s="10" t="s">
        <v>9254</v>
      </c>
      <c r="Z895" s="10" t="s">
        <v>50</v>
      </c>
      <c r="AA895" s="10" t="s">
        <v>50</v>
      </c>
      <c r="AB895" s="10" t="s">
        <v>9252</v>
      </c>
      <c r="AC895" s="10" t="s">
        <v>9255</v>
      </c>
      <c r="AD895" s="10" t="s">
        <v>9256</v>
      </c>
      <c r="AE895" s="10" t="s">
        <v>9257</v>
      </c>
      <c r="AF895" s="10" t="s">
        <v>323</v>
      </c>
      <c r="AG895" s="10" t="s">
        <v>9258</v>
      </c>
      <c r="AH895" s="10" t="s">
        <v>60</v>
      </c>
      <c r="AI895" s="10" t="s">
        <v>61</v>
      </c>
      <c r="AJ895" s="10" t="s">
        <v>7108</v>
      </c>
      <c r="AK895" s="10" t="s">
        <v>9259</v>
      </c>
      <c r="AL895" s="10" t="s">
        <v>64</v>
      </c>
      <c r="AM895" s="10" t="s">
        <v>9260</v>
      </c>
      <c r="AN895" s="10" t="s">
        <v>50</v>
      </c>
      <c r="AO895" s="11" t="s">
        <v>50</v>
      </c>
      <c r="AP895" s="10" t="s">
        <v>50</v>
      </c>
      <c r="AQ895" s="10" t="s">
        <v>50</v>
      </c>
      <c r="AR895" s="10" t="s">
        <v>50</v>
      </c>
      <c r="AS895" s="10" t="s">
        <v>50</v>
      </c>
      <c r="AT895" s="10" t="s">
        <v>50</v>
      </c>
      <c r="AU895" s="10" t="s">
        <v>50</v>
      </c>
      <c r="AV895" s="11"/>
      <c r="AW895" s="10" t="s">
        <v>66</v>
      </c>
      <c r="AX895" s="10"/>
      <c r="AY895" s="10" t="s">
        <v>66</v>
      </c>
    </row>
    <row r="896" ht="22.5" hidden="1" customHeight="1">
      <c r="A896" s="9" t="s">
        <v>9261</v>
      </c>
      <c r="B896" s="10" t="s">
        <v>9262</v>
      </c>
      <c r="C896" s="10" t="s">
        <v>43</v>
      </c>
      <c r="D896" s="10" t="s">
        <v>3477</v>
      </c>
      <c r="E896" s="10" t="s">
        <v>66</v>
      </c>
      <c r="F896" s="11">
        <v>1.0</v>
      </c>
      <c r="G896" s="11">
        <v>79.0</v>
      </c>
      <c r="H896" s="11"/>
      <c r="I896" s="11">
        <v>-13.43</v>
      </c>
      <c r="J896" s="11">
        <v>-20.45</v>
      </c>
      <c r="K896" s="11"/>
      <c r="L896" s="11">
        <v>45.12</v>
      </c>
      <c r="M896" s="10" t="s">
        <v>46</v>
      </c>
      <c r="N896" s="10" t="s">
        <v>45</v>
      </c>
      <c r="O896" s="10" t="s">
        <v>461</v>
      </c>
      <c r="P896" s="10" t="s">
        <v>462</v>
      </c>
      <c r="Q896" s="10" t="s">
        <v>463</v>
      </c>
      <c r="R896" s="10" t="s">
        <v>74</v>
      </c>
      <c r="S896" s="11">
        <v>79.0</v>
      </c>
      <c r="T896" s="11">
        <v>10.09</v>
      </c>
      <c r="U896" s="11" t="s">
        <v>51</v>
      </c>
      <c r="V896" s="10" t="s">
        <v>52</v>
      </c>
      <c r="W896" s="10" t="s">
        <v>9263</v>
      </c>
      <c r="X896" s="10" t="s">
        <v>9264</v>
      </c>
      <c r="Y896" s="10" t="s">
        <v>9265</v>
      </c>
      <c r="Z896" s="10" t="s">
        <v>50</v>
      </c>
      <c r="AA896" s="10" t="s">
        <v>50</v>
      </c>
      <c r="AB896" s="10" t="s">
        <v>9263</v>
      </c>
      <c r="AC896" s="10" t="s">
        <v>9266</v>
      </c>
      <c r="AD896" s="10" t="s">
        <v>9267</v>
      </c>
      <c r="AE896" s="10" t="s">
        <v>1404</v>
      </c>
      <c r="AF896" s="10" t="s">
        <v>58</v>
      </c>
      <c r="AG896" s="10" t="s">
        <v>9268</v>
      </c>
      <c r="AH896" s="10" t="s">
        <v>60</v>
      </c>
      <c r="AI896" s="10" t="s">
        <v>61</v>
      </c>
      <c r="AJ896" s="10" t="s">
        <v>6825</v>
      </c>
      <c r="AK896" s="10" t="s">
        <v>9269</v>
      </c>
      <c r="AL896" s="10" t="s">
        <v>64</v>
      </c>
      <c r="AM896" s="10" t="s">
        <v>9270</v>
      </c>
      <c r="AN896" s="10" t="s">
        <v>50</v>
      </c>
      <c r="AO896" s="11" t="s">
        <v>50</v>
      </c>
      <c r="AP896" s="10" t="s">
        <v>50</v>
      </c>
      <c r="AQ896" s="10" t="s">
        <v>50</v>
      </c>
      <c r="AR896" s="10" t="s">
        <v>50</v>
      </c>
      <c r="AS896" s="10" t="s">
        <v>50</v>
      </c>
      <c r="AT896" s="10" t="s">
        <v>50</v>
      </c>
      <c r="AU896" s="10" t="s">
        <v>50</v>
      </c>
      <c r="AV896" s="11"/>
      <c r="AW896" s="10" t="s">
        <v>66</v>
      </c>
      <c r="AX896" s="10"/>
      <c r="AY896" s="10" t="s">
        <v>66</v>
      </c>
    </row>
    <row r="897" ht="22.5" hidden="1" customHeight="1">
      <c r="A897" s="9" t="s">
        <v>9271</v>
      </c>
      <c r="B897" s="10" t="s">
        <v>9272</v>
      </c>
      <c r="C897" s="10" t="s">
        <v>43</v>
      </c>
      <c r="D897" s="10" t="s">
        <v>3477</v>
      </c>
      <c r="E897" s="10" t="s">
        <v>66</v>
      </c>
      <c r="F897" s="11">
        <v>1.0</v>
      </c>
      <c r="G897" s="11">
        <v>43.7</v>
      </c>
      <c r="H897" s="11">
        <v>11.11</v>
      </c>
      <c r="I897" s="11">
        <v>-13.43</v>
      </c>
      <c r="J897" s="11">
        <v>-11.11</v>
      </c>
      <c r="K897" s="11"/>
      <c r="L897" s="11">
        <v>32.89</v>
      </c>
      <c r="M897" s="10" t="s">
        <v>46</v>
      </c>
      <c r="N897" s="10" t="s">
        <v>50</v>
      </c>
      <c r="O897" s="10" t="s">
        <v>176</v>
      </c>
      <c r="P897" s="10" t="s">
        <v>177</v>
      </c>
      <c r="Q897" s="10" t="s">
        <v>178</v>
      </c>
      <c r="R897" s="10" t="s">
        <v>74</v>
      </c>
      <c r="S897" s="11">
        <v>43.7</v>
      </c>
      <c r="T897" s="11">
        <v>22.58</v>
      </c>
      <c r="U897" s="11" t="s">
        <v>51</v>
      </c>
      <c r="V897" s="10" t="s">
        <v>52</v>
      </c>
      <c r="W897" s="10" t="s">
        <v>9273</v>
      </c>
      <c r="X897" s="10" t="s">
        <v>9274</v>
      </c>
      <c r="Y897" s="10" t="s">
        <v>9275</v>
      </c>
      <c r="Z897" s="10" t="s">
        <v>50</v>
      </c>
      <c r="AA897" s="10" t="s">
        <v>50</v>
      </c>
      <c r="AB897" s="10" t="s">
        <v>9273</v>
      </c>
      <c r="AC897" s="10" t="s">
        <v>9276</v>
      </c>
      <c r="AD897" s="10" t="s">
        <v>9277</v>
      </c>
      <c r="AE897" s="10" t="s">
        <v>5067</v>
      </c>
      <c r="AF897" s="10" t="s">
        <v>58</v>
      </c>
      <c r="AG897" s="10" t="s">
        <v>9278</v>
      </c>
      <c r="AH897" s="10" t="s">
        <v>60</v>
      </c>
      <c r="AI897" s="10" t="s">
        <v>61</v>
      </c>
      <c r="AJ897" s="10" t="s">
        <v>6825</v>
      </c>
      <c r="AK897" s="10" t="s">
        <v>9279</v>
      </c>
      <c r="AL897" s="10" t="s">
        <v>64</v>
      </c>
      <c r="AM897" s="10" t="s">
        <v>9280</v>
      </c>
      <c r="AN897" s="10" t="s">
        <v>50</v>
      </c>
      <c r="AO897" s="11" t="s">
        <v>50</v>
      </c>
      <c r="AP897" s="10" t="s">
        <v>50</v>
      </c>
      <c r="AQ897" s="10" t="s">
        <v>50</v>
      </c>
      <c r="AR897" s="10" t="s">
        <v>50</v>
      </c>
      <c r="AS897" s="10" t="s">
        <v>50</v>
      </c>
      <c r="AT897" s="10" t="s">
        <v>50</v>
      </c>
      <c r="AU897" s="10" t="s">
        <v>50</v>
      </c>
      <c r="AV897" s="11"/>
      <c r="AW897" s="10" t="s">
        <v>66</v>
      </c>
      <c r="AX897" s="10"/>
      <c r="AY897" s="10" t="s">
        <v>66</v>
      </c>
    </row>
    <row r="898" ht="22.5" hidden="1" customHeight="1">
      <c r="A898" s="9" t="s">
        <v>9281</v>
      </c>
      <c r="B898" s="10" t="s">
        <v>9272</v>
      </c>
      <c r="C898" s="10" t="s">
        <v>43</v>
      </c>
      <c r="D898" s="10" t="s">
        <v>2402</v>
      </c>
      <c r="E898" s="10" t="s">
        <v>66</v>
      </c>
      <c r="F898" s="11">
        <v>1.0</v>
      </c>
      <c r="G898" s="11">
        <v>79.0</v>
      </c>
      <c r="H898" s="11">
        <v>27.13</v>
      </c>
      <c r="I898" s="11">
        <v>-13.43</v>
      </c>
      <c r="J898" s="11">
        <v>-47.58</v>
      </c>
      <c r="K898" s="11"/>
      <c r="L898" s="11">
        <v>45.12</v>
      </c>
      <c r="M898" s="10" t="s">
        <v>46</v>
      </c>
      <c r="N898" s="10" t="s">
        <v>45</v>
      </c>
      <c r="O898" s="10" t="s">
        <v>160</v>
      </c>
      <c r="P898" s="10" t="s">
        <v>161</v>
      </c>
      <c r="Q898" s="10" t="s">
        <v>162</v>
      </c>
      <c r="R898" s="10" t="s">
        <v>74</v>
      </c>
      <c r="S898" s="11">
        <v>79.0</v>
      </c>
      <c r="T898" s="11">
        <v>2.49</v>
      </c>
      <c r="U898" s="11" t="s">
        <v>51</v>
      </c>
      <c r="V898" s="10" t="s">
        <v>52</v>
      </c>
      <c r="W898" s="10" t="s">
        <v>9282</v>
      </c>
      <c r="X898" s="10" t="s">
        <v>9283</v>
      </c>
      <c r="Y898" s="10" t="s">
        <v>9284</v>
      </c>
      <c r="Z898" s="10" t="s">
        <v>50</v>
      </c>
      <c r="AA898" s="10" t="s">
        <v>50</v>
      </c>
      <c r="AB898" s="10" t="s">
        <v>9282</v>
      </c>
      <c r="AC898" s="10" t="s">
        <v>9285</v>
      </c>
      <c r="AD898" s="10" t="s">
        <v>9286</v>
      </c>
      <c r="AE898" s="10" t="s">
        <v>9287</v>
      </c>
      <c r="AF898" s="10" t="s">
        <v>6728</v>
      </c>
      <c r="AG898" s="10" t="s">
        <v>9288</v>
      </c>
      <c r="AH898" s="10" t="s">
        <v>60</v>
      </c>
      <c r="AI898" s="10" t="s">
        <v>61</v>
      </c>
      <c r="AJ898" s="10" t="s">
        <v>6666</v>
      </c>
      <c r="AK898" s="10" t="s">
        <v>5843</v>
      </c>
      <c r="AL898" s="10" t="s">
        <v>64</v>
      </c>
      <c r="AM898" s="10" t="s">
        <v>9289</v>
      </c>
      <c r="AN898" s="10" t="s">
        <v>50</v>
      </c>
      <c r="AO898" s="11" t="s">
        <v>50</v>
      </c>
      <c r="AP898" s="10" t="s">
        <v>50</v>
      </c>
      <c r="AQ898" s="10" t="s">
        <v>50</v>
      </c>
      <c r="AR898" s="10" t="s">
        <v>50</v>
      </c>
      <c r="AS898" s="10" t="s">
        <v>50</v>
      </c>
      <c r="AT898" s="10" t="s">
        <v>50</v>
      </c>
      <c r="AU898" s="10" t="s">
        <v>50</v>
      </c>
      <c r="AV898" s="11"/>
      <c r="AW898" s="10" t="s">
        <v>66</v>
      </c>
      <c r="AX898" s="10"/>
      <c r="AY898" s="10" t="s">
        <v>66</v>
      </c>
    </row>
    <row r="899" ht="22.5" hidden="1" customHeight="1">
      <c r="A899" s="12" t="s">
        <v>9290</v>
      </c>
      <c r="B899" s="13" t="s">
        <v>9291</v>
      </c>
      <c r="C899" s="13" t="s">
        <v>747</v>
      </c>
      <c r="D899" s="13" t="s">
        <v>50</v>
      </c>
      <c r="E899" s="13" t="s">
        <v>50</v>
      </c>
      <c r="F899" s="14"/>
      <c r="G899" s="14">
        <v>133.7</v>
      </c>
      <c r="H899" s="14"/>
      <c r="I899" s="14">
        <v>-28.73</v>
      </c>
      <c r="J899" s="14">
        <v>-20.45</v>
      </c>
      <c r="K899" s="14">
        <v>-92.54</v>
      </c>
      <c r="L899" s="14">
        <v>0.0</v>
      </c>
      <c r="M899" s="13" t="s">
        <v>46</v>
      </c>
      <c r="N899" s="13" t="s">
        <v>50</v>
      </c>
      <c r="O899" s="13" t="s">
        <v>50</v>
      </c>
      <c r="P899" s="13" t="s">
        <v>50</v>
      </c>
      <c r="Q899" s="13" t="s">
        <v>50</v>
      </c>
      <c r="R899" s="13" t="s">
        <v>50</v>
      </c>
      <c r="S899" s="14"/>
      <c r="T899" s="14"/>
      <c r="U899" s="14" t="s">
        <v>50</v>
      </c>
      <c r="V899" s="13" t="s">
        <v>52</v>
      </c>
      <c r="W899" s="13" t="s">
        <v>9292</v>
      </c>
      <c r="X899" s="13" t="s">
        <v>9293</v>
      </c>
      <c r="Y899" s="13" t="s">
        <v>9294</v>
      </c>
      <c r="Z899" s="13" t="s">
        <v>50</v>
      </c>
      <c r="AA899" s="13" t="s">
        <v>50</v>
      </c>
      <c r="AB899" s="13" t="s">
        <v>9292</v>
      </c>
      <c r="AC899" s="13" t="s">
        <v>9295</v>
      </c>
      <c r="AD899" s="13" t="s">
        <v>50</v>
      </c>
      <c r="AE899" s="13" t="s">
        <v>9296</v>
      </c>
      <c r="AF899" s="13" t="s">
        <v>58</v>
      </c>
      <c r="AG899" s="13" t="s">
        <v>9297</v>
      </c>
      <c r="AH899" s="13" t="s">
        <v>60</v>
      </c>
      <c r="AI899" s="13" t="s">
        <v>61</v>
      </c>
      <c r="AJ899" s="13" t="s">
        <v>50</v>
      </c>
      <c r="AK899" s="13" t="s">
        <v>50</v>
      </c>
      <c r="AL899" s="13" t="s">
        <v>64</v>
      </c>
      <c r="AM899" s="13" t="s">
        <v>9298</v>
      </c>
      <c r="AN899" s="13" t="s">
        <v>50</v>
      </c>
      <c r="AO899" s="15" t="s">
        <v>50</v>
      </c>
      <c r="AP899" s="13" t="s">
        <v>50</v>
      </c>
      <c r="AQ899" s="13" t="s">
        <v>50</v>
      </c>
      <c r="AR899" s="13" t="s">
        <v>50</v>
      </c>
      <c r="AS899" s="13" t="s">
        <v>50</v>
      </c>
      <c r="AT899" s="13" t="s">
        <v>50</v>
      </c>
      <c r="AU899" s="13" t="s">
        <v>50</v>
      </c>
      <c r="AV899" s="15"/>
      <c r="AW899" s="13" t="s">
        <v>50</v>
      </c>
      <c r="AX899" s="13"/>
      <c r="AY899" s="13" t="s">
        <v>50</v>
      </c>
    </row>
    <row r="900" ht="22.5" hidden="1" customHeight="1">
      <c r="A900" s="16" t="s">
        <v>9299</v>
      </c>
      <c r="B900" s="17" t="s">
        <v>9291</v>
      </c>
      <c r="C900" s="17" t="s">
        <v>69</v>
      </c>
      <c r="D900" s="17" t="s">
        <v>1208</v>
      </c>
      <c r="E900" s="17" t="s">
        <v>45</v>
      </c>
      <c r="F900" s="18">
        <v>1.0</v>
      </c>
      <c r="G900" s="18"/>
      <c r="H900" s="18"/>
      <c r="I900" s="18"/>
      <c r="J900" s="18"/>
      <c r="K900" s="18"/>
      <c r="L900" s="18"/>
      <c r="M900" s="17" t="s">
        <v>50</v>
      </c>
      <c r="N900" s="17" t="s">
        <v>50</v>
      </c>
      <c r="O900" s="17" t="s">
        <v>176</v>
      </c>
      <c r="P900" s="17" t="s">
        <v>177</v>
      </c>
      <c r="Q900" s="17" t="s">
        <v>178</v>
      </c>
      <c r="R900" s="17" t="s">
        <v>74</v>
      </c>
      <c r="S900" s="18">
        <v>43.7</v>
      </c>
      <c r="T900" s="18">
        <v>22.58</v>
      </c>
      <c r="U900" s="18" t="s">
        <v>51</v>
      </c>
      <c r="V900" s="17" t="s">
        <v>50</v>
      </c>
      <c r="W900" s="17" t="s">
        <v>50</v>
      </c>
      <c r="X900" s="17" t="s">
        <v>50</v>
      </c>
      <c r="Y900" s="17" t="s">
        <v>50</v>
      </c>
      <c r="Z900" s="17" t="s">
        <v>50</v>
      </c>
      <c r="AA900" s="17" t="s">
        <v>50</v>
      </c>
      <c r="AB900" s="17" t="s">
        <v>50</v>
      </c>
      <c r="AC900" s="17" t="s">
        <v>50</v>
      </c>
      <c r="AD900" s="17" t="s">
        <v>50</v>
      </c>
      <c r="AE900" s="17" t="s">
        <v>50</v>
      </c>
      <c r="AF900" s="17" t="s">
        <v>50</v>
      </c>
      <c r="AG900" s="17" t="s">
        <v>50</v>
      </c>
      <c r="AH900" s="17" t="s">
        <v>50</v>
      </c>
      <c r="AI900" s="17" t="s">
        <v>50</v>
      </c>
      <c r="AJ900" s="17" t="s">
        <v>50</v>
      </c>
      <c r="AK900" s="17" t="s">
        <v>50</v>
      </c>
      <c r="AL900" s="17" t="s">
        <v>50</v>
      </c>
      <c r="AM900" s="17" t="s">
        <v>50</v>
      </c>
      <c r="AN900" s="17" t="s">
        <v>50</v>
      </c>
      <c r="AO900" s="18" t="s">
        <v>50</v>
      </c>
      <c r="AP900" s="17" t="s">
        <v>50</v>
      </c>
      <c r="AQ900" s="17" t="s">
        <v>50</v>
      </c>
      <c r="AR900" s="17" t="s">
        <v>50</v>
      </c>
      <c r="AS900" s="17" t="s">
        <v>50</v>
      </c>
      <c r="AT900" s="17" t="s">
        <v>50</v>
      </c>
      <c r="AU900" s="17" t="s">
        <v>50</v>
      </c>
      <c r="AV900" s="18"/>
      <c r="AW900" s="17" t="s">
        <v>66</v>
      </c>
      <c r="AX900" s="17"/>
      <c r="AY900" s="17" t="s">
        <v>66</v>
      </c>
    </row>
    <row r="901" ht="22.5" hidden="1" customHeight="1">
      <c r="A901" s="16" t="s">
        <v>9300</v>
      </c>
      <c r="B901" s="17" t="s">
        <v>9291</v>
      </c>
      <c r="C901" s="17" t="s">
        <v>69</v>
      </c>
      <c r="D901" s="17" t="s">
        <v>1208</v>
      </c>
      <c r="E901" s="17" t="s">
        <v>45</v>
      </c>
      <c r="F901" s="18">
        <v>1.0</v>
      </c>
      <c r="G901" s="18"/>
      <c r="H901" s="18"/>
      <c r="I901" s="18"/>
      <c r="J901" s="18"/>
      <c r="K901" s="18"/>
      <c r="L901" s="18"/>
      <c r="M901" s="17" t="s">
        <v>50</v>
      </c>
      <c r="N901" s="17" t="s">
        <v>50</v>
      </c>
      <c r="O901" s="17" t="s">
        <v>5094</v>
      </c>
      <c r="P901" s="17" t="s">
        <v>5095</v>
      </c>
      <c r="Q901" s="17" t="s">
        <v>5096</v>
      </c>
      <c r="R901" s="17" t="s">
        <v>74</v>
      </c>
      <c r="S901" s="18">
        <v>90.0</v>
      </c>
      <c r="T901" s="18">
        <v>39.99</v>
      </c>
      <c r="U901" s="18" t="s">
        <v>51</v>
      </c>
      <c r="V901" s="17" t="s">
        <v>50</v>
      </c>
      <c r="W901" s="17" t="s">
        <v>50</v>
      </c>
      <c r="X901" s="17" t="s">
        <v>50</v>
      </c>
      <c r="Y901" s="17" t="s">
        <v>50</v>
      </c>
      <c r="Z901" s="17" t="s">
        <v>50</v>
      </c>
      <c r="AA901" s="17" t="s">
        <v>50</v>
      </c>
      <c r="AB901" s="17" t="s">
        <v>50</v>
      </c>
      <c r="AC901" s="17" t="s">
        <v>50</v>
      </c>
      <c r="AD901" s="17" t="s">
        <v>50</v>
      </c>
      <c r="AE901" s="17" t="s">
        <v>50</v>
      </c>
      <c r="AF901" s="17" t="s">
        <v>50</v>
      </c>
      <c r="AG901" s="17" t="s">
        <v>50</v>
      </c>
      <c r="AH901" s="17" t="s">
        <v>50</v>
      </c>
      <c r="AI901" s="17" t="s">
        <v>50</v>
      </c>
      <c r="AJ901" s="17" t="s">
        <v>50</v>
      </c>
      <c r="AK901" s="17" t="s">
        <v>50</v>
      </c>
      <c r="AL901" s="17" t="s">
        <v>50</v>
      </c>
      <c r="AM901" s="17" t="s">
        <v>50</v>
      </c>
      <c r="AN901" s="17" t="s">
        <v>50</v>
      </c>
      <c r="AO901" s="18" t="s">
        <v>50</v>
      </c>
      <c r="AP901" s="17" t="s">
        <v>50</v>
      </c>
      <c r="AQ901" s="17" t="s">
        <v>50</v>
      </c>
      <c r="AR901" s="17" t="s">
        <v>50</v>
      </c>
      <c r="AS901" s="17" t="s">
        <v>50</v>
      </c>
      <c r="AT901" s="17" t="s">
        <v>50</v>
      </c>
      <c r="AU901" s="17" t="s">
        <v>50</v>
      </c>
      <c r="AV901" s="18"/>
      <c r="AW901" s="17" t="s">
        <v>66</v>
      </c>
      <c r="AX901" s="17"/>
      <c r="AY901" s="17" t="s">
        <v>66</v>
      </c>
    </row>
    <row r="902" ht="22.5" hidden="1" customHeight="1">
      <c r="A902" s="9" t="s">
        <v>9301</v>
      </c>
      <c r="B902" s="10" t="s">
        <v>9302</v>
      </c>
      <c r="C902" s="10" t="s">
        <v>43</v>
      </c>
      <c r="D902" s="10" t="s">
        <v>2402</v>
      </c>
      <c r="E902" s="10" t="s">
        <v>66</v>
      </c>
      <c r="F902" s="11">
        <v>1.0</v>
      </c>
      <c r="G902" s="11">
        <v>80.0</v>
      </c>
      <c r="H902" s="11">
        <v>10.75</v>
      </c>
      <c r="I902" s="11">
        <v>-13.6</v>
      </c>
      <c r="J902" s="11">
        <v>-30.7</v>
      </c>
      <c r="K902" s="11"/>
      <c r="L902" s="11">
        <v>50.45</v>
      </c>
      <c r="M902" s="10" t="s">
        <v>46</v>
      </c>
      <c r="N902" s="10" t="s">
        <v>50</v>
      </c>
      <c r="O902" s="10" t="s">
        <v>143</v>
      </c>
      <c r="P902" s="10" t="s">
        <v>144</v>
      </c>
      <c r="Q902" s="10" t="s">
        <v>145</v>
      </c>
      <c r="R902" s="10" t="s">
        <v>74</v>
      </c>
      <c r="S902" s="11">
        <v>80.0</v>
      </c>
      <c r="T902" s="11">
        <v>33.38</v>
      </c>
      <c r="U902" s="11" t="s">
        <v>51</v>
      </c>
      <c r="V902" s="10" t="s">
        <v>52</v>
      </c>
      <c r="W902" s="10" t="s">
        <v>9303</v>
      </c>
      <c r="X902" s="10" t="s">
        <v>9304</v>
      </c>
      <c r="Y902" s="10" t="s">
        <v>9305</v>
      </c>
      <c r="Z902" s="10" t="s">
        <v>50</v>
      </c>
      <c r="AA902" s="10" t="s">
        <v>50</v>
      </c>
      <c r="AB902" s="10" t="s">
        <v>9303</v>
      </c>
      <c r="AC902" s="10" t="s">
        <v>9306</v>
      </c>
      <c r="AD902" s="10" t="s">
        <v>9307</v>
      </c>
      <c r="AE902" s="10" t="s">
        <v>8987</v>
      </c>
      <c r="AF902" s="10" t="s">
        <v>2873</v>
      </c>
      <c r="AG902" s="10" t="s">
        <v>9308</v>
      </c>
      <c r="AH902" s="10" t="s">
        <v>60</v>
      </c>
      <c r="AI902" s="10" t="s">
        <v>61</v>
      </c>
      <c r="AJ902" s="10" t="s">
        <v>6666</v>
      </c>
      <c r="AK902" s="10" t="s">
        <v>9309</v>
      </c>
      <c r="AL902" s="10" t="s">
        <v>64</v>
      </c>
      <c r="AM902" s="10" t="s">
        <v>9310</v>
      </c>
      <c r="AN902" s="10" t="s">
        <v>50</v>
      </c>
      <c r="AO902" s="11" t="s">
        <v>50</v>
      </c>
      <c r="AP902" s="10" t="s">
        <v>50</v>
      </c>
      <c r="AQ902" s="10" t="s">
        <v>50</v>
      </c>
      <c r="AR902" s="10" t="s">
        <v>50</v>
      </c>
      <c r="AS902" s="10" t="s">
        <v>50</v>
      </c>
      <c r="AT902" s="10" t="s">
        <v>50</v>
      </c>
      <c r="AU902" s="10" t="s">
        <v>50</v>
      </c>
      <c r="AV902" s="11"/>
      <c r="AW902" s="10" t="s">
        <v>66</v>
      </c>
      <c r="AX902" s="10"/>
      <c r="AY902" s="10" t="s">
        <v>66</v>
      </c>
    </row>
    <row r="903" ht="22.5" hidden="1" customHeight="1">
      <c r="A903" s="9" t="s">
        <v>9311</v>
      </c>
      <c r="B903" s="10" t="s">
        <v>9312</v>
      </c>
      <c r="C903" s="10" t="s">
        <v>69</v>
      </c>
      <c r="D903" s="10" t="s">
        <v>2283</v>
      </c>
      <c r="E903" s="10" t="s">
        <v>66</v>
      </c>
      <c r="F903" s="11">
        <v>1.0</v>
      </c>
      <c r="G903" s="11">
        <v>144.0</v>
      </c>
      <c r="H903" s="11"/>
      <c r="I903" s="11">
        <v>-27.36</v>
      </c>
      <c r="J903" s="11">
        <v>-20.45</v>
      </c>
      <c r="K903" s="11">
        <v>-103.39</v>
      </c>
      <c r="L903" s="11">
        <v>0.0</v>
      </c>
      <c r="M903" s="10" t="s">
        <v>46</v>
      </c>
      <c r="N903" s="10" t="s">
        <v>45</v>
      </c>
      <c r="O903" s="10" t="s">
        <v>9313</v>
      </c>
      <c r="P903" s="10" t="s">
        <v>9314</v>
      </c>
      <c r="Q903" s="10" t="s">
        <v>9315</v>
      </c>
      <c r="R903" s="10" t="s">
        <v>50</v>
      </c>
      <c r="S903" s="11">
        <v>144.0</v>
      </c>
      <c r="T903" s="11"/>
      <c r="U903" s="11" t="s">
        <v>51</v>
      </c>
      <c r="V903" s="10" t="s">
        <v>75</v>
      </c>
      <c r="W903" s="10" t="s">
        <v>9316</v>
      </c>
      <c r="X903" s="10" t="s">
        <v>9317</v>
      </c>
      <c r="Y903" s="10" t="s">
        <v>9318</v>
      </c>
      <c r="Z903" s="10" t="s">
        <v>50</v>
      </c>
      <c r="AA903" s="10" t="s">
        <v>50</v>
      </c>
      <c r="AB903" s="10" t="s">
        <v>9316</v>
      </c>
      <c r="AC903" s="10" t="s">
        <v>9319</v>
      </c>
      <c r="AD903" s="10" t="s">
        <v>50</v>
      </c>
      <c r="AE903" s="10" t="s">
        <v>5821</v>
      </c>
      <c r="AF903" s="10" t="s">
        <v>151</v>
      </c>
      <c r="AG903" s="10" t="s">
        <v>9320</v>
      </c>
      <c r="AH903" s="10" t="s">
        <v>60</v>
      </c>
      <c r="AI903" s="10" t="s">
        <v>61</v>
      </c>
      <c r="AJ903" s="10" t="s">
        <v>50</v>
      </c>
      <c r="AK903" s="10" t="s">
        <v>50</v>
      </c>
      <c r="AL903" s="10" t="s">
        <v>64</v>
      </c>
      <c r="AM903" s="10" t="s">
        <v>50</v>
      </c>
      <c r="AN903" s="10" t="s">
        <v>50</v>
      </c>
      <c r="AO903" s="11" t="s">
        <v>50</v>
      </c>
      <c r="AP903" s="10" t="s">
        <v>50</v>
      </c>
      <c r="AQ903" s="10" t="s">
        <v>50</v>
      </c>
      <c r="AR903" s="10" t="s">
        <v>50</v>
      </c>
      <c r="AS903" s="10" t="s">
        <v>50</v>
      </c>
      <c r="AT903" s="10" t="s">
        <v>50</v>
      </c>
      <c r="AU903" s="10" t="s">
        <v>50</v>
      </c>
      <c r="AV903" s="11"/>
      <c r="AW903" s="10" t="s">
        <v>66</v>
      </c>
      <c r="AX903" s="10"/>
      <c r="AY903" s="10" t="s">
        <v>66</v>
      </c>
    </row>
    <row r="904" ht="22.5" hidden="1" customHeight="1">
      <c r="A904" s="9" t="s">
        <v>9321</v>
      </c>
      <c r="B904" s="10" t="s">
        <v>9312</v>
      </c>
      <c r="C904" s="10" t="s">
        <v>43</v>
      </c>
      <c r="D904" s="10" t="s">
        <v>2402</v>
      </c>
      <c r="E904" s="10" t="s">
        <v>66</v>
      </c>
      <c r="F904" s="11">
        <v>1.0</v>
      </c>
      <c r="G904" s="11">
        <v>92.15</v>
      </c>
      <c r="H904" s="11">
        <v>10.28</v>
      </c>
      <c r="I904" s="11">
        <v>-17.51</v>
      </c>
      <c r="J904" s="11">
        <v>-30.73</v>
      </c>
      <c r="K904" s="11"/>
      <c r="L904" s="11">
        <v>59.72</v>
      </c>
      <c r="M904" s="10" t="s">
        <v>46</v>
      </c>
      <c r="N904" s="10" t="s">
        <v>50</v>
      </c>
      <c r="O904" s="10" t="s">
        <v>586</v>
      </c>
      <c r="P904" s="10" t="s">
        <v>587</v>
      </c>
      <c r="Q904" s="10" t="s">
        <v>588</v>
      </c>
      <c r="R904" s="10" t="s">
        <v>50</v>
      </c>
      <c r="S904" s="11">
        <v>92.15</v>
      </c>
      <c r="T904" s="11">
        <v>20.76</v>
      </c>
      <c r="U904" s="11" t="s">
        <v>51</v>
      </c>
      <c r="V904" s="10" t="s">
        <v>52</v>
      </c>
      <c r="W904" s="10" t="s">
        <v>9322</v>
      </c>
      <c r="X904" s="10" t="s">
        <v>9323</v>
      </c>
      <c r="Y904" s="10" t="s">
        <v>9324</v>
      </c>
      <c r="Z904" s="10" t="s">
        <v>50</v>
      </c>
      <c r="AA904" s="10" t="s">
        <v>50</v>
      </c>
      <c r="AB904" s="10" t="s">
        <v>9322</v>
      </c>
      <c r="AC904" s="10" t="s">
        <v>9325</v>
      </c>
      <c r="AD904" s="10" t="s">
        <v>9326</v>
      </c>
      <c r="AE904" s="10" t="s">
        <v>9327</v>
      </c>
      <c r="AF904" s="10" t="s">
        <v>775</v>
      </c>
      <c r="AG904" s="10" t="s">
        <v>9328</v>
      </c>
      <c r="AH904" s="10" t="s">
        <v>60</v>
      </c>
      <c r="AI904" s="10" t="s">
        <v>61</v>
      </c>
      <c r="AJ904" s="10" t="s">
        <v>6825</v>
      </c>
      <c r="AK904" s="10" t="s">
        <v>9329</v>
      </c>
      <c r="AL904" s="10" t="s">
        <v>64</v>
      </c>
      <c r="AM904" s="10" t="s">
        <v>9330</v>
      </c>
      <c r="AN904" s="10" t="s">
        <v>50</v>
      </c>
      <c r="AO904" s="11" t="s">
        <v>50</v>
      </c>
      <c r="AP904" s="10" t="s">
        <v>50</v>
      </c>
      <c r="AQ904" s="10" t="s">
        <v>50</v>
      </c>
      <c r="AR904" s="10" t="s">
        <v>50</v>
      </c>
      <c r="AS904" s="10" t="s">
        <v>50</v>
      </c>
      <c r="AT904" s="10" t="s">
        <v>50</v>
      </c>
      <c r="AU904" s="10" t="s">
        <v>50</v>
      </c>
      <c r="AV904" s="11"/>
      <c r="AW904" s="10" t="s">
        <v>66</v>
      </c>
      <c r="AX904" s="10"/>
      <c r="AY904" s="10" t="s">
        <v>66</v>
      </c>
    </row>
    <row r="905" ht="22.5" hidden="1" customHeight="1">
      <c r="A905" s="9" t="s">
        <v>9331</v>
      </c>
      <c r="B905" s="10" t="s">
        <v>9332</v>
      </c>
      <c r="C905" s="10" t="s">
        <v>43</v>
      </c>
      <c r="D905" s="10" t="s">
        <v>3477</v>
      </c>
      <c r="E905" s="10" t="s">
        <v>66</v>
      </c>
      <c r="F905" s="11">
        <v>1.0</v>
      </c>
      <c r="G905" s="11">
        <v>79.0</v>
      </c>
      <c r="H905" s="11"/>
      <c r="I905" s="11">
        <v>-13.43</v>
      </c>
      <c r="J905" s="11">
        <v>-20.45</v>
      </c>
      <c r="K905" s="11"/>
      <c r="L905" s="11">
        <v>45.12</v>
      </c>
      <c r="M905" s="10" t="s">
        <v>46</v>
      </c>
      <c r="N905" s="10" t="s">
        <v>45</v>
      </c>
      <c r="O905" s="10" t="s">
        <v>160</v>
      </c>
      <c r="P905" s="10" t="s">
        <v>161</v>
      </c>
      <c r="Q905" s="10" t="s">
        <v>162</v>
      </c>
      <c r="R905" s="10" t="s">
        <v>74</v>
      </c>
      <c r="S905" s="11">
        <v>79.0</v>
      </c>
      <c r="T905" s="11">
        <v>2.49</v>
      </c>
      <c r="U905" s="11" t="s">
        <v>51</v>
      </c>
      <c r="V905" s="10" t="s">
        <v>52</v>
      </c>
      <c r="W905" s="10" t="s">
        <v>9333</v>
      </c>
      <c r="X905" s="10" t="s">
        <v>9334</v>
      </c>
      <c r="Y905" s="10" t="s">
        <v>9335</v>
      </c>
      <c r="Z905" s="10" t="s">
        <v>50</v>
      </c>
      <c r="AA905" s="10" t="s">
        <v>50</v>
      </c>
      <c r="AB905" s="10" t="s">
        <v>9333</v>
      </c>
      <c r="AC905" s="10" t="s">
        <v>9336</v>
      </c>
      <c r="AD905" s="10" t="s">
        <v>9337</v>
      </c>
      <c r="AE905" s="10" t="s">
        <v>5747</v>
      </c>
      <c r="AF905" s="10" t="s">
        <v>58</v>
      </c>
      <c r="AG905" s="10" t="s">
        <v>9338</v>
      </c>
      <c r="AH905" s="10" t="s">
        <v>60</v>
      </c>
      <c r="AI905" s="10" t="s">
        <v>61</v>
      </c>
      <c r="AJ905" s="10" t="s">
        <v>6855</v>
      </c>
      <c r="AK905" s="10" t="s">
        <v>9339</v>
      </c>
      <c r="AL905" s="10" t="s">
        <v>64</v>
      </c>
      <c r="AM905" s="10" t="s">
        <v>9340</v>
      </c>
      <c r="AN905" s="10" t="s">
        <v>50</v>
      </c>
      <c r="AO905" s="11" t="s">
        <v>50</v>
      </c>
      <c r="AP905" s="10" t="s">
        <v>50</v>
      </c>
      <c r="AQ905" s="10" t="s">
        <v>50</v>
      </c>
      <c r="AR905" s="10" t="s">
        <v>50</v>
      </c>
      <c r="AS905" s="10" t="s">
        <v>50</v>
      </c>
      <c r="AT905" s="10" t="s">
        <v>50</v>
      </c>
      <c r="AU905" s="10" t="s">
        <v>50</v>
      </c>
      <c r="AV905" s="11"/>
      <c r="AW905" s="10" t="s">
        <v>66</v>
      </c>
      <c r="AX905" s="10"/>
      <c r="AY905" s="10" t="s">
        <v>66</v>
      </c>
    </row>
    <row r="906" ht="22.5" hidden="1" customHeight="1">
      <c r="A906" s="9" t="s">
        <v>9341</v>
      </c>
      <c r="B906" s="10" t="s">
        <v>9342</v>
      </c>
      <c r="C906" s="10" t="s">
        <v>43</v>
      </c>
      <c r="D906" s="10" t="s">
        <v>2402</v>
      </c>
      <c r="E906" s="10" t="s">
        <v>66</v>
      </c>
      <c r="F906" s="11">
        <v>1.0</v>
      </c>
      <c r="G906" s="11">
        <v>80.0</v>
      </c>
      <c r="H906" s="11"/>
      <c r="I906" s="11">
        <v>-13.6</v>
      </c>
      <c r="J906" s="11">
        <v>-19.95</v>
      </c>
      <c r="K906" s="11"/>
      <c r="L906" s="11">
        <v>50.45</v>
      </c>
      <c r="M906" s="10" t="s">
        <v>46</v>
      </c>
      <c r="N906" s="10" t="s">
        <v>45</v>
      </c>
      <c r="O906" s="10" t="s">
        <v>143</v>
      </c>
      <c r="P906" s="10" t="s">
        <v>144</v>
      </c>
      <c r="Q906" s="10" t="s">
        <v>145</v>
      </c>
      <c r="R906" s="10" t="s">
        <v>74</v>
      </c>
      <c r="S906" s="11">
        <v>80.0</v>
      </c>
      <c r="T906" s="11">
        <v>33.38</v>
      </c>
      <c r="U906" s="11" t="s">
        <v>51</v>
      </c>
      <c r="V906" s="10" t="s">
        <v>52</v>
      </c>
      <c r="W906" s="10" t="s">
        <v>9343</v>
      </c>
      <c r="X906" s="10" t="s">
        <v>9344</v>
      </c>
      <c r="Y906" s="10" t="s">
        <v>9345</v>
      </c>
      <c r="Z906" s="10" t="s">
        <v>50</v>
      </c>
      <c r="AA906" s="10" t="s">
        <v>50</v>
      </c>
      <c r="AB906" s="10" t="s">
        <v>9343</v>
      </c>
      <c r="AC906" s="10" t="s">
        <v>9346</v>
      </c>
      <c r="AD906" s="10" t="s">
        <v>9347</v>
      </c>
      <c r="AE906" s="10" t="s">
        <v>9348</v>
      </c>
      <c r="AF906" s="10" t="s">
        <v>119</v>
      </c>
      <c r="AG906" s="10" t="s">
        <v>9349</v>
      </c>
      <c r="AH906" s="10" t="s">
        <v>60</v>
      </c>
      <c r="AI906" s="10" t="s">
        <v>61</v>
      </c>
      <c r="AJ906" s="10" t="s">
        <v>6654</v>
      </c>
      <c r="AK906" s="10" t="s">
        <v>9350</v>
      </c>
      <c r="AL906" s="10" t="s">
        <v>64</v>
      </c>
      <c r="AM906" s="10" t="s">
        <v>9351</v>
      </c>
      <c r="AN906" s="10" t="s">
        <v>50</v>
      </c>
      <c r="AO906" s="11" t="s">
        <v>50</v>
      </c>
      <c r="AP906" s="10" t="s">
        <v>50</v>
      </c>
      <c r="AQ906" s="10" t="s">
        <v>50</v>
      </c>
      <c r="AR906" s="10" t="s">
        <v>50</v>
      </c>
      <c r="AS906" s="10" t="s">
        <v>50</v>
      </c>
      <c r="AT906" s="10" t="s">
        <v>50</v>
      </c>
      <c r="AU906" s="10" t="s">
        <v>50</v>
      </c>
      <c r="AV906" s="11"/>
      <c r="AW906" s="10" t="s">
        <v>66</v>
      </c>
      <c r="AX906" s="10"/>
      <c r="AY906" s="10" t="s">
        <v>66</v>
      </c>
    </row>
    <row r="907" ht="22.5" hidden="1" customHeight="1">
      <c r="A907" s="9" t="s">
        <v>9352</v>
      </c>
      <c r="B907" s="10" t="s">
        <v>9353</v>
      </c>
      <c r="C907" s="10" t="s">
        <v>43</v>
      </c>
      <c r="D907" s="10" t="s">
        <v>2402</v>
      </c>
      <c r="E907" s="10" t="s">
        <v>45</v>
      </c>
      <c r="F907" s="11">
        <v>2.0</v>
      </c>
      <c r="G907" s="11">
        <v>87.4</v>
      </c>
      <c r="H907" s="11"/>
      <c r="I907" s="11">
        <v>-26.86</v>
      </c>
      <c r="J907" s="11"/>
      <c r="K907" s="11"/>
      <c r="L907" s="11">
        <v>65.78</v>
      </c>
      <c r="M907" s="10" t="s">
        <v>46</v>
      </c>
      <c r="N907" s="10" t="s">
        <v>50</v>
      </c>
      <c r="O907" s="10" t="s">
        <v>176</v>
      </c>
      <c r="P907" s="10" t="s">
        <v>177</v>
      </c>
      <c r="Q907" s="10" t="s">
        <v>178</v>
      </c>
      <c r="R907" s="10" t="s">
        <v>74</v>
      </c>
      <c r="S907" s="11">
        <v>43.7</v>
      </c>
      <c r="T907" s="11">
        <f>2*22.58</f>
        <v>45.16</v>
      </c>
      <c r="U907" s="11" t="s">
        <v>51</v>
      </c>
      <c r="V907" s="10" t="s">
        <v>52</v>
      </c>
      <c r="W907" s="10" t="s">
        <v>9354</v>
      </c>
      <c r="X907" s="10" t="s">
        <v>9355</v>
      </c>
      <c r="Y907" s="10" t="s">
        <v>9356</v>
      </c>
      <c r="Z907" s="10" t="s">
        <v>50</v>
      </c>
      <c r="AA907" s="10" t="s">
        <v>50</v>
      </c>
      <c r="AB907" s="10" t="s">
        <v>9354</v>
      </c>
      <c r="AC907" s="10" t="s">
        <v>9357</v>
      </c>
      <c r="AD907" s="10" t="s">
        <v>9358</v>
      </c>
      <c r="AE907" s="10" t="s">
        <v>58</v>
      </c>
      <c r="AF907" s="10" t="s">
        <v>58</v>
      </c>
      <c r="AG907" s="10" t="s">
        <v>9359</v>
      </c>
      <c r="AH907" s="10" t="s">
        <v>60</v>
      </c>
      <c r="AI907" s="10" t="s">
        <v>61</v>
      </c>
      <c r="AJ907" s="10" t="s">
        <v>9360</v>
      </c>
      <c r="AK907" s="10" t="s">
        <v>9361</v>
      </c>
      <c r="AL907" s="10" t="s">
        <v>64</v>
      </c>
      <c r="AM907" s="10" t="s">
        <v>9362</v>
      </c>
      <c r="AN907" s="10" t="s">
        <v>50</v>
      </c>
      <c r="AO907" s="11" t="s">
        <v>50</v>
      </c>
      <c r="AP907" s="10" t="s">
        <v>50</v>
      </c>
      <c r="AQ907" s="10" t="s">
        <v>50</v>
      </c>
      <c r="AR907" s="10" t="s">
        <v>50</v>
      </c>
      <c r="AS907" s="10" t="s">
        <v>50</v>
      </c>
      <c r="AT907" s="10" t="s">
        <v>50</v>
      </c>
      <c r="AU907" s="10" t="s">
        <v>50</v>
      </c>
      <c r="AV907" s="11"/>
      <c r="AW907" s="10" t="s">
        <v>66</v>
      </c>
      <c r="AX907" s="10"/>
      <c r="AY907" s="10" t="s">
        <v>66</v>
      </c>
    </row>
    <row r="908" ht="22.5" hidden="1" customHeight="1">
      <c r="A908" s="9" t="s">
        <v>9363</v>
      </c>
      <c r="B908" s="10" t="s">
        <v>9364</v>
      </c>
      <c r="C908" s="10" t="s">
        <v>9365</v>
      </c>
      <c r="D908" s="10" t="s">
        <v>9366</v>
      </c>
      <c r="E908" s="10" t="s">
        <v>66</v>
      </c>
      <c r="F908" s="11">
        <v>1.0</v>
      </c>
      <c r="G908" s="11">
        <v>80.0</v>
      </c>
      <c r="H908" s="11"/>
      <c r="I908" s="11">
        <v>-13.6</v>
      </c>
      <c r="J908" s="11">
        <v>-19.95</v>
      </c>
      <c r="K908" s="11">
        <v>-50.45</v>
      </c>
      <c r="L908" s="11">
        <v>0.0</v>
      </c>
      <c r="M908" s="10" t="s">
        <v>46</v>
      </c>
      <c r="N908" s="10" t="s">
        <v>50</v>
      </c>
      <c r="O908" s="10" t="s">
        <v>143</v>
      </c>
      <c r="P908" s="10" t="s">
        <v>144</v>
      </c>
      <c r="Q908" s="10" t="s">
        <v>145</v>
      </c>
      <c r="R908" s="10" t="s">
        <v>74</v>
      </c>
      <c r="S908" s="11">
        <v>80.0</v>
      </c>
      <c r="T908" s="11"/>
      <c r="U908" s="11" t="s">
        <v>51</v>
      </c>
      <c r="V908" s="10" t="s">
        <v>52</v>
      </c>
      <c r="W908" s="10" t="s">
        <v>9367</v>
      </c>
      <c r="X908" s="10" t="s">
        <v>9368</v>
      </c>
      <c r="Y908" s="10" t="s">
        <v>9369</v>
      </c>
      <c r="Z908" s="10" t="s">
        <v>50</v>
      </c>
      <c r="AA908" s="10" t="s">
        <v>50</v>
      </c>
      <c r="AB908" s="10" t="s">
        <v>9367</v>
      </c>
      <c r="AC908" s="10" t="s">
        <v>9370</v>
      </c>
      <c r="AD908" s="10" t="s">
        <v>8413</v>
      </c>
      <c r="AE908" s="10" t="s">
        <v>9371</v>
      </c>
      <c r="AF908" s="10" t="s">
        <v>58</v>
      </c>
      <c r="AG908" s="10" t="s">
        <v>9372</v>
      </c>
      <c r="AH908" s="10" t="s">
        <v>60</v>
      </c>
      <c r="AI908" s="10" t="s">
        <v>61</v>
      </c>
      <c r="AJ908" s="10" t="s">
        <v>6571</v>
      </c>
      <c r="AK908" s="10" t="s">
        <v>50</v>
      </c>
      <c r="AL908" s="10" t="s">
        <v>64</v>
      </c>
      <c r="AM908" s="10" t="s">
        <v>9373</v>
      </c>
      <c r="AN908" s="10" t="s">
        <v>9374</v>
      </c>
      <c r="AO908" s="11" t="s">
        <v>50</v>
      </c>
      <c r="AP908" s="10" t="s">
        <v>50</v>
      </c>
      <c r="AQ908" s="10" t="s">
        <v>50</v>
      </c>
      <c r="AR908" s="10" t="s">
        <v>50</v>
      </c>
      <c r="AS908" s="10" t="s">
        <v>50</v>
      </c>
      <c r="AT908" s="10" t="s">
        <v>50</v>
      </c>
      <c r="AU908" s="10" t="s">
        <v>50</v>
      </c>
      <c r="AV908" s="11"/>
      <c r="AW908" s="10" t="s">
        <v>66</v>
      </c>
      <c r="AX908" s="10"/>
      <c r="AY908" s="10" t="s">
        <v>66</v>
      </c>
    </row>
    <row r="909" ht="22.5" hidden="1" customHeight="1">
      <c r="A909" s="9" t="s">
        <v>9375</v>
      </c>
      <c r="B909" s="10" t="s">
        <v>9376</v>
      </c>
      <c r="C909" s="10" t="s">
        <v>43</v>
      </c>
      <c r="D909" s="10" t="s">
        <v>2402</v>
      </c>
      <c r="E909" s="10" t="s">
        <v>66</v>
      </c>
      <c r="F909" s="11">
        <v>1.0</v>
      </c>
      <c r="G909" s="11">
        <v>79.0</v>
      </c>
      <c r="H909" s="11"/>
      <c r="I909" s="11">
        <v>-13.43</v>
      </c>
      <c r="J909" s="11">
        <v>-20.45</v>
      </c>
      <c r="K909" s="11"/>
      <c r="L909" s="11">
        <v>45.12</v>
      </c>
      <c r="M909" s="10" t="s">
        <v>46</v>
      </c>
      <c r="N909" s="10" t="s">
        <v>45</v>
      </c>
      <c r="O909" s="10" t="s">
        <v>160</v>
      </c>
      <c r="P909" s="10" t="s">
        <v>161</v>
      </c>
      <c r="Q909" s="10" t="s">
        <v>162</v>
      </c>
      <c r="R909" s="10" t="s">
        <v>74</v>
      </c>
      <c r="S909" s="11">
        <v>79.0</v>
      </c>
      <c r="T909" s="11">
        <v>2.49</v>
      </c>
      <c r="U909" s="11" t="s">
        <v>51</v>
      </c>
      <c r="V909" s="10" t="s">
        <v>52</v>
      </c>
      <c r="W909" s="10" t="s">
        <v>9377</v>
      </c>
      <c r="X909" s="10" t="s">
        <v>9378</v>
      </c>
      <c r="Y909" s="10" t="s">
        <v>9379</v>
      </c>
      <c r="Z909" s="10" t="s">
        <v>50</v>
      </c>
      <c r="AA909" s="10" t="s">
        <v>50</v>
      </c>
      <c r="AB909" s="10" t="s">
        <v>9377</v>
      </c>
      <c r="AC909" s="10" t="s">
        <v>9380</v>
      </c>
      <c r="AD909" s="10" t="s">
        <v>9381</v>
      </c>
      <c r="AE909" s="10" t="s">
        <v>9382</v>
      </c>
      <c r="AF909" s="10" t="s">
        <v>119</v>
      </c>
      <c r="AG909" s="10" t="s">
        <v>9383</v>
      </c>
      <c r="AH909" s="10" t="s">
        <v>60</v>
      </c>
      <c r="AI909" s="10" t="s">
        <v>61</v>
      </c>
      <c r="AJ909" s="10" t="s">
        <v>6751</v>
      </c>
      <c r="AK909" s="10" t="s">
        <v>9384</v>
      </c>
      <c r="AL909" s="10" t="s">
        <v>64</v>
      </c>
      <c r="AM909" s="10" t="s">
        <v>9385</v>
      </c>
      <c r="AN909" s="10" t="s">
        <v>50</v>
      </c>
      <c r="AO909" s="11" t="s">
        <v>50</v>
      </c>
      <c r="AP909" s="10" t="s">
        <v>50</v>
      </c>
      <c r="AQ909" s="10" t="s">
        <v>50</v>
      </c>
      <c r="AR909" s="10" t="s">
        <v>50</v>
      </c>
      <c r="AS909" s="10" t="s">
        <v>50</v>
      </c>
      <c r="AT909" s="10" t="s">
        <v>50</v>
      </c>
      <c r="AU909" s="10" t="s">
        <v>50</v>
      </c>
      <c r="AV909" s="11"/>
      <c r="AW909" s="10" t="s">
        <v>66</v>
      </c>
      <c r="AX909" s="10"/>
      <c r="AY909" s="10" t="s">
        <v>66</v>
      </c>
    </row>
    <row r="910" ht="22.5" hidden="1" customHeight="1">
      <c r="A910" s="9" t="s">
        <v>9386</v>
      </c>
      <c r="B910" s="10" t="s">
        <v>9387</v>
      </c>
      <c r="C910" s="10" t="s">
        <v>43</v>
      </c>
      <c r="D910" s="10" t="s">
        <v>6539</v>
      </c>
      <c r="E910" s="10" t="s">
        <v>45</v>
      </c>
      <c r="F910" s="11">
        <v>1.0</v>
      </c>
      <c r="G910" s="11">
        <v>79.0</v>
      </c>
      <c r="H910" s="11"/>
      <c r="I910" s="11">
        <v>-13.43</v>
      </c>
      <c r="J910" s="11">
        <v>-20.45</v>
      </c>
      <c r="K910" s="11"/>
      <c r="L910" s="11">
        <v>45.12</v>
      </c>
      <c r="M910" s="10" t="s">
        <v>46</v>
      </c>
      <c r="N910" s="10" t="s">
        <v>45</v>
      </c>
      <c r="O910" s="10" t="s">
        <v>160</v>
      </c>
      <c r="P910" s="10" t="s">
        <v>161</v>
      </c>
      <c r="Q910" s="10" t="s">
        <v>162</v>
      </c>
      <c r="R910" s="10" t="s">
        <v>74</v>
      </c>
      <c r="S910" s="11">
        <v>79.0</v>
      </c>
      <c r="T910" s="11">
        <v>2.49</v>
      </c>
      <c r="U910" s="11" t="s">
        <v>51</v>
      </c>
      <c r="V910" s="10" t="s">
        <v>52</v>
      </c>
      <c r="W910" s="10" t="s">
        <v>9388</v>
      </c>
      <c r="X910" s="10" t="s">
        <v>9389</v>
      </c>
      <c r="Y910" s="10" t="s">
        <v>9390</v>
      </c>
      <c r="Z910" s="10" t="s">
        <v>50</v>
      </c>
      <c r="AA910" s="10" t="s">
        <v>50</v>
      </c>
      <c r="AB910" s="10" t="s">
        <v>9388</v>
      </c>
      <c r="AC910" s="10" t="s">
        <v>9391</v>
      </c>
      <c r="AD910" s="10" t="s">
        <v>9392</v>
      </c>
      <c r="AE910" s="10" t="s">
        <v>526</v>
      </c>
      <c r="AF910" s="10" t="s">
        <v>151</v>
      </c>
      <c r="AG910" s="10" t="s">
        <v>9393</v>
      </c>
      <c r="AH910" s="10" t="s">
        <v>60</v>
      </c>
      <c r="AI910" s="10" t="s">
        <v>61</v>
      </c>
      <c r="AJ910" s="10" t="s">
        <v>9237</v>
      </c>
      <c r="AK910" s="10" t="s">
        <v>9394</v>
      </c>
      <c r="AL910" s="10" t="s">
        <v>64</v>
      </c>
      <c r="AM910" s="10" t="s">
        <v>9395</v>
      </c>
      <c r="AN910" s="10" t="s">
        <v>50</v>
      </c>
      <c r="AO910" s="11" t="s">
        <v>50</v>
      </c>
      <c r="AP910" s="10" t="s">
        <v>50</v>
      </c>
      <c r="AQ910" s="10" t="s">
        <v>50</v>
      </c>
      <c r="AR910" s="10" t="s">
        <v>50</v>
      </c>
      <c r="AS910" s="10" t="s">
        <v>50</v>
      </c>
      <c r="AT910" s="10" t="s">
        <v>50</v>
      </c>
      <c r="AU910" s="10" t="s">
        <v>50</v>
      </c>
      <c r="AV910" s="11"/>
      <c r="AW910" s="10" t="s">
        <v>66</v>
      </c>
      <c r="AX910" s="10"/>
      <c r="AY910" s="10" t="s">
        <v>66</v>
      </c>
    </row>
    <row r="911" ht="22.5" hidden="1" customHeight="1">
      <c r="A911" s="9" t="s">
        <v>9396</v>
      </c>
      <c r="B911" s="10" t="s">
        <v>9397</v>
      </c>
      <c r="C911" s="10" t="s">
        <v>69</v>
      </c>
      <c r="D911" s="10" t="s">
        <v>70</v>
      </c>
      <c r="E911" s="10" t="s">
        <v>45</v>
      </c>
      <c r="F911" s="11">
        <v>1.0</v>
      </c>
      <c r="G911" s="11">
        <v>80.0</v>
      </c>
      <c r="H911" s="11">
        <v>11.05</v>
      </c>
      <c r="I911" s="11">
        <v>-13.6</v>
      </c>
      <c r="J911" s="11">
        <v>-32.5</v>
      </c>
      <c r="K911" s="11">
        <v>-48.95</v>
      </c>
      <c r="L911" s="11">
        <v>0.0</v>
      </c>
      <c r="M911" s="10" t="s">
        <v>46</v>
      </c>
      <c r="N911" s="10" t="s">
        <v>50</v>
      </c>
      <c r="O911" s="10" t="s">
        <v>9398</v>
      </c>
      <c r="P911" s="10" t="s">
        <v>9399</v>
      </c>
      <c r="Q911" s="10" t="s">
        <v>9400</v>
      </c>
      <c r="R911" s="10" t="s">
        <v>74</v>
      </c>
      <c r="S911" s="11">
        <v>80.0</v>
      </c>
      <c r="T911" s="11"/>
      <c r="U911" s="11" t="s">
        <v>51</v>
      </c>
      <c r="V911" s="10" t="s">
        <v>52</v>
      </c>
      <c r="W911" s="10" t="s">
        <v>9401</v>
      </c>
      <c r="X911" s="10" t="s">
        <v>9402</v>
      </c>
      <c r="Y911" s="10" t="s">
        <v>9403</v>
      </c>
      <c r="Z911" s="10" t="s">
        <v>50</v>
      </c>
      <c r="AA911" s="10" t="s">
        <v>50</v>
      </c>
      <c r="AB911" s="10" t="s">
        <v>9401</v>
      </c>
      <c r="AC911" s="10" t="s">
        <v>9404</v>
      </c>
      <c r="AD911" s="10" t="s">
        <v>50</v>
      </c>
      <c r="AE911" s="10" t="s">
        <v>9405</v>
      </c>
      <c r="AF911" s="10" t="s">
        <v>136</v>
      </c>
      <c r="AG911" s="10" t="s">
        <v>9406</v>
      </c>
      <c r="AH911" s="10" t="s">
        <v>60</v>
      </c>
      <c r="AI911" s="10" t="s">
        <v>61</v>
      </c>
      <c r="AJ911" s="10" t="s">
        <v>50</v>
      </c>
      <c r="AK911" s="10" t="s">
        <v>50</v>
      </c>
      <c r="AL911" s="10" t="s">
        <v>64</v>
      </c>
      <c r="AM911" s="10" t="s">
        <v>9407</v>
      </c>
      <c r="AN911" s="10" t="s">
        <v>50</v>
      </c>
      <c r="AO911" s="11" t="s">
        <v>50</v>
      </c>
      <c r="AP911" s="10" t="s">
        <v>50</v>
      </c>
      <c r="AQ911" s="10" t="s">
        <v>50</v>
      </c>
      <c r="AR911" s="10" t="s">
        <v>50</v>
      </c>
      <c r="AS911" s="10" t="s">
        <v>50</v>
      </c>
      <c r="AT911" s="10" t="s">
        <v>50</v>
      </c>
      <c r="AU911" s="10" t="s">
        <v>50</v>
      </c>
      <c r="AV911" s="11"/>
      <c r="AW911" s="10" t="s">
        <v>66</v>
      </c>
      <c r="AX911" s="10"/>
      <c r="AY911" s="10" t="s">
        <v>66</v>
      </c>
    </row>
    <row r="912" ht="22.5" hidden="1" customHeight="1">
      <c r="A912" s="9" t="s">
        <v>9408</v>
      </c>
      <c r="B912" s="10" t="s">
        <v>9409</v>
      </c>
      <c r="C912" s="10" t="s">
        <v>43</v>
      </c>
      <c r="D912" s="10" t="s">
        <v>2402</v>
      </c>
      <c r="E912" s="10" t="s">
        <v>45</v>
      </c>
      <c r="F912" s="11">
        <v>2.0</v>
      </c>
      <c r="G912" s="11">
        <v>160.0</v>
      </c>
      <c r="H912" s="11"/>
      <c r="I912" s="11">
        <v>-27.2</v>
      </c>
      <c r="J912" s="11">
        <v>-39.9</v>
      </c>
      <c r="K912" s="11"/>
      <c r="L912" s="11">
        <v>100.9</v>
      </c>
      <c r="M912" s="10" t="s">
        <v>46</v>
      </c>
      <c r="N912" s="10" t="s">
        <v>50</v>
      </c>
      <c r="O912" s="10" t="s">
        <v>143</v>
      </c>
      <c r="P912" s="10" t="s">
        <v>144</v>
      </c>
      <c r="Q912" s="10" t="s">
        <v>145</v>
      </c>
      <c r="R912" s="10" t="s">
        <v>74</v>
      </c>
      <c r="S912" s="11">
        <v>80.0</v>
      </c>
      <c r="T912" s="11">
        <v>33.38</v>
      </c>
      <c r="U912" s="11" t="s">
        <v>51</v>
      </c>
      <c r="V912" s="10" t="s">
        <v>52</v>
      </c>
      <c r="W912" s="10" t="s">
        <v>3646</v>
      </c>
      <c r="X912" s="10" t="s">
        <v>3647</v>
      </c>
      <c r="Y912" s="10" t="s">
        <v>3648</v>
      </c>
      <c r="Z912" s="10" t="s">
        <v>50</v>
      </c>
      <c r="AA912" s="10" t="s">
        <v>50</v>
      </c>
      <c r="AB912" s="10" t="s">
        <v>3646</v>
      </c>
      <c r="AC912" s="10" t="s">
        <v>3649</v>
      </c>
      <c r="AD912" s="10" t="s">
        <v>3650</v>
      </c>
      <c r="AE912" s="10" t="s">
        <v>3651</v>
      </c>
      <c r="AF912" s="10" t="s">
        <v>201</v>
      </c>
      <c r="AG912" s="10" t="s">
        <v>3652</v>
      </c>
      <c r="AH912" s="10" t="s">
        <v>60</v>
      </c>
      <c r="AI912" s="10" t="s">
        <v>61</v>
      </c>
      <c r="AJ912" s="10" t="s">
        <v>6825</v>
      </c>
      <c r="AK912" s="10" t="s">
        <v>9410</v>
      </c>
      <c r="AL912" s="10" t="s">
        <v>64</v>
      </c>
      <c r="AM912" s="10" t="s">
        <v>9411</v>
      </c>
      <c r="AN912" s="10" t="s">
        <v>50</v>
      </c>
      <c r="AO912" s="11" t="s">
        <v>50</v>
      </c>
      <c r="AP912" s="10" t="s">
        <v>50</v>
      </c>
      <c r="AQ912" s="10" t="s">
        <v>50</v>
      </c>
      <c r="AR912" s="10" t="s">
        <v>50</v>
      </c>
      <c r="AS912" s="10" t="s">
        <v>50</v>
      </c>
      <c r="AT912" s="10" t="s">
        <v>50</v>
      </c>
      <c r="AU912" s="10" t="s">
        <v>50</v>
      </c>
      <c r="AV912" s="11"/>
      <c r="AW912" s="10" t="s">
        <v>66</v>
      </c>
      <c r="AX912" s="10"/>
      <c r="AY912" s="10" t="s">
        <v>66</v>
      </c>
    </row>
    <row r="913" ht="22.5" hidden="1" customHeight="1">
      <c r="A913" s="9" t="s">
        <v>9412</v>
      </c>
      <c r="B913" s="10" t="s">
        <v>9413</v>
      </c>
      <c r="C913" s="10" t="s">
        <v>43</v>
      </c>
      <c r="D913" s="10" t="s">
        <v>3477</v>
      </c>
      <c r="E913" s="10" t="s">
        <v>66</v>
      </c>
      <c r="F913" s="11">
        <v>1.0</v>
      </c>
      <c r="G913" s="11">
        <v>79.35</v>
      </c>
      <c r="H913" s="11"/>
      <c r="I913" s="11">
        <v>-15.08</v>
      </c>
      <c r="J913" s="11">
        <v>-19.95</v>
      </c>
      <c r="K913" s="11"/>
      <c r="L913" s="11">
        <v>44.32</v>
      </c>
      <c r="M913" s="10" t="s">
        <v>46</v>
      </c>
      <c r="N913" s="10" t="s">
        <v>50</v>
      </c>
      <c r="O913" s="10" t="s">
        <v>47</v>
      </c>
      <c r="P913" s="10" t="s">
        <v>48</v>
      </c>
      <c r="Q913" s="10" t="s">
        <v>49</v>
      </c>
      <c r="R913" s="10" t="s">
        <v>50</v>
      </c>
      <c r="S913" s="11">
        <v>79.35</v>
      </c>
      <c r="T913" s="11">
        <v>12.45</v>
      </c>
      <c r="U913" s="11" t="s">
        <v>51</v>
      </c>
      <c r="V913" s="10" t="s">
        <v>52</v>
      </c>
      <c r="W913" s="10" t="s">
        <v>9414</v>
      </c>
      <c r="X913" s="10" t="s">
        <v>9415</v>
      </c>
      <c r="Y913" s="10" t="s">
        <v>9416</v>
      </c>
      <c r="Z913" s="10" t="s">
        <v>50</v>
      </c>
      <c r="AA913" s="10" t="s">
        <v>50</v>
      </c>
      <c r="AB913" s="10" t="s">
        <v>9414</v>
      </c>
      <c r="AC913" s="10" t="s">
        <v>9417</v>
      </c>
      <c r="AD913" s="10" t="s">
        <v>9418</v>
      </c>
      <c r="AE913" s="10" t="s">
        <v>9419</v>
      </c>
      <c r="AF913" s="10" t="s">
        <v>58</v>
      </c>
      <c r="AG913" s="10" t="s">
        <v>9420</v>
      </c>
      <c r="AH913" s="10" t="s">
        <v>60</v>
      </c>
      <c r="AI913" s="10" t="s">
        <v>61</v>
      </c>
      <c r="AJ913" s="10" t="s">
        <v>6855</v>
      </c>
      <c r="AK913" s="10" t="s">
        <v>7505</v>
      </c>
      <c r="AL913" s="10" t="s">
        <v>64</v>
      </c>
      <c r="AM913" s="10" t="s">
        <v>9421</v>
      </c>
      <c r="AN913" s="10" t="s">
        <v>50</v>
      </c>
      <c r="AO913" s="11" t="s">
        <v>50</v>
      </c>
      <c r="AP913" s="10" t="s">
        <v>50</v>
      </c>
      <c r="AQ913" s="10" t="s">
        <v>50</v>
      </c>
      <c r="AR913" s="10" t="s">
        <v>50</v>
      </c>
      <c r="AS913" s="10" t="s">
        <v>50</v>
      </c>
      <c r="AT913" s="10" t="s">
        <v>50</v>
      </c>
      <c r="AU913" s="10" t="s">
        <v>50</v>
      </c>
      <c r="AV913" s="11"/>
      <c r="AW913" s="10" t="s">
        <v>66</v>
      </c>
      <c r="AX913" s="10"/>
      <c r="AY913" s="10" t="s">
        <v>66</v>
      </c>
    </row>
    <row r="914" ht="22.5" hidden="1" customHeight="1">
      <c r="A914" s="9" t="s">
        <v>9422</v>
      </c>
      <c r="B914" s="10" t="s">
        <v>9423</v>
      </c>
      <c r="C914" s="10" t="s">
        <v>43</v>
      </c>
      <c r="D914" s="10" t="s">
        <v>2481</v>
      </c>
      <c r="E914" s="10" t="s">
        <v>66</v>
      </c>
      <c r="F914" s="11">
        <v>1.0</v>
      </c>
      <c r="G914" s="11">
        <v>120.0</v>
      </c>
      <c r="H914" s="11"/>
      <c r="I914" s="11">
        <v>-20.4</v>
      </c>
      <c r="J914" s="11">
        <v>-19.95</v>
      </c>
      <c r="K914" s="11"/>
      <c r="L914" s="11">
        <v>86.85</v>
      </c>
      <c r="M914" s="10" t="s">
        <v>46</v>
      </c>
      <c r="N914" s="10" t="s">
        <v>50</v>
      </c>
      <c r="O914" s="10" t="s">
        <v>85</v>
      </c>
      <c r="P914" s="10" t="s">
        <v>86</v>
      </c>
      <c r="Q914" s="10" t="s">
        <v>87</v>
      </c>
      <c r="R914" s="10" t="s">
        <v>74</v>
      </c>
      <c r="S914" s="11">
        <v>120.0</v>
      </c>
      <c r="T914" s="11">
        <v>65.78</v>
      </c>
      <c r="U914" s="11" t="s">
        <v>51</v>
      </c>
      <c r="V914" s="10" t="s">
        <v>52</v>
      </c>
      <c r="W914" s="10" t="s">
        <v>9424</v>
      </c>
      <c r="X914" s="10" t="s">
        <v>9425</v>
      </c>
      <c r="Y914" s="10" t="s">
        <v>9426</v>
      </c>
      <c r="Z914" s="10" t="s">
        <v>50</v>
      </c>
      <c r="AA914" s="10" t="s">
        <v>50</v>
      </c>
      <c r="AB914" s="10" t="s">
        <v>9424</v>
      </c>
      <c r="AC914" s="10" t="s">
        <v>9427</v>
      </c>
      <c r="AD914" s="10" t="s">
        <v>9428</v>
      </c>
      <c r="AE914" s="10" t="s">
        <v>9429</v>
      </c>
      <c r="AF914" s="10" t="s">
        <v>214</v>
      </c>
      <c r="AG914" s="10" t="s">
        <v>9430</v>
      </c>
      <c r="AH914" s="10" t="s">
        <v>60</v>
      </c>
      <c r="AI914" s="10" t="s">
        <v>61</v>
      </c>
      <c r="AJ914" s="10" t="s">
        <v>6751</v>
      </c>
      <c r="AK914" s="10" t="s">
        <v>9431</v>
      </c>
      <c r="AL914" s="10" t="s">
        <v>64</v>
      </c>
      <c r="AM914" s="10" t="s">
        <v>9432</v>
      </c>
      <c r="AN914" s="10" t="s">
        <v>50</v>
      </c>
      <c r="AO914" s="11" t="s">
        <v>50</v>
      </c>
      <c r="AP914" s="10" t="s">
        <v>50</v>
      </c>
      <c r="AQ914" s="10" t="s">
        <v>50</v>
      </c>
      <c r="AR914" s="10" t="s">
        <v>50</v>
      </c>
      <c r="AS914" s="10" t="s">
        <v>50</v>
      </c>
      <c r="AT914" s="10" t="s">
        <v>50</v>
      </c>
      <c r="AU914" s="10" t="s">
        <v>50</v>
      </c>
      <c r="AV914" s="11"/>
      <c r="AW914" s="10" t="s">
        <v>66</v>
      </c>
      <c r="AX914" s="10"/>
      <c r="AY914" s="10" t="s">
        <v>66</v>
      </c>
    </row>
    <row r="915" ht="22.5" hidden="1" customHeight="1">
      <c r="A915" s="9" t="s">
        <v>9433</v>
      </c>
      <c r="B915" s="10" t="s">
        <v>9434</v>
      </c>
      <c r="C915" s="10" t="s">
        <v>43</v>
      </c>
      <c r="D915" s="10" t="s">
        <v>2402</v>
      </c>
      <c r="E915" s="10" t="s">
        <v>66</v>
      </c>
      <c r="F915" s="11">
        <v>1.0</v>
      </c>
      <c r="G915" s="11">
        <v>80.0</v>
      </c>
      <c r="H915" s="11"/>
      <c r="I915" s="11">
        <v>-13.6</v>
      </c>
      <c r="J915" s="11">
        <v>-19.95</v>
      </c>
      <c r="K915" s="11"/>
      <c r="L915" s="11">
        <v>50.45</v>
      </c>
      <c r="M915" s="10" t="s">
        <v>46</v>
      </c>
      <c r="N915" s="10" t="s">
        <v>50</v>
      </c>
      <c r="O915" s="10" t="s">
        <v>143</v>
      </c>
      <c r="P915" s="10" t="s">
        <v>144</v>
      </c>
      <c r="Q915" s="10" t="s">
        <v>145</v>
      </c>
      <c r="R915" s="10" t="s">
        <v>74</v>
      </c>
      <c r="S915" s="11">
        <v>80.0</v>
      </c>
      <c r="T915" s="11">
        <v>33.38</v>
      </c>
      <c r="U915" s="11" t="s">
        <v>51</v>
      </c>
      <c r="V915" s="10" t="s">
        <v>52</v>
      </c>
      <c r="W915" s="10" t="s">
        <v>9435</v>
      </c>
      <c r="X915" s="10" t="s">
        <v>9436</v>
      </c>
      <c r="Y915" s="10" t="s">
        <v>9437</v>
      </c>
      <c r="Z915" s="10" t="s">
        <v>50</v>
      </c>
      <c r="AA915" s="10" t="s">
        <v>50</v>
      </c>
      <c r="AB915" s="10" t="s">
        <v>9435</v>
      </c>
      <c r="AC915" s="10" t="s">
        <v>9438</v>
      </c>
      <c r="AD915" s="10" t="s">
        <v>9439</v>
      </c>
      <c r="AE915" s="10" t="s">
        <v>9440</v>
      </c>
      <c r="AF915" s="10" t="s">
        <v>284</v>
      </c>
      <c r="AG915" s="10" t="s">
        <v>9441</v>
      </c>
      <c r="AH915" s="10" t="s">
        <v>60</v>
      </c>
      <c r="AI915" s="10" t="s">
        <v>61</v>
      </c>
      <c r="AJ915" s="10" t="s">
        <v>6751</v>
      </c>
      <c r="AK915" s="10" t="s">
        <v>9442</v>
      </c>
      <c r="AL915" s="10" t="s">
        <v>64</v>
      </c>
      <c r="AM915" s="10" t="s">
        <v>9443</v>
      </c>
      <c r="AN915" s="10" t="s">
        <v>50</v>
      </c>
      <c r="AO915" s="11" t="s">
        <v>50</v>
      </c>
      <c r="AP915" s="10" t="s">
        <v>50</v>
      </c>
      <c r="AQ915" s="10" t="s">
        <v>50</v>
      </c>
      <c r="AR915" s="10" t="s">
        <v>50</v>
      </c>
      <c r="AS915" s="10" t="s">
        <v>50</v>
      </c>
      <c r="AT915" s="10" t="s">
        <v>50</v>
      </c>
      <c r="AU915" s="10" t="s">
        <v>50</v>
      </c>
      <c r="AV915" s="11"/>
      <c r="AW915" s="10" t="s">
        <v>66</v>
      </c>
      <c r="AX915" s="10"/>
      <c r="AY915" s="10" t="s">
        <v>66</v>
      </c>
    </row>
    <row r="916" ht="22.5" hidden="1" customHeight="1">
      <c r="A916" s="12" t="s">
        <v>9444</v>
      </c>
      <c r="B916" s="13" t="s">
        <v>9445</v>
      </c>
      <c r="C916" s="13" t="s">
        <v>747</v>
      </c>
      <c r="D916" s="13" t="s">
        <v>50</v>
      </c>
      <c r="E916" s="13" t="s">
        <v>50</v>
      </c>
      <c r="F916" s="14"/>
      <c r="G916" s="14">
        <v>133.7</v>
      </c>
      <c r="H916" s="14"/>
      <c r="I916" s="14">
        <v>-28.73</v>
      </c>
      <c r="J916" s="14">
        <v>-20.45</v>
      </c>
      <c r="K916" s="14"/>
      <c r="L916" s="14">
        <v>84.52</v>
      </c>
      <c r="M916" s="13" t="s">
        <v>46</v>
      </c>
      <c r="N916" s="13" t="s">
        <v>50</v>
      </c>
      <c r="O916" s="13" t="s">
        <v>50</v>
      </c>
      <c r="P916" s="13" t="s">
        <v>50</v>
      </c>
      <c r="Q916" s="13" t="s">
        <v>50</v>
      </c>
      <c r="R916" s="13" t="s">
        <v>50</v>
      </c>
      <c r="S916" s="14"/>
      <c r="T916" s="11"/>
      <c r="U916" s="14" t="s">
        <v>50</v>
      </c>
      <c r="V916" s="13" t="s">
        <v>52</v>
      </c>
      <c r="W916" s="13" t="s">
        <v>9446</v>
      </c>
      <c r="X916" s="13" t="s">
        <v>9447</v>
      </c>
      <c r="Y916" s="13" t="s">
        <v>9448</v>
      </c>
      <c r="Z916" s="13" t="s">
        <v>50</v>
      </c>
      <c r="AA916" s="13" t="s">
        <v>50</v>
      </c>
      <c r="AB916" s="13" t="s">
        <v>9446</v>
      </c>
      <c r="AC916" s="13" t="s">
        <v>9449</v>
      </c>
      <c r="AD916" s="13" t="s">
        <v>9450</v>
      </c>
      <c r="AE916" s="13" t="s">
        <v>9451</v>
      </c>
      <c r="AF916" s="13" t="s">
        <v>58</v>
      </c>
      <c r="AG916" s="13" t="s">
        <v>9452</v>
      </c>
      <c r="AH916" s="13" t="s">
        <v>60</v>
      </c>
      <c r="AI916" s="13" t="s">
        <v>61</v>
      </c>
      <c r="AJ916" s="13" t="s">
        <v>6825</v>
      </c>
      <c r="AK916" s="13" t="s">
        <v>9453</v>
      </c>
      <c r="AL916" s="13" t="s">
        <v>64</v>
      </c>
      <c r="AM916" s="13" t="s">
        <v>9454</v>
      </c>
      <c r="AN916" s="13" t="s">
        <v>50</v>
      </c>
      <c r="AO916" s="15" t="s">
        <v>50</v>
      </c>
      <c r="AP916" s="13" t="s">
        <v>50</v>
      </c>
      <c r="AQ916" s="13" t="s">
        <v>50</v>
      </c>
      <c r="AR916" s="13" t="s">
        <v>50</v>
      </c>
      <c r="AS916" s="13" t="s">
        <v>50</v>
      </c>
      <c r="AT916" s="13" t="s">
        <v>50</v>
      </c>
      <c r="AU916" s="13" t="s">
        <v>50</v>
      </c>
      <c r="AV916" s="15"/>
      <c r="AW916" s="13" t="s">
        <v>50</v>
      </c>
      <c r="AX916" s="13"/>
      <c r="AY916" s="13" t="s">
        <v>50</v>
      </c>
    </row>
    <row r="917" ht="22.5" hidden="1" customHeight="1">
      <c r="A917" s="16" t="s">
        <v>9455</v>
      </c>
      <c r="B917" s="17" t="s">
        <v>9445</v>
      </c>
      <c r="C917" s="17" t="s">
        <v>43</v>
      </c>
      <c r="D917" s="17" t="s">
        <v>3477</v>
      </c>
      <c r="E917" s="17" t="s">
        <v>45</v>
      </c>
      <c r="F917" s="18">
        <v>1.0</v>
      </c>
      <c r="G917" s="18"/>
      <c r="H917" s="18"/>
      <c r="I917" s="18"/>
      <c r="J917" s="18"/>
      <c r="K917" s="18"/>
      <c r="L917" s="18"/>
      <c r="M917" s="17" t="s">
        <v>50</v>
      </c>
      <c r="N917" s="17" t="s">
        <v>45</v>
      </c>
      <c r="O917" s="17" t="s">
        <v>176</v>
      </c>
      <c r="P917" s="17" t="s">
        <v>177</v>
      </c>
      <c r="Q917" s="17" t="s">
        <v>178</v>
      </c>
      <c r="R917" s="17" t="s">
        <v>74</v>
      </c>
      <c r="S917" s="18">
        <v>43.7</v>
      </c>
      <c r="T917" s="18">
        <v>22.58</v>
      </c>
      <c r="U917" s="18" t="s">
        <v>51</v>
      </c>
      <c r="V917" s="17" t="s">
        <v>50</v>
      </c>
      <c r="W917" s="17" t="s">
        <v>50</v>
      </c>
      <c r="X917" s="17" t="s">
        <v>50</v>
      </c>
      <c r="Y917" s="17" t="s">
        <v>50</v>
      </c>
      <c r="Z917" s="17" t="s">
        <v>50</v>
      </c>
      <c r="AA917" s="17" t="s">
        <v>50</v>
      </c>
      <c r="AB917" s="17" t="s">
        <v>50</v>
      </c>
      <c r="AC917" s="17" t="s">
        <v>50</v>
      </c>
      <c r="AD917" s="17" t="s">
        <v>50</v>
      </c>
      <c r="AE917" s="17" t="s">
        <v>50</v>
      </c>
      <c r="AF917" s="17" t="s">
        <v>50</v>
      </c>
      <c r="AG917" s="17" t="s">
        <v>50</v>
      </c>
      <c r="AH917" s="17" t="s">
        <v>50</v>
      </c>
      <c r="AI917" s="17" t="s">
        <v>50</v>
      </c>
      <c r="AJ917" s="17" t="s">
        <v>50</v>
      </c>
      <c r="AK917" s="17" t="s">
        <v>50</v>
      </c>
      <c r="AL917" s="17" t="s">
        <v>50</v>
      </c>
      <c r="AM917" s="17" t="s">
        <v>50</v>
      </c>
      <c r="AN917" s="17" t="s">
        <v>50</v>
      </c>
      <c r="AO917" s="18" t="s">
        <v>50</v>
      </c>
      <c r="AP917" s="17" t="s">
        <v>50</v>
      </c>
      <c r="AQ917" s="17" t="s">
        <v>50</v>
      </c>
      <c r="AR917" s="17" t="s">
        <v>50</v>
      </c>
      <c r="AS917" s="17" t="s">
        <v>50</v>
      </c>
      <c r="AT917" s="17" t="s">
        <v>50</v>
      </c>
      <c r="AU917" s="17" t="s">
        <v>50</v>
      </c>
      <c r="AV917" s="18"/>
      <c r="AW917" s="17" t="s">
        <v>66</v>
      </c>
      <c r="AX917" s="17"/>
      <c r="AY917" s="17" t="s">
        <v>66</v>
      </c>
    </row>
    <row r="918" ht="22.5" hidden="1" customHeight="1">
      <c r="A918" s="16" t="s">
        <v>9456</v>
      </c>
      <c r="B918" s="17" t="s">
        <v>9445</v>
      </c>
      <c r="C918" s="17" t="s">
        <v>43</v>
      </c>
      <c r="D918" s="17" t="s">
        <v>3477</v>
      </c>
      <c r="E918" s="17" t="s">
        <v>45</v>
      </c>
      <c r="F918" s="18">
        <v>1.0</v>
      </c>
      <c r="G918" s="18"/>
      <c r="H918" s="18"/>
      <c r="I918" s="18"/>
      <c r="J918" s="18"/>
      <c r="K918" s="18"/>
      <c r="L918" s="18"/>
      <c r="M918" s="17" t="s">
        <v>50</v>
      </c>
      <c r="N918" s="17" t="s">
        <v>45</v>
      </c>
      <c r="O918" s="17" t="s">
        <v>5094</v>
      </c>
      <c r="P918" s="17" t="s">
        <v>5095</v>
      </c>
      <c r="Q918" s="17" t="s">
        <v>5096</v>
      </c>
      <c r="R918" s="17" t="s">
        <v>74</v>
      </c>
      <c r="S918" s="18">
        <v>90.0</v>
      </c>
      <c r="T918" s="18">
        <v>39.99</v>
      </c>
      <c r="U918" s="18" t="s">
        <v>51</v>
      </c>
      <c r="V918" s="17" t="s">
        <v>50</v>
      </c>
      <c r="W918" s="17" t="s">
        <v>50</v>
      </c>
      <c r="X918" s="17" t="s">
        <v>50</v>
      </c>
      <c r="Y918" s="17" t="s">
        <v>50</v>
      </c>
      <c r="Z918" s="17" t="s">
        <v>50</v>
      </c>
      <c r="AA918" s="17" t="s">
        <v>50</v>
      </c>
      <c r="AB918" s="17" t="s">
        <v>50</v>
      </c>
      <c r="AC918" s="17" t="s">
        <v>50</v>
      </c>
      <c r="AD918" s="17" t="s">
        <v>50</v>
      </c>
      <c r="AE918" s="17" t="s">
        <v>50</v>
      </c>
      <c r="AF918" s="17" t="s">
        <v>50</v>
      </c>
      <c r="AG918" s="17" t="s">
        <v>50</v>
      </c>
      <c r="AH918" s="17" t="s">
        <v>50</v>
      </c>
      <c r="AI918" s="17" t="s">
        <v>50</v>
      </c>
      <c r="AJ918" s="17" t="s">
        <v>50</v>
      </c>
      <c r="AK918" s="17" t="s">
        <v>50</v>
      </c>
      <c r="AL918" s="17" t="s">
        <v>50</v>
      </c>
      <c r="AM918" s="17" t="s">
        <v>50</v>
      </c>
      <c r="AN918" s="17" t="s">
        <v>50</v>
      </c>
      <c r="AO918" s="18" t="s">
        <v>50</v>
      </c>
      <c r="AP918" s="17" t="s">
        <v>50</v>
      </c>
      <c r="AQ918" s="17" t="s">
        <v>50</v>
      </c>
      <c r="AR918" s="17" t="s">
        <v>50</v>
      </c>
      <c r="AS918" s="17" t="s">
        <v>50</v>
      </c>
      <c r="AT918" s="17" t="s">
        <v>50</v>
      </c>
      <c r="AU918" s="17" t="s">
        <v>50</v>
      </c>
      <c r="AV918" s="18"/>
      <c r="AW918" s="17" t="s">
        <v>66</v>
      </c>
      <c r="AX918" s="17"/>
      <c r="AY918" s="17" t="s">
        <v>66</v>
      </c>
    </row>
    <row r="919" ht="22.5" hidden="1" customHeight="1">
      <c r="A919" s="9" t="s">
        <v>9457</v>
      </c>
      <c r="B919" s="10" t="s">
        <v>9458</v>
      </c>
      <c r="C919" s="10" t="s">
        <v>43</v>
      </c>
      <c r="D919" s="10" t="s">
        <v>4506</v>
      </c>
      <c r="E919" s="10" t="s">
        <v>45</v>
      </c>
      <c r="F919" s="11">
        <v>1.0</v>
      </c>
      <c r="G919" s="11">
        <v>92.15</v>
      </c>
      <c r="H919" s="11">
        <v>18.68</v>
      </c>
      <c r="I919" s="11">
        <v>-17.51</v>
      </c>
      <c r="J919" s="11">
        <v>-39.13</v>
      </c>
      <c r="K919" s="11"/>
      <c r="L919" s="11">
        <v>59.72</v>
      </c>
      <c r="M919" s="10" t="s">
        <v>46</v>
      </c>
      <c r="N919" s="10" t="s">
        <v>45</v>
      </c>
      <c r="O919" s="10" t="s">
        <v>586</v>
      </c>
      <c r="P919" s="10" t="s">
        <v>587</v>
      </c>
      <c r="Q919" s="10" t="s">
        <v>588</v>
      </c>
      <c r="R919" s="10" t="s">
        <v>50</v>
      </c>
      <c r="S919" s="11">
        <v>92.15</v>
      </c>
      <c r="T919" s="11">
        <v>20.76</v>
      </c>
      <c r="U919" s="11" t="s">
        <v>51</v>
      </c>
      <c r="V919" s="10" t="s">
        <v>52</v>
      </c>
      <c r="W919" s="10" t="s">
        <v>9459</v>
      </c>
      <c r="X919" s="10" t="s">
        <v>9460</v>
      </c>
      <c r="Y919" s="10" t="s">
        <v>9461</v>
      </c>
      <c r="Z919" s="10" t="s">
        <v>50</v>
      </c>
      <c r="AA919" s="10" t="s">
        <v>50</v>
      </c>
      <c r="AB919" s="10" t="s">
        <v>9459</v>
      </c>
      <c r="AC919" s="10" t="s">
        <v>9462</v>
      </c>
      <c r="AD919" s="10" t="s">
        <v>9463</v>
      </c>
      <c r="AE919" s="10" t="s">
        <v>9464</v>
      </c>
      <c r="AF919" s="10" t="s">
        <v>1417</v>
      </c>
      <c r="AG919" s="10" t="s">
        <v>9465</v>
      </c>
      <c r="AH919" s="10" t="s">
        <v>60</v>
      </c>
      <c r="AI919" s="10" t="s">
        <v>61</v>
      </c>
      <c r="AJ919" s="10" t="s">
        <v>6571</v>
      </c>
      <c r="AK919" s="10" t="s">
        <v>9466</v>
      </c>
      <c r="AL919" s="10" t="s">
        <v>64</v>
      </c>
      <c r="AM919" s="10" t="s">
        <v>9467</v>
      </c>
      <c r="AN919" s="10" t="s">
        <v>50</v>
      </c>
      <c r="AO919" s="11" t="s">
        <v>50</v>
      </c>
      <c r="AP919" s="10" t="s">
        <v>50</v>
      </c>
      <c r="AQ919" s="10" t="s">
        <v>50</v>
      </c>
      <c r="AR919" s="10" t="s">
        <v>50</v>
      </c>
      <c r="AS919" s="10" t="s">
        <v>50</v>
      </c>
      <c r="AT919" s="10" t="s">
        <v>50</v>
      </c>
      <c r="AU919" s="10" t="s">
        <v>50</v>
      </c>
      <c r="AV919" s="11"/>
      <c r="AW919" s="10" t="s">
        <v>66</v>
      </c>
      <c r="AX919" s="10"/>
      <c r="AY919" s="10" t="s">
        <v>66</v>
      </c>
    </row>
    <row r="920" ht="22.5" hidden="1" customHeight="1">
      <c r="A920" s="9" t="s">
        <v>9468</v>
      </c>
      <c r="B920" s="10" t="s">
        <v>9469</v>
      </c>
      <c r="C920" s="10" t="s">
        <v>43</v>
      </c>
      <c r="D920" s="10" t="s">
        <v>2481</v>
      </c>
      <c r="E920" s="10" t="s">
        <v>45</v>
      </c>
      <c r="F920" s="11">
        <v>1.0</v>
      </c>
      <c r="G920" s="11">
        <v>80.0</v>
      </c>
      <c r="H920" s="11"/>
      <c r="I920" s="11">
        <v>-13.6</v>
      </c>
      <c r="J920" s="11">
        <v>-19.95</v>
      </c>
      <c r="K920" s="11"/>
      <c r="L920" s="11">
        <v>50.45</v>
      </c>
      <c r="M920" s="10" t="s">
        <v>46</v>
      </c>
      <c r="N920" s="10" t="s">
        <v>45</v>
      </c>
      <c r="O920" s="10" t="s">
        <v>143</v>
      </c>
      <c r="P920" s="10" t="s">
        <v>144</v>
      </c>
      <c r="Q920" s="10" t="s">
        <v>145</v>
      </c>
      <c r="R920" s="10" t="s">
        <v>74</v>
      </c>
      <c r="S920" s="11">
        <v>80.0</v>
      </c>
      <c r="T920" s="11">
        <v>33.38</v>
      </c>
      <c r="U920" s="11" t="s">
        <v>51</v>
      </c>
      <c r="V920" s="10" t="s">
        <v>52</v>
      </c>
      <c r="W920" s="10" t="s">
        <v>9470</v>
      </c>
      <c r="X920" s="10" t="s">
        <v>9471</v>
      </c>
      <c r="Y920" s="10" t="s">
        <v>9472</v>
      </c>
      <c r="Z920" s="10" t="s">
        <v>50</v>
      </c>
      <c r="AA920" s="10" t="s">
        <v>50</v>
      </c>
      <c r="AB920" s="10" t="s">
        <v>9470</v>
      </c>
      <c r="AC920" s="10" t="s">
        <v>9473</v>
      </c>
      <c r="AD920" s="10" t="s">
        <v>9474</v>
      </c>
      <c r="AE920" s="10" t="s">
        <v>9475</v>
      </c>
      <c r="AF920" s="10" t="s">
        <v>185</v>
      </c>
      <c r="AG920" s="10" t="s">
        <v>9476</v>
      </c>
      <c r="AH920" s="10" t="s">
        <v>60</v>
      </c>
      <c r="AI920" s="10" t="s">
        <v>61</v>
      </c>
      <c r="AJ920" s="10" t="s">
        <v>6571</v>
      </c>
      <c r="AK920" s="10" t="s">
        <v>9477</v>
      </c>
      <c r="AL920" s="10" t="s">
        <v>64</v>
      </c>
      <c r="AM920" s="10" t="s">
        <v>9478</v>
      </c>
      <c r="AN920" s="10" t="s">
        <v>50</v>
      </c>
      <c r="AO920" s="11" t="s">
        <v>50</v>
      </c>
      <c r="AP920" s="10" t="s">
        <v>50</v>
      </c>
      <c r="AQ920" s="10" t="s">
        <v>50</v>
      </c>
      <c r="AR920" s="10" t="s">
        <v>50</v>
      </c>
      <c r="AS920" s="10" t="s">
        <v>50</v>
      </c>
      <c r="AT920" s="10" t="s">
        <v>50</v>
      </c>
      <c r="AU920" s="10" t="s">
        <v>50</v>
      </c>
      <c r="AV920" s="11"/>
      <c r="AW920" s="10" t="s">
        <v>66</v>
      </c>
      <c r="AX920" s="10"/>
      <c r="AY920" s="10" t="s">
        <v>66</v>
      </c>
    </row>
    <row r="921" ht="22.5" hidden="1" customHeight="1">
      <c r="A921" s="9" t="s">
        <v>9479</v>
      </c>
      <c r="B921" s="10" t="s">
        <v>9480</v>
      </c>
      <c r="C921" s="10" t="s">
        <v>69</v>
      </c>
      <c r="D921" s="10" t="s">
        <v>402</v>
      </c>
      <c r="E921" s="10" t="s">
        <v>45</v>
      </c>
      <c r="F921" s="11">
        <v>1.0</v>
      </c>
      <c r="G921" s="11">
        <v>79.0</v>
      </c>
      <c r="H921" s="11"/>
      <c r="I921" s="11">
        <v>-13.43</v>
      </c>
      <c r="J921" s="11">
        <v>-20.45</v>
      </c>
      <c r="K921" s="11">
        <v>-45.12</v>
      </c>
      <c r="L921" s="11">
        <v>0.0</v>
      </c>
      <c r="M921" s="10" t="s">
        <v>46</v>
      </c>
      <c r="N921" s="10" t="s">
        <v>45</v>
      </c>
      <c r="O921" s="10" t="s">
        <v>160</v>
      </c>
      <c r="P921" s="10" t="s">
        <v>161</v>
      </c>
      <c r="Q921" s="10" t="s">
        <v>162</v>
      </c>
      <c r="R921" s="10" t="s">
        <v>74</v>
      </c>
      <c r="S921" s="11">
        <v>79.0</v>
      </c>
      <c r="T921" s="11"/>
      <c r="U921" s="11" t="s">
        <v>51</v>
      </c>
      <c r="V921" s="10" t="s">
        <v>52</v>
      </c>
      <c r="W921" s="10" t="s">
        <v>9481</v>
      </c>
      <c r="X921" s="10" t="s">
        <v>9482</v>
      </c>
      <c r="Y921" s="10" t="s">
        <v>9483</v>
      </c>
      <c r="Z921" s="10" t="s">
        <v>50</v>
      </c>
      <c r="AA921" s="10" t="s">
        <v>50</v>
      </c>
      <c r="AB921" s="10" t="s">
        <v>9481</v>
      </c>
      <c r="AC921" s="10" t="s">
        <v>9484</v>
      </c>
      <c r="AD921" s="10" t="s">
        <v>50</v>
      </c>
      <c r="AE921" s="10" t="s">
        <v>1100</v>
      </c>
      <c r="AF921" s="10" t="s">
        <v>799</v>
      </c>
      <c r="AG921" s="10" t="s">
        <v>9485</v>
      </c>
      <c r="AH921" s="10" t="s">
        <v>60</v>
      </c>
      <c r="AI921" s="10" t="s">
        <v>61</v>
      </c>
      <c r="AJ921" s="10" t="s">
        <v>50</v>
      </c>
      <c r="AK921" s="10" t="s">
        <v>50</v>
      </c>
      <c r="AL921" s="10" t="s">
        <v>64</v>
      </c>
      <c r="AM921" s="10" t="s">
        <v>9486</v>
      </c>
      <c r="AN921" s="10" t="s">
        <v>50</v>
      </c>
      <c r="AO921" s="11" t="s">
        <v>50</v>
      </c>
      <c r="AP921" s="10" t="s">
        <v>50</v>
      </c>
      <c r="AQ921" s="10" t="s">
        <v>50</v>
      </c>
      <c r="AR921" s="10" t="s">
        <v>50</v>
      </c>
      <c r="AS921" s="10" t="s">
        <v>50</v>
      </c>
      <c r="AT921" s="10" t="s">
        <v>50</v>
      </c>
      <c r="AU921" s="10" t="s">
        <v>50</v>
      </c>
      <c r="AV921" s="11"/>
      <c r="AW921" s="10" t="s">
        <v>66</v>
      </c>
      <c r="AX921" s="10"/>
      <c r="AY921" s="10" t="s">
        <v>66</v>
      </c>
    </row>
    <row r="922" ht="22.5" hidden="1" customHeight="1">
      <c r="A922" s="9" t="s">
        <v>9487</v>
      </c>
      <c r="B922" s="10" t="s">
        <v>9488</v>
      </c>
      <c r="C922" s="10" t="s">
        <v>43</v>
      </c>
      <c r="D922" s="10" t="s">
        <v>2481</v>
      </c>
      <c r="E922" s="10" t="s">
        <v>45</v>
      </c>
      <c r="F922" s="11">
        <v>2.0</v>
      </c>
      <c r="G922" s="11">
        <v>87.4</v>
      </c>
      <c r="H922" s="11"/>
      <c r="I922" s="11">
        <v>-26.86</v>
      </c>
      <c r="J922" s="11"/>
      <c r="K922" s="11"/>
      <c r="L922" s="11">
        <v>65.78</v>
      </c>
      <c r="M922" s="10" t="s">
        <v>46</v>
      </c>
      <c r="N922" s="10" t="s">
        <v>45</v>
      </c>
      <c r="O922" s="10" t="s">
        <v>176</v>
      </c>
      <c r="P922" s="10" t="s">
        <v>177</v>
      </c>
      <c r="Q922" s="10" t="s">
        <v>178</v>
      </c>
      <c r="R922" s="10" t="s">
        <v>74</v>
      </c>
      <c r="S922" s="11">
        <v>43.7</v>
      </c>
      <c r="T922" s="11">
        <f t="shared" ref="T922:T924" si="5">2*22.58</f>
        <v>45.16</v>
      </c>
      <c r="U922" s="11" t="s">
        <v>51</v>
      </c>
      <c r="V922" s="10" t="s">
        <v>52</v>
      </c>
      <c r="W922" s="10" t="s">
        <v>9489</v>
      </c>
      <c r="X922" s="10" t="s">
        <v>9490</v>
      </c>
      <c r="Y922" s="10" t="s">
        <v>9491</v>
      </c>
      <c r="Z922" s="10" t="s">
        <v>50</v>
      </c>
      <c r="AA922" s="10" t="s">
        <v>50</v>
      </c>
      <c r="AB922" s="10" t="s">
        <v>9489</v>
      </c>
      <c r="AC922" s="10" t="s">
        <v>9492</v>
      </c>
      <c r="AD922" s="10" t="s">
        <v>9493</v>
      </c>
      <c r="AE922" s="10" t="s">
        <v>9494</v>
      </c>
      <c r="AF922" s="10" t="s">
        <v>185</v>
      </c>
      <c r="AG922" s="10" t="s">
        <v>9495</v>
      </c>
      <c r="AH922" s="10" t="s">
        <v>60</v>
      </c>
      <c r="AI922" s="10" t="s">
        <v>61</v>
      </c>
      <c r="AJ922" s="10" t="s">
        <v>6825</v>
      </c>
      <c r="AK922" s="10" t="s">
        <v>9496</v>
      </c>
      <c r="AL922" s="10" t="s">
        <v>64</v>
      </c>
      <c r="AM922" s="10" t="s">
        <v>9497</v>
      </c>
      <c r="AN922" s="10" t="s">
        <v>50</v>
      </c>
      <c r="AO922" s="11" t="s">
        <v>50</v>
      </c>
      <c r="AP922" s="10" t="s">
        <v>50</v>
      </c>
      <c r="AQ922" s="10" t="s">
        <v>50</v>
      </c>
      <c r="AR922" s="10" t="s">
        <v>50</v>
      </c>
      <c r="AS922" s="10" t="s">
        <v>50</v>
      </c>
      <c r="AT922" s="10" t="s">
        <v>50</v>
      </c>
      <c r="AU922" s="10" t="s">
        <v>50</v>
      </c>
      <c r="AV922" s="11"/>
      <c r="AW922" s="10" t="s">
        <v>66</v>
      </c>
      <c r="AX922" s="10"/>
      <c r="AY922" s="10" t="s">
        <v>66</v>
      </c>
    </row>
    <row r="923" ht="22.5" hidden="1" customHeight="1">
      <c r="A923" s="9" t="s">
        <v>9498</v>
      </c>
      <c r="B923" s="10" t="s">
        <v>9499</v>
      </c>
      <c r="C923" s="10" t="s">
        <v>8124</v>
      </c>
      <c r="D923" s="10" t="s">
        <v>8125</v>
      </c>
      <c r="E923" s="10" t="s">
        <v>45</v>
      </c>
      <c r="F923" s="11">
        <v>2.0</v>
      </c>
      <c r="G923" s="11">
        <v>87.4</v>
      </c>
      <c r="H923" s="11"/>
      <c r="I923" s="11">
        <v>-26.86</v>
      </c>
      <c r="J923" s="11"/>
      <c r="K923" s="11"/>
      <c r="L923" s="11">
        <v>65.78</v>
      </c>
      <c r="M923" s="10" t="s">
        <v>46</v>
      </c>
      <c r="N923" s="10" t="s">
        <v>50</v>
      </c>
      <c r="O923" s="10" t="s">
        <v>176</v>
      </c>
      <c r="P923" s="10" t="s">
        <v>177</v>
      </c>
      <c r="Q923" s="10" t="s">
        <v>178</v>
      </c>
      <c r="R923" s="10" t="s">
        <v>74</v>
      </c>
      <c r="S923" s="11">
        <v>43.7</v>
      </c>
      <c r="T923" s="11">
        <f t="shared" si="5"/>
        <v>45.16</v>
      </c>
      <c r="U923" s="11" t="s">
        <v>51</v>
      </c>
      <c r="V923" s="10" t="s">
        <v>52</v>
      </c>
      <c r="W923" s="10" t="s">
        <v>9500</v>
      </c>
      <c r="X923" s="10" t="s">
        <v>9501</v>
      </c>
      <c r="Y923" s="10" t="s">
        <v>9502</v>
      </c>
      <c r="Z923" s="10" t="s">
        <v>50</v>
      </c>
      <c r="AA923" s="10" t="s">
        <v>50</v>
      </c>
      <c r="AB923" s="10" t="s">
        <v>9500</v>
      </c>
      <c r="AC923" s="10" t="s">
        <v>9503</v>
      </c>
      <c r="AD923" s="10" t="s">
        <v>9504</v>
      </c>
      <c r="AE923" s="10" t="s">
        <v>3266</v>
      </c>
      <c r="AF923" s="10" t="s">
        <v>185</v>
      </c>
      <c r="AG923" s="10" t="s">
        <v>9505</v>
      </c>
      <c r="AH923" s="10" t="s">
        <v>60</v>
      </c>
      <c r="AI923" s="10" t="s">
        <v>61</v>
      </c>
      <c r="AJ923" s="10" t="s">
        <v>6825</v>
      </c>
      <c r="AK923" s="10" t="s">
        <v>50</v>
      </c>
      <c r="AL923" s="10" t="s">
        <v>64</v>
      </c>
      <c r="AM923" s="10" t="s">
        <v>9506</v>
      </c>
      <c r="AN923" s="10" t="s">
        <v>9507</v>
      </c>
      <c r="AO923" s="11" t="s">
        <v>50</v>
      </c>
      <c r="AP923" s="10" t="s">
        <v>50</v>
      </c>
      <c r="AQ923" s="10" t="s">
        <v>50</v>
      </c>
      <c r="AR923" s="10" t="s">
        <v>50</v>
      </c>
      <c r="AS923" s="10" t="s">
        <v>50</v>
      </c>
      <c r="AT923" s="10" t="s">
        <v>50</v>
      </c>
      <c r="AU923" s="10" t="s">
        <v>50</v>
      </c>
      <c r="AV923" s="11"/>
      <c r="AW923" s="10" t="s">
        <v>66</v>
      </c>
      <c r="AX923" s="10"/>
      <c r="AY923" s="10" t="s">
        <v>66</v>
      </c>
    </row>
    <row r="924" ht="22.5" hidden="1" customHeight="1">
      <c r="A924" s="9" t="s">
        <v>9508</v>
      </c>
      <c r="B924" s="10" t="s">
        <v>9509</v>
      </c>
      <c r="C924" s="10" t="s">
        <v>43</v>
      </c>
      <c r="D924" s="10" t="s">
        <v>2402</v>
      </c>
      <c r="E924" s="10" t="s">
        <v>45</v>
      </c>
      <c r="F924" s="11">
        <v>2.0</v>
      </c>
      <c r="G924" s="11">
        <v>87.4</v>
      </c>
      <c r="H924" s="11">
        <v>22.31</v>
      </c>
      <c r="I924" s="11">
        <v>-26.86</v>
      </c>
      <c r="J924" s="11">
        <v>-22.31</v>
      </c>
      <c r="K924" s="11"/>
      <c r="L924" s="11">
        <v>65.78</v>
      </c>
      <c r="M924" s="10" t="s">
        <v>46</v>
      </c>
      <c r="N924" s="10" t="s">
        <v>45</v>
      </c>
      <c r="O924" s="10" t="s">
        <v>176</v>
      </c>
      <c r="P924" s="10" t="s">
        <v>177</v>
      </c>
      <c r="Q924" s="10" t="s">
        <v>178</v>
      </c>
      <c r="R924" s="10" t="s">
        <v>74</v>
      </c>
      <c r="S924" s="11">
        <v>43.7</v>
      </c>
      <c r="T924" s="11">
        <f t="shared" si="5"/>
        <v>45.16</v>
      </c>
      <c r="U924" s="11" t="s">
        <v>51</v>
      </c>
      <c r="V924" s="10" t="s">
        <v>52</v>
      </c>
      <c r="W924" s="10" t="s">
        <v>9510</v>
      </c>
      <c r="X924" s="10" t="s">
        <v>9511</v>
      </c>
      <c r="Y924" s="10" t="s">
        <v>9512</v>
      </c>
      <c r="Z924" s="10" t="s">
        <v>50</v>
      </c>
      <c r="AA924" s="10" t="s">
        <v>50</v>
      </c>
      <c r="AB924" s="10" t="s">
        <v>9510</v>
      </c>
      <c r="AC924" s="10" t="s">
        <v>9513</v>
      </c>
      <c r="AD924" s="10" t="s">
        <v>9514</v>
      </c>
      <c r="AE924" s="10" t="s">
        <v>9515</v>
      </c>
      <c r="AF924" s="10" t="s">
        <v>775</v>
      </c>
      <c r="AG924" s="10" t="s">
        <v>9516</v>
      </c>
      <c r="AH924" s="10" t="s">
        <v>60</v>
      </c>
      <c r="AI924" s="10" t="s">
        <v>61</v>
      </c>
      <c r="AJ924" s="10" t="s">
        <v>6678</v>
      </c>
      <c r="AK924" s="10" t="s">
        <v>9517</v>
      </c>
      <c r="AL924" s="10" t="s">
        <v>64</v>
      </c>
      <c r="AM924" s="10" t="s">
        <v>9518</v>
      </c>
      <c r="AN924" s="10" t="s">
        <v>50</v>
      </c>
      <c r="AO924" s="11" t="s">
        <v>50</v>
      </c>
      <c r="AP924" s="10" t="s">
        <v>50</v>
      </c>
      <c r="AQ924" s="10" t="s">
        <v>50</v>
      </c>
      <c r="AR924" s="10" t="s">
        <v>50</v>
      </c>
      <c r="AS924" s="10" t="s">
        <v>50</v>
      </c>
      <c r="AT924" s="10" t="s">
        <v>50</v>
      </c>
      <c r="AU924" s="10" t="s">
        <v>50</v>
      </c>
      <c r="AV924" s="11"/>
      <c r="AW924" s="10" t="s">
        <v>66</v>
      </c>
      <c r="AX924" s="10"/>
      <c r="AY924" s="10" t="s">
        <v>66</v>
      </c>
    </row>
    <row r="925" ht="22.5" hidden="1" customHeight="1">
      <c r="A925" s="9" t="s">
        <v>9519</v>
      </c>
      <c r="B925" s="10" t="s">
        <v>9520</v>
      </c>
      <c r="C925" s="10" t="s">
        <v>43</v>
      </c>
      <c r="D925" s="10" t="s">
        <v>2402</v>
      </c>
      <c r="E925" s="10" t="s">
        <v>66</v>
      </c>
      <c r="F925" s="11">
        <v>1.0</v>
      </c>
      <c r="G925" s="11">
        <v>113.6</v>
      </c>
      <c r="H925" s="11"/>
      <c r="I925" s="11">
        <v>-13.63</v>
      </c>
      <c r="J925" s="11">
        <v>-22.95</v>
      </c>
      <c r="K925" s="11"/>
      <c r="L925" s="11">
        <v>77.02</v>
      </c>
      <c r="M925" s="10" t="s">
        <v>46</v>
      </c>
      <c r="N925" s="10" t="s">
        <v>50</v>
      </c>
      <c r="O925" s="10" t="s">
        <v>9521</v>
      </c>
      <c r="P925" s="10" t="s">
        <v>9522</v>
      </c>
      <c r="Q925" s="10" t="s">
        <v>9523</v>
      </c>
      <c r="R925" s="10" t="s">
        <v>74</v>
      </c>
      <c r="S925" s="11">
        <v>113.6</v>
      </c>
      <c r="T925" s="11">
        <v>71.65</v>
      </c>
      <c r="U925" s="11" t="s">
        <v>194</v>
      </c>
      <c r="V925" s="10" t="s">
        <v>52</v>
      </c>
      <c r="W925" s="10" t="s">
        <v>9524</v>
      </c>
      <c r="X925" s="10" t="s">
        <v>9525</v>
      </c>
      <c r="Y925" s="10" t="s">
        <v>9526</v>
      </c>
      <c r="Z925" s="10" t="s">
        <v>50</v>
      </c>
      <c r="AA925" s="10" t="s">
        <v>50</v>
      </c>
      <c r="AB925" s="10" t="s">
        <v>9524</v>
      </c>
      <c r="AC925" s="10" t="s">
        <v>9527</v>
      </c>
      <c r="AD925" s="10" t="s">
        <v>9528</v>
      </c>
      <c r="AE925" s="10" t="s">
        <v>1346</v>
      </c>
      <c r="AF925" s="10" t="s">
        <v>1347</v>
      </c>
      <c r="AG925" s="10" t="s">
        <v>9529</v>
      </c>
      <c r="AH925" s="10" t="s">
        <v>60</v>
      </c>
      <c r="AI925" s="10" t="s">
        <v>61</v>
      </c>
      <c r="AJ925" s="10" t="s">
        <v>6643</v>
      </c>
      <c r="AK925" s="10" t="s">
        <v>9530</v>
      </c>
      <c r="AL925" s="10" t="s">
        <v>64</v>
      </c>
      <c r="AM925" s="10" t="s">
        <v>9531</v>
      </c>
      <c r="AN925" s="10" t="s">
        <v>50</v>
      </c>
      <c r="AO925" s="11" t="s">
        <v>50</v>
      </c>
      <c r="AP925" s="10" t="s">
        <v>50</v>
      </c>
      <c r="AQ925" s="10" t="s">
        <v>50</v>
      </c>
      <c r="AR925" s="10" t="s">
        <v>50</v>
      </c>
      <c r="AS925" s="10" t="s">
        <v>50</v>
      </c>
      <c r="AT925" s="10" t="s">
        <v>50</v>
      </c>
      <c r="AU925" s="10" t="s">
        <v>50</v>
      </c>
      <c r="AV925" s="11"/>
      <c r="AW925" s="10" t="s">
        <v>66</v>
      </c>
      <c r="AX925" s="10"/>
      <c r="AY925" s="10" t="s">
        <v>66</v>
      </c>
    </row>
    <row r="926" ht="22.5" hidden="1" customHeight="1">
      <c r="A926" s="9" t="s">
        <v>9532</v>
      </c>
      <c r="B926" s="10" t="s">
        <v>9533</v>
      </c>
      <c r="C926" s="10" t="s">
        <v>43</v>
      </c>
      <c r="D926" s="10" t="s">
        <v>2402</v>
      </c>
      <c r="E926" s="10" t="s">
        <v>66</v>
      </c>
      <c r="F926" s="11">
        <v>1.0</v>
      </c>
      <c r="G926" s="11">
        <v>120.0</v>
      </c>
      <c r="H926" s="11"/>
      <c r="I926" s="11">
        <v>-20.4</v>
      </c>
      <c r="J926" s="11">
        <v>-19.95</v>
      </c>
      <c r="K926" s="11"/>
      <c r="L926" s="11">
        <v>86.85</v>
      </c>
      <c r="M926" s="10" t="s">
        <v>46</v>
      </c>
      <c r="N926" s="10" t="s">
        <v>50</v>
      </c>
      <c r="O926" s="10" t="s">
        <v>85</v>
      </c>
      <c r="P926" s="10" t="s">
        <v>86</v>
      </c>
      <c r="Q926" s="10" t="s">
        <v>87</v>
      </c>
      <c r="R926" s="10" t="s">
        <v>74</v>
      </c>
      <c r="S926" s="11">
        <v>120.0</v>
      </c>
      <c r="T926" s="11">
        <v>65.78</v>
      </c>
      <c r="U926" s="11" t="s">
        <v>51</v>
      </c>
      <c r="V926" s="10" t="s">
        <v>52</v>
      </c>
      <c r="W926" s="10" t="s">
        <v>9534</v>
      </c>
      <c r="X926" s="10" t="s">
        <v>9535</v>
      </c>
      <c r="Y926" s="10" t="s">
        <v>9536</v>
      </c>
      <c r="Z926" s="10" t="s">
        <v>50</v>
      </c>
      <c r="AA926" s="10" t="s">
        <v>50</v>
      </c>
      <c r="AB926" s="10" t="s">
        <v>9534</v>
      </c>
      <c r="AC926" s="10" t="s">
        <v>9537</v>
      </c>
      <c r="AD926" s="10" t="s">
        <v>9538</v>
      </c>
      <c r="AE926" s="10" t="s">
        <v>9539</v>
      </c>
      <c r="AF926" s="10" t="s">
        <v>151</v>
      </c>
      <c r="AG926" s="10" t="s">
        <v>9540</v>
      </c>
      <c r="AH926" s="10" t="s">
        <v>60</v>
      </c>
      <c r="AI926" s="10" t="s">
        <v>61</v>
      </c>
      <c r="AJ926" s="10" t="s">
        <v>9136</v>
      </c>
      <c r="AK926" s="10" t="s">
        <v>9541</v>
      </c>
      <c r="AL926" s="10" t="s">
        <v>64</v>
      </c>
      <c r="AM926" s="10" t="s">
        <v>9542</v>
      </c>
      <c r="AN926" s="10" t="s">
        <v>9543</v>
      </c>
      <c r="AO926" s="11" t="s">
        <v>50</v>
      </c>
      <c r="AP926" s="10" t="s">
        <v>50</v>
      </c>
      <c r="AQ926" s="10" t="s">
        <v>50</v>
      </c>
      <c r="AR926" s="10" t="s">
        <v>50</v>
      </c>
      <c r="AS926" s="10" t="s">
        <v>50</v>
      </c>
      <c r="AT926" s="10" t="s">
        <v>50</v>
      </c>
      <c r="AU926" s="10" t="s">
        <v>50</v>
      </c>
      <c r="AV926" s="11"/>
      <c r="AW926" s="10" t="s">
        <v>66</v>
      </c>
      <c r="AX926" s="10"/>
      <c r="AY926" s="10" t="s">
        <v>66</v>
      </c>
    </row>
    <row r="927" ht="22.5" hidden="1" customHeight="1">
      <c r="A927" s="9" t="s">
        <v>9544</v>
      </c>
      <c r="B927" s="10" t="s">
        <v>9545</v>
      </c>
      <c r="C927" s="10" t="s">
        <v>43</v>
      </c>
      <c r="D927" s="10" t="s">
        <v>2481</v>
      </c>
      <c r="E927" s="10" t="s">
        <v>66</v>
      </c>
      <c r="F927" s="11">
        <v>1.0</v>
      </c>
      <c r="G927" s="11">
        <v>80.0</v>
      </c>
      <c r="H927" s="11"/>
      <c r="I927" s="11">
        <v>-13.6</v>
      </c>
      <c r="J927" s="11">
        <v>-19.95</v>
      </c>
      <c r="K927" s="11"/>
      <c r="L927" s="11">
        <v>50.45</v>
      </c>
      <c r="M927" s="10" t="s">
        <v>46</v>
      </c>
      <c r="N927" s="10" t="s">
        <v>45</v>
      </c>
      <c r="O927" s="10" t="s">
        <v>143</v>
      </c>
      <c r="P927" s="10" t="s">
        <v>144</v>
      </c>
      <c r="Q927" s="10" t="s">
        <v>145</v>
      </c>
      <c r="R927" s="10" t="s">
        <v>74</v>
      </c>
      <c r="S927" s="11">
        <v>80.0</v>
      </c>
      <c r="T927" s="11">
        <v>33.38</v>
      </c>
      <c r="U927" s="11" t="s">
        <v>51</v>
      </c>
      <c r="V927" s="10" t="s">
        <v>52</v>
      </c>
      <c r="W927" s="10" t="s">
        <v>9546</v>
      </c>
      <c r="X927" s="10" t="s">
        <v>9547</v>
      </c>
      <c r="Y927" s="10" t="s">
        <v>9548</v>
      </c>
      <c r="Z927" s="10" t="s">
        <v>50</v>
      </c>
      <c r="AA927" s="10" t="s">
        <v>50</v>
      </c>
      <c r="AB927" s="10" t="s">
        <v>9546</v>
      </c>
      <c r="AC927" s="10" t="s">
        <v>9549</v>
      </c>
      <c r="AD927" s="10" t="s">
        <v>9550</v>
      </c>
      <c r="AE927" s="10" t="s">
        <v>9551</v>
      </c>
      <c r="AF927" s="10" t="s">
        <v>214</v>
      </c>
      <c r="AG927" s="10" t="s">
        <v>9552</v>
      </c>
      <c r="AH927" s="10" t="s">
        <v>60</v>
      </c>
      <c r="AI927" s="10" t="s">
        <v>61</v>
      </c>
      <c r="AJ927" s="10" t="s">
        <v>6751</v>
      </c>
      <c r="AK927" s="10" t="s">
        <v>9553</v>
      </c>
      <c r="AL927" s="10" t="s">
        <v>64</v>
      </c>
      <c r="AM927" s="10" t="s">
        <v>9554</v>
      </c>
      <c r="AN927" s="10" t="s">
        <v>50</v>
      </c>
      <c r="AO927" s="11" t="s">
        <v>50</v>
      </c>
      <c r="AP927" s="10" t="s">
        <v>50</v>
      </c>
      <c r="AQ927" s="10" t="s">
        <v>50</v>
      </c>
      <c r="AR927" s="10" t="s">
        <v>50</v>
      </c>
      <c r="AS927" s="10" t="s">
        <v>50</v>
      </c>
      <c r="AT927" s="10" t="s">
        <v>50</v>
      </c>
      <c r="AU927" s="10" t="s">
        <v>50</v>
      </c>
      <c r="AV927" s="11"/>
      <c r="AW927" s="10" t="s">
        <v>66</v>
      </c>
      <c r="AX927" s="10"/>
      <c r="AY927" s="10" t="s">
        <v>66</v>
      </c>
    </row>
    <row r="928" ht="22.5" hidden="1" customHeight="1">
      <c r="A928" s="9" t="s">
        <v>9555</v>
      </c>
      <c r="B928" s="10" t="s">
        <v>9556</v>
      </c>
      <c r="C928" s="10" t="s">
        <v>69</v>
      </c>
      <c r="D928" s="10" t="s">
        <v>2283</v>
      </c>
      <c r="E928" s="10" t="s">
        <v>66</v>
      </c>
      <c r="F928" s="11">
        <v>1.0</v>
      </c>
      <c r="G928" s="11">
        <v>120.0</v>
      </c>
      <c r="H928" s="11"/>
      <c r="I928" s="11">
        <v>-20.4</v>
      </c>
      <c r="J928" s="11">
        <v>-19.95</v>
      </c>
      <c r="K928" s="11">
        <v>-86.85</v>
      </c>
      <c r="L928" s="11">
        <v>0.0</v>
      </c>
      <c r="M928" s="10" t="s">
        <v>46</v>
      </c>
      <c r="N928" s="10" t="s">
        <v>45</v>
      </c>
      <c r="O928" s="10" t="s">
        <v>85</v>
      </c>
      <c r="P928" s="10" t="s">
        <v>86</v>
      </c>
      <c r="Q928" s="10" t="s">
        <v>87</v>
      </c>
      <c r="R928" s="10" t="s">
        <v>74</v>
      </c>
      <c r="S928" s="11">
        <v>120.0</v>
      </c>
      <c r="T928" s="11"/>
      <c r="U928" s="11" t="s">
        <v>51</v>
      </c>
      <c r="V928" s="10" t="s">
        <v>75</v>
      </c>
      <c r="W928" s="10" t="s">
        <v>9557</v>
      </c>
      <c r="X928" s="10" t="s">
        <v>9558</v>
      </c>
      <c r="Y928" s="10" t="s">
        <v>9559</v>
      </c>
      <c r="Z928" s="10" t="s">
        <v>50</v>
      </c>
      <c r="AA928" s="10" t="s">
        <v>50</v>
      </c>
      <c r="AB928" s="10" t="s">
        <v>9557</v>
      </c>
      <c r="AC928" s="10" t="s">
        <v>9560</v>
      </c>
      <c r="AD928" s="10" t="s">
        <v>50</v>
      </c>
      <c r="AE928" s="10" t="s">
        <v>9561</v>
      </c>
      <c r="AF928" s="10" t="s">
        <v>214</v>
      </c>
      <c r="AG928" s="10" t="s">
        <v>9562</v>
      </c>
      <c r="AH928" s="10" t="s">
        <v>60</v>
      </c>
      <c r="AI928" s="10" t="s">
        <v>61</v>
      </c>
      <c r="AJ928" s="10" t="s">
        <v>50</v>
      </c>
      <c r="AK928" s="10" t="s">
        <v>50</v>
      </c>
      <c r="AL928" s="10" t="s">
        <v>64</v>
      </c>
      <c r="AM928" s="10" t="s">
        <v>50</v>
      </c>
      <c r="AN928" s="10" t="s">
        <v>50</v>
      </c>
      <c r="AO928" s="11" t="s">
        <v>50</v>
      </c>
      <c r="AP928" s="10" t="s">
        <v>50</v>
      </c>
      <c r="AQ928" s="10" t="s">
        <v>50</v>
      </c>
      <c r="AR928" s="10" t="s">
        <v>50</v>
      </c>
      <c r="AS928" s="10" t="s">
        <v>50</v>
      </c>
      <c r="AT928" s="10" t="s">
        <v>50</v>
      </c>
      <c r="AU928" s="10" t="s">
        <v>50</v>
      </c>
      <c r="AV928" s="11"/>
      <c r="AW928" s="10" t="s">
        <v>66</v>
      </c>
      <c r="AX928" s="10"/>
      <c r="AY928" s="10" t="s">
        <v>66</v>
      </c>
    </row>
    <row r="929" ht="22.5" hidden="1" customHeight="1">
      <c r="A929" s="9" t="s">
        <v>9563</v>
      </c>
      <c r="B929" s="10" t="s">
        <v>9564</v>
      </c>
      <c r="C929" s="10" t="s">
        <v>43</v>
      </c>
      <c r="D929" s="10" t="s">
        <v>3477</v>
      </c>
      <c r="E929" s="10" t="s">
        <v>45</v>
      </c>
      <c r="F929" s="11">
        <v>2.0</v>
      </c>
      <c r="G929" s="11">
        <v>240.0</v>
      </c>
      <c r="H929" s="11"/>
      <c r="I929" s="11">
        <v>-40.8</v>
      </c>
      <c r="J929" s="11">
        <v>-39.9</v>
      </c>
      <c r="K929" s="11"/>
      <c r="L929" s="11">
        <v>173.7</v>
      </c>
      <c r="M929" s="10" t="s">
        <v>46</v>
      </c>
      <c r="N929" s="10" t="s">
        <v>45</v>
      </c>
      <c r="O929" s="10" t="s">
        <v>85</v>
      </c>
      <c r="P929" s="10" t="s">
        <v>86</v>
      </c>
      <c r="Q929" s="10" t="s">
        <v>87</v>
      </c>
      <c r="R929" s="10" t="s">
        <v>74</v>
      </c>
      <c r="S929" s="11">
        <v>120.0</v>
      </c>
      <c r="T929" s="11">
        <f>2*65.78</f>
        <v>131.56</v>
      </c>
      <c r="U929" s="11" t="s">
        <v>51</v>
      </c>
      <c r="V929" s="10" t="s">
        <v>52</v>
      </c>
      <c r="W929" s="10" t="s">
        <v>9565</v>
      </c>
      <c r="X929" s="10" t="s">
        <v>9566</v>
      </c>
      <c r="Y929" s="10" t="s">
        <v>9567</v>
      </c>
      <c r="Z929" s="10" t="s">
        <v>50</v>
      </c>
      <c r="AA929" s="10" t="s">
        <v>50</v>
      </c>
      <c r="AB929" s="10" t="s">
        <v>9565</v>
      </c>
      <c r="AC929" s="10" t="s">
        <v>9568</v>
      </c>
      <c r="AD929" s="10" t="s">
        <v>9569</v>
      </c>
      <c r="AE929" s="10" t="s">
        <v>9570</v>
      </c>
      <c r="AF929" s="10" t="s">
        <v>151</v>
      </c>
      <c r="AG929" s="10" t="s">
        <v>9571</v>
      </c>
      <c r="AH929" s="10" t="s">
        <v>60</v>
      </c>
      <c r="AI929" s="10" t="s">
        <v>61</v>
      </c>
      <c r="AJ929" s="10" t="s">
        <v>7215</v>
      </c>
      <c r="AK929" s="10" t="s">
        <v>9572</v>
      </c>
      <c r="AL929" s="10" t="s">
        <v>64</v>
      </c>
      <c r="AM929" s="10" t="s">
        <v>9573</v>
      </c>
      <c r="AN929" s="10" t="s">
        <v>50</v>
      </c>
      <c r="AO929" s="11" t="s">
        <v>50</v>
      </c>
      <c r="AP929" s="10" t="s">
        <v>50</v>
      </c>
      <c r="AQ929" s="10" t="s">
        <v>50</v>
      </c>
      <c r="AR929" s="10" t="s">
        <v>50</v>
      </c>
      <c r="AS929" s="10" t="s">
        <v>50</v>
      </c>
      <c r="AT929" s="10" t="s">
        <v>50</v>
      </c>
      <c r="AU929" s="10" t="s">
        <v>50</v>
      </c>
      <c r="AV929" s="11"/>
      <c r="AW929" s="10" t="s">
        <v>66</v>
      </c>
      <c r="AX929" s="10"/>
      <c r="AY929" s="10" t="s">
        <v>66</v>
      </c>
    </row>
    <row r="930" ht="22.5" hidden="1" customHeight="1">
      <c r="A930" s="9" t="s">
        <v>9574</v>
      </c>
      <c r="B930" s="10" t="s">
        <v>9575</v>
      </c>
      <c r="C930" s="10" t="s">
        <v>43</v>
      </c>
      <c r="D930" s="10" t="s">
        <v>3477</v>
      </c>
      <c r="E930" s="10" t="s">
        <v>66</v>
      </c>
      <c r="F930" s="11">
        <v>1.0</v>
      </c>
      <c r="G930" s="11">
        <v>90.0</v>
      </c>
      <c r="H930" s="11"/>
      <c r="I930" s="11">
        <v>-15.3</v>
      </c>
      <c r="J930" s="11">
        <v>-20.45</v>
      </c>
      <c r="K930" s="11"/>
      <c r="L930" s="11">
        <v>59.65</v>
      </c>
      <c r="M930" s="10" t="s">
        <v>46</v>
      </c>
      <c r="N930" s="10" t="s">
        <v>45</v>
      </c>
      <c r="O930" s="10" t="s">
        <v>5094</v>
      </c>
      <c r="P930" s="10" t="s">
        <v>5095</v>
      </c>
      <c r="Q930" s="10" t="s">
        <v>5096</v>
      </c>
      <c r="R930" s="10" t="s">
        <v>74</v>
      </c>
      <c r="S930" s="11">
        <v>90.0</v>
      </c>
      <c r="T930" s="11">
        <v>39.99</v>
      </c>
      <c r="U930" s="11" t="s">
        <v>51</v>
      </c>
      <c r="V930" s="10" t="s">
        <v>52</v>
      </c>
      <c r="W930" s="10" t="s">
        <v>9576</v>
      </c>
      <c r="X930" s="10" t="s">
        <v>9577</v>
      </c>
      <c r="Y930" s="10" t="s">
        <v>9578</v>
      </c>
      <c r="Z930" s="10" t="s">
        <v>50</v>
      </c>
      <c r="AA930" s="10" t="s">
        <v>50</v>
      </c>
      <c r="AB930" s="10" t="s">
        <v>9576</v>
      </c>
      <c r="AC930" s="10" t="s">
        <v>9579</v>
      </c>
      <c r="AD930" s="10" t="s">
        <v>9580</v>
      </c>
      <c r="AE930" s="10" t="s">
        <v>9581</v>
      </c>
      <c r="AF930" s="10" t="s">
        <v>58</v>
      </c>
      <c r="AG930" s="10" t="s">
        <v>9582</v>
      </c>
      <c r="AH930" s="10" t="s">
        <v>60</v>
      </c>
      <c r="AI930" s="10" t="s">
        <v>61</v>
      </c>
      <c r="AJ930" s="10" t="s">
        <v>6825</v>
      </c>
      <c r="AK930" s="10" t="s">
        <v>9583</v>
      </c>
      <c r="AL930" s="10" t="s">
        <v>64</v>
      </c>
      <c r="AM930" s="10" t="s">
        <v>9584</v>
      </c>
      <c r="AN930" s="10" t="s">
        <v>50</v>
      </c>
      <c r="AO930" s="11" t="s">
        <v>50</v>
      </c>
      <c r="AP930" s="10" t="s">
        <v>50</v>
      </c>
      <c r="AQ930" s="10" t="s">
        <v>50</v>
      </c>
      <c r="AR930" s="10" t="s">
        <v>50</v>
      </c>
      <c r="AS930" s="10" t="s">
        <v>50</v>
      </c>
      <c r="AT930" s="10" t="s">
        <v>50</v>
      </c>
      <c r="AU930" s="10" t="s">
        <v>50</v>
      </c>
      <c r="AV930" s="11"/>
      <c r="AW930" s="10" t="s">
        <v>66</v>
      </c>
      <c r="AX930" s="10"/>
      <c r="AY930" s="10" t="s">
        <v>66</v>
      </c>
    </row>
    <row r="931" ht="22.5" hidden="1" customHeight="1">
      <c r="A931" s="9" t="s">
        <v>9585</v>
      </c>
      <c r="B931" s="10" t="s">
        <v>9586</v>
      </c>
      <c r="C931" s="10" t="s">
        <v>43</v>
      </c>
      <c r="D931" s="10" t="s">
        <v>3477</v>
      </c>
      <c r="E931" s="10" t="s">
        <v>66</v>
      </c>
      <c r="F931" s="11">
        <v>1.0</v>
      </c>
      <c r="G931" s="11">
        <v>120.0</v>
      </c>
      <c r="H931" s="11"/>
      <c r="I931" s="11">
        <v>-20.4</v>
      </c>
      <c r="J931" s="11">
        <v>-19.95</v>
      </c>
      <c r="K931" s="11"/>
      <c r="L931" s="11">
        <v>86.85</v>
      </c>
      <c r="M931" s="10" t="s">
        <v>46</v>
      </c>
      <c r="N931" s="10" t="s">
        <v>45</v>
      </c>
      <c r="O931" s="10" t="s">
        <v>85</v>
      </c>
      <c r="P931" s="10" t="s">
        <v>86</v>
      </c>
      <c r="Q931" s="10" t="s">
        <v>87</v>
      </c>
      <c r="R931" s="10" t="s">
        <v>74</v>
      </c>
      <c r="S931" s="11">
        <v>120.0</v>
      </c>
      <c r="T931" s="11">
        <v>65.78</v>
      </c>
      <c r="U931" s="11" t="s">
        <v>51</v>
      </c>
      <c r="V931" s="10" t="s">
        <v>52</v>
      </c>
      <c r="W931" s="10" t="s">
        <v>9587</v>
      </c>
      <c r="X931" s="10" t="s">
        <v>9588</v>
      </c>
      <c r="Y931" s="10" t="s">
        <v>9589</v>
      </c>
      <c r="Z931" s="10" t="s">
        <v>50</v>
      </c>
      <c r="AA931" s="10" t="s">
        <v>50</v>
      </c>
      <c r="AB931" s="10" t="s">
        <v>9587</v>
      </c>
      <c r="AC931" s="10" t="s">
        <v>9590</v>
      </c>
      <c r="AD931" s="10" t="s">
        <v>9591</v>
      </c>
      <c r="AE931" s="10" t="s">
        <v>3537</v>
      </c>
      <c r="AF931" s="10" t="s">
        <v>58</v>
      </c>
      <c r="AG931" s="10" t="s">
        <v>9592</v>
      </c>
      <c r="AH931" s="10" t="s">
        <v>60</v>
      </c>
      <c r="AI931" s="10" t="s">
        <v>61</v>
      </c>
      <c r="AJ931" s="10" t="s">
        <v>6825</v>
      </c>
      <c r="AK931" s="10" t="s">
        <v>9593</v>
      </c>
      <c r="AL931" s="10" t="s">
        <v>64</v>
      </c>
      <c r="AM931" s="10" t="s">
        <v>9594</v>
      </c>
      <c r="AN931" s="10" t="s">
        <v>50</v>
      </c>
      <c r="AO931" s="11" t="s">
        <v>50</v>
      </c>
      <c r="AP931" s="10" t="s">
        <v>50</v>
      </c>
      <c r="AQ931" s="10" t="s">
        <v>50</v>
      </c>
      <c r="AR931" s="10" t="s">
        <v>50</v>
      </c>
      <c r="AS931" s="10" t="s">
        <v>50</v>
      </c>
      <c r="AT931" s="10" t="s">
        <v>50</v>
      </c>
      <c r="AU931" s="10" t="s">
        <v>50</v>
      </c>
      <c r="AV931" s="11"/>
      <c r="AW931" s="10" t="s">
        <v>66</v>
      </c>
      <c r="AX931" s="10"/>
      <c r="AY931" s="10" t="s">
        <v>66</v>
      </c>
    </row>
    <row r="932" ht="22.5" hidden="1" customHeight="1">
      <c r="A932" s="9" t="s">
        <v>9595</v>
      </c>
      <c r="B932" s="10" t="s">
        <v>9596</v>
      </c>
      <c r="C932" s="10" t="s">
        <v>69</v>
      </c>
      <c r="D932" s="10" t="s">
        <v>402</v>
      </c>
      <c r="E932" s="10" t="s">
        <v>66</v>
      </c>
      <c r="F932" s="11">
        <v>1.0</v>
      </c>
      <c r="G932" s="11">
        <v>120.0</v>
      </c>
      <c r="H932" s="11"/>
      <c r="I932" s="11">
        <v>-20.4</v>
      </c>
      <c r="J932" s="11">
        <v>-19.95</v>
      </c>
      <c r="K932" s="11">
        <v>-86.85</v>
      </c>
      <c r="L932" s="11">
        <v>0.0</v>
      </c>
      <c r="M932" s="10" t="s">
        <v>46</v>
      </c>
      <c r="N932" s="10" t="s">
        <v>45</v>
      </c>
      <c r="O932" s="10" t="s">
        <v>85</v>
      </c>
      <c r="P932" s="10" t="s">
        <v>86</v>
      </c>
      <c r="Q932" s="10" t="s">
        <v>87</v>
      </c>
      <c r="R932" s="10" t="s">
        <v>74</v>
      </c>
      <c r="S932" s="11">
        <v>120.0</v>
      </c>
      <c r="T932" s="11"/>
      <c r="U932" s="11" t="s">
        <v>51</v>
      </c>
      <c r="V932" s="10" t="s">
        <v>52</v>
      </c>
      <c r="W932" s="10" t="s">
        <v>9597</v>
      </c>
      <c r="X932" s="10" t="s">
        <v>9598</v>
      </c>
      <c r="Y932" s="10" t="s">
        <v>9599</v>
      </c>
      <c r="Z932" s="10" t="s">
        <v>50</v>
      </c>
      <c r="AA932" s="10" t="s">
        <v>50</v>
      </c>
      <c r="AB932" s="10" t="s">
        <v>9597</v>
      </c>
      <c r="AC932" s="10" t="s">
        <v>9600</v>
      </c>
      <c r="AD932" s="10" t="s">
        <v>50</v>
      </c>
      <c r="AE932" s="10" t="s">
        <v>9601</v>
      </c>
      <c r="AF932" s="10" t="s">
        <v>323</v>
      </c>
      <c r="AG932" s="10" t="s">
        <v>9602</v>
      </c>
      <c r="AH932" s="10" t="s">
        <v>60</v>
      </c>
      <c r="AI932" s="10" t="s">
        <v>61</v>
      </c>
      <c r="AJ932" s="10" t="s">
        <v>50</v>
      </c>
      <c r="AK932" s="10" t="s">
        <v>50</v>
      </c>
      <c r="AL932" s="10" t="s">
        <v>64</v>
      </c>
      <c r="AM932" s="10" t="s">
        <v>9603</v>
      </c>
      <c r="AN932" s="10" t="s">
        <v>50</v>
      </c>
      <c r="AO932" s="11" t="s">
        <v>50</v>
      </c>
      <c r="AP932" s="10" t="s">
        <v>50</v>
      </c>
      <c r="AQ932" s="10" t="s">
        <v>50</v>
      </c>
      <c r="AR932" s="10" t="s">
        <v>50</v>
      </c>
      <c r="AS932" s="10" t="s">
        <v>50</v>
      </c>
      <c r="AT932" s="10" t="s">
        <v>50</v>
      </c>
      <c r="AU932" s="10" t="s">
        <v>50</v>
      </c>
      <c r="AV932" s="11"/>
      <c r="AW932" s="10" t="s">
        <v>66</v>
      </c>
      <c r="AX932" s="10"/>
      <c r="AY932" s="10" t="s">
        <v>66</v>
      </c>
    </row>
    <row r="933" ht="22.5" hidden="1" customHeight="1">
      <c r="A933" s="9" t="s">
        <v>9604</v>
      </c>
      <c r="B933" s="10" t="s">
        <v>9605</v>
      </c>
      <c r="C933" s="10" t="s">
        <v>43</v>
      </c>
      <c r="D933" s="10" t="s">
        <v>3477</v>
      </c>
      <c r="E933" s="10" t="s">
        <v>66</v>
      </c>
      <c r="F933" s="11">
        <v>1.0</v>
      </c>
      <c r="G933" s="11">
        <v>80.0</v>
      </c>
      <c r="H933" s="11"/>
      <c r="I933" s="11">
        <v>-13.6</v>
      </c>
      <c r="J933" s="11">
        <v>-19.95</v>
      </c>
      <c r="K933" s="11"/>
      <c r="L933" s="11">
        <v>50.45</v>
      </c>
      <c r="M933" s="10" t="s">
        <v>46</v>
      </c>
      <c r="N933" s="10" t="s">
        <v>45</v>
      </c>
      <c r="O933" s="10" t="s">
        <v>143</v>
      </c>
      <c r="P933" s="10" t="s">
        <v>144</v>
      </c>
      <c r="Q933" s="10" t="s">
        <v>145</v>
      </c>
      <c r="R933" s="10" t="s">
        <v>74</v>
      </c>
      <c r="S933" s="11">
        <v>80.0</v>
      </c>
      <c r="T933" s="11">
        <v>33.38</v>
      </c>
      <c r="U933" s="11" t="s">
        <v>51</v>
      </c>
      <c r="V933" s="10" t="s">
        <v>52</v>
      </c>
      <c r="W933" s="10" t="s">
        <v>9606</v>
      </c>
      <c r="X933" s="10" t="s">
        <v>9607</v>
      </c>
      <c r="Y933" s="10" t="s">
        <v>9608</v>
      </c>
      <c r="Z933" s="10" t="s">
        <v>50</v>
      </c>
      <c r="AA933" s="10" t="s">
        <v>50</v>
      </c>
      <c r="AB933" s="10" t="s">
        <v>9606</v>
      </c>
      <c r="AC933" s="10" t="s">
        <v>9609</v>
      </c>
      <c r="AD933" s="10" t="s">
        <v>9610</v>
      </c>
      <c r="AE933" s="10" t="s">
        <v>1192</v>
      </c>
      <c r="AF933" s="10" t="s">
        <v>58</v>
      </c>
      <c r="AG933" s="10" t="s">
        <v>9611</v>
      </c>
      <c r="AH933" s="10" t="s">
        <v>60</v>
      </c>
      <c r="AI933" s="10" t="s">
        <v>61</v>
      </c>
      <c r="AJ933" s="10" t="s">
        <v>3484</v>
      </c>
      <c r="AK933" s="10" t="s">
        <v>9612</v>
      </c>
      <c r="AL933" s="10" t="s">
        <v>64</v>
      </c>
      <c r="AM933" s="10" t="s">
        <v>9613</v>
      </c>
      <c r="AN933" s="10" t="s">
        <v>50</v>
      </c>
      <c r="AO933" s="11" t="s">
        <v>50</v>
      </c>
      <c r="AP933" s="10" t="s">
        <v>50</v>
      </c>
      <c r="AQ933" s="10" t="s">
        <v>50</v>
      </c>
      <c r="AR933" s="10" t="s">
        <v>50</v>
      </c>
      <c r="AS933" s="10" t="s">
        <v>50</v>
      </c>
      <c r="AT933" s="10" t="s">
        <v>50</v>
      </c>
      <c r="AU933" s="10" t="s">
        <v>50</v>
      </c>
      <c r="AV933" s="11"/>
      <c r="AW933" s="10" t="s">
        <v>66</v>
      </c>
      <c r="AX933" s="10"/>
      <c r="AY933" s="10" t="s">
        <v>66</v>
      </c>
    </row>
    <row r="934" ht="22.5" hidden="1" customHeight="1">
      <c r="A934" s="9" t="s">
        <v>9614</v>
      </c>
      <c r="B934" s="10" t="s">
        <v>9615</v>
      </c>
      <c r="C934" s="10" t="s">
        <v>43</v>
      </c>
      <c r="D934" s="10" t="s">
        <v>6539</v>
      </c>
      <c r="E934" s="10" t="s">
        <v>66</v>
      </c>
      <c r="F934" s="11">
        <v>1.0</v>
      </c>
      <c r="G934" s="11">
        <v>92.15</v>
      </c>
      <c r="H934" s="11"/>
      <c r="I934" s="11">
        <v>-17.51</v>
      </c>
      <c r="J934" s="11">
        <v>-20.45</v>
      </c>
      <c r="K934" s="11"/>
      <c r="L934" s="11">
        <v>59.72</v>
      </c>
      <c r="M934" s="10" t="s">
        <v>46</v>
      </c>
      <c r="N934" s="10" t="s">
        <v>45</v>
      </c>
      <c r="O934" s="10" t="s">
        <v>586</v>
      </c>
      <c r="P934" s="10" t="s">
        <v>587</v>
      </c>
      <c r="Q934" s="10" t="s">
        <v>588</v>
      </c>
      <c r="R934" s="10" t="s">
        <v>50</v>
      </c>
      <c r="S934" s="11">
        <v>92.15</v>
      </c>
      <c r="T934" s="11">
        <v>20.76</v>
      </c>
      <c r="U934" s="11" t="s">
        <v>51</v>
      </c>
      <c r="V934" s="10" t="s">
        <v>52</v>
      </c>
      <c r="W934" s="10" t="s">
        <v>9616</v>
      </c>
      <c r="X934" s="10" t="s">
        <v>9617</v>
      </c>
      <c r="Y934" s="10" t="s">
        <v>9618</v>
      </c>
      <c r="Z934" s="10" t="s">
        <v>9619</v>
      </c>
      <c r="AA934" s="10" t="s">
        <v>50</v>
      </c>
      <c r="AB934" s="10" t="s">
        <v>9616</v>
      </c>
      <c r="AC934" s="10" t="s">
        <v>9620</v>
      </c>
      <c r="AD934" s="10" t="s">
        <v>9621</v>
      </c>
      <c r="AE934" s="10" t="s">
        <v>151</v>
      </c>
      <c r="AF934" s="10" t="s">
        <v>151</v>
      </c>
      <c r="AG934" s="10" t="s">
        <v>9622</v>
      </c>
      <c r="AH934" s="10" t="s">
        <v>60</v>
      </c>
      <c r="AI934" s="10" t="s">
        <v>61</v>
      </c>
      <c r="AJ934" s="10" t="s">
        <v>6941</v>
      </c>
      <c r="AK934" s="10" t="s">
        <v>9623</v>
      </c>
      <c r="AL934" s="10" t="s">
        <v>64</v>
      </c>
      <c r="AM934" s="10" t="s">
        <v>9624</v>
      </c>
      <c r="AN934" s="10" t="s">
        <v>50</v>
      </c>
      <c r="AO934" s="11" t="s">
        <v>50</v>
      </c>
      <c r="AP934" s="10" t="s">
        <v>50</v>
      </c>
      <c r="AQ934" s="10" t="s">
        <v>50</v>
      </c>
      <c r="AR934" s="10" t="s">
        <v>50</v>
      </c>
      <c r="AS934" s="10" t="s">
        <v>50</v>
      </c>
      <c r="AT934" s="10" t="s">
        <v>50</v>
      </c>
      <c r="AU934" s="10" t="s">
        <v>50</v>
      </c>
      <c r="AV934" s="11"/>
      <c r="AW934" s="10" t="s">
        <v>66</v>
      </c>
      <c r="AX934" s="10"/>
      <c r="AY934" s="10" t="s">
        <v>66</v>
      </c>
    </row>
    <row r="935" ht="22.5" hidden="1" customHeight="1">
      <c r="A935" s="9" t="s">
        <v>9625</v>
      </c>
      <c r="B935" s="10" t="s">
        <v>9626</v>
      </c>
      <c r="C935" s="10" t="s">
        <v>43</v>
      </c>
      <c r="D935" s="10" t="s">
        <v>6539</v>
      </c>
      <c r="E935" s="10" t="s">
        <v>66</v>
      </c>
      <c r="F935" s="11">
        <v>1.0</v>
      </c>
      <c r="G935" s="11">
        <v>80.0</v>
      </c>
      <c r="H935" s="11"/>
      <c r="I935" s="11">
        <v>-13.6</v>
      </c>
      <c r="J935" s="11">
        <v>-19.95</v>
      </c>
      <c r="K935" s="11"/>
      <c r="L935" s="11">
        <v>50.45</v>
      </c>
      <c r="M935" s="10" t="s">
        <v>46</v>
      </c>
      <c r="N935" s="10" t="s">
        <v>45</v>
      </c>
      <c r="O935" s="10" t="s">
        <v>143</v>
      </c>
      <c r="P935" s="10" t="s">
        <v>144</v>
      </c>
      <c r="Q935" s="10" t="s">
        <v>145</v>
      </c>
      <c r="R935" s="10" t="s">
        <v>74</v>
      </c>
      <c r="S935" s="11">
        <v>80.0</v>
      </c>
      <c r="T935" s="11">
        <v>33.38</v>
      </c>
      <c r="U935" s="11" t="s">
        <v>51</v>
      </c>
      <c r="V935" s="10" t="s">
        <v>52</v>
      </c>
      <c r="W935" s="10" t="s">
        <v>9627</v>
      </c>
      <c r="X935" s="10" t="s">
        <v>9628</v>
      </c>
      <c r="Y935" s="10" t="s">
        <v>9629</v>
      </c>
      <c r="Z935" s="10" t="s">
        <v>50</v>
      </c>
      <c r="AA935" s="10" t="s">
        <v>50</v>
      </c>
      <c r="AB935" s="10" t="s">
        <v>9627</v>
      </c>
      <c r="AC935" s="10" t="s">
        <v>9630</v>
      </c>
      <c r="AD935" s="10" t="s">
        <v>9631</v>
      </c>
      <c r="AE935" s="10" t="s">
        <v>9632</v>
      </c>
      <c r="AF935" s="10" t="s">
        <v>323</v>
      </c>
      <c r="AG935" s="10" t="s">
        <v>9633</v>
      </c>
      <c r="AH935" s="10" t="s">
        <v>60</v>
      </c>
      <c r="AI935" s="10" t="s">
        <v>61</v>
      </c>
      <c r="AJ935" s="10" t="s">
        <v>7108</v>
      </c>
      <c r="AK935" s="10" t="s">
        <v>9634</v>
      </c>
      <c r="AL935" s="10" t="s">
        <v>64</v>
      </c>
      <c r="AM935" s="10" t="s">
        <v>9635</v>
      </c>
      <c r="AN935" s="10" t="s">
        <v>50</v>
      </c>
      <c r="AO935" s="11" t="s">
        <v>50</v>
      </c>
      <c r="AP935" s="10" t="s">
        <v>50</v>
      </c>
      <c r="AQ935" s="10" t="s">
        <v>50</v>
      </c>
      <c r="AR935" s="10" t="s">
        <v>50</v>
      </c>
      <c r="AS935" s="10" t="s">
        <v>50</v>
      </c>
      <c r="AT935" s="10" t="s">
        <v>50</v>
      </c>
      <c r="AU935" s="10" t="s">
        <v>50</v>
      </c>
      <c r="AV935" s="11"/>
      <c r="AW935" s="10" t="s">
        <v>66</v>
      </c>
      <c r="AX935" s="10"/>
      <c r="AY935" s="10" t="s">
        <v>66</v>
      </c>
    </row>
    <row r="936" ht="22.5" hidden="1" customHeight="1">
      <c r="A936" s="12" t="s">
        <v>9636</v>
      </c>
      <c r="B936" s="13" t="s">
        <v>9637</v>
      </c>
      <c r="C936" s="13" t="s">
        <v>747</v>
      </c>
      <c r="D936" s="13" t="s">
        <v>50</v>
      </c>
      <c r="E936" s="13" t="s">
        <v>50</v>
      </c>
      <c r="F936" s="14"/>
      <c r="G936" s="14">
        <v>222.0</v>
      </c>
      <c r="H936" s="14"/>
      <c r="I936" s="14">
        <v>-37.74</v>
      </c>
      <c r="J936" s="14">
        <v>-41.4</v>
      </c>
      <c r="K936" s="14">
        <v>-150.06</v>
      </c>
      <c r="L936" s="14">
        <v>0.0</v>
      </c>
      <c r="M936" s="13" t="s">
        <v>46</v>
      </c>
      <c r="N936" s="13" t="s">
        <v>50</v>
      </c>
      <c r="O936" s="13" t="s">
        <v>50</v>
      </c>
      <c r="P936" s="13" t="s">
        <v>50</v>
      </c>
      <c r="Q936" s="13" t="s">
        <v>50</v>
      </c>
      <c r="R936" s="13" t="s">
        <v>50</v>
      </c>
      <c r="S936" s="14"/>
      <c r="T936" s="11"/>
      <c r="U936" s="14" t="s">
        <v>50</v>
      </c>
      <c r="V936" s="13" t="s">
        <v>52</v>
      </c>
      <c r="W936" s="13" t="s">
        <v>9638</v>
      </c>
      <c r="X936" s="13" t="s">
        <v>9639</v>
      </c>
      <c r="Y936" s="13" t="s">
        <v>9640</v>
      </c>
      <c r="Z936" s="13" t="s">
        <v>50</v>
      </c>
      <c r="AA936" s="13" t="s">
        <v>50</v>
      </c>
      <c r="AB936" s="13" t="s">
        <v>9638</v>
      </c>
      <c r="AC936" s="13" t="s">
        <v>9641</v>
      </c>
      <c r="AD936" s="13" t="s">
        <v>50</v>
      </c>
      <c r="AE936" s="13" t="s">
        <v>308</v>
      </c>
      <c r="AF936" s="13" t="s">
        <v>136</v>
      </c>
      <c r="AG936" s="13" t="s">
        <v>9642</v>
      </c>
      <c r="AH936" s="13" t="s">
        <v>60</v>
      </c>
      <c r="AI936" s="13" t="s">
        <v>61</v>
      </c>
      <c r="AJ936" s="13" t="s">
        <v>50</v>
      </c>
      <c r="AK936" s="13" t="s">
        <v>50</v>
      </c>
      <c r="AL936" s="13" t="s">
        <v>64</v>
      </c>
      <c r="AM936" s="13" t="s">
        <v>9643</v>
      </c>
      <c r="AN936" s="13" t="s">
        <v>50</v>
      </c>
      <c r="AO936" s="15" t="s">
        <v>50</v>
      </c>
      <c r="AP936" s="13" t="s">
        <v>50</v>
      </c>
      <c r="AQ936" s="13" t="s">
        <v>50</v>
      </c>
      <c r="AR936" s="13" t="s">
        <v>50</v>
      </c>
      <c r="AS936" s="13" t="s">
        <v>50</v>
      </c>
      <c r="AT936" s="13" t="s">
        <v>50</v>
      </c>
      <c r="AU936" s="13" t="s">
        <v>50</v>
      </c>
      <c r="AV936" s="15"/>
      <c r="AW936" s="13" t="s">
        <v>50</v>
      </c>
      <c r="AX936" s="13"/>
      <c r="AY936" s="13" t="s">
        <v>50</v>
      </c>
    </row>
    <row r="937" ht="22.5" hidden="1" customHeight="1">
      <c r="A937" s="16" t="s">
        <v>9644</v>
      </c>
      <c r="B937" s="17" t="s">
        <v>9637</v>
      </c>
      <c r="C937" s="17" t="s">
        <v>69</v>
      </c>
      <c r="D937" s="17" t="s">
        <v>402</v>
      </c>
      <c r="E937" s="17" t="s">
        <v>45</v>
      </c>
      <c r="F937" s="18">
        <v>1.0</v>
      </c>
      <c r="G937" s="18"/>
      <c r="H937" s="18"/>
      <c r="I937" s="18"/>
      <c r="J937" s="18"/>
      <c r="K937" s="18"/>
      <c r="L937" s="18"/>
      <c r="M937" s="17" t="s">
        <v>50</v>
      </c>
      <c r="N937" s="17" t="s">
        <v>45</v>
      </c>
      <c r="O937" s="17" t="s">
        <v>9645</v>
      </c>
      <c r="P937" s="17" t="s">
        <v>9646</v>
      </c>
      <c r="Q937" s="17" t="s">
        <v>9647</v>
      </c>
      <c r="R937" s="17" t="s">
        <v>74</v>
      </c>
      <c r="S937" s="18">
        <v>102.0</v>
      </c>
      <c r="T937" s="18">
        <v>49.38</v>
      </c>
      <c r="U937" s="18" t="s">
        <v>51</v>
      </c>
      <c r="V937" s="17" t="s">
        <v>50</v>
      </c>
      <c r="W937" s="17" t="s">
        <v>50</v>
      </c>
      <c r="X937" s="17" t="s">
        <v>50</v>
      </c>
      <c r="Y937" s="17" t="s">
        <v>50</v>
      </c>
      <c r="Z937" s="17" t="s">
        <v>50</v>
      </c>
      <c r="AA937" s="17" t="s">
        <v>50</v>
      </c>
      <c r="AB937" s="17" t="s">
        <v>50</v>
      </c>
      <c r="AC937" s="17" t="s">
        <v>50</v>
      </c>
      <c r="AD937" s="17" t="s">
        <v>50</v>
      </c>
      <c r="AE937" s="17" t="s">
        <v>50</v>
      </c>
      <c r="AF937" s="17" t="s">
        <v>50</v>
      </c>
      <c r="AG937" s="17" t="s">
        <v>50</v>
      </c>
      <c r="AH937" s="17" t="s">
        <v>50</v>
      </c>
      <c r="AI937" s="17" t="s">
        <v>50</v>
      </c>
      <c r="AJ937" s="17" t="s">
        <v>50</v>
      </c>
      <c r="AK937" s="17" t="s">
        <v>50</v>
      </c>
      <c r="AL937" s="17" t="s">
        <v>50</v>
      </c>
      <c r="AM937" s="17" t="s">
        <v>50</v>
      </c>
      <c r="AN937" s="17" t="s">
        <v>50</v>
      </c>
      <c r="AO937" s="18" t="s">
        <v>50</v>
      </c>
      <c r="AP937" s="17" t="s">
        <v>50</v>
      </c>
      <c r="AQ937" s="17" t="s">
        <v>50</v>
      </c>
      <c r="AR937" s="17" t="s">
        <v>50</v>
      </c>
      <c r="AS937" s="17" t="s">
        <v>50</v>
      </c>
      <c r="AT937" s="17" t="s">
        <v>50</v>
      </c>
      <c r="AU937" s="17" t="s">
        <v>50</v>
      </c>
      <c r="AV937" s="18"/>
      <c r="AW937" s="17" t="s">
        <v>66</v>
      </c>
      <c r="AX937" s="17"/>
      <c r="AY937" s="17" t="s">
        <v>66</v>
      </c>
    </row>
    <row r="938" ht="22.5" hidden="1" customHeight="1">
      <c r="A938" s="16" t="s">
        <v>9648</v>
      </c>
      <c r="B938" s="17" t="s">
        <v>9637</v>
      </c>
      <c r="C938" s="17" t="s">
        <v>69</v>
      </c>
      <c r="D938" s="17" t="s">
        <v>402</v>
      </c>
      <c r="E938" s="17" t="s">
        <v>45</v>
      </c>
      <c r="F938" s="18">
        <v>1.0</v>
      </c>
      <c r="G938" s="18"/>
      <c r="H938" s="18"/>
      <c r="I938" s="18"/>
      <c r="J938" s="18"/>
      <c r="K938" s="18"/>
      <c r="L938" s="18"/>
      <c r="M938" s="17" t="s">
        <v>50</v>
      </c>
      <c r="N938" s="17" t="s">
        <v>45</v>
      </c>
      <c r="O938" s="17" t="s">
        <v>85</v>
      </c>
      <c r="P938" s="17" t="s">
        <v>86</v>
      </c>
      <c r="Q938" s="17" t="s">
        <v>87</v>
      </c>
      <c r="R938" s="17" t="s">
        <v>74</v>
      </c>
      <c r="S938" s="18">
        <v>120.0</v>
      </c>
      <c r="T938" s="18">
        <v>65.78</v>
      </c>
      <c r="U938" s="18" t="s">
        <v>51</v>
      </c>
      <c r="V938" s="17" t="s">
        <v>50</v>
      </c>
      <c r="W938" s="17" t="s">
        <v>50</v>
      </c>
      <c r="X938" s="17" t="s">
        <v>50</v>
      </c>
      <c r="Y938" s="17" t="s">
        <v>50</v>
      </c>
      <c r="Z938" s="17" t="s">
        <v>50</v>
      </c>
      <c r="AA938" s="17" t="s">
        <v>50</v>
      </c>
      <c r="AB938" s="17" t="s">
        <v>50</v>
      </c>
      <c r="AC938" s="17" t="s">
        <v>50</v>
      </c>
      <c r="AD938" s="17" t="s">
        <v>50</v>
      </c>
      <c r="AE938" s="17" t="s">
        <v>50</v>
      </c>
      <c r="AF938" s="17" t="s">
        <v>50</v>
      </c>
      <c r="AG938" s="17" t="s">
        <v>50</v>
      </c>
      <c r="AH938" s="17" t="s">
        <v>50</v>
      </c>
      <c r="AI938" s="17" t="s">
        <v>50</v>
      </c>
      <c r="AJ938" s="17" t="s">
        <v>50</v>
      </c>
      <c r="AK938" s="17" t="s">
        <v>50</v>
      </c>
      <c r="AL938" s="17" t="s">
        <v>50</v>
      </c>
      <c r="AM938" s="17" t="s">
        <v>50</v>
      </c>
      <c r="AN938" s="17" t="s">
        <v>50</v>
      </c>
      <c r="AO938" s="18" t="s">
        <v>50</v>
      </c>
      <c r="AP938" s="17" t="s">
        <v>50</v>
      </c>
      <c r="AQ938" s="17" t="s">
        <v>50</v>
      </c>
      <c r="AR938" s="17" t="s">
        <v>50</v>
      </c>
      <c r="AS938" s="17" t="s">
        <v>50</v>
      </c>
      <c r="AT938" s="17" t="s">
        <v>50</v>
      </c>
      <c r="AU938" s="17" t="s">
        <v>50</v>
      </c>
      <c r="AV938" s="18"/>
      <c r="AW938" s="17" t="s">
        <v>66</v>
      </c>
      <c r="AX938" s="17"/>
      <c r="AY938" s="17" t="s">
        <v>66</v>
      </c>
    </row>
    <row r="939" ht="22.5" hidden="1" customHeight="1">
      <c r="A939" s="9" t="s">
        <v>9649</v>
      </c>
      <c r="B939" s="10" t="s">
        <v>9650</v>
      </c>
      <c r="C939" s="10" t="s">
        <v>43</v>
      </c>
      <c r="D939" s="10" t="s">
        <v>3477</v>
      </c>
      <c r="E939" s="10" t="s">
        <v>66</v>
      </c>
      <c r="F939" s="11">
        <v>1.0</v>
      </c>
      <c r="G939" s="11">
        <v>120.0</v>
      </c>
      <c r="H939" s="11"/>
      <c r="I939" s="11">
        <v>-20.4</v>
      </c>
      <c r="J939" s="11">
        <v>-19.95</v>
      </c>
      <c r="K939" s="11"/>
      <c r="L939" s="11">
        <v>86.85</v>
      </c>
      <c r="M939" s="10" t="s">
        <v>46</v>
      </c>
      <c r="N939" s="10" t="s">
        <v>50</v>
      </c>
      <c r="O939" s="10" t="s">
        <v>85</v>
      </c>
      <c r="P939" s="10" t="s">
        <v>86</v>
      </c>
      <c r="Q939" s="10" t="s">
        <v>87</v>
      </c>
      <c r="R939" s="10" t="s">
        <v>74</v>
      </c>
      <c r="S939" s="11">
        <v>120.0</v>
      </c>
      <c r="T939" s="11">
        <v>65.78</v>
      </c>
      <c r="U939" s="11" t="s">
        <v>51</v>
      </c>
      <c r="V939" s="10" t="s">
        <v>52</v>
      </c>
      <c r="W939" s="10" t="s">
        <v>9651</v>
      </c>
      <c r="X939" s="10" t="s">
        <v>9652</v>
      </c>
      <c r="Y939" s="10" t="s">
        <v>9653</v>
      </c>
      <c r="Z939" s="10" t="s">
        <v>50</v>
      </c>
      <c r="AA939" s="10" t="s">
        <v>50</v>
      </c>
      <c r="AB939" s="10" t="s">
        <v>9651</v>
      </c>
      <c r="AC939" s="10" t="s">
        <v>9654</v>
      </c>
      <c r="AD939" s="10" t="s">
        <v>9655</v>
      </c>
      <c r="AE939" s="10" t="s">
        <v>9656</v>
      </c>
      <c r="AF939" s="10" t="s">
        <v>323</v>
      </c>
      <c r="AG939" s="10" t="s">
        <v>9657</v>
      </c>
      <c r="AH939" s="10" t="s">
        <v>60</v>
      </c>
      <c r="AI939" s="10" t="s">
        <v>61</v>
      </c>
      <c r="AJ939" s="10" t="s">
        <v>9658</v>
      </c>
      <c r="AK939" s="10" t="s">
        <v>9659</v>
      </c>
      <c r="AL939" s="10" t="s">
        <v>64</v>
      </c>
      <c r="AM939" s="10" t="s">
        <v>9660</v>
      </c>
      <c r="AN939" s="10" t="s">
        <v>50</v>
      </c>
      <c r="AO939" s="11" t="s">
        <v>50</v>
      </c>
      <c r="AP939" s="10" t="s">
        <v>50</v>
      </c>
      <c r="AQ939" s="10" t="s">
        <v>50</v>
      </c>
      <c r="AR939" s="10" t="s">
        <v>50</v>
      </c>
      <c r="AS939" s="10" t="s">
        <v>50</v>
      </c>
      <c r="AT939" s="10" t="s">
        <v>50</v>
      </c>
      <c r="AU939" s="10" t="s">
        <v>50</v>
      </c>
      <c r="AV939" s="11"/>
      <c r="AW939" s="10" t="s">
        <v>66</v>
      </c>
      <c r="AX939" s="10"/>
      <c r="AY939" s="10" t="s">
        <v>66</v>
      </c>
    </row>
    <row r="940" ht="22.5" hidden="1" customHeight="1">
      <c r="A940" s="9" t="s">
        <v>9661</v>
      </c>
      <c r="B940" s="10" t="s">
        <v>9662</v>
      </c>
      <c r="C940" s="10" t="s">
        <v>43</v>
      </c>
      <c r="D940" s="10" t="s">
        <v>3477</v>
      </c>
      <c r="E940" s="10" t="s">
        <v>66</v>
      </c>
      <c r="F940" s="11">
        <v>1.0</v>
      </c>
      <c r="G940" s="11">
        <v>79.0</v>
      </c>
      <c r="H940" s="11"/>
      <c r="I940" s="11">
        <v>-13.43</v>
      </c>
      <c r="J940" s="11">
        <v>-20.45</v>
      </c>
      <c r="K940" s="11"/>
      <c r="L940" s="11">
        <v>45.12</v>
      </c>
      <c r="M940" s="10" t="s">
        <v>46</v>
      </c>
      <c r="N940" s="10" t="s">
        <v>45</v>
      </c>
      <c r="O940" s="10" t="s">
        <v>160</v>
      </c>
      <c r="P940" s="10" t="s">
        <v>161</v>
      </c>
      <c r="Q940" s="10" t="s">
        <v>162</v>
      </c>
      <c r="R940" s="10" t="s">
        <v>74</v>
      </c>
      <c r="S940" s="11">
        <v>79.0</v>
      </c>
      <c r="T940" s="11"/>
      <c r="U940" s="11" t="s">
        <v>51</v>
      </c>
      <c r="V940" s="10" t="s">
        <v>52</v>
      </c>
      <c r="W940" s="10" t="s">
        <v>9663</v>
      </c>
      <c r="X940" s="10" t="s">
        <v>9664</v>
      </c>
      <c r="Y940" s="10" t="s">
        <v>9665</v>
      </c>
      <c r="Z940" s="10" t="s">
        <v>50</v>
      </c>
      <c r="AA940" s="10" t="s">
        <v>50</v>
      </c>
      <c r="AB940" s="10" t="s">
        <v>9663</v>
      </c>
      <c r="AC940" s="10" t="s">
        <v>9666</v>
      </c>
      <c r="AD940" s="10" t="s">
        <v>9667</v>
      </c>
      <c r="AE940" s="10" t="s">
        <v>5363</v>
      </c>
      <c r="AF940" s="10" t="s">
        <v>58</v>
      </c>
      <c r="AG940" s="10" t="s">
        <v>9668</v>
      </c>
      <c r="AH940" s="10" t="s">
        <v>60</v>
      </c>
      <c r="AI940" s="10" t="s">
        <v>61</v>
      </c>
      <c r="AJ940" s="10" t="s">
        <v>9669</v>
      </c>
      <c r="AK940" s="10" t="s">
        <v>5800</v>
      </c>
      <c r="AL940" s="10" t="s">
        <v>64</v>
      </c>
      <c r="AM940" s="10" t="s">
        <v>9670</v>
      </c>
      <c r="AN940" s="10" t="s">
        <v>50</v>
      </c>
      <c r="AO940" s="11" t="s">
        <v>50</v>
      </c>
      <c r="AP940" s="10" t="s">
        <v>50</v>
      </c>
      <c r="AQ940" s="10" t="s">
        <v>50</v>
      </c>
      <c r="AR940" s="10" t="s">
        <v>50</v>
      </c>
      <c r="AS940" s="10" t="s">
        <v>50</v>
      </c>
      <c r="AT940" s="10" t="s">
        <v>50</v>
      </c>
      <c r="AU940" s="10" t="s">
        <v>50</v>
      </c>
      <c r="AV940" s="11"/>
      <c r="AW940" s="10" t="s">
        <v>66</v>
      </c>
      <c r="AX940" s="10"/>
      <c r="AY940" s="10" t="s">
        <v>66</v>
      </c>
    </row>
    <row r="941" ht="22.5" hidden="1" customHeight="1">
      <c r="A941" s="9" t="s">
        <v>9671</v>
      </c>
      <c r="B941" s="10" t="s">
        <v>9672</v>
      </c>
      <c r="C941" s="10" t="s">
        <v>43</v>
      </c>
      <c r="D941" s="10" t="s">
        <v>3477</v>
      </c>
      <c r="E941" s="10" t="s">
        <v>45</v>
      </c>
      <c r="F941" s="11">
        <v>1.0</v>
      </c>
      <c r="G941" s="11">
        <v>79.2</v>
      </c>
      <c r="H941" s="11"/>
      <c r="I941" s="11">
        <v>-13.46</v>
      </c>
      <c r="J941" s="11">
        <v>-20.45</v>
      </c>
      <c r="K941" s="11"/>
      <c r="L941" s="11">
        <v>45.29</v>
      </c>
      <c r="M941" s="10" t="s">
        <v>46</v>
      </c>
      <c r="N941" s="10" t="s">
        <v>45</v>
      </c>
      <c r="O941" s="10" t="s">
        <v>412</v>
      </c>
      <c r="P941" s="10" t="s">
        <v>413</v>
      </c>
      <c r="Q941" s="10" t="s">
        <v>414</v>
      </c>
      <c r="R941" s="10" t="s">
        <v>415</v>
      </c>
      <c r="S941" s="11">
        <v>79.2</v>
      </c>
      <c r="T941" s="11">
        <v>10.05</v>
      </c>
      <c r="U941" s="11" t="s">
        <v>51</v>
      </c>
      <c r="V941" s="10" t="s">
        <v>52</v>
      </c>
      <c r="W941" s="10" t="s">
        <v>9673</v>
      </c>
      <c r="X941" s="10" t="s">
        <v>9674</v>
      </c>
      <c r="Y941" s="10" t="s">
        <v>9675</v>
      </c>
      <c r="Z941" s="10" t="s">
        <v>50</v>
      </c>
      <c r="AA941" s="10" t="s">
        <v>50</v>
      </c>
      <c r="AB941" s="10" t="s">
        <v>9673</v>
      </c>
      <c r="AC941" s="10" t="s">
        <v>9676</v>
      </c>
      <c r="AD941" s="10" t="s">
        <v>9677</v>
      </c>
      <c r="AE941" s="10" t="s">
        <v>9678</v>
      </c>
      <c r="AF941" s="10" t="s">
        <v>323</v>
      </c>
      <c r="AG941" s="10" t="s">
        <v>9679</v>
      </c>
      <c r="AH941" s="10" t="s">
        <v>60</v>
      </c>
      <c r="AI941" s="10" t="s">
        <v>61</v>
      </c>
      <c r="AJ941" s="10" t="s">
        <v>6775</v>
      </c>
      <c r="AK941" s="10" t="s">
        <v>9680</v>
      </c>
      <c r="AL941" s="10" t="s">
        <v>64</v>
      </c>
      <c r="AM941" s="10" t="s">
        <v>9681</v>
      </c>
      <c r="AN941" s="10" t="s">
        <v>50</v>
      </c>
      <c r="AO941" s="11" t="s">
        <v>50</v>
      </c>
      <c r="AP941" s="10" t="s">
        <v>50</v>
      </c>
      <c r="AQ941" s="10" t="s">
        <v>50</v>
      </c>
      <c r="AR941" s="10" t="s">
        <v>50</v>
      </c>
      <c r="AS941" s="10" t="s">
        <v>50</v>
      </c>
      <c r="AT941" s="10" t="s">
        <v>50</v>
      </c>
      <c r="AU941" s="10" t="s">
        <v>50</v>
      </c>
      <c r="AV941" s="11"/>
      <c r="AW941" s="10" t="s">
        <v>66</v>
      </c>
      <c r="AX941" s="10"/>
      <c r="AY941" s="10" t="s">
        <v>66</v>
      </c>
    </row>
    <row r="942" ht="22.5" hidden="1" customHeight="1">
      <c r="A942" s="9" t="s">
        <v>9682</v>
      </c>
      <c r="B942" s="10" t="s">
        <v>9683</v>
      </c>
      <c r="C942" s="10" t="s">
        <v>43</v>
      </c>
      <c r="D942" s="10" t="s">
        <v>3477</v>
      </c>
      <c r="E942" s="10" t="s">
        <v>45</v>
      </c>
      <c r="F942" s="11">
        <v>1.0</v>
      </c>
      <c r="G942" s="11">
        <v>80.0</v>
      </c>
      <c r="H942" s="11"/>
      <c r="I942" s="11">
        <v>-13.6</v>
      </c>
      <c r="J942" s="11">
        <v>-19.95</v>
      </c>
      <c r="K942" s="11"/>
      <c r="L942" s="11">
        <v>50.45</v>
      </c>
      <c r="M942" s="10" t="s">
        <v>46</v>
      </c>
      <c r="N942" s="10" t="s">
        <v>45</v>
      </c>
      <c r="O942" s="10" t="s">
        <v>143</v>
      </c>
      <c r="P942" s="10" t="s">
        <v>144</v>
      </c>
      <c r="Q942" s="10" t="s">
        <v>145</v>
      </c>
      <c r="R942" s="10" t="s">
        <v>74</v>
      </c>
      <c r="S942" s="11">
        <v>80.0</v>
      </c>
      <c r="T942" s="11">
        <v>33.38</v>
      </c>
      <c r="U942" s="11" t="s">
        <v>51</v>
      </c>
      <c r="V942" s="10" t="s">
        <v>52</v>
      </c>
      <c r="W942" s="10" t="s">
        <v>9684</v>
      </c>
      <c r="X942" s="10" t="s">
        <v>9685</v>
      </c>
      <c r="Y942" s="10" t="s">
        <v>9686</v>
      </c>
      <c r="Z942" s="10" t="s">
        <v>50</v>
      </c>
      <c r="AA942" s="10" t="s">
        <v>50</v>
      </c>
      <c r="AB942" s="10" t="s">
        <v>9684</v>
      </c>
      <c r="AC942" s="10" t="s">
        <v>9687</v>
      </c>
      <c r="AD942" s="10" t="s">
        <v>9688</v>
      </c>
      <c r="AE942" s="10" t="s">
        <v>9018</v>
      </c>
      <c r="AF942" s="10" t="s">
        <v>58</v>
      </c>
      <c r="AG942" s="10" t="s">
        <v>9689</v>
      </c>
      <c r="AH942" s="10" t="s">
        <v>60</v>
      </c>
      <c r="AI942" s="10" t="s">
        <v>61</v>
      </c>
      <c r="AJ942" s="10" t="s">
        <v>6825</v>
      </c>
      <c r="AK942" s="10" t="s">
        <v>9690</v>
      </c>
      <c r="AL942" s="10" t="s">
        <v>64</v>
      </c>
      <c r="AM942" s="10" t="s">
        <v>9691</v>
      </c>
      <c r="AN942" s="10" t="s">
        <v>50</v>
      </c>
      <c r="AO942" s="11" t="s">
        <v>50</v>
      </c>
      <c r="AP942" s="10" t="s">
        <v>50</v>
      </c>
      <c r="AQ942" s="10" t="s">
        <v>50</v>
      </c>
      <c r="AR942" s="10" t="s">
        <v>50</v>
      </c>
      <c r="AS942" s="10" t="s">
        <v>50</v>
      </c>
      <c r="AT942" s="10" t="s">
        <v>50</v>
      </c>
      <c r="AU942" s="10" t="s">
        <v>50</v>
      </c>
      <c r="AV942" s="11"/>
      <c r="AW942" s="10" t="s">
        <v>66</v>
      </c>
      <c r="AX942" s="10"/>
      <c r="AY942" s="10" t="s">
        <v>66</v>
      </c>
    </row>
    <row r="943" ht="22.5" hidden="1" customHeight="1">
      <c r="A943" s="9" t="s">
        <v>9692</v>
      </c>
      <c r="B943" s="10" t="s">
        <v>9693</v>
      </c>
      <c r="C943" s="10" t="s">
        <v>43</v>
      </c>
      <c r="D943" s="10" t="s">
        <v>2481</v>
      </c>
      <c r="E943" s="10" t="s">
        <v>66</v>
      </c>
      <c r="F943" s="11">
        <v>1.0</v>
      </c>
      <c r="G943" s="11">
        <v>80.6</v>
      </c>
      <c r="H943" s="11"/>
      <c r="I943" s="11">
        <v>-13.7</v>
      </c>
      <c r="J943" s="11">
        <v>-20.45</v>
      </c>
      <c r="K943" s="11"/>
      <c r="L943" s="11">
        <v>46.45</v>
      </c>
      <c r="M943" s="10" t="s">
        <v>46</v>
      </c>
      <c r="N943" s="10" t="s">
        <v>45</v>
      </c>
      <c r="O943" s="10" t="s">
        <v>265</v>
      </c>
      <c r="P943" s="10" t="s">
        <v>266</v>
      </c>
      <c r="Q943" s="10" t="s">
        <v>267</v>
      </c>
      <c r="R943" s="10" t="s">
        <v>74</v>
      </c>
      <c r="S943" s="11">
        <v>80.6</v>
      </c>
      <c r="T943" s="11">
        <v>26.22</v>
      </c>
      <c r="U943" s="11" t="s">
        <v>51</v>
      </c>
      <c r="V943" s="10" t="s">
        <v>52</v>
      </c>
      <c r="W943" s="10" t="s">
        <v>9694</v>
      </c>
      <c r="X943" s="10" t="s">
        <v>9695</v>
      </c>
      <c r="Y943" s="10" t="s">
        <v>9696</v>
      </c>
      <c r="Z943" s="10" t="s">
        <v>50</v>
      </c>
      <c r="AA943" s="10" t="s">
        <v>50</v>
      </c>
      <c r="AB943" s="10" t="s">
        <v>9694</v>
      </c>
      <c r="AC943" s="10" t="s">
        <v>9697</v>
      </c>
      <c r="AD943" s="10" t="s">
        <v>9698</v>
      </c>
      <c r="AE943" s="10" t="s">
        <v>9699</v>
      </c>
      <c r="AF943" s="10" t="s">
        <v>185</v>
      </c>
      <c r="AG943" s="10" t="s">
        <v>9700</v>
      </c>
      <c r="AH943" s="10" t="s">
        <v>60</v>
      </c>
      <c r="AI943" s="10" t="s">
        <v>61</v>
      </c>
      <c r="AJ943" s="10" t="s">
        <v>6825</v>
      </c>
      <c r="AK943" s="10" t="s">
        <v>9701</v>
      </c>
      <c r="AL943" s="10" t="s">
        <v>64</v>
      </c>
      <c r="AM943" s="10" t="s">
        <v>9702</v>
      </c>
      <c r="AN943" s="10" t="s">
        <v>50</v>
      </c>
      <c r="AO943" s="11" t="s">
        <v>50</v>
      </c>
      <c r="AP943" s="10" t="s">
        <v>50</v>
      </c>
      <c r="AQ943" s="10" t="s">
        <v>50</v>
      </c>
      <c r="AR943" s="10" t="s">
        <v>50</v>
      </c>
      <c r="AS943" s="10" t="s">
        <v>50</v>
      </c>
      <c r="AT943" s="10" t="s">
        <v>50</v>
      </c>
      <c r="AU943" s="10" t="s">
        <v>50</v>
      </c>
      <c r="AV943" s="11"/>
      <c r="AW943" s="10" t="s">
        <v>66</v>
      </c>
      <c r="AX943" s="10"/>
      <c r="AY943" s="10" t="s">
        <v>66</v>
      </c>
    </row>
    <row r="944" ht="22.5" hidden="1" customHeight="1">
      <c r="A944" s="12" t="s">
        <v>9703</v>
      </c>
      <c r="B944" s="13" t="s">
        <v>9704</v>
      </c>
      <c r="C944" s="13" t="s">
        <v>747</v>
      </c>
      <c r="D944" s="13" t="s">
        <v>50</v>
      </c>
      <c r="E944" s="13" t="s">
        <v>50</v>
      </c>
      <c r="F944" s="14"/>
      <c r="G944" s="14">
        <v>199.0</v>
      </c>
      <c r="H944" s="14"/>
      <c r="I944" s="14">
        <v>-33.83</v>
      </c>
      <c r="J944" s="14">
        <v>-39.9</v>
      </c>
      <c r="K944" s="14"/>
      <c r="L944" s="14">
        <v>132.47</v>
      </c>
      <c r="M944" s="13" t="s">
        <v>46</v>
      </c>
      <c r="N944" s="13" t="s">
        <v>50</v>
      </c>
      <c r="O944" s="13" t="s">
        <v>50</v>
      </c>
      <c r="P944" s="13" t="s">
        <v>50</v>
      </c>
      <c r="Q944" s="13" t="s">
        <v>50</v>
      </c>
      <c r="R944" s="13" t="s">
        <v>50</v>
      </c>
      <c r="S944" s="14"/>
      <c r="T944" s="11">
        <v>2.49</v>
      </c>
      <c r="U944" s="14" t="s">
        <v>50</v>
      </c>
      <c r="V944" s="13" t="s">
        <v>52</v>
      </c>
      <c r="W944" s="13" t="s">
        <v>9705</v>
      </c>
      <c r="X944" s="13" t="s">
        <v>9706</v>
      </c>
      <c r="Y944" s="13" t="s">
        <v>9707</v>
      </c>
      <c r="Z944" s="13" t="s">
        <v>50</v>
      </c>
      <c r="AA944" s="13" t="s">
        <v>50</v>
      </c>
      <c r="AB944" s="13" t="s">
        <v>9705</v>
      </c>
      <c r="AC944" s="13" t="s">
        <v>9708</v>
      </c>
      <c r="AD944" s="13" t="s">
        <v>9709</v>
      </c>
      <c r="AE944" s="13" t="s">
        <v>9710</v>
      </c>
      <c r="AF944" s="13" t="s">
        <v>561</v>
      </c>
      <c r="AG944" s="13" t="s">
        <v>9711</v>
      </c>
      <c r="AH944" s="13" t="s">
        <v>60</v>
      </c>
      <c r="AI944" s="13" t="s">
        <v>61</v>
      </c>
      <c r="AJ944" s="13" t="s">
        <v>6571</v>
      </c>
      <c r="AK944" s="13" t="s">
        <v>9712</v>
      </c>
      <c r="AL944" s="13" t="s">
        <v>64</v>
      </c>
      <c r="AM944" s="13" t="s">
        <v>9713</v>
      </c>
      <c r="AN944" s="13" t="s">
        <v>50</v>
      </c>
      <c r="AO944" s="15" t="s">
        <v>50</v>
      </c>
      <c r="AP944" s="13" t="s">
        <v>50</v>
      </c>
      <c r="AQ944" s="13" t="s">
        <v>50</v>
      </c>
      <c r="AR944" s="13" t="s">
        <v>50</v>
      </c>
      <c r="AS944" s="13" t="s">
        <v>50</v>
      </c>
      <c r="AT944" s="13" t="s">
        <v>50</v>
      </c>
      <c r="AU944" s="13" t="s">
        <v>50</v>
      </c>
      <c r="AV944" s="15"/>
      <c r="AW944" s="13" t="s">
        <v>50</v>
      </c>
      <c r="AX944" s="13"/>
      <c r="AY944" s="13" t="s">
        <v>50</v>
      </c>
    </row>
    <row r="945" ht="22.5" hidden="1" customHeight="1">
      <c r="A945" s="16" t="s">
        <v>9714</v>
      </c>
      <c r="B945" s="17" t="s">
        <v>9704</v>
      </c>
      <c r="C945" s="17" t="s">
        <v>43</v>
      </c>
      <c r="D945" s="17" t="s">
        <v>2326</v>
      </c>
      <c r="E945" s="17" t="s">
        <v>45</v>
      </c>
      <c r="F945" s="18">
        <v>1.0</v>
      </c>
      <c r="G945" s="18"/>
      <c r="H945" s="18"/>
      <c r="I945" s="18"/>
      <c r="J945" s="18"/>
      <c r="K945" s="18"/>
      <c r="L945" s="18"/>
      <c r="M945" s="17" t="s">
        <v>50</v>
      </c>
      <c r="N945" s="17" t="s">
        <v>50</v>
      </c>
      <c r="O945" s="17" t="s">
        <v>766</v>
      </c>
      <c r="P945" s="17" t="s">
        <v>767</v>
      </c>
      <c r="Q945" s="17" t="s">
        <v>768</v>
      </c>
      <c r="R945" s="17" t="s">
        <v>74</v>
      </c>
      <c r="S945" s="18">
        <v>79.0</v>
      </c>
      <c r="T945" s="18">
        <v>13.62</v>
      </c>
      <c r="U945" s="18" t="s">
        <v>51</v>
      </c>
      <c r="V945" s="17" t="s">
        <v>50</v>
      </c>
      <c r="W945" s="17" t="s">
        <v>50</v>
      </c>
      <c r="X945" s="17" t="s">
        <v>50</v>
      </c>
      <c r="Y945" s="17" t="s">
        <v>50</v>
      </c>
      <c r="Z945" s="17" t="s">
        <v>50</v>
      </c>
      <c r="AA945" s="17" t="s">
        <v>50</v>
      </c>
      <c r="AB945" s="17" t="s">
        <v>50</v>
      </c>
      <c r="AC945" s="17" t="s">
        <v>50</v>
      </c>
      <c r="AD945" s="17" t="s">
        <v>50</v>
      </c>
      <c r="AE945" s="17" t="s">
        <v>50</v>
      </c>
      <c r="AF945" s="17" t="s">
        <v>50</v>
      </c>
      <c r="AG945" s="17" t="s">
        <v>50</v>
      </c>
      <c r="AH945" s="17" t="s">
        <v>50</v>
      </c>
      <c r="AI945" s="17" t="s">
        <v>50</v>
      </c>
      <c r="AJ945" s="17" t="s">
        <v>50</v>
      </c>
      <c r="AK945" s="17" t="s">
        <v>50</v>
      </c>
      <c r="AL945" s="17" t="s">
        <v>50</v>
      </c>
      <c r="AM945" s="17" t="s">
        <v>50</v>
      </c>
      <c r="AN945" s="17" t="s">
        <v>50</v>
      </c>
      <c r="AO945" s="18" t="s">
        <v>50</v>
      </c>
      <c r="AP945" s="17" t="s">
        <v>50</v>
      </c>
      <c r="AQ945" s="17" t="s">
        <v>50</v>
      </c>
      <c r="AR945" s="17" t="s">
        <v>50</v>
      </c>
      <c r="AS945" s="17" t="s">
        <v>50</v>
      </c>
      <c r="AT945" s="17" t="s">
        <v>50</v>
      </c>
      <c r="AU945" s="17" t="s">
        <v>50</v>
      </c>
      <c r="AV945" s="18"/>
      <c r="AW945" s="17" t="s">
        <v>66</v>
      </c>
      <c r="AX945" s="17"/>
      <c r="AY945" s="17" t="s">
        <v>66</v>
      </c>
    </row>
    <row r="946" ht="22.5" hidden="1" customHeight="1">
      <c r="A946" s="16" t="s">
        <v>9715</v>
      </c>
      <c r="B946" s="17" t="s">
        <v>9704</v>
      </c>
      <c r="C946" s="17" t="s">
        <v>43</v>
      </c>
      <c r="D946" s="17" t="s">
        <v>2326</v>
      </c>
      <c r="E946" s="17" t="s">
        <v>45</v>
      </c>
      <c r="F946" s="18">
        <v>1.0</v>
      </c>
      <c r="G946" s="18"/>
      <c r="H946" s="18"/>
      <c r="I946" s="18"/>
      <c r="J946" s="18"/>
      <c r="K946" s="18"/>
      <c r="L946" s="18"/>
      <c r="M946" s="17" t="s">
        <v>50</v>
      </c>
      <c r="N946" s="17" t="s">
        <v>50</v>
      </c>
      <c r="O946" s="17" t="s">
        <v>85</v>
      </c>
      <c r="P946" s="17" t="s">
        <v>86</v>
      </c>
      <c r="Q946" s="17" t="s">
        <v>87</v>
      </c>
      <c r="R946" s="17" t="s">
        <v>74</v>
      </c>
      <c r="S946" s="18">
        <v>120.0</v>
      </c>
      <c r="T946" s="18">
        <v>65.78</v>
      </c>
      <c r="U946" s="18" t="s">
        <v>51</v>
      </c>
      <c r="V946" s="17" t="s">
        <v>50</v>
      </c>
      <c r="W946" s="17" t="s">
        <v>50</v>
      </c>
      <c r="X946" s="17" t="s">
        <v>50</v>
      </c>
      <c r="Y946" s="17" t="s">
        <v>50</v>
      </c>
      <c r="Z946" s="17" t="s">
        <v>50</v>
      </c>
      <c r="AA946" s="17" t="s">
        <v>50</v>
      </c>
      <c r="AB946" s="17" t="s">
        <v>50</v>
      </c>
      <c r="AC946" s="17" t="s">
        <v>50</v>
      </c>
      <c r="AD946" s="17" t="s">
        <v>50</v>
      </c>
      <c r="AE946" s="17" t="s">
        <v>50</v>
      </c>
      <c r="AF946" s="17" t="s">
        <v>50</v>
      </c>
      <c r="AG946" s="17" t="s">
        <v>50</v>
      </c>
      <c r="AH946" s="17" t="s">
        <v>50</v>
      </c>
      <c r="AI946" s="17" t="s">
        <v>50</v>
      </c>
      <c r="AJ946" s="17" t="s">
        <v>50</v>
      </c>
      <c r="AK946" s="17" t="s">
        <v>50</v>
      </c>
      <c r="AL946" s="17" t="s">
        <v>50</v>
      </c>
      <c r="AM946" s="17" t="s">
        <v>50</v>
      </c>
      <c r="AN946" s="17" t="s">
        <v>50</v>
      </c>
      <c r="AO946" s="18" t="s">
        <v>50</v>
      </c>
      <c r="AP946" s="17" t="s">
        <v>50</v>
      </c>
      <c r="AQ946" s="17" t="s">
        <v>50</v>
      </c>
      <c r="AR946" s="17" t="s">
        <v>50</v>
      </c>
      <c r="AS946" s="17" t="s">
        <v>50</v>
      </c>
      <c r="AT946" s="17" t="s">
        <v>50</v>
      </c>
      <c r="AU946" s="17" t="s">
        <v>50</v>
      </c>
      <c r="AV946" s="18"/>
      <c r="AW946" s="17" t="s">
        <v>66</v>
      </c>
      <c r="AX946" s="17"/>
      <c r="AY946" s="17" t="s">
        <v>66</v>
      </c>
    </row>
    <row r="947" ht="22.5" hidden="1" customHeight="1">
      <c r="A947" s="9" t="s">
        <v>9716</v>
      </c>
      <c r="B947" s="10" t="s">
        <v>9717</v>
      </c>
      <c r="C947" s="10" t="s">
        <v>43</v>
      </c>
      <c r="D947" s="10" t="s">
        <v>4592</v>
      </c>
      <c r="E947" s="10" t="s">
        <v>45</v>
      </c>
      <c r="F947" s="11">
        <v>1.0</v>
      </c>
      <c r="G947" s="11">
        <v>79.0</v>
      </c>
      <c r="H947" s="11"/>
      <c r="I947" s="11">
        <v>-13.43</v>
      </c>
      <c r="J947" s="11">
        <v>-20.45</v>
      </c>
      <c r="K947" s="11"/>
      <c r="L947" s="11">
        <v>45.12</v>
      </c>
      <c r="M947" s="10" t="s">
        <v>46</v>
      </c>
      <c r="N947" s="10" t="s">
        <v>45</v>
      </c>
      <c r="O947" s="10" t="s">
        <v>160</v>
      </c>
      <c r="P947" s="10" t="s">
        <v>161</v>
      </c>
      <c r="Q947" s="10" t="s">
        <v>162</v>
      </c>
      <c r="R947" s="10" t="s">
        <v>74</v>
      </c>
      <c r="S947" s="11">
        <v>79.0</v>
      </c>
      <c r="T947" s="11">
        <v>2.49</v>
      </c>
      <c r="U947" s="11" t="s">
        <v>51</v>
      </c>
      <c r="V947" s="10" t="s">
        <v>52</v>
      </c>
      <c r="W947" s="10" t="s">
        <v>9718</v>
      </c>
      <c r="X947" s="10" t="s">
        <v>9719</v>
      </c>
      <c r="Y947" s="10" t="s">
        <v>9720</v>
      </c>
      <c r="Z947" s="10" t="s">
        <v>50</v>
      </c>
      <c r="AA947" s="10" t="s">
        <v>50</v>
      </c>
      <c r="AB947" s="10" t="s">
        <v>9718</v>
      </c>
      <c r="AC947" s="10" t="s">
        <v>9721</v>
      </c>
      <c r="AD947" s="10" t="s">
        <v>9722</v>
      </c>
      <c r="AE947" s="10" t="s">
        <v>9723</v>
      </c>
      <c r="AF947" s="10" t="s">
        <v>284</v>
      </c>
      <c r="AG947" s="10" t="s">
        <v>9724</v>
      </c>
      <c r="AH947" s="10" t="s">
        <v>60</v>
      </c>
      <c r="AI947" s="10" t="s">
        <v>61</v>
      </c>
      <c r="AJ947" s="10" t="s">
        <v>6751</v>
      </c>
      <c r="AK947" s="10" t="s">
        <v>9725</v>
      </c>
      <c r="AL947" s="10" t="s">
        <v>64</v>
      </c>
      <c r="AM947" s="10" t="s">
        <v>9726</v>
      </c>
      <c r="AN947" s="10" t="s">
        <v>9727</v>
      </c>
      <c r="AO947" s="11" t="s">
        <v>50</v>
      </c>
      <c r="AP947" s="10" t="s">
        <v>50</v>
      </c>
      <c r="AQ947" s="10" t="s">
        <v>50</v>
      </c>
      <c r="AR947" s="10" t="s">
        <v>50</v>
      </c>
      <c r="AS947" s="10" t="s">
        <v>50</v>
      </c>
      <c r="AT947" s="10" t="s">
        <v>50</v>
      </c>
      <c r="AU947" s="10" t="s">
        <v>50</v>
      </c>
      <c r="AV947" s="11"/>
      <c r="AW947" s="10" t="s">
        <v>66</v>
      </c>
      <c r="AX947" s="10"/>
      <c r="AY947" s="10" t="s">
        <v>66</v>
      </c>
    </row>
    <row r="948" ht="22.5" hidden="1" customHeight="1">
      <c r="A948" s="9" t="s">
        <v>9728</v>
      </c>
      <c r="B948" s="10" t="s">
        <v>9729</v>
      </c>
      <c r="C948" s="10" t="s">
        <v>43</v>
      </c>
      <c r="D948" s="10" t="s">
        <v>3477</v>
      </c>
      <c r="E948" s="10" t="s">
        <v>66</v>
      </c>
      <c r="F948" s="11">
        <v>1.0</v>
      </c>
      <c r="G948" s="11">
        <v>79.0</v>
      </c>
      <c r="H948" s="11"/>
      <c r="I948" s="11">
        <v>-13.43</v>
      </c>
      <c r="J948" s="11">
        <v>-20.45</v>
      </c>
      <c r="K948" s="11"/>
      <c r="L948" s="11">
        <v>45.12</v>
      </c>
      <c r="M948" s="10" t="s">
        <v>46</v>
      </c>
      <c r="N948" s="10" t="s">
        <v>50</v>
      </c>
      <c r="O948" s="10" t="s">
        <v>160</v>
      </c>
      <c r="P948" s="10" t="s">
        <v>161</v>
      </c>
      <c r="Q948" s="10" t="s">
        <v>162</v>
      </c>
      <c r="R948" s="10" t="s">
        <v>74</v>
      </c>
      <c r="S948" s="11">
        <v>79.0</v>
      </c>
      <c r="T948" s="11">
        <v>2.49</v>
      </c>
      <c r="U948" s="11" t="s">
        <v>51</v>
      </c>
      <c r="V948" s="10" t="s">
        <v>52</v>
      </c>
      <c r="W948" s="10" t="s">
        <v>9730</v>
      </c>
      <c r="X948" s="10" t="s">
        <v>9731</v>
      </c>
      <c r="Y948" s="10" t="s">
        <v>9732</v>
      </c>
      <c r="Z948" s="10" t="s">
        <v>50</v>
      </c>
      <c r="AA948" s="10" t="s">
        <v>50</v>
      </c>
      <c r="AB948" s="10" t="s">
        <v>9730</v>
      </c>
      <c r="AC948" s="10" t="s">
        <v>9733</v>
      </c>
      <c r="AD948" s="10" t="s">
        <v>9734</v>
      </c>
      <c r="AE948" s="10" t="s">
        <v>58</v>
      </c>
      <c r="AF948" s="10" t="s">
        <v>58</v>
      </c>
      <c r="AG948" s="10" t="s">
        <v>9735</v>
      </c>
      <c r="AH948" s="10" t="s">
        <v>60</v>
      </c>
      <c r="AI948" s="10" t="s">
        <v>61</v>
      </c>
      <c r="AJ948" s="10" t="s">
        <v>3484</v>
      </c>
      <c r="AK948" s="10" t="s">
        <v>9736</v>
      </c>
      <c r="AL948" s="10" t="s">
        <v>64</v>
      </c>
      <c r="AM948" s="10" t="s">
        <v>9737</v>
      </c>
      <c r="AN948" s="10" t="s">
        <v>50</v>
      </c>
      <c r="AO948" s="11" t="s">
        <v>50</v>
      </c>
      <c r="AP948" s="10" t="s">
        <v>50</v>
      </c>
      <c r="AQ948" s="10" t="s">
        <v>50</v>
      </c>
      <c r="AR948" s="10" t="s">
        <v>50</v>
      </c>
      <c r="AS948" s="10" t="s">
        <v>50</v>
      </c>
      <c r="AT948" s="10" t="s">
        <v>50</v>
      </c>
      <c r="AU948" s="10" t="s">
        <v>50</v>
      </c>
      <c r="AV948" s="11"/>
      <c r="AW948" s="10" t="s">
        <v>66</v>
      </c>
      <c r="AX948" s="10"/>
      <c r="AY948" s="10" t="s">
        <v>66</v>
      </c>
    </row>
    <row r="949" ht="22.5" hidden="1" customHeight="1">
      <c r="A949" s="9" t="s">
        <v>9738</v>
      </c>
      <c r="B949" s="10" t="s">
        <v>9739</v>
      </c>
      <c r="C949" s="10" t="s">
        <v>43</v>
      </c>
      <c r="D949" s="10" t="s">
        <v>6539</v>
      </c>
      <c r="E949" s="10" t="s">
        <v>45</v>
      </c>
      <c r="F949" s="11">
        <v>2.0</v>
      </c>
      <c r="G949" s="11">
        <v>87.4</v>
      </c>
      <c r="H949" s="11"/>
      <c r="I949" s="11">
        <v>-26.86</v>
      </c>
      <c r="J949" s="11"/>
      <c r="K949" s="11"/>
      <c r="L949" s="11">
        <v>65.78</v>
      </c>
      <c r="M949" s="10" t="s">
        <v>46</v>
      </c>
      <c r="N949" s="10" t="s">
        <v>50</v>
      </c>
      <c r="O949" s="10" t="s">
        <v>176</v>
      </c>
      <c r="P949" s="10" t="s">
        <v>177</v>
      </c>
      <c r="Q949" s="10" t="s">
        <v>178</v>
      </c>
      <c r="R949" s="10" t="s">
        <v>74</v>
      </c>
      <c r="S949" s="11">
        <v>43.7</v>
      </c>
      <c r="T949" s="11">
        <f>2*22.58</f>
        <v>45.16</v>
      </c>
      <c r="U949" s="11" t="s">
        <v>51</v>
      </c>
      <c r="V949" s="10" t="s">
        <v>52</v>
      </c>
      <c r="W949" s="10" t="s">
        <v>9740</v>
      </c>
      <c r="X949" s="10" t="s">
        <v>9741</v>
      </c>
      <c r="Y949" s="10" t="s">
        <v>9742</v>
      </c>
      <c r="Z949" s="10" t="s">
        <v>50</v>
      </c>
      <c r="AA949" s="10" t="s">
        <v>50</v>
      </c>
      <c r="AB949" s="10" t="s">
        <v>9740</v>
      </c>
      <c r="AC949" s="10" t="s">
        <v>9743</v>
      </c>
      <c r="AD949" s="10" t="s">
        <v>9744</v>
      </c>
      <c r="AE949" s="10" t="s">
        <v>9745</v>
      </c>
      <c r="AF949" s="10" t="s">
        <v>323</v>
      </c>
      <c r="AG949" s="10" t="s">
        <v>9746</v>
      </c>
      <c r="AH949" s="10" t="s">
        <v>60</v>
      </c>
      <c r="AI949" s="10" t="s">
        <v>61</v>
      </c>
      <c r="AJ949" s="10" t="s">
        <v>7271</v>
      </c>
      <c r="AK949" s="10" t="s">
        <v>9747</v>
      </c>
      <c r="AL949" s="10" t="s">
        <v>64</v>
      </c>
      <c r="AM949" s="10" t="s">
        <v>9748</v>
      </c>
      <c r="AN949" s="10" t="s">
        <v>50</v>
      </c>
      <c r="AO949" s="11" t="s">
        <v>50</v>
      </c>
      <c r="AP949" s="10" t="s">
        <v>50</v>
      </c>
      <c r="AQ949" s="10" t="s">
        <v>50</v>
      </c>
      <c r="AR949" s="10" t="s">
        <v>50</v>
      </c>
      <c r="AS949" s="10" t="s">
        <v>50</v>
      </c>
      <c r="AT949" s="10" t="s">
        <v>50</v>
      </c>
      <c r="AU949" s="10" t="s">
        <v>50</v>
      </c>
      <c r="AV949" s="11"/>
      <c r="AW949" s="10" t="s">
        <v>66</v>
      </c>
      <c r="AX949" s="10"/>
      <c r="AY949" s="10" t="s">
        <v>66</v>
      </c>
    </row>
    <row r="950" ht="22.5" hidden="1" customHeight="1">
      <c r="A950" s="9" t="s">
        <v>9749</v>
      </c>
      <c r="B950" s="10" t="s">
        <v>9750</v>
      </c>
      <c r="C950" s="10" t="s">
        <v>43</v>
      </c>
      <c r="D950" s="10" t="s">
        <v>3477</v>
      </c>
      <c r="E950" s="10" t="s">
        <v>45</v>
      </c>
      <c r="F950" s="11">
        <v>1.0</v>
      </c>
      <c r="G950" s="11">
        <v>43.7</v>
      </c>
      <c r="H950" s="11">
        <v>13.49</v>
      </c>
      <c r="I950" s="11">
        <v>-13.43</v>
      </c>
      <c r="J950" s="11">
        <v>-13.49</v>
      </c>
      <c r="K950" s="11"/>
      <c r="L950" s="11">
        <v>32.89</v>
      </c>
      <c r="M950" s="10" t="s">
        <v>46</v>
      </c>
      <c r="N950" s="10" t="s">
        <v>50</v>
      </c>
      <c r="O950" s="10" t="s">
        <v>176</v>
      </c>
      <c r="P950" s="10" t="s">
        <v>177</v>
      </c>
      <c r="Q950" s="10" t="s">
        <v>178</v>
      </c>
      <c r="R950" s="10" t="s">
        <v>74</v>
      </c>
      <c r="S950" s="11">
        <v>43.7</v>
      </c>
      <c r="T950" s="11">
        <v>22.58</v>
      </c>
      <c r="U950" s="11" t="s">
        <v>51</v>
      </c>
      <c r="V950" s="10" t="s">
        <v>52</v>
      </c>
      <c r="W950" s="10" t="s">
        <v>9751</v>
      </c>
      <c r="X950" s="10" t="s">
        <v>9752</v>
      </c>
      <c r="Y950" s="10" t="s">
        <v>9753</v>
      </c>
      <c r="Z950" s="10" t="s">
        <v>50</v>
      </c>
      <c r="AA950" s="10" t="s">
        <v>50</v>
      </c>
      <c r="AB950" s="10" t="s">
        <v>9751</v>
      </c>
      <c r="AC950" s="10" t="s">
        <v>9754</v>
      </c>
      <c r="AD950" s="10" t="s">
        <v>9755</v>
      </c>
      <c r="AE950" s="10" t="s">
        <v>9756</v>
      </c>
      <c r="AF950" s="10" t="s">
        <v>58</v>
      </c>
      <c r="AG950" s="10" t="s">
        <v>9757</v>
      </c>
      <c r="AH950" s="10" t="s">
        <v>60</v>
      </c>
      <c r="AI950" s="10" t="s">
        <v>61</v>
      </c>
      <c r="AJ950" s="10" t="s">
        <v>6825</v>
      </c>
      <c r="AK950" s="10" t="s">
        <v>9758</v>
      </c>
      <c r="AL950" s="10" t="s">
        <v>64</v>
      </c>
      <c r="AM950" s="10" t="s">
        <v>9759</v>
      </c>
      <c r="AN950" s="10" t="s">
        <v>9760</v>
      </c>
      <c r="AO950" s="11" t="s">
        <v>50</v>
      </c>
      <c r="AP950" s="10" t="s">
        <v>50</v>
      </c>
      <c r="AQ950" s="10" t="s">
        <v>50</v>
      </c>
      <c r="AR950" s="10" t="s">
        <v>50</v>
      </c>
      <c r="AS950" s="10" t="s">
        <v>50</v>
      </c>
      <c r="AT950" s="10" t="s">
        <v>50</v>
      </c>
      <c r="AU950" s="10" t="s">
        <v>50</v>
      </c>
      <c r="AV950" s="11"/>
      <c r="AW950" s="10" t="s">
        <v>66</v>
      </c>
      <c r="AX950" s="10"/>
      <c r="AY950" s="10" t="s">
        <v>66</v>
      </c>
    </row>
    <row r="951" ht="22.5" hidden="1" customHeight="1">
      <c r="A951" s="9" t="s">
        <v>9761</v>
      </c>
      <c r="B951" s="10" t="s">
        <v>9762</v>
      </c>
      <c r="C951" s="10" t="s">
        <v>43</v>
      </c>
      <c r="D951" s="10" t="s">
        <v>2481</v>
      </c>
      <c r="E951" s="10" t="s">
        <v>66</v>
      </c>
      <c r="F951" s="11">
        <v>1.0</v>
      </c>
      <c r="G951" s="11">
        <v>120.0</v>
      </c>
      <c r="H951" s="11">
        <v>7.55</v>
      </c>
      <c r="I951" s="11">
        <v>-20.4</v>
      </c>
      <c r="J951" s="11">
        <v>-27.5</v>
      </c>
      <c r="K951" s="11"/>
      <c r="L951" s="11">
        <v>86.85</v>
      </c>
      <c r="M951" s="10" t="s">
        <v>46</v>
      </c>
      <c r="N951" s="10" t="s">
        <v>45</v>
      </c>
      <c r="O951" s="10" t="s">
        <v>85</v>
      </c>
      <c r="P951" s="10" t="s">
        <v>86</v>
      </c>
      <c r="Q951" s="10" t="s">
        <v>87</v>
      </c>
      <c r="R951" s="10" t="s">
        <v>74</v>
      </c>
      <c r="S951" s="11">
        <v>120.0</v>
      </c>
      <c r="T951" s="11">
        <v>65.78</v>
      </c>
      <c r="U951" s="11" t="s">
        <v>51</v>
      </c>
      <c r="V951" s="10" t="s">
        <v>52</v>
      </c>
      <c r="W951" s="10" t="s">
        <v>9763</v>
      </c>
      <c r="X951" s="10" t="s">
        <v>9764</v>
      </c>
      <c r="Y951" s="10" t="s">
        <v>9765</v>
      </c>
      <c r="Z951" s="10" t="s">
        <v>50</v>
      </c>
      <c r="AA951" s="10" t="s">
        <v>50</v>
      </c>
      <c r="AB951" s="10" t="s">
        <v>9763</v>
      </c>
      <c r="AC951" s="10" t="s">
        <v>9766</v>
      </c>
      <c r="AD951" s="10" t="s">
        <v>9767</v>
      </c>
      <c r="AE951" s="10" t="s">
        <v>9768</v>
      </c>
      <c r="AF951" s="10" t="s">
        <v>408</v>
      </c>
      <c r="AG951" s="10" t="s">
        <v>9769</v>
      </c>
      <c r="AH951" s="10" t="s">
        <v>60</v>
      </c>
      <c r="AI951" s="10" t="s">
        <v>61</v>
      </c>
      <c r="AJ951" s="10" t="s">
        <v>9770</v>
      </c>
      <c r="AK951" s="10" t="s">
        <v>9771</v>
      </c>
      <c r="AL951" s="10" t="s">
        <v>64</v>
      </c>
      <c r="AM951" s="10" t="s">
        <v>9772</v>
      </c>
      <c r="AN951" s="10" t="s">
        <v>50</v>
      </c>
      <c r="AO951" s="11" t="s">
        <v>50</v>
      </c>
      <c r="AP951" s="10" t="s">
        <v>50</v>
      </c>
      <c r="AQ951" s="10" t="s">
        <v>50</v>
      </c>
      <c r="AR951" s="10" t="s">
        <v>50</v>
      </c>
      <c r="AS951" s="10" t="s">
        <v>50</v>
      </c>
      <c r="AT951" s="10" t="s">
        <v>50</v>
      </c>
      <c r="AU951" s="10" t="s">
        <v>50</v>
      </c>
      <c r="AV951" s="11"/>
      <c r="AW951" s="10" t="s">
        <v>66</v>
      </c>
      <c r="AX951" s="10"/>
      <c r="AY951" s="10" t="s">
        <v>66</v>
      </c>
    </row>
    <row r="952" ht="22.5" hidden="1" customHeight="1">
      <c r="A952" s="9" t="s">
        <v>9773</v>
      </c>
      <c r="B952" s="10" t="s">
        <v>9774</v>
      </c>
      <c r="C952" s="10" t="s">
        <v>69</v>
      </c>
      <c r="D952" s="10" t="s">
        <v>2283</v>
      </c>
      <c r="E952" s="10" t="s">
        <v>66</v>
      </c>
      <c r="F952" s="11">
        <v>1.0</v>
      </c>
      <c r="G952" s="11">
        <v>79.35</v>
      </c>
      <c r="H952" s="11"/>
      <c r="I952" s="11">
        <v>-15.08</v>
      </c>
      <c r="J952" s="11">
        <v>-19.95</v>
      </c>
      <c r="K952" s="11">
        <v>-44.32</v>
      </c>
      <c r="L952" s="11">
        <v>0.0</v>
      </c>
      <c r="M952" s="10" t="s">
        <v>46</v>
      </c>
      <c r="N952" s="10" t="s">
        <v>45</v>
      </c>
      <c r="O952" s="10" t="s">
        <v>47</v>
      </c>
      <c r="P952" s="10" t="s">
        <v>48</v>
      </c>
      <c r="Q952" s="10" t="s">
        <v>49</v>
      </c>
      <c r="R952" s="10" t="s">
        <v>50</v>
      </c>
      <c r="S952" s="11">
        <v>79.35</v>
      </c>
      <c r="T952" s="11"/>
      <c r="U952" s="11" t="s">
        <v>51</v>
      </c>
      <c r="V952" s="10" t="s">
        <v>2284</v>
      </c>
      <c r="W952" s="10" t="s">
        <v>9775</v>
      </c>
      <c r="X952" s="10" t="s">
        <v>9776</v>
      </c>
      <c r="Y952" s="10" t="s">
        <v>9777</v>
      </c>
      <c r="Z952" s="10" t="s">
        <v>50</v>
      </c>
      <c r="AA952" s="10" t="s">
        <v>50</v>
      </c>
      <c r="AB952" s="10" t="s">
        <v>9775</v>
      </c>
      <c r="AC952" s="10" t="s">
        <v>9778</v>
      </c>
      <c r="AD952" s="10" t="s">
        <v>50</v>
      </c>
      <c r="AE952" s="10" t="s">
        <v>1697</v>
      </c>
      <c r="AF952" s="10" t="s">
        <v>323</v>
      </c>
      <c r="AG952" s="10" t="s">
        <v>9779</v>
      </c>
      <c r="AH952" s="10" t="s">
        <v>60</v>
      </c>
      <c r="AI952" s="10" t="s">
        <v>61</v>
      </c>
      <c r="AJ952" s="10" t="s">
        <v>50</v>
      </c>
      <c r="AK952" s="10" t="s">
        <v>50</v>
      </c>
      <c r="AL952" s="10" t="s">
        <v>64</v>
      </c>
      <c r="AM952" s="10" t="s">
        <v>9780</v>
      </c>
      <c r="AN952" s="10" t="s">
        <v>50</v>
      </c>
      <c r="AO952" s="11" t="s">
        <v>50</v>
      </c>
      <c r="AP952" s="10" t="s">
        <v>50</v>
      </c>
      <c r="AQ952" s="10" t="s">
        <v>50</v>
      </c>
      <c r="AR952" s="10" t="s">
        <v>50</v>
      </c>
      <c r="AS952" s="10" t="s">
        <v>50</v>
      </c>
      <c r="AT952" s="10" t="s">
        <v>50</v>
      </c>
      <c r="AU952" s="10" t="s">
        <v>50</v>
      </c>
      <c r="AV952" s="11"/>
      <c r="AW952" s="10" t="s">
        <v>66</v>
      </c>
      <c r="AX952" s="10"/>
      <c r="AY952" s="10" t="s">
        <v>66</v>
      </c>
    </row>
    <row r="953" ht="22.5" hidden="1" customHeight="1">
      <c r="A953" s="9" t="s">
        <v>9781</v>
      </c>
      <c r="B953" s="10" t="s">
        <v>9782</v>
      </c>
      <c r="C953" s="10" t="s">
        <v>43</v>
      </c>
      <c r="D953" s="10" t="s">
        <v>5357</v>
      </c>
      <c r="E953" s="10" t="s">
        <v>66</v>
      </c>
      <c r="F953" s="11">
        <v>1.0</v>
      </c>
      <c r="G953" s="11">
        <v>79.35</v>
      </c>
      <c r="H953" s="11"/>
      <c r="I953" s="11">
        <v>-15.08</v>
      </c>
      <c r="J953" s="11">
        <v>-19.95</v>
      </c>
      <c r="K953" s="11"/>
      <c r="L953" s="11">
        <v>44.32</v>
      </c>
      <c r="M953" s="10" t="s">
        <v>46</v>
      </c>
      <c r="N953" s="10" t="s">
        <v>45</v>
      </c>
      <c r="O953" s="10" t="s">
        <v>47</v>
      </c>
      <c r="P953" s="10" t="s">
        <v>48</v>
      </c>
      <c r="Q953" s="10" t="s">
        <v>49</v>
      </c>
      <c r="R953" s="10" t="s">
        <v>50</v>
      </c>
      <c r="S953" s="11">
        <v>79.35</v>
      </c>
      <c r="T953" s="11">
        <v>12.45</v>
      </c>
      <c r="U953" s="11" t="s">
        <v>51</v>
      </c>
      <c r="V953" s="10" t="s">
        <v>52</v>
      </c>
      <c r="W953" s="10" t="s">
        <v>9783</v>
      </c>
      <c r="X953" s="10" t="s">
        <v>9784</v>
      </c>
      <c r="Y953" s="10" t="s">
        <v>9785</v>
      </c>
      <c r="Z953" s="10" t="s">
        <v>50</v>
      </c>
      <c r="AA953" s="10" t="s">
        <v>50</v>
      </c>
      <c r="AB953" s="10" t="s">
        <v>9783</v>
      </c>
      <c r="AC953" s="10" t="s">
        <v>9786</v>
      </c>
      <c r="AD953" s="10" t="s">
        <v>9787</v>
      </c>
      <c r="AE953" s="10" t="s">
        <v>58</v>
      </c>
      <c r="AF953" s="10" t="s">
        <v>58</v>
      </c>
      <c r="AG953" s="10" t="s">
        <v>9788</v>
      </c>
      <c r="AH953" s="10" t="s">
        <v>60</v>
      </c>
      <c r="AI953" s="10" t="s">
        <v>61</v>
      </c>
      <c r="AJ953" s="10" t="s">
        <v>9789</v>
      </c>
      <c r="AK953" s="10" t="s">
        <v>9790</v>
      </c>
      <c r="AL953" s="10" t="s">
        <v>64</v>
      </c>
      <c r="AM953" s="10" t="s">
        <v>9791</v>
      </c>
      <c r="AN953" s="10" t="s">
        <v>50</v>
      </c>
      <c r="AO953" s="11" t="s">
        <v>50</v>
      </c>
      <c r="AP953" s="10" t="s">
        <v>50</v>
      </c>
      <c r="AQ953" s="10" t="s">
        <v>50</v>
      </c>
      <c r="AR953" s="10" t="s">
        <v>50</v>
      </c>
      <c r="AS953" s="10" t="s">
        <v>50</v>
      </c>
      <c r="AT953" s="10" t="s">
        <v>50</v>
      </c>
      <c r="AU953" s="10" t="s">
        <v>50</v>
      </c>
      <c r="AV953" s="11"/>
      <c r="AW953" s="10" t="s">
        <v>66</v>
      </c>
      <c r="AX953" s="10"/>
      <c r="AY953" s="10" t="s">
        <v>66</v>
      </c>
    </row>
    <row r="954" ht="22.5" hidden="1" customHeight="1">
      <c r="A954" s="9" t="s">
        <v>9792</v>
      </c>
      <c r="B954" s="10" t="s">
        <v>9793</v>
      </c>
      <c r="C954" s="10" t="s">
        <v>43</v>
      </c>
      <c r="D954" s="10" t="s">
        <v>5357</v>
      </c>
      <c r="E954" s="10" t="s">
        <v>66</v>
      </c>
      <c r="F954" s="11">
        <v>1.0</v>
      </c>
      <c r="G954" s="11">
        <v>80.0</v>
      </c>
      <c r="H954" s="11"/>
      <c r="I954" s="11">
        <v>-13.6</v>
      </c>
      <c r="J954" s="11">
        <v>-19.95</v>
      </c>
      <c r="K954" s="11"/>
      <c r="L954" s="11">
        <v>50.45</v>
      </c>
      <c r="M954" s="10" t="s">
        <v>46</v>
      </c>
      <c r="N954" s="10" t="s">
        <v>50</v>
      </c>
      <c r="O954" s="10" t="s">
        <v>143</v>
      </c>
      <c r="P954" s="10" t="s">
        <v>144</v>
      </c>
      <c r="Q954" s="10" t="s">
        <v>145</v>
      </c>
      <c r="R954" s="10" t="s">
        <v>74</v>
      </c>
      <c r="S954" s="11">
        <v>80.0</v>
      </c>
      <c r="T954" s="11">
        <v>33.38</v>
      </c>
      <c r="U954" s="11" t="s">
        <v>51</v>
      </c>
      <c r="V954" s="10" t="s">
        <v>52</v>
      </c>
      <c r="W954" s="10" t="s">
        <v>9794</v>
      </c>
      <c r="X954" s="10" t="s">
        <v>9795</v>
      </c>
      <c r="Y954" s="10" t="s">
        <v>9796</v>
      </c>
      <c r="Z954" s="10" t="s">
        <v>50</v>
      </c>
      <c r="AA954" s="10" t="s">
        <v>50</v>
      </c>
      <c r="AB954" s="10" t="s">
        <v>9794</v>
      </c>
      <c r="AC954" s="10" t="s">
        <v>9797</v>
      </c>
      <c r="AD954" s="10" t="s">
        <v>9798</v>
      </c>
      <c r="AE954" s="10" t="s">
        <v>58</v>
      </c>
      <c r="AF954" s="10" t="s">
        <v>58</v>
      </c>
      <c r="AG954" s="10" t="s">
        <v>9799</v>
      </c>
      <c r="AH954" s="10" t="s">
        <v>60</v>
      </c>
      <c r="AI954" s="10" t="s">
        <v>61</v>
      </c>
      <c r="AJ954" s="10" t="s">
        <v>9789</v>
      </c>
      <c r="AK954" s="10" t="s">
        <v>9800</v>
      </c>
      <c r="AL954" s="10" t="s">
        <v>64</v>
      </c>
      <c r="AM954" s="10" t="s">
        <v>9801</v>
      </c>
      <c r="AN954" s="10" t="s">
        <v>50</v>
      </c>
      <c r="AO954" s="11" t="s">
        <v>50</v>
      </c>
      <c r="AP954" s="10" t="s">
        <v>50</v>
      </c>
      <c r="AQ954" s="10" t="s">
        <v>50</v>
      </c>
      <c r="AR954" s="10" t="s">
        <v>50</v>
      </c>
      <c r="AS954" s="10" t="s">
        <v>50</v>
      </c>
      <c r="AT954" s="10" t="s">
        <v>50</v>
      </c>
      <c r="AU954" s="10" t="s">
        <v>50</v>
      </c>
      <c r="AV954" s="11"/>
      <c r="AW954" s="10" t="s">
        <v>66</v>
      </c>
      <c r="AX954" s="10"/>
      <c r="AY954" s="10" t="s">
        <v>66</v>
      </c>
    </row>
    <row r="955" ht="22.5" hidden="1" customHeight="1">
      <c r="A955" s="9" t="s">
        <v>9802</v>
      </c>
      <c r="B955" s="10" t="s">
        <v>9803</v>
      </c>
      <c r="C955" s="10" t="s">
        <v>43</v>
      </c>
      <c r="D955" s="10" t="s">
        <v>5357</v>
      </c>
      <c r="E955" s="10" t="s">
        <v>66</v>
      </c>
      <c r="F955" s="11">
        <v>1.0</v>
      </c>
      <c r="G955" s="11">
        <v>79.2</v>
      </c>
      <c r="H955" s="11"/>
      <c r="I955" s="11">
        <v>-13.46</v>
      </c>
      <c r="J955" s="11">
        <v>-20.45</v>
      </c>
      <c r="K955" s="11"/>
      <c r="L955" s="11">
        <v>45.29</v>
      </c>
      <c r="M955" s="10" t="s">
        <v>46</v>
      </c>
      <c r="N955" s="10" t="s">
        <v>45</v>
      </c>
      <c r="O955" s="10" t="s">
        <v>892</v>
      </c>
      <c r="P955" s="10" t="s">
        <v>893</v>
      </c>
      <c r="Q955" s="10" t="s">
        <v>894</v>
      </c>
      <c r="R955" s="10" t="s">
        <v>74</v>
      </c>
      <c r="S955" s="11">
        <v>79.2</v>
      </c>
      <c r="T955" s="11">
        <v>2.97</v>
      </c>
      <c r="U955" s="11" t="s">
        <v>51</v>
      </c>
      <c r="V955" s="10" t="s">
        <v>52</v>
      </c>
      <c r="W955" s="10" t="s">
        <v>9804</v>
      </c>
      <c r="X955" s="10" t="s">
        <v>9805</v>
      </c>
      <c r="Y955" s="10" t="s">
        <v>9806</v>
      </c>
      <c r="Z955" s="10" t="s">
        <v>50</v>
      </c>
      <c r="AA955" s="10" t="s">
        <v>50</v>
      </c>
      <c r="AB955" s="10" t="s">
        <v>9804</v>
      </c>
      <c r="AC955" s="10" t="s">
        <v>9807</v>
      </c>
      <c r="AD955" s="10" t="s">
        <v>9808</v>
      </c>
      <c r="AE955" s="10" t="s">
        <v>2839</v>
      </c>
      <c r="AF955" s="10" t="s">
        <v>58</v>
      </c>
      <c r="AG955" s="10" t="s">
        <v>9809</v>
      </c>
      <c r="AH955" s="10" t="s">
        <v>60</v>
      </c>
      <c r="AI955" s="10" t="s">
        <v>61</v>
      </c>
      <c r="AJ955" s="10" t="s">
        <v>9810</v>
      </c>
      <c r="AK955" s="10" t="s">
        <v>9811</v>
      </c>
      <c r="AL955" s="10" t="s">
        <v>64</v>
      </c>
      <c r="AM955" s="10" t="s">
        <v>9812</v>
      </c>
      <c r="AN955" s="10" t="s">
        <v>50</v>
      </c>
      <c r="AO955" s="11" t="s">
        <v>50</v>
      </c>
      <c r="AP955" s="10" t="s">
        <v>50</v>
      </c>
      <c r="AQ955" s="10" t="s">
        <v>50</v>
      </c>
      <c r="AR955" s="10" t="s">
        <v>50</v>
      </c>
      <c r="AS955" s="10" t="s">
        <v>50</v>
      </c>
      <c r="AT955" s="10" t="s">
        <v>50</v>
      </c>
      <c r="AU955" s="10" t="s">
        <v>50</v>
      </c>
      <c r="AV955" s="11"/>
      <c r="AW955" s="10" t="s">
        <v>66</v>
      </c>
      <c r="AX955" s="10"/>
      <c r="AY955" s="10" t="s">
        <v>66</v>
      </c>
    </row>
    <row r="956" ht="22.5" hidden="1" customHeight="1">
      <c r="A956" s="9" t="s">
        <v>9813</v>
      </c>
      <c r="B956" s="10" t="s">
        <v>9814</v>
      </c>
      <c r="C956" s="10" t="s">
        <v>43</v>
      </c>
      <c r="D956" s="10" t="s">
        <v>7530</v>
      </c>
      <c r="E956" s="10" t="s">
        <v>45</v>
      </c>
      <c r="F956" s="11">
        <v>1.0</v>
      </c>
      <c r="G956" s="11">
        <v>79.0</v>
      </c>
      <c r="H956" s="11"/>
      <c r="I956" s="11">
        <v>-13.43</v>
      </c>
      <c r="J956" s="11">
        <v>-19.95</v>
      </c>
      <c r="K956" s="11"/>
      <c r="L956" s="11">
        <v>45.62</v>
      </c>
      <c r="M956" s="10" t="s">
        <v>46</v>
      </c>
      <c r="N956" s="10" t="s">
        <v>45</v>
      </c>
      <c r="O956" s="10" t="s">
        <v>766</v>
      </c>
      <c r="P956" s="10" t="s">
        <v>767</v>
      </c>
      <c r="Q956" s="10" t="s">
        <v>768</v>
      </c>
      <c r="R956" s="10" t="s">
        <v>74</v>
      </c>
      <c r="S956" s="11">
        <v>79.0</v>
      </c>
      <c r="T956" s="11">
        <v>13.62</v>
      </c>
      <c r="U956" s="11" t="s">
        <v>51</v>
      </c>
      <c r="V956" s="10" t="s">
        <v>52</v>
      </c>
      <c r="W956" s="10" t="s">
        <v>9815</v>
      </c>
      <c r="X956" s="10" t="s">
        <v>9816</v>
      </c>
      <c r="Y956" s="10" t="s">
        <v>9817</v>
      </c>
      <c r="Z956" s="10" t="s">
        <v>50</v>
      </c>
      <c r="AA956" s="10" t="s">
        <v>50</v>
      </c>
      <c r="AB956" s="10" t="s">
        <v>9815</v>
      </c>
      <c r="AC956" s="10" t="s">
        <v>9818</v>
      </c>
      <c r="AD956" s="10" t="s">
        <v>9819</v>
      </c>
      <c r="AE956" s="10" t="s">
        <v>9820</v>
      </c>
      <c r="AF956" s="10" t="s">
        <v>323</v>
      </c>
      <c r="AG956" s="10" t="s">
        <v>9821</v>
      </c>
      <c r="AH956" s="10" t="s">
        <v>60</v>
      </c>
      <c r="AI956" s="10" t="s">
        <v>61</v>
      </c>
      <c r="AJ956" s="10" t="s">
        <v>9822</v>
      </c>
      <c r="AK956" s="10" t="s">
        <v>9823</v>
      </c>
      <c r="AL956" s="10" t="s">
        <v>64</v>
      </c>
      <c r="AM956" s="10" t="s">
        <v>9824</v>
      </c>
      <c r="AN956" s="10" t="s">
        <v>50</v>
      </c>
      <c r="AO956" s="11" t="s">
        <v>50</v>
      </c>
      <c r="AP956" s="10" t="s">
        <v>50</v>
      </c>
      <c r="AQ956" s="10" t="s">
        <v>50</v>
      </c>
      <c r="AR956" s="10" t="s">
        <v>50</v>
      </c>
      <c r="AS956" s="10" t="s">
        <v>50</v>
      </c>
      <c r="AT956" s="10" t="s">
        <v>50</v>
      </c>
      <c r="AU956" s="10" t="s">
        <v>50</v>
      </c>
      <c r="AV956" s="11"/>
      <c r="AW956" s="10" t="s">
        <v>66</v>
      </c>
      <c r="AX956" s="10"/>
      <c r="AY956" s="10" t="s">
        <v>66</v>
      </c>
    </row>
    <row r="957" ht="22.5" hidden="1" customHeight="1">
      <c r="A957" s="9" t="s">
        <v>9825</v>
      </c>
      <c r="B957" s="10" t="s">
        <v>9826</v>
      </c>
      <c r="C957" s="10" t="s">
        <v>43</v>
      </c>
      <c r="D957" s="10" t="s">
        <v>5357</v>
      </c>
      <c r="E957" s="10" t="s">
        <v>45</v>
      </c>
      <c r="F957" s="11">
        <v>2.0</v>
      </c>
      <c r="G957" s="11">
        <v>87.4</v>
      </c>
      <c r="H957" s="11"/>
      <c r="I957" s="11">
        <v>-26.86</v>
      </c>
      <c r="J957" s="11"/>
      <c r="K957" s="11"/>
      <c r="L957" s="11">
        <v>65.78</v>
      </c>
      <c r="M957" s="10" t="s">
        <v>46</v>
      </c>
      <c r="N957" s="10" t="s">
        <v>45</v>
      </c>
      <c r="O957" s="10" t="s">
        <v>176</v>
      </c>
      <c r="P957" s="10" t="s">
        <v>177</v>
      </c>
      <c r="Q957" s="10" t="s">
        <v>178</v>
      </c>
      <c r="R957" s="10" t="s">
        <v>74</v>
      </c>
      <c r="S957" s="11">
        <v>43.7</v>
      </c>
      <c r="T957" s="11">
        <f>2*22.58</f>
        <v>45.16</v>
      </c>
      <c r="U957" s="11" t="s">
        <v>51</v>
      </c>
      <c r="V957" s="10" t="s">
        <v>52</v>
      </c>
      <c r="W957" s="10" t="s">
        <v>9827</v>
      </c>
      <c r="X957" s="10" t="s">
        <v>9828</v>
      </c>
      <c r="Y957" s="10" t="s">
        <v>9829</v>
      </c>
      <c r="Z957" s="10" t="s">
        <v>50</v>
      </c>
      <c r="AA957" s="10" t="s">
        <v>50</v>
      </c>
      <c r="AB957" s="10" t="s">
        <v>9827</v>
      </c>
      <c r="AC957" s="10" t="s">
        <v>9830</v>
      </c>
      <c r="AD957" s="10" t="s">
        <v>9831</v>
      </c>
      <c r="AE957" s="10" t="s">
        <v>9832</v>
      </c>
      <c r="AF957" s="10" t="s">
        <v>58</v>
      </c>
      <c r="AG957" s="10" t="s">
        <v>9833</v>
      </c>
      <c r="AH957" s="10" t="s">
        <v>60</v>
      </c>
      <c r="AI957" s="10" t="s">
        <v>61</v>
      </c>
      <c r="AJ957" s="10" t="s">
        <v>9834</v>
      </c>
      <c r="AK957" s="10" t="s">
        <v>9835</v>
      </c>
      <c r="AL957" s="10" t="s">
        <v>64</v>
      </c>
      <c r="AM957" s="10" t="s">
        <v>9836</v>
      </c>
      <c r="AN957" s="10" t="s">
        <v>50</v>
      </c>
      <c r="AO957" s="11" t="s">
        <v>50</v>
      </c>
      <c r="AP957" s="10" t="s">
        <v>50</v>
      </c>
      <c r="AQ957" s="10" t="s">
        <v>50</v>
      </c>
      <c r="AR957" s="10" t="s">
        <v>50</v>
      </c>
      <c r="AS957" s="10" t="s">
        <v>50</v>
      </c>
      <c r="AT957" s="10" t="s">
        <v>50</v>
      </c>
      <c r="AU957" s="10" t="s">
        <v>50</v>
      </c>
      <c r="AV957" s="11"/>
      <c r="AW957" s="10" t="s">
        <v>66</v>
      </c>
      <c r="AX957" s="10"/>
      <c r="AY957" s="10" t="s">
        <v>66</v>
      </c>
    </row>
    <row r="958" ht="22.5" hidden="1" customHeight="1">
      <c r="A958" s="9" t="s">
        <v>9837</v>
      </c>
      <c r="B958" s="10" t="s">
        <v>9838</v>
      </c>
      <c r="C958" s="10" t="s">
        <v>43</v>
      </c>
      <c r="D958" s="10" t="s">
        <v>9839</v>
      </c>
      <c r="E958" s="10" t="s">
        <v>66</v>
      </c>
      <c r="F958" s="11">
        <v>1.0</v>
      </c>
      <c r="G958" s="11">
        <v>90.0</v>
      </c>
      <c r="H958" s="11"/>
      <c r="I958" s="11">
        <v>-15.3</v>
      </c>
      <c r="J958" s="11">
        <v>-20.45</v>
      </c>
      <c r="K958" s="11"/>
      <c r="L958" s="11">
        <v>59.65</v>
      </c>
      <c r="M958" s="10" t="s">
        <v>46</v>
      </c>
      <c r="N958" s="10" t="s">
        <v>50</v>
      </c>
      <c r="O958" s="10" t="s">
        <v>5094</v>
      </c>
      <c r="P958" s="10" t="s">
        <v>5095</v>
      </c>
      <c r="Q958" s="10" t="s">
        <v>5096</v>
      </c>
      <c r="R958" s="10" t="s">
        <v>74</v>
      </c>
      <c r="S958" s="11">
        <v>90.0</v>
      </c>
      <c r="T958" s="11">
        <v>39.99</v>
      </c>
      <c r="U958" s="11" t="s">
        <v>51</v>
      </c>
      <c r="V958" s="10" t="s">
        <v>52</v>
      </c>
      <c r="W958" s="10" t="s">
        <v>9840</v>
      </c>
      <c r="X958" s="10" t="s">
        <v>9841</v>
      </c>
      <c r="Y958" s="10" t="s">
        <v>9842</v>
      </c>
      <c r="Z958" s="10" t="s">
        <v>50</v>
      </c>
      <c r="AA958" s="10" t="s">
        <v>50</v>
      </c>
      <c r="AB958" s="10" t="s">
        <v>9840</v>
      </c>
      <c r="AC958" s="10" t="s">
        <v>9843</v>
      </c>
      <c r="AD958" s="10" t="s">
        <v>9844</v>
      </c>
      <c r="AE958" s="10" t="s">
        <v>151</v>
      </c>
      <c r="AF958" s="10" t="s">
        <v>151</v>
      </c>
      <c r="AG958" s="10" t="s">
        <v>9845</v>
      </c>
      <c r="AH958" s="10" t="s">
        <v>60</v>
      </c>
      <c r="AI958" s="10" t="s">
        <v>61</v>
      </c>
      <c r="AJ958" s="10" t="s">
        <v>9846</v>
      </c>
      <c r="AK958" s="10" t="s">
        <v>9847</v>
      </c>
      <c r="AL958" s="10" t="s">
        <v>64</v>
      </c>
      <c r="AM958" s="10" t="s">
        <v>9848</v>
      </c>
      <c r="AN958" s="10" t="s">
        <v>50</v>
      </c>
      <c r="AO958" s="11" t="s">
        <v>50</v>
      </c>
      <c r="AP958" s="10" t="s">
        <v>50</v>
      </c>
      <c r="AQ958" s="10" t="s">
        <v>50</v>
      </c>
      <c r="AR958" s="10" t="s">
        <v>50</v>
      </c>
      <c r="AS958" s="10" t="s">
        <v>50</v>
      </c>
      <c r="AT958" s="10" t="s">
        <v>50</v>
      </c>
      <c r="AU958" s="10" t="s">
        <v>50</v>
      </c>
      <c r="AV958" s="11"/>
      <c r="AW958" s="10" t="s">
        <v>66</v>
      </c>
      <c r="AX958" s="10"/>
      <c r="AY958" s="10" t="s">
        <v>66</v>
      </c>
    </row>
    <row r="959" ht="22.5" hidden="1" customHeight="1">
      <c r="A959" s="9" t="s">
        <v>9849</v>
      </c>
      <c r="B959" s="10" t="s">
        <v>9850</v>
      </c>
      <c r="C959" s="10" t="s">
        <v>43</v>
      </c>
      <c r="D959" s="10" t="s">
        <v>7577</v>
      </c>
      <c r="E959" s="10" t="s">
        <v>66</v>
      </c>
      <c r="F959" s="11">
        <v>1.0</v>
      </c>
      <c r="G959" s="11">
        <v>120.0</v>
      </c>
      <c r="H959" s="11"/>
      <c r="I959" s="11">
        <v>-20.4</v>
      </c>
      <c r="J959" s="11">
        <v>-19.95</v>
      </c>
      <c r="K959" s="11"/>
      <c r="L959" s="11">
        <v>86.85</v>
      </c>
      <c r="M959" s="10" t="s">
        <v>46</v>
      </c>
      <c r="N959" s="10" t="s">
        <v>50</v>
      </c>
      <c r="O959" s="10" t="s">
        <v>85</v>
      </c>
      <c r="P959" s="10" t="s">
        <v>86</v>
      </c>
      <c r="Q959" s="10" t="s">
        <v>87</v>
      </c>
      <c r="R959" s="10" t="s">
        <v>74</v>
      </c>
      <c r="S959" s="11">
        <v>120.0</v>
      </c>
      <c r="T959" s="11">
        <v>65.78</v>
      </c>
      <c r="U959" s="11" t="s">
        <v>51</v>
      </c>
      <c r="V959" s="10" t="s">
        <v>52</v>
      </c>
      <c r="W959" s="10" t="s">
        <v>9851</v>
      </c>
      <c r="X959" s="10" t="s">
        <v>9852</v>
      </c>
      <c r="Y959" s="10" t="s">
        <v>9853</v>
      </c>
      <c r="Z959" s="10" t="s">
        <v>50</v>
      </c>
      <c r="AA959" s="10" t="s">
        <v>50</v>
      </c>
      <c r="AB959" s="10" t="s">
        <v>9851</v>
      </c>
      <c r="AC959" s="10" t="s">
        <v>9854</v>
      </c>
      <c r="AD959" s="10" t="s">
        <v>9855</v>
      </c>
      <c r="AE959" s="10" t="s">
        <v>2235</v>
      </c>
      <c r="AF959" s="10" t="s">
        <v>775</v>
      </c>
      <c r="AG959" s="10" t="s">
        <v>9856</v>
      </c>
      <c r="AH959" s="10" t="s">
        <v>60</v>
      </c>
      <c r="AI959" s="10" t="s">
        <v>61</v>
      </c>
      <c r="AJ959" s="10" t="s">
        <v>5365</v>
      </c>
      <c r="AK959" s="10" t="s">
        <v>9857</v>
      </c>
      <c r="AL959" s="10" t="s">
        <v>64</v>
      </c>
      <c r="AM959" s="10" t="s">
        <v>9858</v>
      </c>
      <c r="AN959" s="10" t="s">
        <v>50</v>
      </c>
      <c r="AO959" s="11" t="s">
        <v>50</v>
      </c>
      <c r="AP959" s="10" t="s">
        <v>50</v>
      </c>
      <c r="AQ959" s="10" t="s">
        <v>50</v>
      </c>
      <c r="AR959" s="10" t="s">
        <v>50</v>
      </c>
      <c r="AS959" s="10" t="s">
        <v>50</v>
      </c>
      <c r="AT959" s="10" t="s">
        <v>50</v>
      </c>
      <c r="AU959" s="10" t="s">
        <v>50</v>
      </c>
      <c r="AV959" s="11"/>
      <c r="AW959" s="10" t="s">
        <v>66</v>
      </c>
      <c r="AX959" s="10"/>
      <c r="AY959" s="10" t="s">
        <v>66</v>
      </c>
    </row>
    <row r="960" ht="22.5" hidden="1" customHeight="1">
      <c r="A960" s="9" t="s">
        <v>9859</v>
      </c>
      <c r="B960" s="10" t="s">
        <v>9860</v>
      </c>
      <c r="C960" s="10" t="s">
        <v>43</v>
      </c>
      <c r="D960" s="10" t="s">
        <v>7530</v>
      </c>
      <c r="E960" s="10" t="s">
        <v>66</v>
      </c>
      <c r="F960" s="11">
        <v>1.0</v>
      </c>
      <c r="G960" s="11">
        <v>105.0</v>
      </c>
      <c r="H960" s="11"/>
      <c r="I960" s="11">
        <v>-19.95</v>
      </c>
      <c r="J960" s="11">
        <v>-19.95</v>
      </c>
      <c r="K960" s="11"/>
      <c r="L960" s="11">
        <v>65.1</v>
      </c>
      <c r="M960" s="10" t="s">
        <v>46</v>
      </c>
      <c r="N960" s="10" t="s">
        <v>45</v>
      </c>
      <c r="O960" s="10" t="s">
        <v>100</v>
      </c>
      <c r="P960" s="10" t="s">
        <v>101</v>
      </c>
      <c r="Q960" s="10" t="s">
        <v>102</v>
      </c>
      <c r="R960" s="10" t="s">
        <v>50</v>
      </c>
      <c r="S960" s="11">
        <v>105.0</v>
      </c>
      <c r="T960" s="11">
        <v>38.61</v>
      </c>
      <c r="U960" s="11" t="s">
        <v>51</v>
      </c>
      <c r="V960" s="10" t="s">
        <v>52</v>
      </c>
      <c r="W960" s="10" t="s">
        <v>9861</v>
      </c>
      <c r="X960" s="10" t="s">
        <v>9862</v>
      </c>
      <c r="Y960" s="10" t="s">
        <v>9863</v>
      </c>
      <c r="Z960" s="10" t="s">
        <v>50</v>
      </c>
      <c r="AA960" s="10" t="s">
        <v>50</v>
      </c>
      <c r="AB960" s="10" t="s">
        <v>9861</v>
      </c>
      <c r="AC960" s="10" t="s">
        <v>9864</v>
      </c>
      <c r="AD960" s="10" t="s">
        <v>9865</v>
      </c>
      <c r="AE960" s="10" t="s">
        <v>151</v>
      </c>
      <c r="AF960" s="10" t="s">
        <v>151</v>
      </c>
      <c r="AG960" s="10" t="s">
        <v>9866</v>
      </c>
      <c r="AH960" s="10" t="s">
        <v>60</v>
      </c>
      <c r="AI960" s="10" t="s">
        <v>61</v>
      </c>
      <c r="AJ960" s="10" t="s">
        <v>9867</v>
      </c>
      <c r="AK960" s="10" t="s">
        <v>9868</v>
      </c>
      <c r="AL960" s="10" t="s">
        <v>64</v>
      </c>
      <c r="AM960" s="10" t="s">
        <v>9869</v>
      </c>
      <c r="AN960" s="10" t="s">
        <v>50</v>
      </c>
      <c r="AO960" s="11" t="s">
        <v>50</v>
      </c>
      <c r="AP960" s="10" t="s">
        <v>50</v>
      </c>
      <c r="AQ960" s="10" t="s">
        <v>50</v>
      </c>
      <c r="AR960" s="10" t="s">
        <v>50</v>
      </c>
      <c r="AS960" s="10" t="s">
        <v>50</v>
      </c>
      <c r="AT960" s="10" t="s">
        <v>50</v>
      </c>
      <c r="AU960" s="10" t="s">
        <v>50</v>
      </c>
      <c r="AV960" s="11"/>
      <c r="AW960" s="10" t="s">
        <v>66</v>
      </c>
      <c r="AX960" s="10"/>
      <c r="AY960" s="10" t="s">
        <v>66</v>
      </c>
    </row>
    <row r="961" ht="22.5" hidden="1" customHeight="1">
      <c r="A961" s="9" t="s">
        <v>9870</v>
      </c>
      <c r="B961" s="10" t="s">
        <v>9871</v>
      </c>
      <c r="C961" s="10" t="s">
        <v>43</v>
      </c>
      <c r="D961" s="10" t="s">
        <v>5200</v>
      </c>
      <c r="E961" s="10" t="s">
        <v>66</v>
      </c>
      <c r="F961" s="11">
        <v>1.0</v>
      </c>
      <c r="G961" s="11">
        <v>79.0</v>
      </c>
      <c r="H961" s="11"/>
      <c r="I961" s="11">
        <v>-13.43</v>
      </c>
      <c r="J961" s="11">
        <v>-19.95</v>
      </c>
      <c r="K961" s="11"/>
      <c r="L961" s="11">
        <v>45.62</v>
      </c>
      <c r="M961" s="10" t="s">
        <v>46</v>
      </c>
      <c r="N961" s="10" t="s">
        <v>50</v>
      </c>
      <c r="O961" s="10" t="s">
        <v>766</v>
      </c>
      <c r="P961" s="10" t="s">
        <v>767</v>
      </c>
      <c r="Q961" s="10" t="s">
        <v>768</v>
      </c>
      <c r="R961" s="10" t="s">
        <v>74</v>
      </c>
      <c r="S961" s="11">
        <v>79.0</v>
      </c>
      <c r="T961" s="11">
        <v>13.62</v>
      </c>
      <c r="U961" s="11" t="s">
        <v>51</v>
      </c>
      <c r="V961" s="10" t="s">
        <v>52</v>
      </c>
      <c r="W961" s="10" t="s">
        <v>9872</v>
      </c>
      <c r="X961" s="10" t="s">
        <v>9873</v>
      </c>
      <c r="Y961" s="10" t="s">
        <v>9874</v>
      </c>
      <c r="Z961" s="10" t="s">
        <v>50</v>
      </c>
      <c r="AA961" s="10" t="s">
        <v>50</v>
      </c>
      <c r="AB961" s="10" t="s">
        <v>9872</v>
      </c>
      <c r="AC961" s="10" t="s">
        <v>9875</v>
      </c>
      <c r="AD961" s="10" t="s">
        <v>9876</v>
      </c>
      <c r="AE961" s="10" t="s">
        <v>9877</v>
      </c>
      <c r="AF961" s="10" t="s">
        <v>323</v>
      </c>
      <c r="AG961" s="10" t="s">
        <v>9878</v>
      </c>
      <c r="AH961" s="10" t="s">
        <v>60</v>
      </c>
      <c r="AI961" s="10" t="s">
        <v>61</v>
      </c>
      <c r="AJ961" s="10" t="s">
        <v>9879</v>
      </c>
      <c r="AK961" s="10" t="s">
        <v>9880</v>
      </c>
      <c r="AL961" s="10" t="s">
        <v>64</v>
      </c>
      <c r="AM961" s="10" t="s">
        <v>9881</v>
      </c>
      <c r="AN961" s="10" t="s">
        <v>50</v>
      </c>
      <c r="AO961" s="11" t="s">
        <v>50</v>
      </c>
      <c r="AP961" s="10" t="s">
        <v>50</v>
      </c>
      <c r="AQ961" s="10" t="s">
        <v>50</v>
      </c>
      <c r="AR961" s="10" t="s">
        <v>50</v>
      </c>
      <c r="AS961" s="10" t="s">
        <v>50</v>
      </c>
      <c r="AT961" s="10" t="s">
        <v>50</v>
      </c>
      <c r="AU961" s="10" t="s">
        <v>50</v>
      </c>
      <c r="AV961" s="11"/>
      <c r="AW961" s="10" t="s">
        <v>66</v>
      </c>
      <c r="AX961" s="10"/>
      <c r="AY961" s="10" t="s">
        <v>66</v>
      </c>
    </row>
    <row r="962" ht="22.5" hidden="1" customHeight="1">
      <c r="A962" s="9" t="s">
        <v>9882</v>
      </c>
      <c r="B962" s="10" t="s">
        <v>9883</v>
      </c>
      <c r="C962" s="10" t="s">
        <v>43</v>
      </c>
      <c r="D962" s="10" t="s">
        <v>7530</v>
      </c>
      <c r="E962" s="10" t="s">
        <v>66</v>
      </c>
      <c r="F962" s="11">
        <v>1.0</v>
      </c>
      <c r="G962" s="11">
        <v>79.0</v>
      </c>
      <c r="H962" s="11"/>
      <c r="I962" s="11">
        <v>-13.43</v>
      </c>
      <c r="J962" s="11">
        <v>-20.45</v>
      </c>
      <c r="K962" s="11"/>
      <c r="L962" s="11">
        <v>45.12</v>
      </c>
      <c r="M962" s="10" t="s">
        <v>46</v>
      </c>
      <c r="N962" s="10" t="s">
        <v>45</v>
      </c>
      <c r="O962" s="10" t="s">
        <v>160</v>
      </c>
      <c r="P962" s="10" t="s">
        <v>161</v>
      </c>
      <c r="Q962" s="10" t="s">
        <v>162</v>
      </c>
      <c r="R962" s="10" t="s">
        <v>74</v>
      </c>
      <c r="S962" s="11">
        <v>79.0</v>
      </c>
      <c r="T962" s="11">
        <v>2.49</v>
      </c>
      <c r="U962" s="11" t="s">
        <v>51</v>
      </c>
      <c r="V962" s="10" t="s">
        <v>52</v>
      </c>
      <c r="W962" s="10" t="s">
        <v>9884</v>
      </c>
      <c r="X962" s="10" t="s">
        <v>9885</v>
      </c>
      <c r="Y962" s="10" t="s">
        <v>9886</v>
      </c>
      <c r="Z962" s="10" t="s">
        <v>50</v>
      </c>
      <c r="AA962" s="10" t="s">
        <v>50</v>
      </c>
      <c r="AB962" s="10" t="s">
        <v>9884</v>
      </c>
      <c r="AC962" s="10" t="s">
        <v>9887</v>
      </c>
      <c r="AD962" s="10" t="s">
        <v>9888</v>
      </c>
      <c r="AE962" s="10" t="s">
        <v>151</v>
      </c>
      <c r="AF962" s="10" t="s">
        <v>151</v>
      </c>
      <c r="AG962" s="10" t="s">
        <v>9889</v>
      </c>
      <c r="AH962" s="10" t="s">
        <v>60</v>
      </c>
      <c r="AI962" s="10" t="s">
        <v>61</v>
      </c>
      <c r="AJ962" s="10" t="s">
        <v>9890</v>
      </c>
      <c r="AK962" s="10" t="s">
        <v>9891</v>
      </c>
      <c r="AL962" s="10" t="s">
        <v>64</v>
      </c>
      <c r="AM962" s="10" t="s">
        <v>9892</v>
      </c>
      <c r="AN962" s="10" t="s">
        <v>50</v>
      </c>
      <c r="AO962" s="11" t="s">
        <v>50</v>
      </c>
      <c r="AP962" s="10" t="s">
        <v>50</v>
      </c>
      <c r="AQ962" s="10" t="s">
        <v>50</v>
      </c>
      <c r="AR962" s="10" t="s">
        <v>50</v>
      </c>
      <c r="AS962" s="10" t="s">
        <v>50</v>
      </c>
      <c r="AT962" s="10" t="s">
        <v>50</v>
      </c>
      <c r="AU962" s="10" t="s">
        <v>50</v>
      </c>
      <c r="AV962" s="11"/>
      <c r="AW962" s="10" t="s">
        <v>66</v>
      </c>
      <c r="AX962" s="10"/>
      <c r="AY962" s="10" t="s">
        <v>66</v>
      </c>
    </row>
    <row r="963" ht="22.5" hidden="1" customHeight="1">
      <c r="A963" s="9" t="s">
        <v>9893</v>
      </c>
      <c r="B963" s="10" t="s">
        <v>9894</v>
      </c>
      <c r="C963" s="10" t="s">
        <v>43</v>
      </c>
      <c r="D963" s="10" t="s">
        <v>3477</v>
      </c>
      <c r="E963" s="10" t="s">
        <v>66</v>
      </c>
      <c r="F963" s="11">
        <v>1.0</v>
      </c>
      <c r="G963" s="11">
        <v>80.0</v>
      </c>
      <c r="H963" s="11"/>
      <c r="I963" s="11">
        <v>-13.6</v>
      </c>
      <c r="J963" s="11">
        <v>-19.95</v>
      </c>
      <c r="K963" s="11"/>
      <c r="L963" s="11">
        <v>50.45</v>
      </c>
      <c r="M963" s="10" t="s">
        <v>46</v>
      </c>
      <c r="N963" s="10" t="s">
        <v>50</v>
      </c>
      <c r="O963" s="10" t="s">
        <v>143</v>
      </c>
      <c r="P963" s="10" t="s">
        <v>144</v>
      </c>
      <c r="Q963" s="10" t="s">
        <v>145</v>
      </c>
      <c r="R963" s="10" t="s">
        <v>74</v>
      </c>
      <c r="S963" s="11">
        <v>80.0</v>
      </c>
      <c r="T963" s="11">
        <v>33.38</v>
      </c>
      <c r="U963" s="11" t="s">
        <v>51</v>
      </c>
      <c r="V963" s="10" t="s">
        <v>52</v>
      </c>
      <c r="W963" s="10" t="s">
        <v>9895</v>
      </c>
      <c r="X963" s="10" t="s">
        <v>9896</v>
      </c>
      <c r="Y963" s="10" t="s">
        <v>9897</v>
      </c>
      <c r="Z963" s="10" t="s">
        <v>50</v>
      </c>
      <c r="AA963" s="10" t="s">
        <v>50</v>
      </c>
      <c r="AB963" s="10" t="s">
        <v>9895</v>
      </c>
      <c r="AC963" s="10" t="s">
        <v>9898</v>
      </c>
      <c r="AD963" s="10" t="s">
        <v>9899</v>
      </c>
      <c r="AE963" s="10" t="s">
        <v>9900</v>
      </c>
      <c r="AF963" s="10" t="s">
        <v>2158</v>
      </c>
      <c r="AG963" s="10" t="s">
        <v>9901</v>
      </c>
      <c r="AH963" s="10" t="s">
        <v>60</v>
      </c>
      <c r="AI963" s="10" t="s">
        <v>61</v>
      </c>
      <c r="AJ963" s="10" t="s">
        <v>9902</v>
      </c>
      <c r="AK963" s="10" t="s">
        <v>9903</v>
      </c>
      <c r="AL963" s="10" t="s">
        <v>64</v>
      </c>
      <c r="AM963" s="10" t="s">
        <v>9904</v>
      </c>
      <c r="AN963" s="10" t="s">
        <v>50</v>
      </c>
      <c r="AO963" s="11" t="s">
        <v>50</v>
      </c>
      <c r="AP963" s="10" t="s">
        <v>50</v>
      </c>
      <c r="AQ963" s="10" t="s">
        <v>50</v>
      </c>
      <c r="AR963" s="10" t="s">
        <v>50</v>
      </c>
      <c r="AS963" s="10" t="s">
        <v>50</v>
      </c>
      <c r="AT963" s="10" t="s">
        <v>50</v>
      </c>
      <c r="AU963" s="10" t="s">
        <v>50</v>
      </c>
      <c r="AV963" s="11"/>
      <c r="AW963" s="10" t="s">
        <v>66</v>
      </c>
      <c r="AX963" s="10"/>
      <c r="AY963" s="10" t="s">
        <v>66</v>
      </c>
    </row>
    <row r="964" ht="22.5" hidden="1" customHeight="1">
      <c r="A964" s="9" t="s">
        <v>9905</v>
      </c>
      <c r="B964" s="10" t="s">
        <v>9906</v>
      </c>
      <c r="C964" s="10" t="s">
        <v>43</v>
      </c>
      <c r="D964" s="10" t="s">
        <v>7530</v>
      </c>
      <c r="E964" s="10" t="s">
        <v>66</v>
      </c>
      <c r="F964" s="11">
        <v>1.0</v>
      </c>
      <c r="G964" s="11">
        <v>48.0</v>
      </c>
      <c r="H964" s="11">
        <v>18.9</v>
      </c>
      <c r="I964" s="11">
        <v>-14.16</v>
      </c>
      <c r="J964" s="11">
        <v>-18.9</v>
      </c>
      <c r="K964" s="11"/>
      <c r="L964" s="11">
        <v>33.84</v>
      </c>
      <c r="M964" s="10" t="s">
        <v>46</v>
      </c>
      <c r="N964" s="10" t="s">
        <v>50</v>
      </c>
      <c r="O964" s="10" t="s">
        <v>4556</v>
      </c>
      <c r="P964" s="10" t="s">
        <v>4557</v>
      </c>
      <c r="Q964" s="10" t="s">
        <v>4558</v>
      </c>
      <c r="R964" s="10" t="s">
        <v>74</v>
      </c>
      <c r="S964" s="11">
        <v>48.0</v>
      </c>
      <c r="T964" s="11">
        <v>8.73</v>
      </c>
      <c r="U964" s="11" t="s">
        <v>51</v>
      </c>
      <c r="V964" s="10" t="s">
        <v>52</v>
      </c>
      <c r="W964" s="10" t="s">
        <v>9907</v>
      </c>
      <c r="X964" s="10" t="s">
        <v>9908</v>
      </c>
      <c r="Y964" s="10" t="s">
        <v>9909</v>
      </c>
      <c r="Z964" s="10" t="s">
        <v>50</v>
      </c>
      <c r="AA964" s="10" t="s">
        <v>50</v>
      </c>
      <c r="AB964" s="10" t="s">
        <v>9907</v>
      </c>
      <c r="AC964" s="10" t="s">
        <v>9910</v>
      </c>
      <c r="AD964" s="10" t="s">
        <v>9911</v>
      </c>
      <c r="AE964" s="10" t="s">
        <v>5821</v>
      </c>
      <c r="AF964" s="10" t="s">
        <v>151</v>
      </c>
      <c r="AG964" s="10" t="s">
        <v>9912</v>
      </c>
      <c r="AH964" s="10" t="s">
        <v>60</v>
      </c>
      <c r="AI964" s="10" t="s">
        <v>61</v>
      </c>
      <c r="AJ964" s="10" t="s">
        <v>9913</v>
      </c>
      <c r="AK964" s="10" t="s">
        <v>9914</v>
      </c>
      <c r="AL964" s="10" t="s">
        <v>64</v>
      </c>
      <c r="AM964" s="10" t="s">
        <v>9915</v>
      </c>
      <c r="AN964" s="10" t="s">
        <v>50</v>
      </c>
      <c r="AO964" s="11" t="s">
        <v>50</v>
      </c>
      <c r="AP964" s="10" t="s">
        <v>50</v>
      </c>
      <c r="AQ964" s="10" t="s">
        <v>50</v>
      </c>
      <c r="AR964" s="10" t="s">
        <v>50</v>
      </c>
      <c r="AS964" s="10" t="s">
        <v>50</v>
      </c>
      <c r="AT964" s="10" t="s">
        <v>50</v>
      </c>
      <c r="AU964" s="10" t="s">
        <v>50</v>
      </c>
      <c r="AV964" s="11"/>
      <c r="AW964" s="10" t="s">
        <v>66</v>
      </c>
      <c r="AX964" s="10"/>
      <c r="AY964" s="10" t="s">
        <v>66</v>
      </c>
    </row>
    <row r="965" ht="22.5" hidden="1" customHeight="1">
      <c r="A965" s="9" t="s">
        <v>9916</v>
      </c>
      <c r="B965" s="10" t="s">
        <v>9917</v>
      </c>
      <c r="C965" s="10" t="s">
        <v>43</v>
      </c>
      <c r="D965" s="10" t="s">
        <v>5200</v>
      </c>
      <c r="E965" s="10" t="s">
        <v>45</v>
      </c>
      <c r="F965" s="11">
        <v>1.0</v>
      </c>
      <c r="G965" s="11">
        <v>80.0</v>
      </c>
      <c r="H965" s="11"/>
      <c r="I965" s="11">
        <v>-13.6</v>
      </c>
      <c r="J965" s="11">
        <v>-19.95</v>
      </c>
      <c r="K965" s="11"/>
      <c r="L965" s="11">
        <v>50.45</v>
      </c>
      <c r="M965" s="10" t="s">
        <v>46</v>
      </c>
      <c r="N965" s="10" t="s">
        <v>50</v>
      </c>
      <c r="O965" s="10" t="s">
        <v>143</v>
      </c>
      <c r="P965" s="10" t="s">
        <v>144</v>
      </c>
      <c r="Q965" s="10" t="s">
        <v>145</v>
      </c>
      <c r="R965" s="10" t="s">
        <v>74</v>
      </c>
      <c r="S965" s="11">
        <v>80.0</v>
      </c>
      <c r="T965" s="11">
        <v>33.38</v>
      </c>
      <c r="U965" s="11" t="s">
        <v>51</v>
      </c>
      <c r="V965" s="10" t="s">
        <v>52</v>
      </c>
      <c r="W965" s="10" t="s">
        <v>9918</v>
      </c>
      <c r="X965" s="10" t="s">
        <v>9919</v>
      </c>
      <c r="Y965" s="10" t="s">
        <v>9920</v>
      </c>
      <c r="Z965" s="10" t="s">
        <v>50</v>
      </c>
      <c r="AA965" s="10" t="s">
        <v>50</v>
      </c>
      <c r="AB965" s="10" t="s">
        <v>9918</v>
      </c>
      <c r="AC965" s="10" t="s">
        <v>9921</v>
      </c>
      <c r="AD965" s="10" t="s">
        <v>9922</v>
      </c>
      <c r="AE965" s="10" t="s">
        <v>1617</v>
      </c>
      <c r="AF965" s="10" t="s">
        <v>58</v>
      </c>
      <c r="AG965" s="10" t="s">
        <v>9923</v>
      </c>
      <c r="AH965" s="10" t="s">
        <v>60</v>
      </c>
      <c r="AI965" s="10" t="s">
        <v>61</v>
      </c>
      <c r="AJ965" s="10" t="s">
        <v>9834</v>
      </c>
      <c r="AK965" s="10" t="s">
        <v>8109</v>
      </c>
      <c r="AL965" s="10" t="s">
        <v>64</v>
      </c>
      <c r="AM965" s="10" t="s">
        <v>9924</v>
      </c>
      <c r="AN965" s="10" t="s">
        <v>50</v>
      </c>
      <c r="AO965" s="11" t="s">
        <v>50</v>
      </c>
      <c r="AP965" s="10" t="s">
        <v>50</v>
      </c>
      <c r="AQ965" s="10" t="s">
        <v>50</v>
      </c>
      <c r="AR965" s="10" t="s">
        <v>50</v>
      </c>
      <c r="AS965" s="10" t="s">
        <v>50</v>
      </c>
      <c r="AT965" s="10" t="s">
        <v>50</v>
      </c>
      <c r="AU965" s="10" t="s">
        <v>50</v>
      </c>
      <c r="AV965" s="11"/>
      <c r="AW965" s="10" t="s">
        <v>66</v>
      </c>
      <c r="AX965" s="10"/>
      <c r="AY965" s="10" t="s">
        <v>66</v>
      </c>
    </row>
    <row r="966" ht="22.5" hidden="1" customHeight="1">
      <c r="A966" s="9" t="s">
        <v>9925</v>
      </c>
      <c r="B966" s="10" t="s">
        <v>9926</v>
      </c>
      <c r="C966" s="10" t="s">
        <v>43</v>
      </c>
      <c r="D966" s="10" t="s">
        <v>6539</v>
      </c>
      <c r="E966" s="10" t="s">
        <v>66</v>
      </c>
      <c r="F966" s="11">
        <v>1.0</v>
      </c>
      <c r="G966" s="11">
        <v>120.0</v>
      </c>
      <c r="H966" s="11">
        <v>7.55</v>
      </c>
      <c r="I966" s="11">
        <v>-20.4</v>
      </c>
      <c r="J966" s="11">
        <v>-27.5</v>
      </c>
      <c r="K966" s="11"/>
      <c r="L966" s="11">
        <v>86.85</v>
      </c>
      <c r="M966" s="10" t="s">
        <v>46</v>
      </c>
      <c r="N966" s="10" t="s">
        <v>50</v>
      </c>
      <c r="O966" s="10" t="s">
        <v>85</v>
      </c>
      <c r="P966" s="10" t="s">
        <v>86</v>
      </c>
      <c r="Q966" s="10" t="s">
        <v>87</v>
      </c>
      <c r="R966" s="10" t="s">
        <v>74</v>
      </c>
      <c r="S966" s="11">
        <v>120.0</v>
      </c>
      <c r="T966" s="11">
        <v>65.78</v>
      </c>
      <c r="U966" s="11" t="s">
        <v>51</v>
      </c>
      <c r="V966" s="10" t="s">
        <v>52</v>
      </c>
      <c r="W966" s="10" t="s">
        <v>9927</v>
      </c>
      <c r="X966" s="10" t="s">
        <v>9928</v>
      </c>
      <c r="Y966" s="10" t="s">
        <v>9929</v>
      </c>
      <c r="Z966" s="10" t="s">
        <v>50</v>
      </c>
      <c r="AA966" s="10" t="s">
        <v>50</v>
      </c>
      <c r="AB966" s="10" t="s">
        <v>9927</v>
      </c>
      <c r="AC966" s="10" t="s">
        <v>9930</v>
      </c>
      <c r="AD966" s="10" t="s">
        <v>9931</v>
      </c>
      <c r="AE966" s="10" t="s">
        <v>5864</v>
      </c>
      <c r="AF966" s="10" t="s">
        <v>561</v>
      </c>
      <c r="AG966" s="10" t="s">
        <v>9932</v>
      </c>
      <c r="AH966" s="10" t="s">
        <v>60</v>
      </c>
      <c r="AI966" s="10" t="s">
        <v>61</v>
      </c>
      <c r="AJ966" s="10" t="s">
        <v>9789</v>
      </c>
      <c r="AK966" s="10" t="s">
        <v>9933</v>
      </c>
      <c r="AL966" s="10" t="s">
        <v>64</v>
      </c>
      <c r="AM966" s="10" t="s">
        <v>9934</v>
      </c>
      <c r="AN966" s="10" t="s">
        <v>50</v>
      </c>
      <c r="AO966" s="11" t="s">
        <v>50</v>
      </c>
      <c r="AP966" s="10" t="s">
        <v>50</v>
      </c>
      <c r="AQ966" s="10" t="s">
        <v>50</v>
      </c>
      <c r="AR966" s="10" t="s">
        <v>50</v>
      </c>
      <c r="AS966" s="10" t="s">
        <v>50</v>
      </c>
      <c r="AT966" s="10" t="s">
        <v>50</v>
      </c>
      <c r="AU966" s="10" t="s">
        <v>50</v>
      </c>
      <c r="AV966" s="11"/>
      <c r="AW966" s="10" t="s">
        <v>66</v>
      </c>
      <c r="AX966" s="10"/>
      <c r="AY966" s="10" t="s">
        <v>66</v>
      </c>
    </row>
    <row r="967" ht="22.5" hidden="1" customHeight="1">
      <c r="A967" s="9" t="s">
        <v>9935</v>
      </c>
      <c r="B967" s="10" t="s">
        <v>9936</v>
      </c>
      <c r="C967" s="10" t="s">
        <v>43</v>
      </c>
      <c r="D967" s="10" t="s">
        <v>6539</v>
      </c>
      <c r="E967" s="10" t="s">
        <v>66</v>
      </c>
      <c r="F967" s="11">
        <v>1.0</v>
      </c>
      <c r="G967" s="11">
        <v>79.0</v>
      </c>
      <c r="H967" s="11">
        <v>27.13</v>
      </c>
      <c r="I967" s="11">
        <v>-13.43</v>
      </c>
      <c r="J967" s="11">
        <v>-47.58</v>
      </c>
      <c r="K967" s="11"/>
      <c r="L967" s="11">
        <v>45.12</v>
      </c>
      <c r="M967" s="10" t="s">
        <v>46</v>
      </c>
      <c r="N967" s="10" t="s">
        <v>45</v>
      </c>
      <c r="O967" s="10" t="s">
        <v>160</v>
      </c>
      <c r="P967" s="10" t="s">
        <v>161</v>
      </c>
      <c r="Q967" s="10" t="s">
        <v>162</v>
      </c>
      <c r="R967" s="10" t="s">
        <v>74</v>
      </c>
      <c r="S967" s="11">
        <v>79.0</v>
      </c>
      <c r="T967" s="11">
        <v>2.49</v>
      </c>
      <c r="U967" s="11" t="s">
        <v>51</v>
      </c>
      <c r="V967" s="10" t="s">
        <v>52</v>
      </c>
      <c r="W967" s="10" t="s">
        <v>9937</v>
      </c>
      <c r="X967" s="10" t="s">
        <v>9938</v>
      </c>
      <c r="Y967" s="10" t="s">
        <v>9939</v>
      </c>
      <c r="Z967" s="10" t="s">
        <v>50</v>
      </c>
      <c r="AA967" s="10" t="s">
        <v>50</v>
      </c>
      <c r="AB967" s="10" t="s">
        <v>9937</v>
      </c>
      <c r="AC967" s="10" t="s">
        <v>9940</v>
      </c>
      <c r="AD967" s="10" t="s">
        <v>9941</v>
      </c>
      <c r="AE967" s="10" t="s">
        <v>9942</v>
      </c>
      <c r="AF967" s="10" t="s">
        <v>799</v>
      </c>
      <c r="AG967" s="10" t="s">
        <v>9943</v>
      </c>
      <c r="AH967" s="10" t="s">
        <v>60</v>
      </c>
      <c r="AI967" s="10" t="s">
        <v>61</v>
      </c>
      <c r="AJ967" s="10" t="s">
        <v>5365</v>
      </c>
      <c r="AK967" s="10" t="s">
        <v>9944</v>
      </c>
      <c r="AL967" s="10" t="s">
        <v>64</v>
      </c>
      <c r="AM967" s="10" t="s">
        <v>9945</v>
      </c>
      <c r="AN967" s="10" t="s">
        <v>50</v>
      </c>
      <c r="AO967" s="11" t="s">
        <v>50</v>
      </c>
      <c r="AP967" s="10" t="s">
        <v>50</v>
      </c>
      <c r="AQ967" s="10" t="s">
        <v>50</v>
      </c>
      <c r="AR967" s="10" t="s">
        <v>50</v>
      </c>
      <c r="AS967" s="10" t="s">
        <v>50</v>
      </c>
      <c r="AT967" s="10" t="s">
        <v>50</v>
      </c>
      <c r="AU967" s="10" t="s">
        <v>50</v>
      </c>
      <c r="AV967" s="11"/>
      <c r="AW967" s="10" t="s">
        <v>66</v>
      </c>
      <c r="AX967" s="10"/>
      <c r="AY967" s="10" t="s">
        <v>66</v>
      </c>
    </row>
    <row r="968" ht="22.5" hidden="1" customHeight="1">
      <c r="A968" s="9" t="s">
        <v>9946</v>
      </c>
      <c r="B968" s="10" t="s">
        <v>9947</v>
      </c>
      <c r="C968" s="10" t="s">
        <v>43</v>
      </c>
      <c r="D968" s="10" t="s">
        <v>7530</v>
      </c>
      <c r="E968" s="10" t="s">
        <v>66</v>
      </c>
      <c r="F968" s="11">
        <v>1.0</v>
      </c>
      <c r="G968" s="11">
        <v>120.0</v>
      </c>
      <c r="H968" s="11"/>
      <c r="I968" s="11">
        <v>-20.4</v>
      </c>
      <c r="J968" s="11">
        <v>-19.95</v>
      </c>
      <c r="K968" s="11"/>
      <c r="L968" s="11">
        <v>86.85</v>
      </c>
      <c r="M968" s="10" t="s">
        <v>46</v>
      </c>
      <c r="N968" s="10" t="s">
        <v>50</v>
      </c>
      <c r="O968" s="10" t="s">
        <v>85</v>
      </c>
      <c r="P968" s="10" t="s">
        <v>86</v>
      </c>
      <c r="Q968" s="10" t="s">
        <v>87</v>
      </c>
      <c r="R968" s="10" t="s">
        <v>74</v>
      </c>
      <c r="S968" s="11">
        <v>120.0</v>
      </c>
      <c r="T968" s="11">
        <v>65.78</v>
      </c>
      <c r="U968" s="11" t="s">
        <v>51</v>
      </c>
      <c r="V968" s="10" t="s">
        <v>52</v>
      </c>
      <c r="W968" s="10" t="s">
        <v>9948</v>
      </c>
      <c r="X968" s="10" t="s">
        <v>9949</v>
      </c>
      <c r="Y968" s="10" t="s">
        <v>9950</v>
      </c>
      <c r="Z968" s="10" t="s">
        <v>50</v>
      </c>
      <c r="AA968" s="10" t="s">
        <v>50</v>
      </c>
      <c r="AB968" s="10" t="s">
        <v>9948</v>
      </c>
      <c r="AC968" s="10" t="s">
        <v>9951</v>
      </c>
      <c r="AD968" s="10" t="s">
        <v>9952</v>
      </c>
      <c r="AE968" s="10" t="s">
        <v>151</v>
      </c>
      <c r="AF968" s="10" t="s">
        <v>151</v>
      </c>
      <c r="AG968" s="10" t="s">
        <v>9953</v>
      </c>
      <c r="AH968" s="10" t="s">
        <v>60</v>
      </c>
      <c r="AI968" s="10" t="s">
        <v>61</v>
      </c>
      <c r="AJ968" s="10" t="s">
        <v>9890</v>
      </c>
      <c r="AK968" s="10" t="s">
        <v>9954</v>
      </c>
      <c r="AL968" s="10" t="s">
        <v>64</v>
      </c>
      <c r="AM968" s="10" t="s">
        <v>9955</v>
      </c>
      <c r="AN968" s="10" t="s">
        <v>50</v>
      </c>
      <c r="AO968" s="11" t="s">
        <v>50</v>
      </c>
      <c r="AP968" s="10" t="s">
        <v>50</v>
      </c>
      <c r="AQ968" s="10" t="s">
        <v>50</v>
      </c>
      <c r="AR968" s="10" t="s">
        <v>50</v>
      </c>
      <c r="AS968" s="10" t="s">
        <v>50</v>
      </c>
      <c r="AT968" s="10" t="s">
        <v>50</v>
      </c>
      <c r="AU968" s="10" t="s">
        <v>50</v>
      </c>
      <c r="AV968" s="11"/>
      <c r="AW968" s="10" t="s">
        <v>66</v>
      </c>
      <c r="AX968" s="10"/>
      <c r="AY968" s="10" t="s">
        <v>66</v>
      </c>
    </row>
    <row r="969" ht="22.5" hidden="1" customHeight="1">
      <c r="A969" s="9" t="s">
        <v>9956</v>
      </c>
      <c r="B969" s="10" t="s">
        <v>9957</v>
      </c>
      <c r="C969" s="10" t="s">
        <v>43</v>
      </c>
      <c r="D969" s="10" t="s">
        <v>7577</v>
      </c>
      <c r="E969" s="10" t="s">
        <v>66</v>
      </c>
      <c r="F969" s="11">
        <v>1.0</v>
      </c>
      <c r="G969" s="11">
        <v>79.0</v>
      </c>
      <c r="H969" s="11"/>
      <c r="I969" s="11">
        <v>-13.43</v>
      </c>
      <c r="J969" s="11">
        <v>-20.45</v>
      </c>
      <c r="K969" s="11"/>
      <c r="L969" s="11">
        <v>45.12</v>
      </c>
      <c r="M969" s="10" t="s">
        <v>46</v>
      </c>
      <c r="N969" s="10" t="s">
        <v>50</v>
      </c>
      <c r="O969" s="10" t="s">
        <v>461</v>
      </c>
      <c r="P969" s="10" t="s">
        <v>462</v>
      </c>
      <c r="Q969" s="10" t="s">
        <v>463</v>
      </c>
      <c r="R969" s="10" t="s">
        <v>74</v>
      </c>
      <c r="S969" s="11">
        <v>79.0</v>
      </c>
      <c r="T969" s="11">
        <v>10.09</v>
      </c>
      <c r="U969" s="11" t="s">
        <v>51</v>
      </c>
      <c r="V969" s="10" t="s">
        <v>52</v>
      </c>
      <c r="W969" s="10" t="s">
        <v>9958</v>
      </c>
      <c r="X969" s="10" t="s">
        <v>9959</v>
      </c>
      <c r="Y969" s="10" t="s">
        <v>9960</v>
      </c>
      <c r="Z969" s="10" t="s">
        <v>50</v>
      </c>
      <c r="AA969" s="10" t="s">
        <v>50</v>
      </c>
      <c r="AB969" s="10" t="s">
        <v>9958</v>
      </c>
      <c r="AC969" s="10" t="s">
        <v>9961</v>
      </c>
      <c r="AD969" s="10" t="s">
        <v>9962</v>
      </c>
      <c r="AE969" s="10" t="s">
        <v>9963</v>
      </c>
      <c r="AF969" s="10" t="s">
        <v>185</v>
      </c>
      <c r="AG969" s="10" t="s">
        <v>9964</v>
      </c>
      <c r="AH969" s="10" t="s">
        <v>60</v>
      </c>
      <c r="AI969" s="10" t="s">
        <v>61</v>
      </c>
      <c r="AJ969" s="10" t="s">
        <v>9965</v>
      </c>
      <c r="AK969" s="10" t="s">
        <v>9966</v>
      </c>
      <c r="AL969" s="10" t="s">
        <v>64</v>
      </c>
      <c r="AM969" s="10" t="s">
        <v>9967</v>
      </c>
      <c r="AN969" s="10" t="s">
        <v>50</v>
      </c>
      <c r="AO969" s="11" t="s">
        <v>50</v>
      </c>
      <c r="AP969" s="10" t="s">
        <v>50</v>
      </c>
      <c r="AQ969" s="10" t="s">
        <v>50</v>
      </c>
      <c r="AR969" s="10" t="s">
        <v>50</v>
      </c>
      <c r="AS969" s="10" t="s">
        <v>50</v>
      </c>
      <c r="AT969" s="10" t="s">
        <v>50</v>
      </c>
      <c r="AU969" s="10" t="s">
        <v>50</v>
      </c>
      <c r="AV969" s="11"/>
      <c r="AW969" s="10" t="s">
        <v>66</v>
      </c>
      <c r="AX969" s="10"/>
      <c r="AY969" s="10" t="s">
        <v>66</v>
      </c>
    </row>
    <row r="970" ht="22.5" hidden="1" customHeight="1">
      <c r="A970" s="9" t="s">
        <v>9968</v>
      </c>
      <c r="B970" s="10" t="s">
        <v>9969</v>
      </c>
      <c r="C970" s="10" t="s">
        <v>43</v>
      </c>
      <c r="D970" s="10" t="s">
        <v>7577</v>
      </c>
      <c r="E970" s="10" t="s">
        <v>66</v>
      </c>
      <c r="F970" s="11">
        <v>1.0</v>
      </c>
      <c r="G970" s="11">
        <v>80.0</v>
      </c>
      <c r="H970" s="11"/>
      <c r="I970" s="11">
        <v>-13.6</v>
      </c>
      <c r="J970" s="11">
        <v>-19.95</v>
      </c>
      <c r="K970" s="11"/>
      <c r="L970" s="11">
        <v>50.45</v>
      </c>
      <c r="M970" s="10" t="s">
        <v>46</v>
      </c>
      <c r="N970" s="10" t="s">
        <v>45</v>
      </c>
      <c r="O970" s="10" t="s">
        <v>143</v>
      </c>
      <c r="P970" s="10" t="s">
        <v>144</v>
      </c>
      <c r="Q970" s="10" t="s">
        <v>145</v>
      </c>
      <c r="R970" s="10" t="s">
        <v>74</v>
      </c>
      <c r="S970" s="11">
        <v>80.0</v>
      </c>
      <c r="T970" s="11">
        <v>33.38</v>
      </c>
      <c r="U970" s="11" t="s">
        <v>51</v>
      </c>
      <c r="V970" s="10" t="s">
        <v>52</v>
      </c>
      <c r="W970" s="10" t="s">
        <v>9970</v>
      </c>
      <c r="X970" s="10" t="s">
        <v>9971</v>
      </c>
      <c r="Y970" s="10" t="s">
        <v>9972</v>
      </c>
      <c r="Z970" s="10" t="s">
        <v>50</v>
      </c>
      <c r="AA970" s="10" t="s">
        <v>50</v>
      </c>
      <c r="AB970" s="10" t="s">
        <v>9970</v>
      </c>
      <c r="AC970" s="10" t="s">
        <v>9973</v>
      </c>
      <c r="AD970" s="10" t="s">
        <v>9974</v>
      </c>
      <c r="AE970" s="10" t="s">
        <v>9975</v>
      </c>
      <c r="AF970" s="10" t="s">
        <v>201</v>
      </c>
      <c r="AG970" s="10" t="s">
        <v>9976</v>
      </c>
      <c r="AH970" s="10" t="s">
        <v>60</v>
      </c>
      <c r="AI970" s="10" t="s">
        <v>61</v>
      </c>
      <c r="AJ970" s="10" t="s">
        <v>9977</v>
      </c>
      <c r="AK970" s="10" t="s">
        <v>9978</v>
      </c>
      <c r="AL970" s="10" t="s">
        <v>64</v>
      </c>
      <c r="AM970" s="10" t="s">
        <v>9979</v>
      </c>
      <c r="AN970" s="10" t="s">
        <v>50</v>
      </c>
      <c r="AO970" s="11" t="s">
        <v>50</v>
      </c>
      <c r="AP970" s="10" t="s">
        <v>50</v>
      </c>
      <c r="AQ970" s="10" t="s">
        <v>50</v>
      </c>
      <c r="AR970" s="10" t="s">
        <v>50</v>
      </c>
      <c r="AS970" s="10" t="s">
        <v>50</v>
      </c>
      <c r="AT970" s="10" t="s">
        <v>50</v>
      </c>
      <c r="AU970" s="10" t="s">
        <v>50</v>
      </c>
      <c r="AV970" s="11"/>
      <c r="AW970" s="10" t="s">
        <v>66</v>
      </c>
      <c r="AX970" s="10"/>
      <c r="AY970" s="10" t="s">
        <v>66</v>
      </c>
    </row>
    <row r="971" ht="22.5" hidden="1" customHeight="1">
      <c r="A971" s="9" t="s">
        <v>9980</v>
      </c>
      <c r="B971" s="10" t="s">
        <v>9981</v>
      </c>
      <c r="C971" s="10" t="s">
        <v>43</v>
      </c>
      <c r="D971" s="10" t="s">
        <v>5200</v>
      </c>
      <c r="E971" s="10" t="s">
        <v>45</v>
      </c>
      <c r="F971" s="11">
        <v>1.0</v>
      </c>
      <c r="G971" s="11">
        <v>79.0</v>
      </c>
      <c r="H971" s="11"/>
      <c r="I971" s="11">
        <v>-13.43</v>
      </c>
      <c r="J971" s="11">
        <v>-20.45</v>
      </c>
      <c r="K971" s="11"/>
      <c r="L971" s="11">
        <v>45.12</v>
      </c>
      <c r="M971" s="10" t="s">
        <v>46</v>
      </c>
      <c r="N971" s="10" t="s">
        <v>45</v>
      </c>
      <c r="O971" s="10" t="s">
        <v>160</v>
      </c>
      <c r="P971" s="10" t="s">
        <v>161</v>
      </c>
      <c r="Q971" s="10" t="s">
        <v>162</v>
      </c>
      <c r="R971" s="10" t="s">
        <v>74</v>
      </c>
      <c r="S971" s="11">
        <v>79.0</v>
      </c>
      <c r="T971" s="11">
        <v>2.49</v>
      </c>
      <c r="U971" s="11" t="s">
        <v>51</v>
      </c>
      <c r="V971" s="10" t="s">
        <v>52</v>
      </c>
      <c r="W971" s="10" t="s">
        <v>9982</v>
      </c>
      <c r="X971" s="10" t="s">
        <v>9983</v>
      </c>
      <c r="Y971" s="10" t="s">
        <v>9984</v>
      </c>
      <c r="Z971" s="10" t="s">
        <v>50</v>
      </c>
      <c r="AA971" s="10" t="s">
        <v>50</v>
      </c>
      <c r="AB971" s="10" t="s">
        <v>9982</v>
      </c>
      <c r="AC971" s="10" t="s">
        <v>9985</v>
      </c>
      <c r="AD971" s="10" t="s">
        <v>9986</v>
      </c>
      <c r="AE971" s="10" t="s">
        <v>9987</v>
      </c>
      <c r="AF971" s="10" t="s">
        <v>58</v>
      </c>
      <c r="AG971" s="10" t="s">
        <v>9988</v>
      </c>
      <c r="AH971" s="10" t="s">
        <v>60</v>
      </c>
      <c r="AI971" s="10" t="s">
        <v>61</v>
      </c>
      <c r="AJ971" s="10" t="s">
        <v>9977</v>
      </c>
      <c r="AK971" s="10" t="s">
        <v>9989</v>
      </c>
      <c r="AL971" s="10" t="s">
        <v>64</v>
      </c>
      <c r="AM971" s="10" t="s">
        <v>9990</v>
      </c>
      <c r="AN971" s="10" t="s">
        <v>50</v>
      </c>
      <c r="AO971" s="11" t="s">
        <v>50</v>
      </c>
      <c r="AP971" s="10" t="s">
        <v>50</v>
      </c>
      <c r="AQ971" s="10" t="s">
        <v>50</v>
      </c>
      <c r="AR971" s="10" t="s">
        <v>50</v>
      </c>
      <c r="AS971" s="10" t="s">
        <v>50</v>
      </c>
      <c r="AT971" s="10" t="s">
        <v>50</v>
      </c>
      <c r="AU971" s="10" t="s">
        <v>50</v>
      </c>
      <c r="AV971" s="11"/>
      <c r="AW971" s="10" t="s">
        <v>66</v>
      </c>
      <c r="AX971" s="10"/>
      <c r="AY971" s="10" t="s">
        <v>66</v>
      </c>
    </row>
    <row r="972" ht="22.5" hidden="1" customHeight="1">
      <c r="A972" s="9" t="s">
        <v>9991</v>
      </c>
      <c r="B972" s="10" t="s">
        <v>9992</v>
      </c>
      <c r="C972" s="10" t="s">
        <v>43</v>
      </c>
      <c r="D972" s="10" t="s">
        <v>5357</v>
      </c>
      <c r="E972" s="10" t="s">
        <v>66</v>
      </c>
      <c r="F972" s="11">
        <v>1.0</v>
      </c>
      <c r="G972" s="11">
        <v>79.35</v>
      </c>
      <c r="H972" s="11"/>
      <c r="I972" s="11">
        <v>-15.08</v>
      </c>
      <c r="J972" s="11">
        <v>-19.95</v>
      </c>
      <c r="K972" s="11"/>
      <c r="L972" s="11">
        <v>44.32</v>
      </c>
      <c r="M972" s="10" t="s">
        <v>46</v>
      </c>
      <c r="N972" s="10" t="s">
        <v>45</v>
      </c>
      <c r="O972" s="10" t="s">
        <v>47</v>
      </c>
      <c r="P972" s="10" t="s">
        <v>48</v>
      </c>
      <c r="Q972" s="10" t="s">
        <v>49</v>
      </c>
      <c r="R972" s="10" t="s">
        <v>50</v>
      </c>
      <c r="S972" s="11">
        <v>79.35</v>
      </c>
      <c r="T972" s="11">
        <v>12.45</v>
      </c>
      <c r="U972" s="11" t="s">
        <v>51</v>
      </c>
      <c r="V972" s="10" t="s">
        <v>52</v>
      </c>
      <c r="W972" s="10" t="s">
        <v>9993</v>
      </c>
      <c r="X972" s="10" t="s">
        <v>9994</v>
      </c>
      <c r="Y972" s="10" t="s">
        <v>9995</v>
      </c>
      <c r="Z972" s="10" t="s">
        <v>50</v>
      </c>
      <c r="AA972" s="10" t="s">
        <v>50</v>
      </c>
      <c r="AB972" s="10" t="s">
        <v>9993</v>
      </c>
      <c r="AC972" s="10" t="s">
        <v>9996</v>
      </c>
      <c r="AD972" s="10" t="s">
        <v>9997</v>
      </c>
      <c r="AE972" s="10" t="s">
        <v>4981</v>
      </c>
      <c r="AF972" s="10" t="s">
        <v>119</v>
      </c>
      <c r="AG972" s="10" t="s">
        <v>9998</v>
      </c>
      <c r="AH972" s="10" t="s">
        <v>60</v>
      </c>
      <c r="AI972" s="10" t="s">
        <v>61</v>
      </c>
      <c r="AJ972" s="10" t="s">
        <v>5208</v>
      </c>
      <c r="AK972" s="10" t="s">
        <v>9999</v>
      </c>
      <c r="AL972" s="10" t="s">
        <v>64</v>
      </c>
      <c r="AM972" s="10" t="s">
        <v>10000</v>
      </c>
      <c r="AN972" s="10" t="s">
        <v>50</v>
      </c>
      <c r="AO972" s="11" t="s">
        <v>50</v>
      </c>
      <c r="AP972" s="10" t="s">
        <v>50</v>
      </c>
      <c r="AQ972" s="10" t="s">
        <v>50</v>
      </c>
      <c r="AR972" s="10" t="s">
        <v>50</v>
      </c>
      <c r="AS972" s="10" t="s">
        <v>50</v>
      </c>
      <c r="AT972" s="10" t="s">
        <v>50</v>
      </c>
      <c r="AU972" s="10" t="s">
        <v>50</v>
      </c>
      <c r="AV972" s="11"/>
      <c r="AW972" s="10" t="s">
        <v>66</v>
      </c>
      <c r="AX972" s="10"/>
      <c r="AY972" s="10" t="s">
        <v>66</v>
      </c>
    </row>
    <row r="973" ht="22.5" hidden="1" customHeight="1">
      <c r="A973" s="9" t="s">
        <v>10001</v>
      </c>
      <c r="B973" s="10" t="s">
        <v>10002</v>
      </c>
      <c r="C973" s="10" t="s">
        <v>43</v>
      </c>
      <c r="D973" s="10" t="s">
        <v>5357</v>
      </c>
      <c r="E973" s="10" t="s">
        <v>66</v>
      </c>
      <c r="F973" s="11">
        <v>1.0</v>
      </c>
      <c r="G973" s="11">
        <v>92.15</v>
      </c>
      <c r="H973" s="11"/>
      <c r="I973" s="11">
        <v>-17.51</v>
      </c>
      <c r="J973" s="11">
        <v>-20.45</v>
      </c>
      <c r="K973" s="11"/>
      <c r="L973" s="11">
        <v>59.72</v>
      </c>
      <c r="M973" s="10" t="s">
        <v>46</v>
      </c>
      <c r="N973" s="10" t="s">
        <v>50</v>
      </c>
      <c r="O973" s="10" t="s">
        <v>586</v>
      </c>
      <c r="P973" s="10" t="s">
        <v>587</v>
      </c>
      <c r="Q973" s="10" t="s">
        <v>588</v>
      </c>
      <c r="R973" s="10" t="s">
        <v>50</v>
      </c>
      <c r="S973" s="11">
        <v>92.15</v>
      </c>
      <c r="T973" s="11">
        <v>20.76</v>
      </c>
      <c r="U973" s="11" t="s">
        <v>51</v>
      </c>
      <c r="V973" s="10" t="s">
        <v>52</v>
      </c>
      <c r="W973" s="10" t="s">
        <v>10003</v>
      </c>
      <c r="X973" s="10" t="s">
        <v>10004</v>
      </c>
      <c r="Y973" s="10" t="s">
        <v>10005</v>
      </c>
      <c r="Z973" s="10" t="s">
        <v>50</v>
      </c>
      <c r="AA973" s="10" t="s">
        <v>50</v>
      </c>
      <c r="AB973" s="10" t="s">
        <v>10003</v>
      </c>
      <c r="AC973" s="10" t="s">
        <v>10006</v>
      </c>
      <c r="AD973" s="10" t="s">
        <v>10007</v>
      </c>
      <c r="AE973" s="10" t="s">
        <v>322</v>
      </c>
      <c r="AF973" s="10" t="s">
        <v>323</v>
      </c>
      <c r="AG973" s="10" t="s">
        <v>10008</v>
      </c>
      <c r="AH973" s="10" t="s">
        <v>60</v>
      </c>
      <c r="AI973" s="10" t="s">
        <v>61</v>
      </c>
      <c r="AJ973" s="10" t="s">
        <v>10009</v>
      </c>
      <c r="AK973" s="10" t="s">
        <v>10010</v>
      </c>
      <c r="AL973" s="10" t="s">
        <v>64</v>
      </c>
      <c r="AM973" s="10" t="s">
        <v>10011</v>
      </c>
      <c r="AN973" s="10" t="s">
        <v>50</v>
      </c>
      <c r="AO973" s="11" t="s">
        <v>50</v>
      </c>
      <c r="AP973" s="10" t="s">
        <v>50</v>
      </c>
      <c r="AQ973" s="10" t="s">
        <v>50</v>
      </c>
      <c r="AR973" s="10" t="s">
        <v>50</v>
      </c>
      <c r="AS973" s="10" t="s">
        <v>50</v>
      </c>
      <c r="AT973" s="10" t="s">
        <v>50</v>
      </c>
      <c r="AU973" s="10" t="s">
        <v>50</v>
      </c>
      <c r="AV973" s="11"/>
      <c r="AW973" s="10" t="s">
        <v>66</v>
      </c>
      <c r="AX973" s="10"/>
      <c r="AY973" s="10" t="s">
        <v>66</v>
      </c>
    </row>
    <row r="974" ht="22.5" hidden="1" customHeight="1">
      <c r="A974" s="9" t="s">
        <v>10012</v>
      </c>
      <c r="B974" s="10" t="s">
        <v>10013</v>
      </c>
      <c r="C974" s="10" t="s">
        <v>43</v>
      </c>
      <c r="D974" s="10" t="s">
        <v>5200</v>
      </c>
      <c r="E974" s="10" t="s">
        <v>66</v>
      </c>
      <c r="F974" s="11">
        <v>1.0</v>
      </c>
      <c r="G974" s="11">
        <v>79.0</v>
      </c>
      <c r="H974" s="11"/>
      <c r="I974" s="11">
        <v>-13.43</v>
      </c>
      <c r="J974" s="11">
        <v>-20.45</v>
      </c>
      <c r="K974" s="11"/>
      <c r="L974" s="11">
        <v>45.12</v>
      </c>
      <c r="M974" s="10" t="s">
        <v>46</v>
      </c>
      <c r="N974" s="10" t="s">
        <v>45</v>
      </c>
      <c r="O974" s="10" t="s">
        <v>160</v>
      </c>
      <c r="P974" s="10" t="s">
        <v>161</v>
      </c>
      <c r="Q974" s="10" t="s">
        <v>162</v>
      </c>
      <c r="R974" s="10" t="s">
        <v>74</v>
      </c>
      <c r="S974" s="11">
        <v>79.0</v>
      </c>
      <c r="T974" s="11">
        <v>2.49</v>
      </c>
      <c r="U974" s="11" t="s">
        <v>51</v>
      </c>
      <c r="V974" s="10" t="s">
        <v>52</v>
      </c>
      <c r="W974" s="10" t="s">
        <v>10014</v>
      </c>
      <c r="X974" s="10" t="s">
        <v>10015</v>
      </c>
      <c r="Y974" s="10" t="s">
        <v>10016</v>
      </c>
      <c r="Z974" s="10" t="s">
        <v>50</v>
      </c>
      <c r="AA974" s="10" t="s">
        <v>50</v>
      </c>
      <c r="AB974" s="10" t="s">
        <v>10014</v>
      </c>
      <c r="AC974" s="10" t="s">
        <v>10017</v>
      </c>
      <c r="AD974" s="10" t="s">
        <v>10018</v>
      </c>
      <c r="AE974" s="10" t="s">
        <v>10019</v>
      </c>
      <c r="AF974" s="10" t="s">
        <v>119</v>
      </c>
      <c r="AG974" s="10" t="s">
        <v>10020</v>
      </c>
      <c r="AH974" s="10" t="s">
        <v>60</v>
      </c>
      <c r="AI974" s="10" t="s">
        <v>61</v>
      </c>
      <c r="AJ974" s="10" t="s">
        <v>5208</v>
      </c>
      <c r="AK974" s="10" t="s">
        <v>10021</v>
      </c>
      <c r="AL974" s="10" t="s">
        <v>64</v>
      </c>
      <c r="AM974" s="10" t="s">
        <v>10022</v>
      </c>
      <c r="AN974" s="10" t="s">
        <v>50</v>
      </c>
      <c r="AO974" s="11" t="s">
        <v>50</v>
      </c>
      <c r="AP974" s="10" t="s">
        <v>50</v>
      </c>
      <c r="AQ974" s="10" t="s">
        <v>50</v>
      </c>
      <c r="AR974" s="10" t="s">
        <v>50</v>
      </c>
      <c r="AS974" s="10" t="s">
        <v>50</v>
      </c>
      <c r="AT974" s="10" t="s">
        <v>50</v>
      </c>
      <c r="AU974" s="10" t="s">
        <v>50</v>
      </c>
      <c r="AV974" s="11"/>
      <c r="AW974" s="10" t="s">
        <v>66</v>
      </c>
      <c r="AX974" s="10"/>
      <c r="AY974" s="10" t="s">
        <v>66</v>
      </c>
    </row>
    <row r="975" ht="22.5" hidden="1" customHeight="1">
      <c r="A975" s="9" t="s">
        <v>10023</v>
      </c>
      <c r="B975" s="10" t="s">
        <v>10024</v>
      </c>
      <c r="C975" s="10" t="s">
        <v>43</v>
      </c>
      <c r="D975" s="10" t="s">
        <v>3477</v>
      </c>
      <c r="E975" s="10" t="s">
        <v>66</v>
      </c>
      <c r="F975" s="11">
        <v>1.0</v>
      </c>
      <c r="G975" s="11">
        <v>80.6</v>
      </c>
      <c r="H975" s="11">
        <v>27.0</v>
      </c>
      <c r="I975" s="11">
        <v>-13.7</v>
      </c>
      <c r="J975" s="11">
        <v>-47.45</v>
      </c>
      <c r="K975" s="11"/>
      <c r="L975" s="11">
        <v>46.45</v>
      </c>
      <c r="M975" s="10" t="s">
        <v>46</v>
      </c>
      <c r="N975" s="10" t="s">
        <v>45</v>
      </c>
      <c r="O975" s="10" t="s">
        <v>265</v>
      </c>
      <c r="P975" s="10" t="s">
        <v>266</v>
      </c>
      <c r="Q975" s="10" t="s">
        <v>267</v>
      </c>
      <c r="R975" s="10" t="s">
        <v>74</v>
      </c>
      <c r="S975" s="11">
        <v>80.6</v>
      </c>
      <c r="T975" s="11">
        <v>26.22</v>
      </c>
      <c r="U975" s="11" t="s">
        <v>51</v>
      </c>
      <c r="V975" s="10" t="s">
        <v>52</v>
      </c>
      <c r="W975" s="10" t="s">
        <v>10025</v>
      </c>
      <c r="X975" s="10" t="s">
        <v>10026</v>
      </c>
      <c r="Y975" s="10" t="s">
        <v>10027</v>
      </c>
      <c r="Z975" s="10" t="s">
        <v>50</v>
      </c>
      <c r="AA975" s="10" t="s">
        <v>50</v>
      </c>
      <c r="AB975" s="10" t="s">
        <v>10025</v>
      </c>
      <c r="AC975" s="10" t="s">
        <v>10028</v>
      </c>
      <c r="AD975" s="10" t="s">
        <v>10029</v>
      </c>
      <c r="AE975" s="10" t="s">
        <v>10030</v>
      </c>
      <c r="AF975" s="10" t="s">
        <v>2648</v>
      </c>
      <c r="AG975" s="10" t="s">
        <v>10031</v>
      </c>
      <c r="AH975" s="10" t="s">
        <v>60</v>
      </c>
      <c r="AI975" s="10" t="s">
        <v>61</v>
      </c>
      <c r="AJ975" s="10" t="s">
        <v>5365</v>
      </c>
      <c r="AK975" s="10" t="s">
        <v>10032</v>
      </c>
      <c r="AL975" s="10" t="s">
        <v>64</v>
      </c>
      <c r="AM975" s="10" t="s">
        <v>10033</v>
      </c>
      <c r="AN975" s="10" t="s">
        <v>50</v>
      </c>
      <c r="AO975" s="11" t="s">
        <v>50</v>
      </c>
      <c r="AP975" s="10" t="s">
        <v>50</v>
      </c>
      <c r="AQ975" s="10" t="s">
        <v>50</v>
      </c>
      <c r="AR975" s="10" t="s">
        <v>50</v>
      </c>
      <c r="AS975" s="10" t="s">
        <v>50</v>
      </c>
      <c r="AT975" s="10" t="s">
        <v>50</v>
      </c>
      <c r="AU975" s="10" t="s">
        <v>50</v>
      </c>
      <c r="AV975" s="11"/>
      <c r="AW975" s="10" t="s">
        <v>66</v>
      </c>
      <c r="AX975" s="10"/>
      <c r="AY975" s="10" t="s">
        <v>66</v>
      </c>
    </row>
    <row r="976" ht="22.5" hidden="1" customHeight="1">
      <c r="A976" s="9" t="s">
        <v>10034</v>
      </c>
      <c r="B976" s="10" t="s">
        <v>10035</v>
      </c>
      <c r="C976" s="10" t="s">
        <v>43</v>
      </c>
      <c r="D976" s="10" t="s">
        <v>3477</v>
      </c>
      <c r="E976" s="10" t="s">
        <v>66</v>
      </c>
      <c r="F976" s="11">
        <v>1.0</v>
      </c>
      <c r="G976" s="11">
        <v>120.0</v>
      </c>
      <c r="H976" s="11">
        <v>7.55</v>
      </c>
      <c r="I976" s="11">
        <v>-20.4</v>
      </c>
      <c r="J976" s="11">
        <v>-27.5</v>
      </c>
      <c r="K976" s="11"/>
      <c r="L976" s="11">
        <v>86.85</v>
      </c>
      <c r="M976" s="10" t="s">
        <v>46</v>
      </c>
      <c r="N976" s="10" t="s">
        <v>50</v>
      </c>
      <c r="O976" s="10" t="s">
        <v>85</v>
      </c>
      <c r="P976" s="10" t="s">
        <v>86</v>
      </c>
      <c r="Q976" s="10" t="s">
        <v>87</v>
      </c>
      <c r="R976" s="10" t="s">
        <v>74</v>
      </c>
      <c r="S976" s="11">
        <v>120.0</v>
      </c>
      <c r="T976" s="11">
        <v>65.78</v>
      </c>
      <c r="U976" s="11" t="s">
        <v>51</v>
      </c>
      <c r="V976" s="10" t="s">
        <v>52</v>
      </c>
      <c r="W976" s="10" t="s">
        <v>10036</v>
      </c>
      <c r="X976" s="10" t="s">
        <v>10037</v>
      </c>
      <c r="Y976" s="10" t="s">
        <v>10038</v>
      </c>
      <c r="Z976" s="10" t="s">
        <v>50</v>
      </c>
      <c r="AA976" s="10" t="s">
        <v>50</v>
      </c>
      <c r="AB976" s="10" t="s">
        <v>10036</v>
      </c>
      <c r="AC976" s="10" t="s">
        <v>10039</v>
      </c>
      <c r="AD976" s="10" t="s">
        <v>10040</v>
      </c>
      <c r="AE976" s="10" t="s">
        <v>8944</v>
      </c>
      <c r="AF976" s="10" t="s">
        <v>799</v>
      </c>
      <c r="AG976" s="10" t="s">
        <v>10041</v>
      </c>
      <c r="AH976" s="10" t="s">
        <v>60</v>
      </c>
      <c r="AI976" s="10" t="s">
        <v>61</v>
      </c>
      <c r="AJ976" s="10" t="s">
        <v>9977</v>
      </c>
      <c r="AK976" s="10" t="s">
        <v>10042</v>
      </c>
      <c r="AL976" s="10" t="s">
        <v>1025</v>
      </c>
      <c r="AM976" s="10" t="s">
        <v>10043</v>
      </c>
      <c r="AN976" s="10" t="s">
        <v>10044</v>
      </c>
      <c r="AO976" s="11" t="s">
        <v>50</v>
      </c>
      <c r="AP976" s="10" t="s">
        <v>50</v>
      </c>
      <c r="AQ976" s="10" t="s">
        <v>50</v>
      </c>
      <c r="AR976" s="10" t="s">
        <v>50</v>
      </c>
      <c r="AS976" s="10" t="s">
        <v>50</v>
      </c>
      <c r="AT976" s="10" t="s">
        <v>50</v>
      </c>
      <c r="AU976" s="10" t="s">
        <v>50</v>
      </c>
      <c r="AV976" s="11"/>
      <c r="AW976" s="10" t="s">
        <v>66</v>
      </c>
      <c r="AX976" s="10"/>
      <c r="AY976" s="10" t="s">
        <v>66</v>
      </c>
    </row>
    <row r="977" ht="22.5" hidden="1" customHeight="1">
      <c r="A977" s="9" t="s">
        <v>10045</v>
      </c>
      <c r="B977" s="10" t="s">
        <v>10046</v>
      </c>
      <c r="C977" s="10" t="s">
        <v>43</v>
      </c>
      <c r="D977" s="10" t="s">
        <v>7530</v>
      </c>
      <c r="E977" s="10" t="s">
        <v>66</v>
      </c>
      <c r="F977" s="11">
        <v>1.0</v>
      </c>
      <c r="G977" s="11">
        <v>43.7</v>
      </c>
      <c r="H977" s="11">
        <v>13.77</v>
      </c>
      <c r="I977" s="11">
        <v>-13.43</v>
      </c>
      <c r="J977" s="11">
        <v>-13.77</v>
      </c>
      <c r="K977" s="11"/>
      <c r="L977" s="11">
        <v>32.89</v>
      </c>
      <c r="M977" s="10" t="s">
        <v>46</v>
      </c>
      <c r="N977" s="10" t="s">
        <v>50</v>
      </c>
      <c r="O977" s="10" t="s">
        <v>176</v>
      </c>
      <c r="P977" s="10" t="s">
        <v>177</v>
      </c>
      <c r="Q977" s="10" t="s">
        <v>178</v>
      </c>
      <c r="R977" s="10" t="s">
        <v>74</v>
      </c>
      <c r="S977" s="11">
        <v>43.7</v>
      </c>
      <c r="T977" s="11">
        <v>22.58</v>
      </c>
      <c r="U977" s="11" t="s">
        <v>51</v>
      </c>
      <c r="V977" s="10" t="s">
        <v>52</v>
      </c>
      <c r="W977" s="10" t="s">
        <v>10047</v>
      </c>
      <c r="X977" s="10" t="s">
        <v>10048</v>
      </c>
      <c r="Y977" s="10" t="s">
        <v>10049</v>
      </c>
      <c r="Z977" s="10" t="s">
        <v>50</v>
      </c>
      <c r="AA977" s="10" t="s">
        <v>50</v>
      </c>
      <c r="AB977" s="10" t="s">
        <v>10047</v>
      </c>
      <c r="AC977" s="10" t="s">
        <v>10050</v>
      </c>
      <c r="AD977" s="10" t="s">
        <v>10051</v>
      </c>
      <c r="AE977" s="10" t="s">
        <v>10052</v>
      </c>
      <c r="AF977" s="10" t="s">
        <v>151</v>
      </c>
      <c r="AG977" s="10" t="s">
        <v>10053</v>
      </c>
      <c r="AH977" s="10" t="s">
        <v>60</v>
      </c>
      <c r="AI977" s="10" t="s">
        <v>61</v>
      </c>
      <c r="AJ977" s="10" t="s">
        <v>10054</v>
      </c>
      <c r="AK977" s="10" t="s">
        <v>10055</v>
      </c>
      <c r="AL977" s="10" t="s">
        <v>64</v>
      </c>
      <c r="AM977" s="10" t="s">
        <v>10056</v>
      </c>
      <c r="AN977" s="10" t="s">
        <v>50</v>
      </c>
      <c r="AO977" s="11" t="s">
        <v>50</v>
      </c>
      <c r="AP977" s="10" t="s">
        <v>50</v>
      </c>
      <c r="AQ977" s="10" t="s">
        <v>50</v>
      </c>
      <c r="AR977" s="10" t="s">
        <v>50</v>
      </c>
      <c r="AS977" s="10" t="s">
        <v>50</v>
      </c>
      <c r="AT977" s="10" t="s">
        <v>50</v>
      </c>
      <c r="AU977" s="10" t="s">
        <v>50</v>
      </c>
      <c r="AV977" s="11"/>
      <c r="AW977" s="10" t="s">
        <v>66</v>
      </c>
      <c r="AX977" s="10"/>
      <c r="AY977" s="10" t="s">
        <v>66</v>
      </c>
    </row>
    <row r="978" ht="22.5" hidden="1" customHeight="1">
      <c r="A978" s="9" t="s">
        <v>10057</v>
      </c>
      <c r="B978" s="10" t="s">
        <v>10058</v>
      </c>
      <c r="C978" s="10" t="s">
        <v>43</v>
      </c>
      <c r="D978" s="10" t="s">
        <v>5200</v>
      </c>
      <c r="E978" s="10" t="s">
        <v>45</v>
      </c>
      <c r="F978" s="11">
        <v>1.0</v>
      </c>
      <c r="G978" s="11">
        <v>80.0</v>
      </c>
      <c r="H978" s="11"/>
      <c r="I978" s="11">
        <v>-13.6</v>
      </c>
      <c r="J978" s="11">
        <v>-19.95</v>
      </c>
      <c r="K978" s="11"/>
      <c r="L978" s="11">
        <v>50.45</v>
      </c>
      <c r="M978" s="10" t="s">
        <v>46</v>
      </c>
      <c r="N978" s="10" t="s">
        <v>50</v>
      </c>
      <c r="O978" s="10" t="s">
        <v>143</v>
      </c>
      <c r="P978" s="10" t="s">
        <v>144</v>
      </c>
      <c r="Q978" s="10" t="s">
        <v>145</v>
      </c>
      <c r="R978" s="10" t="s">
        <v>74</v>
      </c>
      <c r="S978" s="11">
        <v>80.0</v>
      </c>
      <c r="T978" s="11">
        <v>33.38</v>
      </c>
      <c r="U978" s="11" t="s">
        <v>51</v>
      </c>
      <c r="V978" s="10" t="s">
        <v>52</v>
      </c>
      <c r="W978" s="10" t="s">
        <v>10059</v>
      </c>
      <c r="X978" s="10" t="s">
        <v>10060</v>
      </c>
      <c r="Y978" s="10" t="s">
        <v>10061</v>
      </c>
      <c r="Z978" s="10" t="s">
        <v>50</v>
      </c>
      <c r="AA978" s="10" t="s">
        <v>50</v>
      </c>
      <c r="AB978" s="10" t="s">
        <v>10059</v>
      </c>
      <c r="AC978" s="10" t="s">
        <v>10062</v>
      </c>
      <c r="AD978" s="10" t="s">
        <v>10063</v>
      </c>
      <c r="AE978" s="10" t="s">
        <v>1346</v>
      </c>
      <c r="AF978" s="10" t="s">
        <v>1347</v>
      </c>
      <c r="AG978" s="10" t="s">
        <v>10064</v>
      </c>
      <c r="AH978" s="10" t="s">
        <v>60</v>
      </c>
      <c r="AI978" s="10" t="s">
        <v>61</v>
      </c>
      <c r="AJ978" s="10" t="s">
        <v>5365</v>
      </c>
      <c r="AK978" s="10" t="s">
        <v>10065</v>
      </c>
      <c r="AL978" s="10" t="s">
        <v>64</v>
      </c>
      <c r="AM978" s="10" t="s">
        <v>10066</v>
      </c>
      <c r="AN978" s="10" t="s">
        <v>50</v>
      </c>
      <c r="AO978" s="11" t="s">
        <v>50</v>
      </c>
      <c r="AP978" s="10" t="s">
        <v>50</v>
      </c>
      <c r="AQ978" s="10" t="s">
        <v>50</v>
      </c>
      <c r="AR978" s="10" t="s">
        <v>50</v>
      </c>
      <c r="AS978" s="10" t="s">
        <v>50</v>
      </c>
      <c r="AT978" s="10" t="s">
        <v>50</v>
      </c>
      <c r="AU978" s="10" t="s">
        <v>50</v>
      </c>
      <c r="AV978" s="11"/>
      <c r="AW978" s="10" t="s">
        <v>66</v>
      </c>
      <c r="AX978" s="10"/>
      <c r="AY978" s="10" t="s">
        <v>66</v>
      </c>
    </row>
    <row r="979" ht="22.5" hidden="1" customHeight="1">
      <c r="A979" s="9" t="s">
        <v>10067</v>
      </c>
      <c r="B979" s="10" t="s">
        <v>10068</v>
      </c>
      <c r="C979" s="10" t="s">
        <v>43</v>
      </c>
      <c r="D979" s="10" t="s">
        <v>6539</v>
      </c>
      <c r="E979" s="10" t="s">
        <v>45</v>
      </c>
      <c r="F979" s="11">
        <v>2.0</v>
      </c>
      <c r="G979" s="11">
        <v>158.0</v>
      </c>
      <c r="H979" s="11"/>
      <c r="I979" s="11">
        <v>-26.86</v>
      </c>
      <c r="J979" s="11">
        <v>-40.9</v>
      </c>
      <c r="K979" s="11"/>
      <c r="L979" s="11">
        <v>90.24</v>
      </c>
      <c r="M979" s="10" t="s">
        <v>46</v>
      </c>
      <c r="N979" s="10" t="s">
        <v>45</v>
      </c>
      <c r="O979" s="10" t="s">
        <v>461</v>
      </c>
      <c r="P979" s="10" t="s">
        <v>462</v>
      </c>
      <c r="Q979" s="10" t="s">
        <v>463</v>
      </c>
      <c r="R979" s="10" t="s">
        <v>74</v>
      </c>
      <c r="S979" s="11">
        <v>79.0</v>
      </c>
      <c r="T979" s="11">
        <v>10.09</v>
      </c>
      <c r="U979" s="11" t="s">
        <v>51</v>
      </c>
      <c r="V979" s="10" t="s">
        <v>52</v>
      </c>
      <c r="W979" s="10" t="s">
        <v>10069</v>
      </c>
      <c r="X979" s="10" t="s">
        <v>10070</v>
      </c>
      <c r="Y979" s="10" t="s">
        <v>10071</v>
      </c>
      <c r="Z979" s="10" t="s">
        <v>50</v>
      </c>
      <c r="AA979" s="10" t="s">
        <v>50</v>
      </c>
      <c r="AB979" s="10" t="s">
        <v>10069</v>
      </c>
      <c r="AC979" s="10" t="s">
        <v>10072</v>
      </c>
      <c r="AD979" s="10" t="s">
        <v>10073</v>
      </c>
      <c r="AE979" s="10" t="s">
        <v>10074</v>
      </c>
      <c r="AF979" s="10" t="s">
        <v>6728</v>
      </c>
      <c r="AG979" s="10" t="s">
        <v>10075</v>
      </c>
      <c r="AH979" s="10" t="s">
        <v>60</v>
      </c>
      <c r="AI979" s="10" t="s">
        <v>61</v>
      </c>
      <c r="AJ979" s="10" t="s">
        <v>9789</v>
      </c>
      <c r="AK979" s="10" t="s">
        <v>10076</v>
      </c>
      <c r="AL979" s="10" t="s">
        <v>64</v>
      </c>
      <c r="AM979" s="10" t="s">
        <v>10077</v>
      </c>
      <c r="AN979" s="10" t="s">
        <v>50</v>
      </c>
      <c r="AO979" s="11" t="s">
        <v>50</v>
      </c>
      <c r="AP979" s="10" t="s">
        <v>50</v>
      </c>
      <c r="AQ979" s="10" t="s">
        <v>50</v>
      </c>
      <c r="AR979" s="10" t="s">
        <v>50</v>
      </c>
      <c r="AS979" s="10" t="s">
        <v>50</v>
      </c>
      <c r="AT979" s="10" t="s">
        <v>50</v>
      </c>
      <c r="AU979" s="10" t="s">
        <v>50</v>
      </c>
      <c r="AV979" s="11"/>
      <c r="AW979" s="10" t="s">
        <v>66</v>
      </c>
      <c r="AX979" s="10"/>
      <c r="AY979" s="10" t="s">
        <v>66</v>
      </c>
    </row>
    <row r="980" ht="22.5" hidden="1" customHeight="1">
      <c r="A980" s="9" t="s">
        <v>10078</v>
      </c>
      <c r="B980" s="10" t="s">
        <v>10079</v>
      </c>
      <c r="C980" s="10" t="s">
        <v>43</v>
      </c>
      <c r="D980" s="10" t="s">
        <v>5357</v>
      </c>
      <c r="E980" s="10" t="s">
        <v>45</v>
      </c>
      <c r="F980" s="11">
        <v>2.0</v>
      </c>
      <c r="G980" s="11">
        <v>87.4</v>
      </c>
      <c r="H980" s="11"/>
      <c r="I980" s="11">
        <v>-26.86</v>
      </c>
      <c r="J980" s="11"/>
      <c r="K980" s="11"/>
      <c r="L980" s="11">
        <v>65.78</v>
      </c>
      <c r="M980" s="10" t="s">
        <v>46</v>
      </c>
      <c r="N980" s="10" t="s">
        <v>50</v>
      </c>
      <c r="O980" s="10" t="s">
        <v>176</v>
      </c>
      <c r="P980" s="10" t="s">
        <v>177</v>
      </c>
      <c r="Q980" s="10" t="s">
        <v>178</v>
      </c>
      <c r="R980" s="10" t="s">
        <v>74</v>
      </c>
      <c r="S980" s="11">
        <v>43.7</v>
      </c>
      <c r="T980" s="11">
        <f>2*22.58</f>
        <v>45.16</v>
      </c>
      <c r="U980" s="11" t="s">
        <v>51</v>
      </c>
      <c r="V980" s="10" t="s">
        <v>52</v>
      </c>
      <c r="W980" s="10" t="s">
        <v>10080</v>
      </c>
      <c r="X980" s="10" t="s">
        <v>10081</v>
      </c>
      <c r="Y980" s="10" t="s">
        <v>10082</v>
      </c>
      <c r="Z980" s="10" t="s">
        <v>50</v>
      </c>
      <c r="AA980" s="10" t="s">
        <v>50</v>
      </c>
      <c r="AB980" s="10" t="s">
        <v>10080</v>
      </c>
      <c r="AC980" s="10" t="s">
        <v>10083</v>
      </c>
      <c r="AD980" s="10" t="s">
        <v>10084</v>
      </c>
      <c r="AE980" s="10" t="s">
        <v>3406</v>
      </c>
      <c r="AF980" s="10" t="s">
        <v>58</v>
      </c>
      <c r="AG980" s="10" t="s">
        <v>10085</v>
      </c>
      <c r="AH980" s="10" t="s">
        <v>60</v>
      </c>
      <c r="AI980" s="10" t="s">
        <v>61</v>
      </c>
      <c r="AJ980" s="10" t="s">
        <v>10086</v>
      </c>
      <c r="AK980" s="10" t="s">
        <v>10087</v>
      </c>
      <c r="AL980" s="10" t="s">
        <v>64</v>
      </c>
      <c r="AM980" s="10" t="s">
        <v>10088</v>
      </c>
      <c r="AN980" s="10" t="s">
        <v>50</v>
      </c>
      <c r="AO980" s="11" t="s">
        <v>50</v>
      </c>
      <c r="AP980" s="10" t="s">
        <v>50</v>
      </c>
      <c r="AQ980" s="10" t="s">
        <v>50</v>
      </c>
      <c r="AR980" s="10" t="s">
        <v>50</v>
      </c>
      <c r="AS980" s="10" t="s">
        <v>50</v>
      </c>
      <c r="AT980" s="10" t="s">
        <v>50</v>
      </c>
      <c r="AU980" s="10" t="s">
        <v>50</v>
      </c>
      <c r="AV980" s="11"/>
      <c r="AW980" s="10" t="s">
        <v>66</v>
      </c>
      <c r="AX980" s="10"/>
      <c r="AY980" s="10" t="s">
        <v>66</v>
      </c>
    </row>
    <row r="981" ht="22.5" hidden="1" customHeight="1">
      <c r="A981" s="9" t="s">
        <v>10089</v>
      </c>
      <c r="B981" s="10" t="s">
        <v>10090</v>
      </c>
      <c r="C981" s="10" t="s">
        <v>43</v>
      </c>
      <c r="D981" s="10" t="s">
        <v>3477</v>
      </c>
      <c r="E981" s="10" t="s">
        <v>66</v>
      </c>
      <c r="F981" s="11">
        <v>1.0</v>
      </c>
      <c r="G981" s="11">
        <v>43.7</v>
      </c>
      <c r="H981" s="11"/>
      <c r="I981" s="11">
        <v>-13.43</v>
      </c>
      <c r="J981" s="11"/>
      <c r="K981" s="11"/>
      <c r="L981" s="11">
        <v>32.89</v>
      </c>
      <c r="M981" s="10" t="s">
        <v>46</v>
      </c>
      <c r="N981" s="10" t="s">
        <v>45</v>
      </c>
      <c r="O981" s="10" t="s">
        <v>176</v>
      </c>
      <c r="P981" s="10" t="s">
        <v>177</v>
      </c>
      <c r="Q981" s="10" t="s">
        <v>178</v>
      </c>
      <c r="R981" s="10" t="s">
        <v>74</v>
      </c>
      <c r="S981" s="11">
        <v>43.7</v>
      </c>
      <c r="T981" s="11">
        <v>22.58</v>
      </c>
      <c r="U981" s="11" t="s">
        <v>51</v>
      </c>
      <c r="V981" s="10" t="s">
        <v>52</v>
      </c>
      <c r="W981" s="10" t="s">
        <v>10091</v>
      </c>
      <c r="X981" s="10" t="s">
        <v>10092</v>
      </c>
      <c r="Y981" s="10" t="s">
        <v>10093</v>
      </c>
      <c r="Z981" s="10" t="s">
        <v>50</v>
      </c>
      <c r="AA981" s="10" t="s">
        <v>50</v>
      </c>
      <c r="AB981" s="10" t="s">
        <v>10091</v>
      </c>
      <c r="AC981" s="10" t="s">
        <v>10094</v>
      </c>
      <c r="AD981" s="10" t="s">
        <v>10095</v>
      </c>
      <c r="AE981" s="10" t="s">
        <v>10096</v>
      </c>
      <c r="AF981" s="10" t="s">
        <v>2648</v>
      </c>
      <c r="AG981" s="10" t="s">
        <v>10097</v>
      </c>
      <c r="AH981" s="10" t="s">
        <v>60</v>
      </c>
      <c r="AI981" s="10" t="s">
        <v>61</v>
      </c>
      <c r="AJ981" s="10" t="s">
        <v>5365</v>
      </c>
      <c r="AK981" s="10" t="s">
        <v>10098</v>
      </c>
      <c r="AL981" s="10" t="s">
        <v>64</v>
      </c>
      <c r="AM981" s="10" t="s">
        <v>10099</v>
      </c>
      <c r="AN981" s="10" t="s">
        <v>50</v>
      </c>
      <c r="AO981" s="11" t="s">
        <v>50</v>
      </c>
      <c r="AP981" s="10" t="s">
        <v>50</v>
      </c>
      <c r="AQ981" s="10" t="s">
        <v>50</v>
      </c>
      <c r="AR981" s="10" t="s">
        <v>50</v>
      </c>
      <c r="AS981" s="10" t="s">
        <v>50</v>
      </c>
      <c r="AT981" s="10" t="s">
        <v>50</v>
      </c>
      <c r="AU981" s="10" t="s">
        <v>50</v>
      </c>
      <c r="AV981" s="11"/>
      <c r="AW981" s="10" t="s">
        <v>66</v>
      </c>
      <c r="AX981" s="10"/>
      <c r="AY981" s="10" t="s">
        <v>66</v>
      </c>
    </row>
    <row r="982" ht="22.5" hidden="1" customHeight="1">
      <c r="A982" s="9" t="s">
        <v>10100</v>
      </c>
      <c r="B982" s="10" t="s">
        <v>10101</v>
      </c>
      <c r="C982" s="10" t="s">
        <v>43</v>
      </c>
      <c r="D982" s="10" t="s">
        <v>7530</v>
      </c>
      <c r="E982" s="10" t="s">
        <v>66</v>
      </c>
      <c r="F982" s="11">
        <v>1.0</v>
      </c>
      <c r="G982" s="11">
        <v>79.0</v>
      </c>
      <c r="H982" s="11"/>
      <c r="I982" s="11">
        <v>-13.43</v>
      </c>
      <c r="J982" s="11">
        <v>-20.45</v>
      </c>
      <c r="K982" s="11"/>
      <c r="L982" s="11">
        <v>45.12</v>
      </c>
      <c r="M982" s="10" t="s">
        <v>46</v>
      </c>
      <c r="N982" s="10" t="s">
        <v>50</v>
      </c>
      <c r="O982" s="10" t="s">
        <v>461</v>
      </c>
      <c r="P982" s="10" t="s">
        <v>462</v>
      </c>
      <c r="Q982" s="10" t="s">
        <v>463</v>
      </c>
      <c r="R982" s="10" t="s">
        <v>74</v>
      </c>
      <c r="S982" s="11">
        <v>79.0</v>
      </c>
      <c r="T982" s="11">
        <v>10.09</v>
      </c>
      <c r="U982" s="11" t="s">
        <v>51</v>
      </c>
      <c r="V982" s="10" t="s">
        <v>52</v>
      </c>
      <c r="W982" s="10" t="s">
        <v>10102</v>
      </c>
      <c r="X982" s="10" t="s">
        <v>10103</v>
      </c>
      <c r="Y982" s="10" t="s">
        <v>10104</v>
      </c>
      <c r="Z982" s="10" t="s">
        <v>50</v>
      </c>
      <c r="AA982" s="10" t="s">
        <v>50</v>
      </c>
      <c r="AB982" s="10" t="s">
        <v>10102</v>
      </c>
      <c r="AC982" s="10" t="s">
        <v>10105</v>
      </c>
      <c r="AD982" s="10" t="s">
        <v>10106</v>
      </c>
      <c r="AE982" s="10" t="s">
        <v>526</v>
      </c>
      <c r="AF982" s="10" t="s">
        <v>151</v>
      </c>
      <c r="AG982" s="10" t="s">
        <v>10107</v>
      </c>
      <c r="AH982" s="10" t="s">
        <v>60</v>
      </c>
      <c r="AI982" s="10" t="s">
        <v>61</v>
      </c>
      <c r="AJ982" s="10" t="s">
        <v>10108</v>
      </c>
      <c r="AK982" s="10" t="s">
        <v>10109</v>
      </c>
      <c r="AL982" s="10" t="s">
        <v>64</v>
      </c>
      <c r="AM982" s="10" t="s">
        <v>10110</v>
      </c>
      <c r="AN982" s="10" t="s">
        <v>50</v>
      </c>
      <c r="AO982" s="11" t="s">
        <v>50</v>
      </c>
      <c r="AP982" s="10" t="s">
        <v>50</v>
      </c>
      <c r="AQ982" s="10" t="s">
        <v>50</v>
      </c>
      <c r="AR982" s="10" t="s">
        <v>50</v>
      </c>
      <c r="AS982" s="10" t="s">
        <v>50</v>
      </c>
      <c r="AT982" s="10" t="s">
        <v>50</v>
      </c>
      <c r="AU982" s="10" t="s">
        <v>50</v>
      </c>
      <c r="AV982" s="11"/>
      <c r="AW982" s="10" t="s">
        <v>66</v>
      </c>
      <c r="AX982" s="10"/>
      <c r="AY982" s="10" t="s">
        <v>66</v>
      </c>
    </row>
    <row r="983" ht="22.5" hidden="1" customHeight="1">
      <c r="A983" s="9" t="s">
        <v>10111</v>
      </c>
      <c r="B983" s="10" t="s">
        <v>10112</v>
      </c>
      <c r="C983" s="10" t="s">
        <v>43</v>
      </c>
      <c r="D983" s="10" t="s">
        <v>5200</v>
      </c>
      <c r="E983" s="10" t="s">
        <v>66</v>
      </c>
      <c r="F983" s="11">
        <v>1.0</v>
      </c>
      <c r="G983" s="11">
        <v>79.2</v>
      </c>
      <c r="H983" s="11"/>
      <c r="I983" s="11">
        <v>-13.46</v>
      </c>
      <c r="J983" s="11">
        <v>-20.45</v>
      </c>
      <c r="K983" s="11"/>
      <c r="L983" s="11">
        <v>45.29</v>
      </c>
      <c r="M983" s="10" t="s">
        <v>46</v>
      </c>
      <c r="N983" s="10" t="s">
        <v>45</v>
      </c>
      <c r="O983" s="10" t="s">
        <v>892</v>
      </c>
      <c r="P983" s="10" t="s">
        <v>893</v>
      </c>
      <c r="Q983" s="10" t="s">
        <v>894</v>
      </c>
      <c r="R983" s="10" t="s">
        <v>74</v>
      </c>
      <c r="S983" s="11">
        <v>79.2</v>
      </c>
      <c r="T983" s="11">
        <v>2.97</v>
      </c>
      <c r="U983" s="11" t="s">
        <v>51</v>
      </c>
      <c r="V983" s="10" t="s">
        <v>52</v>
      </c>
      <c r="W983" s="10" t="s">
        <v>10113</v>
      </c>
      <c r="X983" s="10" t="s">
        <v>10114</v>
      </c>
      <c r="Y983" s="10" t="s">
        <v>10115</v>
      </c>
      <c r="Z983" s="10" t="s">
        <v>50</v>
      </c>
      <c r="AA983" s="10" t="s">
        <v>50</v>
      </c>
      <c r="AB983" s="10" t="s">
        <v>10113</v>
      </c>
      <c r="AC983" s="10" t="s">
        <v>10116</v>
      </c>
      <c r="AD983" s="10" t="s">
        <v>10117</v>
      </c>
      <c r="AE983" s="10" t="s">
        <v>151</v>
      </c>
      <c r="AF983" s="10" t="s">
        <v>151</v>
      </c>
      <c r="AG983" s="10" t="s">
        <v>10118</v>
      </c>
      <c r="AH983" s="10" t="s">
        <v>60</v>
      </c>
      <c r="AI983" s="10" t="s">
        <v>61</v>
      </c>
      <c r="AJ983" s="10" t="s">
        <v>9890</v>
      </c>
      <c r="AK983" s="10" t="s">
        <v>10119</v>
      </c>
      <c r="AL983" s="10" t="s">
        <v>64</v>
      </c>
      <c r="AM983" s="10" t="s">
        <v>10120</v>
      </c>
      <c r="AN983" s="10" t="s">
        <v>10121</v>
      </c>
      <c r="AO983" s="11" t="s">
        <v>50</v>
      </c>
      <c r="AP983" s="10" t="s">
        <v>50</v>
      </c>
      <c r="AQ983" s="10" t="s">
        <v>50</v>
      </c>
      <c r="AR983" s="10" t="s">
        <v>50</v>
      </c>
      <c r="AS983" s="10" t="s">
        <v>50</v>
      </c>
      <c r="AT983" s="10" t="s">
        <v>50</v>
      </c>
      <c r="AU983" s="10" t="s">
        <v>50</v>
      </c>
      <c r="AV983" s="11"/>
      <c r="AW983" s="10" t="s">
        <v>66</v>
      </c>
      <c r="AX983" s="10"/>
      <c r="AY983" s="10" t="s">
        <v>66</v>
      </c>
    </row>
    <row r="984" ht="22.5" hidden="1" customHeight="1">
      <c r="A984" s="9" t="s">
        <v>10122</v>
      </c>
      <c r="B984" s="10" t="s">
        <v>10123</v>
      </c>
      <c r="C984" s="10" t="s">
        <v>43</v>
      </c>
      <c r="D984" s="10" t="s">
        <v>5200</v>
      </c>
      <c r="E984" s="10" t="s">
        <v>45</v>
      </c>
      <c r="F984" s="11">
        <v>1.0</v>
      </c>
      <c r="G984" s="11">
        <v>120.0</v>
      </c>
      <c r="H984" s="11"/>
      <c r="I984" s="11">
        <v>-20.4</v>
      </c>
      <c r="J984" s="11">
        <v>-19.95</v>
      </c>
      <c r="K984" s="11"/>
      <c r="L984" s="11">
        <v>86.85</v>
      </c>
      <c r="M984" s="10" t="s">
        <v>46</v>
      </c>
      <c r="N984" s="10" t="s">
        <v>45</v>
      </c>
      <c r="O984" s="10" t="s">
        <v>85</v>
      </c>
      <c r="P984" s="10" t="s">
        <v>86</v>
      </c>
      <c r="Q984" s="10" t="s">
        <v>87</v>
      </c>
      <c r="R984" s="10" t="s">
        <v>74</v>
      </c>
      <c r="S984" s="11">
        <v>120.0</v>
      </c>
      <c r="T984" s="11">
        <v>65.78</v>
      </c>
      <c r="U984" s="11" t="s">
        <v>51</v>
      </c>
      <c r="V984" s="10" t="s">
        <v>52</v>
      </c>
      <c r="W984" s="10" t="s">
        <v>10124</v>
      </c>
      <c r="X984" s="10" t="s">
        <v>10125</v>
      </c>
      <c r="Y984" s="10" t="s">
        <v>10126</v>
      </c>
      <c r="Z984" s="10" t="s">
        <v>50</v>
      </c>
      <c r="AA984" s="10" t="s">
        <v>50</v>
      </c>
      <c r="AB984" s="10" t="s">
        <v>10124</v>
      </c>
      <c r="AC984" s="10" t="s">
        <v>10127</v>
      </c>
      <c r="AD984" s="10" t="s">
        <v>10128</v>
      </c>
      <c r="AE984" s="10" t="s">
        <v>10129</v>
      </c>
      <c r="AF984" s="10" t="s">
        <v>323</v>
      </c>
      <c r="AG984" s="10" t="s">
        <v>10130</v>
      </c>
      <c r="AH984" s="10" t="s">
        <v>60</v>
      </c>
      <c r="AI984" s="10" t="s">
        <v>61</v>
      </c>
      <c r="AJ984" s="10" t="s">
        <v>10131</v>
      </c>
      <c r="AK984" s="10" t="s">
        <v>10132</v>
      </c>
      <c r="AL984" s="10" t="s">
        <v>64</v>
      </c>
      <c r="AM984" s="10" t="s">
        <v>10133</v>
      </c>
      <c r="AN984" s="10" t="s">
        <v>10134</v>
      </c>
      <c r="AO984" s="11" t="s">
        <v>50</v>
      </c>
      <c r="AP984" s="10" t="s">
        <v>50</v>
      </c>
      <c r="AQ984" s="10" t="s">
        <v>50</v>
      </c>
      <c r="AR984" s="10" t="s">
        <v>50</v>
      </c>
      <c r="AS984" s="10" t="s">
        <v>50</v>
      </c>
      <c r="AT984" s="10" t="s">
        <v>50</v>
      </c>
      <c r="AU984" s="10" t="s">
        <v>50</v>
      </c>
      <c r="AV984" s="11"/>
      <c r="AW984" s="10" t="s">
        <v>66</v>
      </c>
      <c r="AX984" s="10"/>
      <c r="AY984" s="10" t="s">
        <v>66</v>
      </c>
    </row>
    <row r="985" ht="22.5" hidden="1" customHeight="1">
      <c r="A985" s="9" t="s">
        <v>10135</v>
      </c>
      <c r="B985" s="10" t="s">
        <v>10136</v>
      </c>
      <c r="C985" s="10" t="s">
        <v>43</v>
      </c>
      <c r="D985" s="10" t="s">
        <v>5357</v>
      </c>
      <c r="E985" s="10" t="s">
        <v>66</v>
      </c>
      <c r="F985" s="11">
        <v>1.0</v>
      </c>
      <c r="G985" s="11">
        <v>92.15</v>
      </c>
      <c r="H985" s="11"/>
      <c r="I985" s="11">
        <v>-17.51</v>
      </c>
      <c r="J985" s="11">
        <v>-20.45</v>
      </c>
      <c r="K985" s="11"/>
      <c r="L985" s="11">
        <v>59.72</v>
      </c>
      <c r="M985" s="10" t="s">
        <v>46</v>
      </c>
      <c r="N985" s="10" t="s">
        <v>45</v>
      </c>
      <c r="O985" s="10" t="s">
        <v>586</v>
      </c>
      <c r="P985" s="10" t="s">
        <v>587</v>
      </c>
      <c r="Q985" s="10" t="s">
        <v>588</v>
      </c>
      <c r="R985" s="10" t="s">
        <v>50</v>
      </c>
      <c r="S985" s="11">
        <v>92.15</v>
      </c>
      <c r="T985" s="11">
        <v>20.76</v>
      </c>
      <c r="U985" s="11" t="s">
        <v>51</v>
      </c>
      <c r="V985" s="10" t="s">
        <v>52</v>
      </c>
      <c r="W985" s="10" t="s">
        <v>10137</v>
      </c>
      <c r="X985" s="10" t="s">
        <v>10138</v>
      </c>
      <c r="Y985" s="10" t="s">
        <v>10139</v>
      </c>
      <c r="Z985" s="10" t="s">
        <v>50</v>
      </c>
      <c r="AA985" s="10" t="s">
        <v>50</v>
      </c>
      <c r="AB985" s="10" t="s">
        <v>10137</v>
      </c>
      <c r="AC985" s="10" t="s">
        <v>10140</v>
      </c>
      <c r="AD985" s="10" t="s">
        <v>10141</v>
      </c>
      <c r="AE985" s="10" t="s">
        <v>213</v>
      </c>
      <c r="AF985" s="10" t="s">
        <v>214</v>
      </c>
      <c r="AG985" s="10" t="s">
        <v>10142</v>
      </c>
      <c r="AH985" s="10" t="s">
        <v>60</v>
      </c>
      <c r="AI985" s="10" t="s">
        <v>61</v>
      </c>
      <c r="AJ985" s="10" t="s">
        <v>5208</v>
      </c>
      <c r="AK985" s="10" t="s">
        <v>10143</v>
      </c>
      <c r="AL985" s="10" t="s">
        <v>64</v>
      </c>
      <c r="AM985" s="10" t="s">
        <v>10144</v>
      </c>
      <c r="AN985" s="10" t="s">
        <v>50</v>
      </c>
      <c r="AO985" s="11" t="s">
        <v>50</v>
      </c>
      <c r="AP985" s="10" t="s">
        <v>50</v>
      </c>
      <c r="AQ985" s="10" t="s">
        <v>50</v>
      </c>
      <c r="AR985" s="10" t="s">
        <v>50</v>
      </c>
      <c r="AS985" s="10" t="s">
        <v>50</v>
      </c>
      <c r="AT985" s="10" t="s">
        <v>50</v>
      </c>
      <c r="AU985" s="10" t="s">
        <v>50</v>
      </c>
      <c r="AV985" s="11"/>
      <c r="AW985" s="10" t="s">
        <v>66</v>
      </c>
      <c r="AX985" s="10"/>
      <c r="AY985" s="10" t="s">
        <v>66</v>
      </c>
    </row>
    <row r="986" ht="22.5" hidden="1" customHeight="1">
      <c r="A986" s="9" t="s">
        <v>10145</v>
      </c>
      <c r="B986" s="10" t="s">
        <v>10146</v>
      </c>
      <c r="C986" s="10" t="s">
        <v>43</v>
      </c>
      <c r="D986" s="10" t="s">
        <v>5200</v>
      </c>
      <c r="E986" s="10" t="s">
        <v>66</v>
      </c>
      <c r="F986" s="11">
        <v>1.0</v>
      </c>
      <c r="G986" s="11">
        <v>120.0</v>
      </c>
      <c r="H986" s="11"/>
      <c r="I986" s="11">
        <v>-20.4</v>
      </c>
      <c r="J986" s="11">
        <v>-19.95</v>
      </c>
      <c r="K986" s="11"/>
      <c r="L986" s="11">
        <v>86.85</v>
      </c>
      <c r="M986" s="10" t="s">
        <v>46</v>
      </c>
      <c r="N986" s="10" t="s">
        <v>45</v>
      </c>
      <c r="O986" s="10" t="s">
        <v>85</v>
      </c>
      <c r="P986" s="10" t="s">
        <v>86</v>
      </c>
      <c r="Q986" s="10" t="s">
        <v>87</v>
      </c>
      <c r="R986" s="10" t="s">
        <v>74</v>
      </c>
      <c r="S986" s="11">
        <v>120.0</v>
      </c>
      <c r="T986" s="11">
        <v>65.78</v>
      </c>
      <c r="U986" s="11" t="s">
        <v>51</v>
      </c>
      <c r="V986" s="10" t="s">
        <v>52</v>
      </c>
      <c r="W986" s="10" t="s">
        <v>10147</v>
      </c>
      <c r="X986" s="10" t="s">
        <v>10148</v>
      </c>
      <c r="Y986" s="10" t="s">
        <v>10149</v>
      </c>
      <c r="Z986" s="10" t="s">
        <v>50</v>
      </c>
      <c r="AA986" s="10" t="s">
        <v>50</v>
      </c>
      <c r="AB986" s="10" t="s">
        <v>10147</v>
      </c>
      <c r="AC986" s="10" t="s">
        <v>10150</v>
      </c>
      <c r="AD986" s="10" t="s">
        <v>10151</v>
      </c>
      <c r="AE986" s="10" t="s">
        <v>682</v>
      </c>
      <c r="AF986" s="10" t="s">
        <v>58</v>
      </c>
      <c r="AG986" s="10" t="s">
        <v>10152</v>
      </c>
      <c r="AH986" s="10" t="s">
        <v>60</v>
      </c>
      <c r="AI986" s="10" t="s">
        <v>61</v>
      </c>
      <c r="AJ986" s="10" t="s">
        <v>9789</v>
      </c>
      <c r="AK986" s="10" t="s">
        <v>10153</v>
      </c>
      <c r="AL986" s="10" t="s">
        <v>64</v>
      </c>
      <c r="AM986" s="10" t="s">
        <v>10154</v>
      </c>
      <c r="AN986" s="10" t="s">
        <v>50</v>
      </c>
      <c r="AO986" s="11" t="s">
        <v>50</v>
      </c>
      <c r="AP986" s="10" t="s">
        <v>50</v>
      </c>
      <c r="AQ986" s="10" t="s">
        <v>50</v>
      </c>
      <c r="AR986" s="10" t="s">
        <v>50</v>
      </c>
      <c r="AS986" s="10" t="s">
        <v>50</v>
      </c>
      <c r="AT986" s="10" t="s">
        <v>50</v>
      </c>
      <c r="AU986" s="10" t="s">
        <v>50</v>
      </c>
      <c r="AV986" s="11"/>
      <c r="AW986" s="10" t="s">
        <v>66</v>
      </c>
      <c r="AX986" s="10"/>
      <c r="AY986" s="10" t="s">
        <v>66</v>
      </c>
    </row>
    <row r="987" ht="22.5" hidden="1" customHeight="1">
      <c r="A987" s="9" t="s">
        <v>10155</v>
      </c>
      <c r="B987" s="10" t="s">
        <v>10156</v>
      </c>
      <c r="C987" s="10" t="s">
        <v>69</v>
      </c>
      <c r="D987" s="10" t="s">
        <v>2283</v>
      </c>
      <c r="E987" s="10" t="s">
        <v>66</v>
      </c>
      <c r="F987" s="11">
        <v>1.0</v>
      </c>
      <c r="G987" s="11">
        <v>80.6</v>
      </c>
      <c r="H987" s="11"/>
      <c r="I987" s="11">
        <v>-13.7</v>
      </c>
      <c r="J987" s="11">
        <v>-20.45</v>
      </c>
      <c r="K987" s="11">
        <v>-46.45</v>
      </c>
      <c r="L987" s="11">
        <v>0.0</v>
      </c>
      <c r="M987" s="10" t="s">
        <v>46</v>
      </c>
      <c r="N987" s="10" t="s">
        <v>45</v>
      </c>
      <c r="O987" s="10" t="s">
        <v>265</v>
      </c>
      <c r="P987" s="10" t="s">
        <v>266</v>
      </c>
      <c r="Q987" s="10" t="s">
        <v>267</v>
      </c>
      <c r="R987" s="10" t="s">
        <v>74</v>
      </c>
      <c r="S987" s="11">
        <v>80.6</v>
      </c>
      <c r="T987" s="11"/>
      <c r="U987" s="11" t="s">
        <v>51</v>
      </c>
      <c r="V987" s="10" t="s">
        <v>2284</v>
      </c>
      <c r="W987" s="10" t="s">
        <v>10157</v>
      </c>
      <c r="X987" s="10" t="s">
        <v>10158</v>
      </c>
      <c r="Y987" s="10" t="s">
        <v>10159</v>
      </c>
      <c r="Z987" s="10" t="s">
        <v>50</v>
      </c>
      <c r="AA987" s="10" t="s">
        <v>50</v>
      </c>
      <c r="AB987" s="10" t="s">
        <v>10157</v>
      </c>
      <c r="AC987" s="10" t="s">
        <v>10160</v>
      </c>
      <c r="AD987" s="10" t="s">
        <v>50</v>
      </c>
      <c r="AE987" s="10" t="s">
        <v>1936</v>
      </c>
      <c r="AF987" s="10" t="s">
        <v>58</v>
      </c>
      <c r="AG987" s="10" t="s">
        <v>10161</v>
      </c>
      <c r="AH987" s="10" t="s">
        <v>60</v>
      </c>
      <c r="AI987" s="10" t="s">
        <v>61</v>
      </c>
      <c r="AJ987" s="10" t="s">
        <v>50</v>
      </c>
      <c r="AK987" s="10" t="s">
        <v>50</v>
      </c>
      <c r="AL987" s="10" t="s">
        <v>64</v>
      </c>
      <c r="AM987" s="10" t="s">
        <v>10162</v>
      </c>
      <c r="AN987" s="10" t="s">
        <v>50</v>
      </c>
      <c r="AO987" s="11" t="s">
        <v>50</v>
      </c>
      <c r="AP987" s="10" t="s">
        <v>50</v>
      </c>
      <c r="AQ987" s="10" t="s">
        <v>50</v>
      </c>
      <c r="AR987" s="10" t="s">
        <v>50</v>
      </c>
      <c r="AS987" s="10" t="s">
        <v>50</v>
      </c>
      <c r="AT987" s="10" t="s">
        <v>50</v>
      </c>
      <c r="AU987" s="10" t="s">
        <v>50</v>
      </c>
      <c r="AV987" s="11"/>
      <c r="AW987" s="10" t="s">
        <v>66</v>
      </c>
      <c r="AX987" s="10"/>
      <c r="AY987" s="10" t="s">
        <v>66</v>
      </c>
    </row>
    <row r="988" ht="22.5" hidden="1" customHeight="1">
      <c r="A988" s="9" t="s">
        <v>10163</v>
      </c>
      <c r="B988" s="10" t="s">
        <v>10164</v>
      </c>
      <c r="C988" s="10" t="s">
        <v>43</v>
      </c>
      <c r="D988" s="10" t="s">
        <v>5357</v>
      </c>
      <c r="E988" s="10" t="s">
        <v>45</v>
      </c>
      <c r="F988" s="11">
        <v>2.0</v>
      </c>
      <c r="G988" s="11">
        <v>87.4</v>
      </c>
      <c r="H988" s="11"/>
      <c r="I988" s="11">
        <v>-26.86</v>
      </c>
      <c r="J988" s="11"/>
      <c r="K988" s="11"/>
      <c r="L988" s="11">
        <v>65.78</v>
      </c>
      <c r="M988" s="10" t="s">
        <v>46</v>
      </c>
      <c r="N988" s="10" t="s">
        <v>45</v>
      </c>
      <c r="O988" s="10" t="s">
        <v>176</v>
      </c>
      <c r="P988" s="10" t="s">
        <v>177</v>
      </c>
      <c r="Q988" s="10" t="s">
        <v>178</v>
      </c>
      <c r="R988" s="10" t="s">
        <v>74</v>
      </c>
      <c r="S988" s="11">
        <v>43.7</v>
      </c>
      <c r="T988" s="11">
        <f>2*22.58</f>
        <v>45.16</v>
      </c>
      <c r="U988" s="11" t="s">
        <v>51</v>
      </c>
      <c r="V988" s="10" t="s">
        <v>52</v>
      </c>
      <c r="W988" s="10" t="s">
        <v>10165</v>
      </c>
      <c r="X988" s="10" t="s">
        <v>10166</v>
      </c>
      <c r="Y988" s="10" t="s">
        <v>10167</v>
      </c>
      <c r="Z988" s="10" t="s">
        <v>50</v>
      </c>
      <c r="AA988" s="10" t="s">
        <v>50</v>
      </c>
      <c r="AB988" s="10" t="s">
        <v>10165</v>
      </c>
      <c r="AC988" s="10" t="s">
        <v>10168</v>
      </c>
      <c r="AD988" s="10" t="s">
        <v>10169</v>
      </c>
      <c r="AE988" s="10" t="s">
        <v>10170</v>
      </c>
      <c r="AF988" s="10" t="s">
        <v>58</v>
      </c>
      <c r="AG988" s="10" t="s">
        <v>10171</v>
      </c>
      <c r="AH988" s="10" t="s">
        <v>60</v>
      </c>
      <c r="AI988" s="10" t="s">
        <v>61</v>
      </c>
      <c r="AJ988" s="10" t="s">
        <v>9977</v>
      </c>
      <c r="AK988" s="10" t="s">
        <v>10172</v>
      </c>
      <c r="AL988" s="10" t="s">
        <v>64</v>
      </c>
      <c r="AM988" s="10" t="s">
        <v>10173</v>
      </c>
      <c r="AN988" s="10" t="s">
        <v>50</v>
      </c>
      <c r="AO988" s="11" t="s">
        <v>50</v>
      </c>
      <c r="AP988" s="10" t="s">
        <v>50</v>
      </c>
      <c r="AQ988" s="10" t="s">
        <v>50</v>
      </c>
      <c r="AR988" s="10" t="s">
        <v>50</v>
      </c>
      <c r="AS988" s="10" t="s">
        <v>50</v>
      </c>
      <c r="AT988" s="10" t="s">
        <v>50</v>
      </c>
      <c r="AU988" s="10" t="s">
        <v>50</v>
      </c>
      <c r="AV988" s="11"/>
      <c r="AW988" s="10" t="s">
        <v>66</v>
      </c>
      <c r="AX988" s="10"/>
      <c r="AY988" s="10" t="s">
        <v>66</v>
      </c>
    </row>
    <row r="989" ht="22.5" hidden="1" customHeight="1">
      <c r="A989" s="9" t="s">
        <v>10174</v>
      </c>
      <c r="B989" s="10" t="s">
        <v>10175</v>
      </c>
      <c r="C989" s="10" t="s">
        <v>43</v>
      </c>
      <c r="D989" s="10" t="s">
        <v>7577</v>
      </c>
      <c r="E989" s="10" t="s">
        <v>66</v>
      </c>
      <c r="F989" s="11">
        <v>1.0</v>
      </c>
      <c r="G989" s="11">
        <v>120.0</v>
      </c>
      <c r="H989" s="11"/>
      <c r="I989" s="11">
        <v>-20.4</v>
      </c>
      <c r="J989" s="11">
        <v>-19.95</v>
      </c>
      <c r="K989" s="11"/>
      <c r="L989" s="11">
        <v>86.85</v>
      </c>
      <c r="M989" s="10" t="s">
        <v>46</v>
      </c>
      <c r="N989" s="10" t="s">
        <v>45</v>
      </c>
      <c r="O989" s="10" t="s">
        <v>85</v>
      </c>
      <c r="P989" s="10" t="s">
        <v>86</v>
      </c>
      <c r="Q989" s="10" t="s">
        <v>87</v>
      </c>
      <c r="R989" s="10" t="s">
        <v>74</v>
      </c>
      <c r="S989" s="11">
        <v>120.0</v>
      </c>
      <c r="T989" s="11">
        <v>65.78</v>
      </c>
      <c r="U989" s="11" t="s">
        <v>51</v>
      </c>
      <c r="V989" s="10" t="s">
        <v>52</v>
      </c>
      <c r="W989" s="10" t="s">
        <v>10176</v>
      </c>
      <c r="X989" s="10" t="s">
        <v>10177</v>
      </c>
      <c r="Y989" s="10" t="s">
        <v>10178</v>
      </c>
      <c r="Z989" s="10" t="s">
        <v>50</v>
      </c>
      <c r="AA989" s="10" t="s">
        <v>50</v>
      </c>
      <c r="AB989" s="10" t="s">
        <v>10176</v>
      </c>
      <c r="AC989" s="10" t="s">
        <v>10179</v>
      </c>
      <c r="AD989" s="10" t="s">
        <v>10180</v>
      </c>
      <c r="AE989" s="10" t="s">
        <v>3359</v>
      </c>
      <c r="AF989" s="10" t="s">
        <v>185</v>
      </c>
      <c r="AG989" s="10" t="s">
        <v>10181</v>
      </c>
      <c r="AH989" s="10" t="s">
        <v>60</v>
      </c>
      <c r="AI989" s="10" t="s">
        <v>61</v>
      </c>
      <c r="AJ989" s="10" t="s">
        <v>9977</v>
      </c>
      <c r="AK989" s="10" t="s">
        <v>10182</v>
      </c>
      <c r="AL989" s="10" t="s">
        <v>64</v>
      </c>
      <c r="AM989" s="10" t="s">
        <v>10183</v>
      </c>
      <c r="AN989" s="10" t="s">
        <v>50</v>
      </c>
      <c r="AO989" s="11" t="s">
        <v>50</v>
      </c>
      <c r="AP989" s="10" t="s">
        <v>50</v>
      </c>
      <c r="AQ989" s="10" t="s">
        <v>50</v>
      </c>
      <c r="AR989" s="10" t="s">
        <v>50</v>
      </c>
      <c r="AS989" s="10" t="s">
        <v>50</v>
      </c>
      <c r="AT989" s="10" t="s">
        <v>50</v>
      </c>
      <c r="AU989" s="10" t="s">
        <v>50</v>
      </c>
      <c r="AV989" s="11"/>
      <c r="AW989" s="10" t="s">
        <v>66</v>
      </c>
      <c r="AX989" s="10"/>
      <c r="AY989" s="10" t="s">
        <v>66</v>
      </c>
    </row>
    <row r="990" ht="22.5" hidden="1" customHeight="1">
      <c r="A990" s="9" t="s">
        <v>10184</v>
      </c>
      <c r="B990" s="10" t="s">
        <v>10185</v>
      </c>
      <c r="C990" s="10" t="s">
        <v>43</v>
      </c>
      <c r="D990" s="10" t="s">
        <v>5200</v>
      </c>
      <c r="E990" s="10" t="s">
        <v>66</v>
      </c>
      <c r="F990" s="11">
        <v>1.0</v>
      </c>
      <c r="G990" s="11">
        <v>43.7</v>
      </c>
      <c r="H990" s="11">
        <v>28.97</v>
      </c>
      <c r="I990" s="11">
        <v>-13.43</v>
      </c>
      <c r="J990" s="11">
        <v>-28.97</v>
      </c>
      <c r="K990" s="11"/>
      <c r="L990" s="11">
        <v>32.89</v>
      </c>
      <c r="M990" s="10" t="s">
        <v>46</v>
      </c>
      <c r="N990" s="10" t="s">
        <v>50</v>
      </c>
      <c r="O990" s="10" t="s">
        <v>176</v>
      </c>
      <c r="P990" s="10" t="s">
        <v>177</v>
      </c>
      <c r="Q990" s="10" t="s">
        <v>178</v>
      </c>
      <c r="R990" s="10" t="s">
        <v>74</v>
      </c>
      <c r="S990" s="11">
        <v>43.7</v>
      </c>
      <c r="T990" s="11">
        <v>22.58</v>
      </c>
      <c r="U990" s="11" t="s">
        <v>51</v>
      </c>
      <c r="V990" s="10" t="s">
        <v>52</v>
      </c>
      <c r="W990" s="10" t="s">
        <v>10186</v>
      </c>
      <c r="X990" s="10" t="s">
        <v>10187</v>
      </c>
      <c r="Y990" s="10" t="s">
        <v>10188</v>
      </c>
      <c r="Z990" s="10" t="s">
        <v>50</v>
      </c>
      <c r="AA990" s="10" t="s">
        <v>50</v>
      </c>
      <c r="AB990" s="10" t="s">
        <v>10186</v>
      </c>
      <c r="AC990" s="10" t="s">
        <v>10189</v>
      </c>
      <c r="AD990" s="10" t="s">
        <v>10190</v>
      </c>
      <c r="AE990" s="10" t="s">
        <v>10191</v>
      </c>
      <c r="AF990" s="10" t="s">
        <v>775</v>
      </c>
      <c r="AG990" s="10" t="s">
        <v>10192</v>
      </c>
      <c r="AH990" s="10" t="s">
        <v>60</v>
      </c>
      <c r="AI990" s="10" t="s">
        <v>61</v>
      </c>
      <c r="AJ990" s="10" t="s">
        <v>5365</v>
      </c>
      <c r="AK990" s="10" t="s">
        <v>10193</v>
      </c>
      <c r="AL990" s="10" t="s">
        <v>64</v>
      </c>
      <c r="AM990" s="10" t="s">
        <v>10194</v>
      </c>
      <c r="AN990" s="10" t="s">
        <v>50</v>
      </c>
      <c r="AO990" s="11" t="s">
        <v>50</v>
      </c>
      <c r="AP990" s="10" t="s">
        <v>50</v>
      </c>
      <c r="AQ990" s="10" t="s">
        <v>50</v>
      </c>
      <c r="AR990" s="10" t="s">
        <v>50</v>
      </c>
      <c r="AS990" s="10" t="s">
        <v>50</v>
      </c>
      <c r="AT990" s="10" t="s">
        <v>50</v>
      </c>
      <c r="AU990" s="10" t="s">
        <v>50</v>
      </c>
      <c r="AV990" s="11"/>
      <c r="AW990" s="10" t="s">
        <v>66</v>
      </c>
      <c r="AX990" s="10"/>
      <c r="AY990" s="10" t="s">
        <v>66</v>
      </c>
    </row>
    <row r="991" ht="22.5" hidden="1" customHeight="1">
      <c r="A991" s="9" t="s">
        <v>10195</v>
      </c>
      <c r="B991" s="10" t="s">
        <v>10196</v>
      </c>
      <c r="C991" s="10" t="s">
        <v>43</v>
      </c>
      <c r="D991" s="10" t="s">
        <v>5357</v>
      </c>
      <c r="E991" s="10" t="s">
        <v>66</v>
      </c>
      <c r="F991" s="11">
        <v>1.0</v>
      </c>
      <c r="G991" s="11">
        <v>43.7</v>
      </c>
      <c r="H991" s="11">
        <v>13.43</v>
      </c>
      <c r="I991" s="11">
        <v>-13.43</v>
      </c>
      <c r="J991" s="11">
        <v>-13.43</v>
      </c>
      <c r="K991" s="11"/>
      <c r="L991" s="11">
        <v>32.89</v>
      </c>
      <c r="M991" s="10" t="s">
        <v>46</v>
      </c>
      <c r="N991" s="10" t="s">
        <v>45</v>
      </c>
      <c r="O991" s="10" t="s">
        <v>176</v>
      </c>
      <c r="P991" s="10" t="s">
        <v>177</v>
      </c>
      <c r="Q991" s="10" t="s">
        <v>178</v>
      </c>
      <c r="R991" s="10" t="s">
        <v>74</v>
      </c>
      <c r="S991" s="11">
        <v>43.7</v>
      </c>
      <c r="T991" s="11">
        <v>22.58</v>
      </c>
      <c r="U991" s="11" t="s">
        <v>51</v>
      </c>
      <c r="V991" s="10" t="s">
        <v>52</v>
      </c>
      <c r="W991" s="10" t="s">
        <v>10197</v>
      </c>
      <c r="X991" s="10" t="s">
        <v>10198</v>
      </c>
      <c r="Y991" s="10" t="s">
        <v>10199</v>
      </c>
      <c r="Z991" s="10" t="s">
        <v>50</v>
      </c>
      <c r="AA991" s="10" t="s">
        <v>50</v>
      </c>
      <c r="AB991" s="10" t="s">
        <v>10197</v>
      </c>
      <c r="AC991" s="10" t="s">
        <v>10200</v>
      </c>
      <c r="AD991" s="10" t="s">
        <v>10201</v>
      </c>
      <c r="AE991" s="10" t="s">
        <v>8260</v>
      </c>
      <c r="AF991" s="10" t="s">
        <v>119</v>
      </c>
      <c r="AG991" s="10" t="s">
        <v>10202</v>
      </c>
      <c r="AH991" s="10" t="s">
        <v>60</v>
      </c>
      <c r="AI991" s="10" t="s">
        <v>61</v>
      </c>
      <c r="AJ991" s="10" t="s">
        <v>5208</v>
      </c>
      <c r="AK991" s="10" t="s">
        <v>10203</v>
      </c>
      <c r="AL991" s="10" t="s">
        <v>64</v>
      </c>
      <c r="AM991" s="10" t="s">
        <v>10204</v>
      </c>
      <c r="AN991" s="10" t="s">
        <v>50</v>
      </c>
      <c r="AO991" s="11" t="s">
        <v>50</v>
      </c>
      <c r="AP991" s="10" t="s">
        <v>50</v>
      </c>
      <c r="AQ991" s="10" t="s">
        <v>50</v>
      </c>
      <c r="AR991" s="10" t="s">
        <v>50</v>
      </c>
      <c r="AS991" s="10" t="s">
        <v>50</v>
      </c>
      <c r="AT991" s="10" t="s">
        <v>50</v>
      </c>
      <c r="AU991" s="10" t="s">
        <v>50</v>
      </c>
      <c r="AV991" s="11"/>
      <c r="AW991" s="10" t="s">
        <v>66</v>
      </c>
      <c r="AX991" s="10"/>
      <c r="AY991" s="10" t="s">
        <v>66</v>
      </c>
    </row>
    <row r="992" ht="22.5" hidden="1" customHeight="1">
      <c r="A992" s="9" t="s">
        <v>10205</v>
      </c>
      <c r="B992" s="10" t="s">
        <v>10206</v>
      </c>
      <c r="C992" s="10" t="s">
        <v>43</v>
      </c>
      <c r="D992" s="10" t="s">
        <v>5357</v>
      </c>
      <c r="E992" s="10" t="s">
        <v>66</v>
      </c>
      <c r="F992" s="11">
        <v>1.0</v>
      </c>
      <c r="G992" s="11">
        <v>80.6</v>
      </c>
      <c r="H992" s="11"/>
      <c r="I992" s="11">
        <v>-13.7</v>
      </c>
      <c r="J992" s="11">
        <v>-20.45</v>
      </c>
      <c r="K992" s="11"/>
      <c r="L992" s="11">
        <v>46.45</v>
      </c>
      <c r="M992" s="10" t="s">
        <v>46</v>
      </c>
      <c r="N992" s="10" t="s">
        <v>45</v>
      </c>
      <c r="O992" s="10" t="s">
        <v>265</v>
      </c>
      <c r="P992" s="10" t="s">
        <v>266</v>
      </c>
      <c r="Q992" s="10" t="s">
        <v>267</v>
      </c>
      <c r="R992" s="10" t="s">
        <v>74</v>
      </c>
      <c r="S992" s="11">
        <v>80.6</v>
      </c>
      <c r="T992" s="11">
        <v>26.22</v>
      </c>
      <c r="U992" s="11" t="s">
        <v>51</v>
      </c>
      <c r="V992" s="10" t="s">
        <v>52</v>
      </c>
      <c r="W992" s="10" t="s">
        <v>10207</v>
      </c>
      <c r="X992" s="10" t="s">
        <v>10208</v>
      </c>
      <c r="Y992" s="10" t="s">
        <v>10209</v>
      </c>
      <c r="Z992" s="10" t="s">
        <v>50</v>
      </c>
      <c r="AA992" s="10" t="s">
        <v>50</v>
      </c>
      <c r="AB992" s="10" t="s">
        <v>10207</v>
      </c>
      <c r="AC992" s="10" t="s">
        <v>10210</v>
      </c>
      <c r="AD992" s="10" t="s">
        <v>10211</v>
      </c>
      <c r="AE992" s="10" t="s">
        <v>10212</v>
      </c>
      <c r="AF992" s="10" t="s">
        <v>58</v>
      </c>
      <c r="AG992" s="10" t="s">
        <v>10213</v>
      </c>
      <c r="AH992" s="10" t="s">
        <v>60</v>
      </c>
      <c r="AI992" s="10" t="s">
        <v>61</v>
      </c>
      <c r="AJ992" s="10" t="s">
        <v>10086</v>
      </c>
      <c r="AK992" s="10" t="s">
        <v>10214</v>
      </c>
      <c r="AL992" s="10" t="s">
        <v>64</v>
      </c>
      <c r="AM992" s="10" t="s">
        <v>10215</v>
      </c>
      <c r="AN992" s="10" t="s">
        <v>50</v>
      </c>
      <c r="AO992" s="11" t="s">
        <v>50</v>
      </c>
      <c r="AP992" s="10" t="s">
        <v>50</v>
      </c>
      <c r="AQ992" s="10" t="s">
        <v>50</v>
      </c>
      <c r="AR992" s="10" t="s">
        <v>50</v>
      </c>
      <c r="AS992" s="10" t="s">
        <v>50</v>
      </c>
      <c r="AT992" s="10" t="s">
        <v>50</v>
      </c>
      <c r="AU992" s="10" t="s">
        <v>50</v>
      </c>
      <c r="AV992" s="11"/>
      <c r="AW992" s="10" t="s">
        <v>66</v>
      </c>
      <c r="AX992" s="10"/>
      <c r="AY992" s="10" t="s">
        <v>66</v>
      </c>
    </row>
    <row r="993" ht="22.5" hidden="1" customHeight="1">
      <c r="A993" s="9" t="s">
        <v>10216</v>
      </c>
      <c r="B993" s="10" t="s">
        <v>10217</v>
      </c>
      <c r="C993" s="10" t="s">
        <v>43</v>
      </c>
      <c r="D993" s="10" t="s">
        <v>6539</v>
      </c>
      <c r="E993" s="10" t="s">
        <v>66</v>
      </c>
      <c r="F993" s="11">
        <v>1.0</v>
      </c>
      <c r="G993" s="11">
        <v>120.0</v>
      </c>
      <c r="H993" s="11"/>
      <c r="I993" s="11">
        <v>-20.4</v>
      </c>
      <c r="J993" s="11">
        <v>-19.95</v>
      </c>
      <c r="K993" s="11"/>
      <c r="L993" s="11">
        <v>86.85</v>
      </c>
      <c r="M993" s="10" t="s">
        <v>46</v>
      </c>
      <c r="N993" s="10" t="s">
        <v>45</v>
      </c>
      <c r="O993" s="10" t="s">
        <v>85</v>
      </c>
      <c r="P993" s="10" t="s">
        <v>86</v>
      </c>
      <c r="Q993" s="10" t="s">
        <v>87</v>
      </c>
      <c r="R993" s="10" t="s">
        <v>74</v>
      </c>
      <c r="S993" s="11">
        <v>120.0</v>
      </c>
      <c r="T993" s="11">
        <v>65.78</v>
      </c>
      <c r="U993" s="11" t="s">
        <v>51</v>
      </c>
      <c r="V993" s="10" t="s">
        <v>52</v>
      </c>
      <c r="W993" s="10" t="s">
        <v>10218</v>
      </c>
      <c r="X993" s="10" t="s">
        <v>10219</v>
      </c>
      <c r="Y993" s="10" t="s">
        <v>10220</v>
      </c>
      <c r="Z993" s="10" t="s">
        <v>50</v>
      </c>
      <c r="AA993" s="10" t="s">
        <v>50</v>
      </c>
      <c r="AB993" s="10" t="s">
        <v>10218</v>
      </c>
      <c r="AC993" s="10" t="s">
        <v>10221</v>
      </c>
      <c r="AD993" s="10" t="s">
        <v>10222</v>
      </c>
      <c r="AE993" s="10" t="s">
        <v>10223</v>
      </c>
      <c r="AF993" s="10" t="s">
        <v>323</v>
      </c>
      <c r="AG993" s="10" t="s">
        <v>10224</v>
      </c>
      <c r="AH993" s="10" t="s">
        <v>60</v>
      </c>
      <c r="AI993" s="10" t="s">
        <v>61</v>
      </c>
      <c r="AJ993" s="10" t="s">
        <v>9879</v>
      </c>
      <c r="AK993" s="10" t="s">
        <v>10225</v>
      </c>
      <c r="AL993" s="10" t="s">
        <v>64</v>
      </c>
      <c r="AM993" s="10" t="s">
        <v>10226</v>
      </c>
      <c r="AN993" s="10" t="s">
        <v>50</v>
      </c>
      <c r="AO993" s="11" t="s">
        <v>50</v>
      </c>
      <c r="AP993" s="10" t="s">
        <v>50</v>
      </c>
      <c r="AQ993" s="10" t="s">
        <v>50</v>
      </c>
      <c r="AR993" s="10" t="s">
        <v>50</v>
      </c>
      <c r="AS993" s="10" t="s">
        <v>50</v>
      </c>
      <c r="AT993" s="10" t="s">
        <v>50</v>
      </c>
      <c r="AU993" s="10" t="s">
        <v>50</v>
      </c>
      <c r="AV993" s="11"/>
      <c r="AW993" s="10" t="s">
        <v>66</v>
      </c>
      <c r="AX993" s="10"/>
      <c r="AY993" s="10" t="s">
        <v>66</v>
      </c>
    </row>
    <row r="994" ht="22.5" hidden="1" customHeight="1">
      <c r="A994" s="9" t="s">
        <v>10227</v>
      </c>
      <c r="B994" s="10" t="s">
        <v>10228</v>
      </c>
      <c r="C994" s="10" t="s">
        <v>43</v>
      </c>
      <c r="D994" s="10" t="s">
        <v>5200</v>
      </c>
      <c r="E994" s="10" t="s">
        <v>66</v>
      </c>
      <c r="F994" s="11">
        <v>1.0</v>
      </c>
      <c r="G994" s="11">
        <v>79.35</v>
      </c>
      <c r="H994" s="11"/>
      <c r="I994" s="11">
        <v>-15.08</v>
      </c>
      <c r="J994" s="11">
        <v>-19.95</v>
      </c>
      <c r="K994" s="11"/>
      <c r="L994" s="11">
        <v>44.32</v>
      </c>
      <c r="M994" s="10" t="s">
        <v>46</v>
      </c>
      <c r="N994" s="10" t="s">
        <v>50</v>
      </c>
      <c r="O994" s="10" t="s">
        <v>47</v>
      </c>
      <c r="P994" s="10" t="s">
        <v>48</v>
      </c>
      <c r="Q994" s="10" t="s">
        <v>49</v>
      </c>
      <c r="R994" s="10" t="s">
        <v>50</v>
      </c>
      <c r="S994" s="11">
        <v>79.35</v>
      </c>
      <c r="T994" s="11">
        <v>12.45</v>
      </c>
      <c r="U994" s="11" t="s">
        <v>51</v>
      </c>
      <c r="V994" s="10" t="s">
        <v>52</v>
      </c>
      <c r="W994" s="10" t="s">
        <v>10229</v>
      </c>
      <c r="X994" s="10" t="s">
        <v>10230</v>
      </c>
      <c r="Y994" s="10" t="s">
        <v>10231</v>
      </c>
      <c r="Z994" s="10" t="s">
        <v>50</v>
      </c>
      <c r="AA994" s="10" t="s">
        <v>50</v>
      </c>
      <c r="AB994" s="10" t="s">
        <v>10229</v>
      </c>
      <c r="AC994" s="10" t="s">
        <v>10232</v>
      </c>
      <c r="AD994" s="10" t="s">
        <v>10233</v>
      </c>
      <c r="AE994" s="10" t="s">
        <v>4621</v>
      </c>
      <c r="AF994" s="10" t="s">
        <v>214</v>
      </c>
      <c r="AG994" s="10" t="s">
        <v>10234</v>
      </c>
      <c r="AH994" s="10" t="s">
        <v>60</v>
      </c>
      <c r="AI994" s="10" t="s">
        <v>61</v>
      </c>
      <c r="AJ994" s="10" t="s">
        <v>5208</v>
      </c>
      <c r="AK994" s="10" t="s">
        <v>10235</v>
      </c>
      <c r="AL994" s="10" t="s">
        <v>64</v>
      </c>
      <c r="AM994" s="10" t="s">
        <v>10236</v>
      </c>
      <c r="AN994" s="10" t="s">
        <v>50</v>
      </c>
      <c r="AO994" s="11" t="s">
        <v>50</v>
      </c>
      <c r="AP994" s="10" t="s">
        <v>50</v>
      </c>
      <c r="AQ994" s="10" t="s">
        <v>50</v>
      </c>
      <c r="AR994" s="10" t="s">
        <v>50</v>
      </c>
      <c r="AS994" s="10" t="s">
        <v>50</v>
      </c>
      <c r="AT994" s="10" t="s">
        <v>50</v>
      </c>
      <c r="AU994" s="10" t="s">
        <v>50</v>
      </c>
      <c r="AV994" s="11"/>
      <c r="AW994" s="10" t="s">
        <v>66</v>
      </c>
      <c r="AX994" s="10"/>
      <c r="AY994" s="10" t="s">
        <v>66</v>
      </c>
    </row>
    <row r="995" ht="22.5" hidden="1" customHeight="1">
      <c r="A995" s="9" t="s">
        <v>10237</v>
      </c>
      <c r="B995" s="10" t="s">
        <v>10238</v>
      </c>
      <c r="C995" s="10" t="s">
        <v>43</v>
      </c>
      <c r="D995" s="10" t="s">
        <v>5357</v>
      </c>
      <c r="E995" s="10" t="s">
        <v>66</v>
      </c>
      <c r="F995" s="11">
        <v>1.0</v>
      </c>
      <c r="G995" s="11">
        <v>120.0</v>
      </c>
      <c r="H995" s="11"/>
      <c r="I995" s="11">
        <v>-20.4</v>
      </c>
      <c r="J995" s="11">
        <v>-19.95</v>
      </c>
      <c r="K995" s="11"/>
      <c r="L995" s="11">
        <v>86.85</v>
      </c>
      <c r="M995" s="10" t="s">
        <v>46</v>
      </c>
      <c r="N995" s="10" t="s">
        <v>45</v>
      </c>
      <c r="O995" s="10" t="s">
        <v>85</v>
      </c>
      <c r="P995" s="10" t="s">
        <v>86</v>
      </c>
      <c r="Q995" s="10" t="s">
        <v>87</v>
      </c>
      <c r="R995" s="10" t="s">
        <v>74</v>
      </c>
      <c r="S995" s="11">
        <v>120.0</v>
      </c>
      <c r="T995" s="11">
        <v>65.78</v>
      </c>
      <c r="U995" s="11" t="s">
        <v>51</v>
      </c>
      <c r="V995" s="10" t="s">
        <v>52</v>
      </c>
      <c r="W995" s="10" t="s">
        <v>10239</v>
      </c>
      <c r="X995" s="10" t="s">
        <v>10240</v>
      </c>
      <c r="Y995" s="10" t="s">
        <v>10241</v>
      </c>
      <c r="Z995" s="10" t="s">
        <v>50</v>
      </c>
      <c r="AA995" s="10" t="s">
        <v>50</v>
      </c>
      <c r="AB995" s="10" t="s">
        <v>10239</v>
      </c>
      <c r="AC995" s="10" t="s">
        <v>10242</v>
      </c>
      <c r="AD995" s="10" t="s">
        <v>10243</v>
      </c>
      <c r="AE995" s="10" t="s">
        <v>58</v>
      </c>
      <c r="AF995" s="10" t="s">
        <v>58</v>
      </c>
      <c r="AG995" s="10" t="s">
        <v>10244</v>
      </c>
      <c r="AH995" s="10" t="s">
        <v>60</v>
      </c>
      <c r="AI995" s="10" t="s">
        <v>61</v>
      </c>
      <c r="AJ995" s="10" t="s">
        <v>9810</v>
      </c>
      <c r="AK995" s="10" t="s">
        <v>10245</v>
      </c>
      <c r="AL995" s="10" t="s">
        <v>64</v>
      </c>
      <c r="AM995" s="10" t="s">
        <v>10246</v>
      </c>
      <c r="AN995" s="10" t="s">
        <v>50</v>
      </c>
      <c r="AO995" s="11" t="s">
        <v>50</v>
      </c>
      <c r="AP995" s="10" t="s">
        <v>50</v>
      </c>
      <c r="AQ995" s="10" t="s">
        <v>50</v>
      </c>
      <c r="AR995" s="10" t="s">
        <v>50</v>
      </c>
      <c r="AS995" s="10" t="s">
        <v>50</v>
      </c>
      <c r="AT995" s="10" t="s">
        <v>50</v>
      </c>
      <c r="AU995" s="10" t="s">
        <v>50</v>
      </c>
      <c r="AV995" s="11"/>
      <c r="AW995" s="10" t="s">
        <v>66</v>
      </c>
      <c r="AX995" s="10"/>
      <c r="AY995" s="10" t="s">
        <v>66</v>
      </c>
    </row>
    <row r="996" ht="22.5" hidden="1" customHeight="1">
      <c r="A996" s="9" t="s">
        <v>10247</v>
      </c>
      <c r="B996" s="10" t="s">
        <v>10248</v>
      </c>
      <c r="C996" s="10" t="s">
        <v>43</v>
      </c>
      <c r="D996" s="10" t="s">
        <v>7577</v>
      </c>
      <c r="E996" s="10" t="s">
        <v>66</v>
      </c>
      <c r="F996" s="11">
        <v>1.0</v>
      </c>
      <c r="G996" s="11">
        <v>79.0</v>
      </c>
      <c r="H996" s="11">
        <v>13.93</v>
      </c>
      <c r="I996" s="11">
        <v>-13.43</v>
      </c>
      <c r="J996" s="11">
        <v>-34.38</v>
      </c>
      <c r="K996" s="11"/>
      <c r="L996" s="11">
        <v>45.12</v>
      </c>
      <c r="M996" s="10" t="s">
        <v>46</v>
      </c>
      <c r="N996" s="10" t="s">
        <v>50</v>
      </c>
      <c r="O996" s="10" t="s">
        <v>461</v>
      </c>
      <c r="P996" s="10" t="s">
        <v>462</v>
      </c>
      <c r="Q996" s="10" t="s">
        <v>463</v>
      </c>
      <c r="R996" s="10" t="s">
        <v>74</v>
      </c>
      <c r="S996" s="11">
        <v>79.0</v>
      </c>
      <c r="T996" s="11">
        <v>10.09</v>
      </c>
      <c r="U996" s="11" t="s">
        <v>51</v>
      </c>
      <c r="V996" s="10" t="s">
        <v>52</v>
      </c>
      <c r="W996" s="10" t="s">
        <v>10249</v>
      </c>
      <c r="X996" s="10" t="s">
        <v>10250</v>
      </c>
      <c r="Y996" s="10" t="s">
        <v>10251</v>
      </c>
      <c r="Z996" s="10" t="s">
        <v>50</v>
      </c>
      <c r="AA996" s="10" t="s">
        <v>50</v>
      </c>
      <c r="AB996" s="10" t="s">
        <v>10249</v>
      </c>
      <c r="AC996" s="10" t="s">
        <v>10252</v>
      </c>
      <c r="AD996" s="10" t="s">
        <v>10253</v>
      </c>
      <c r="AE996" s="10" t="s">
        <v>3451</v>
      </c>
      <c r="AF996" s="10" t="s">
        <v>775</v>
      </c>
      <c r="AG996" s="10" t="s">
        <v>3452</v>
      </c>
      <c r="AH996" s="10" t="s">
        <v>60</v>
      </c>
      <c r="AI996" s="10" t="s">
        <v>61</v>
      </c>
      <c r="AJ996" s="10" t="s">
        <v>5365</v>
      </c>
      <c r="AK996" s="10" t="s">
        <v>10254</v>
      </c>
      <c r="AL996" s="10" t="s">
        <v>64</v>
      </c>
      <c r="AM996" s="10" t="s">
        <v>10255</v>
      </c>
      <c r="AN996" s="10" t="s">
        <v>50</v>
      </c>
      <c r="AO996" s="11" t="s">
        <v>50</v>
      </c>
      <c r="AP996" s="10" t="s">
        <v>50</v>
      </c>
      <c r="AQ996" s="10" t="s">
        <v>50</v>
      </c>
      <c r="AR996" s="10" t="s">
        <v>50</v>
      </c>
      <c r="AS996" s="10" t="s">
        <v>50</v>
      </c>
      <c r="AT996" s="10" t="s">
        <v>50</v>
      </c>
      <c r="AU996" s="10" t="s">
        <v>50</v>
      </c>
      <c r="AV996" s="11"/>
      <c r="AW996" s="10" t="s">
        <v>66</v>
      </c>
      <c r="AX996" s="10"/>
      <c r="AY996" s="10" t="s">
        <v>66</v>
      </c>
    </row>
    <row r="997" ht="22.5" hidden="1" customHeight="1">
      <c r="A997" s="9" t="s">
        <v>10256</v>
      </c>
      <c r="B997" s="10" t="s">
        <v>10257</v>
      </c>
      <c r="C997" s="10" t="s">
        <v>43</v>
      </c>
      <c r="D997" s="10" t="s">
        <v>10258</v>
      </c>
      <c r="E997" s="10" t="s">
        <v>66</v>
      </c>
      <c r="F997" s="11">
        <v>1.0</v>
      </c>
      <c r="G997" s="11">
        <v>89.3</v>
      </c>
      <c r="H997" s="11"/>
      <c r="I997" s="11">
        <v>-15.18</v>
      </c>
      <c r="J997" s="11">
        <v>-20.45</v>
      </c>
      <c r="K997" s="11"/>
      <c r="L997" s="11">
        <v>59.03</v>
      </c>
      <c r="M997" s="10" t="s">
        <v>46</v>
      </c>
      <c r="N997" s="10" t="s">
        <v>50</v>
      </c>
      <c r="O997" s="10" t="s">
        <v>2185</v>
      </c>
      <c r="P997" s="10" t="s">
        <v>2186</v>
      </c>
      <c r="Q997" s="10" t="s">
        <v>2187</v>
      </c>
      <c r="R997" s="10" t="s">
        <v>74</v>
      </c>
      <c r="S997" s="11">
        <v>89.3</v>
      </c>
      <c r="T997" s="11">
        <v>28.26</v>
      </c>
      <c r="U997" s="11" t="s">
        <v>51</v>
      </c>
      <c r="V997" s="10" t="s">
        <v>52</v>
      </c>
      <c r="W997" s="10" t="s">
        <v>10259</v>
      </c>
      <c r="X997" s="10" t="s">
        <v>10260</v>
      </c>
      <c r="Y997" s="10" t="s">
        <v>10261</v>
      </c>
      <c r="Z997" s="10" t="s">
        <v>50</v>
      </c>
      <c r="AA997" s="10" t="s">
        <v>50</v>
      </c>
      <c r="AB997" s="10" t="s">
        <v>10259</v>
      </c>
      <c r="AC997" s="10" t="s">
        <v>10262</v>
      </c>
      <c r="AD997" s="10" t="s">
        <v>10263</v>
      </c>
      <c r="AE997" s="10" t="s">
        <v>10264</v>
      </c>
      <c r="AF997" s="10" t="s">
        <v>214</v>
      </c>
      <c r="AG997" s="10" t="s">
        <v>10265</v>
      </c>
      <c r="AH997" s="10" t="s">
        <v>60</v>
      </c>
      <c r="AI997" s="10" t="s">
        <v>61</v>
      </c>
      <c r="AJ997" s="10" t="s">
        <v>10266</v>
      </c>
      <c r="AK997" s="10" t="s">
        <v>10267</v>
      </c>
      <c r="AL997" s="10" t="s">
        <v>64</v>
      </c>
      <c r="AM997" s="10" t="s">
        <v>10268</v>
      </c>
      <c r="AN997" s="10" t="s">
        <v>50</v>
      </c>
      <c r="AO997" s="11" t="s">
        <v>50</v>
      </c>
      <c r="AP997" s="10" t="s">
        <v>50</v>
      </c>
      <c r="AQ997" s="10" t="s">
        <v>50</v>
      </c>
      <c r="AR997" s="10" t="s">
        <v>50</v>
      </c>
      <c r="AS997" s="10" t="s">
        <v>50</v>
      </c>
      <c r="AT997" s="10" t="s">
        <v>50</v>
      </c>
      <c r="AU997" s="10" t="s">
        <v>50</v>
      </c>
      <c r="AV997" s="11"/>
      <c r="AW997" s="10" t="s">
        <v>66</v>
      </c>
      <c r="AX997" s="10"/>
      <c r="AY997" s="10" t="s">
        <v>66</v>
      </c>
    </row>
    <row r="998" ht="22.5" hidden="1" customHeight="1">
      <c r="A998" s="9" t="s">
        <v>10269</v>
      </c>
      <c r="B998" s="10" t="s">
        <v>10270</v>
      </c>
      <c r="C998" s="10" t="s">
        <v>43</v>
      </c>
      <c r="D998" s="10" t="s">
        <v>3477</v>
      </c>
      <c r="E998" s="10" t="s">
        <v>45</v>
      </c>
      <c r="F998" s="11">
        <v>3.0</v>
      </c>
      <c r="G998" s="11">
        <v>131.1</v>
      </c>
      <c r="H998" s="11">
        <v>21.71</v>
      </c>
      <c r="I998" s="11">
        <v>-40.29</v>
      </c>
      <c r="J998" s="11">
        <v>-21.71</v>
      </c>
      <c r="K998" s="11"/>
      <c r="L998" s="11">
        <v>98.67</v>
      </c>
      <c r="M998" s="10" t="s">
        <v>46</v>
      </c>
      <c r="N998" s="10" t="s">
        <v>50</v>
      </c>
      <c r="O998" s="10" t="s">
        <v>176</v>
      </c>
      <c r="P998" s="10" t="s">
        <v>177</v>
      </c>
      <c r="Q998" s="10" t="s">
        <v>178</v>
      </c>
      <c r="R998" s="10" t="s">
        <v>74</v>
      </c>
      <c r="S998" s="11">
        <v>43.7</v>
      </c>
      <c r="T998" s="11">
        <f>3*22.58</f>
        <v>67.74</v>
      </c>
      <c r="U998" s="11" t="s">
        <v>51</v>
      </c>
      <c r="V998" s="10" t="s">
        <v>52</v>
      </c>
      <c r="W998" s="10" t="s">
        <v>10271</v>
      </c>
      <c r="X998" s="10" t="s">
        <v>10272</v>
      </c>
      <c r="Y998" s="10" t="s">
        <v>10273</v>
      </c>
      <c r="Z998" s="10" t="s">
        <v>50</v>
      </c>
      <c r="AA998" s="10" t="s">
        <v>50</v>
      </c>
      <c r="AB998" s="10" t="s">
        <v>10271</v>
      </c>
      <c r="AC998" s="10" t="s">
        <v>10274</v>
      </c>
      <c r="AD998" s="10" t="s">
        <v>10275</v>
      </c>
      <c r="AE998" s="10" t="s">
        <v>10276</v>
      </c>
      <c r="AF998" s="10" t="s">
        <v>408</v>
      </c>
      <c r="AG998" s="10" t="s">
        <v>10277</v>
      </c>
      <c r="AH998" s="10" t="s">
        <v>60</v>
      </c>
      <c r="AI998" s="10" t="s">
        <v>61</v>
      </c>
      <c r="AJ998" s="10" t="s">
        <v>9810</v>
      </c>
      <c r="AK998" s="10" t="s">
        <v>10278</v>
      </c>
      <c r="AL998" s="10" t="s">
        <v>64</v>
      </c>
      <c r="AM998" s="10" t="s">
        <v>10279</v>
      </c>
      <c r="AN998" s="10" t="s">
        <v>50</v>
      </c>
      <c r="AO998" s="11" t="s">
        <v>50</v>
      </c>
      <c r="AP998" s="10" t="s">
        <v>50</v>
      </c>
      <c r="AQ998" s="10" t="s">
        <v>50</v>
      </c>
      <c r="AR998" s="10" t="s">
        <v>50</v>
      </c>
      <c r="AS998" s="10" t="s">
        <v>50</v>
      </c>
      <c r="AT998" s="10" t="s">
        <v>50</v>
      </c>
      <c r="AU998" s="10" t="s">
        <v>50</v>
      </c>
      <c r="AV998" s="11"/>
      <c r="AW998" s="10" t="s">
        <v>66</v>
      </c>
      <c r="AX998" s="10"/>
      <c r="AY998" s="10" t="s">
        <v>66</v>
      </c>
    </row>
    <row r="999" ht="22.5" hidden="1" customHeight="1">
      <c r="A999" s="9" t="s">
        <v>10280</v>
      </c>
      <c r="B999" s="10" t="s">
        <v>10281</v>
      </c>
      <c r="C999" s="10" t="s">
        <v>43</v>
      </c>
      <c r="D999" s="10" t="s">
        <v>5357</v>
      </c>
      <c r="E999" s="10" t="s">
        <v>66</v>
      </c>
      <c r="F999" s="11">
        <v>1.0</v>
      </c>
      <c r="G999" s="11">
        <v>79.2</v>
      </c>
      <c r="H999" s="11"/>
      <c r="I999" s="11">
        <v>-13.46</v>
      </c>
      <c r="J999" s="11">
        <v>-20.45</v>
      </c>
      <c r="K999" s="11"/>
      <c r="L999" s="11">
        <v>45.29</v>
      </c>
      <c r="M999" s="10" t="s">
        <v>46</v>
      </c>
      <c r="N999" s="10" t="s">
        <v>50</v>
      </c>
      <c r="O999" s="10" t="s">
        <v>412</v>
      </c>
      <c r="P999" s="10" t="s">
        <v>413</v>
      </c>
      <c r="Q999" s="10" t="s">
        <v>414</v>
      </c>
      <c r="R999" s="10" t="s">
        <v>415</v>
      </c>
      <c r="S999" s="11">
        <v>79.2</v>
      </c>
      <c r="T999" s="11">
        <v>10.05</v>
      </c>
      <c r="U999" s="11" t="s">
        <v>51</v>
      </c>
      <c r="V999" s="10" t="s">
        <v>52</v>
      </c>
      <c r="W999" s="10" t="s">
        <v>10282</v>
      </c>
      <c r="X999" s="10" t="s">
        <v>10283</v>
      </c>
      <c r="Y999" s="10" t="s">
        <v>10284</v>
      </c>
      <c r="Z999" s="10" t="s">
        <v>50</v>
      </c>
      <c r="AA999" s="10" t="s">
        <v>50</v>
      </c>
      <c r="AB999" s="10" t="s">
        <v>10282</v>
      </c>
      <c r="AC999" s="10" t="s">
        <v>10285</v>
      </c>
      <c r="AD999" s="10" t="s">
        <v>10286</v>
      </c>
      <c r="AE999" s="10" t="s">
        <v>10287</v>
      </c>
      <c r="AF999" s="10" t="s">
        <v>58</v>
      </c>
      <c r="AG999" s="10" t="s">
        <v>10288</v>
      </c>
      <c r="AH999" s="10" t="s">
        <v>60</v>
      </c>
      <c r="AI999" s="10" t="s">
        <v>61</v>
      </c>
      <c r="AJ999" s="10" t="s">
        <v>9789</v>
      </c>
      <c r="AK999" s="10" t="s">
        <v>10289</v>
      </c>
      <c r="AL999" s="10" t="s">
        <v>64</v>
      </c>
      <c r="AM999" s="10" t="s">
        <v>10290</v>
      </c>
      <c r="AN999" s="10" t="s">
        <v>50</v>
      </c>
      <c r="AO999" s="11" t="s">
        <v>50</v>
      </c>
      <c r="AP999" s="10" t="s">
        <v>50</v>
      </c>
      <c r="AQ999" s="10" t="s">
        <v>50</v>
      </c>
      <c r="AR999" s="10" t="s">
        <v>50</v>
      </c>
      <c r="AS999" s="10" t="s">
        <v>50</v>
      </c>
      <c r="AT999" s="10" t="s">
        <v>50</v>
      </c>
      <c r="AU999" s="10" t="s">
        <v>50</v>
      </c>
      <c r="AV999" s="11"/>
      <c r="AW999" s="10" t="s">
        <v>66</v>
      </c>
      <c r="AX999" s="10"/>
      <c r="AY999" s="10" t="s">
        <v>66</v>
      </c>
    </row>
    <row r="1000" ht="22.5" hidden="1" customHeight="1">
      <c r="A1000" s="9" t="s">
        <v>10291</v>
      </c>
      <c r="B1000" s="10" t="s">
        <v>10292</v>
      </c>
      <c r="C1000" s="10" t="s">
        <v>43</v>
      </c>
      <c r="D1000" s="10" t="s">
        <v>7530</v>
      </c>
      <c r="E1000" s="10" t="s">
        <v>66</v>
      </c>
      <c r="F1000" s="11">
        <v>1.0</v>
      </c>
      <c r="G1000" s="11">
        <v>80.0</v>
      </c>
      <c r="H1000" s="11"/>
      <c r="I1000" s="11">
        <v>-13.6</v>
      </c>
      <c r="J1000" s="11">
        <v>-19.95</v>
      </c>
      <c r="K1000" s="11"/>
      <c r="L1000" s="11">
        <v>50.45</v>
      </c>
      <c r="M1000" s="10" t="s">
        <v>46</v>
      </c>
      <c r="N1000" s="10" t="s">
        <v>50</v>
      </c>
      <c r="O1000" s="10" t="s">
        <v>143</v>
      </c>
      <c r="P1000" s="10" t="s">
        <v>144</v>
      </c>
      <c r="Q1000" s="10" t="s">
        <v>145</v>
      </c>
      <c r="R1000" s="10" t="s">
        <v>74</v>
      </c>
      <c r="S1000" s="11">
        <v>80.0</v>
      </c>
      <c r="T1000" s="11">
        <v>33.38</v>
      </c>
      <c r="U1000" s="11" t="s">
        <v>51</v>
      </c>
      <c r="V1000" s="10" t="s">
        <v>52</v>
      </c>
      <c r="W1000" s="10" t="s">
        <v>10293</v>
      </c>
      <c r="X1000" s="10" t="s">
        <v>10294</v>
      </c>
      <c r="Y1000" s="10" t="s">
        <v>10295</v>
      </c>
      <c r="Z1000" s="10" t="s">
        <v>50</v>
      </c>
      <c r="AA1000" s="10" t="s">
        <v>50</v>
      </c>
      <c r="AB1000" s="10" t="s">
        <v>10293</v>
      </c>
      <c r="AC1000" s="10" t="s">
        <v>10296</v>
      </c>
      <c r="AD1000" s="10" t="s">
        <v>10297</v>
      </c>
      <c r="AE1000" s="10" t="s">
        <v>151</v>
      </c>
      <c r="AF1000" s="10" t="s">
        <v>151</v>
      </c>
      <c r="AG1000" s="10" t="s">
        <v>10298</v>
      </c>
      <c r="AH1000" s="10" t="s">
        <v>60</v>
      </c>
      <c r="AI1000" s="10" t="s">
        <v>61</v>
      </c>
      <c r="AJ1000" s="10" t="s">
        <v>9890</v>
      </c>
      <c r="AK1000" s="10" t="s">
        <v>10299</v>
      </c>
      <c r="AL1000" s="10" t="s">
        <v>64</v>
      </c>
      <c r="AM1000" s="10" t="s">
        <v>10300</v>
      </c>
      <c r="AN1000" s="10" t="s">
        <v>50</v>
      </c>
      <c r="AO1000" s="11" t="s">
        <v>50</v>
      </c>
      <c r="AP1000" s="10" t="s">
        <v>50</v>
      </c>
      <c r="AQ1000" s="10" t="s">
        <v>50</v>
      </c>
      <c r="AR1000" s="10" t="s">
        <v>50</v>
      </c>
      <c r="AS1000" s="10" t="s">
        <v>50</v>
      </c>
      <c r="AT1000" s="10" t="s">
        <v>50</v>
      </c>
      <c r="AU1000" s="10" t="s">
        <v>50</v>
      </c>
      <c r="AV1000" s="11"/>
      <c r="AW1000" s="10" t="s">
        <v>66</v>
      </c>
      <c r="AX1000" s="10"/>
      <c r="AY1000" s="10" t="s">
        <v>66</v>
      </c>
    </row>
    <row r="1001" ht="22.5" hidden="1" customHeight="1">
      <c r="A1001" s="9" t="s">
        <v>10301</v>
      </c>
      <c r="B1001" s="10" t="s">
        <v>10302</v>
      </c>
      <c r="C1001" s="10" t="s">
        <v>43</v>
      </c>
      <c r="D1001" s="10" t="s">
        <v>6539</v>
      </c>
      <c r="E1001" s="10" t="s">
        <v>66</v>
      </c>
      <c r="F1001" s="11">
        <v>1.0</v>
      </c>
      <c r="G1001" s="11">
        <v>80.6</v>
      </c>
      <c r="H1001" s="11"/>
      <c r="I1001" s="11">
        <v>-13.7</v>
      </c>
      <c r="J1001" s="11">
        <v>-20.45</v>
      </c>
      <c r="K1001" s="11"/>
      <c r="L1001" s="11">
        <v>46.45</v>
      </c>
      <c r="M1001" s="10" t="s">
        <v>46</v>
      </c>
      <c r="N1001" s="10" t="s">
        <v>45</v>
      </c>
      <c r="O1001" s="10" t="s">
        <v>265</v>
      </c>
      <c r="P1001" s="10" t="s">
        <v>266</v>
      </c>
      <c r="Q1001" s="10" t="s">
        <v>267</v>
      </c>
      <c r="R1001" s="10" t="s">
        <v>74</v>
      </c>
      <c r="S1001" s="11">
        <v>80.6</v>
      </c>
      <c r="T1001" s="11">
        <v>26.22</v>
      </c>
      <c r="U1001" s="11" t="s">
        <v>51</v>
      </c>
      <c r="V1001" s="10" t="s">
        <v>52</v>
      </c>
      <c r="W1001" s="10" t="s">
        <v>10303</v>
      </c>
      <c r="X1001" s="10" t="s">
        <v>10304</v>
      </c>
      <c r="Y1001" s="10" t="s">
        <v>10305</v>
      </c>
      <c r="Z1001" s="10" t="s">
        <v>50</v>
      </c>
      <c r="AA1001" s="10" t="s">
        <v>50</v>
      </c>
      <c r="AB1001" s="10" t="s">
        <v>10303</v>
      </c>
      <c r="AC1001" s="10" t="s">
        <v>10306</v>
      </c>
      <c r="AD1001" s="10" t="s">
        <v>10307</v>
      </c>
      <c r="AE1001" s="10" t="s">
        <v>8249</v>
      </c>
      <c r="AF1001" s="10" t="s">
        <v>284</v>
      </c>
      <c r="AG1001" s="10" t="s">
        <v>10308</v>
      </c>
      <c r="AH1001" s="10" t="s">
        <v>60</v>
      </c>
      <c r="AI1001" s="10" t="s">
        <v>61</v>
      </c>
      <c r="AJ1001" s="10" t="s">
        <v>5208</v>
      </c>
      <c r="AK1001" s="10" t="s">
        <v>10309</v>
      </c>
      <c r="AL1001" s="10" t="s">
        <v>64</v>
      </c>
      <c r="AM1001" s="10" t="s">
        <v>10310</v>
      </c>
      <c r="AN1001" s="10" t="s">
        <v>50</v>
      </c>
      <c r="AO1001" s="11" t="s">
        <v>50</v>
      </c>
      <c r="AP1001" s="10" t="s">
        <v>50</v>
      </c>
      <c r="AQ1001" s="10" t="s">
        <v>50</v>
      </c>
      <c r="AR1001" s="10" t="s">
        <v>50</v>
      </c>
      <c r="AS1001" s="10" t="s">
        <v>50</v>
      </c>
      <c r="AT1001" s="10" t="s">
        <v>50</v>
      </c>
      <c r="AU1001" s="10" t="s">
        <v>50</v>
      </c>
      <c r="AV1001" s="11"/>
      <c r="AW1001" s="10" t="s">
        <v>66</v>
      </c>
      <c r="AX1001" s="10"/>
      <c r="AY1001" s="10" t="s">
        <v>66</v>
      </c>
    </row>
    <row r="1002" ht="22.5" hidden="1" customHeight="1">
      <c r="A1002" s="9" t="s">
        <v>10311</v>
      </c>
      <c r="B1002" s="10" t="s">
        <v>10312</v>
      </c>
      <c r="C1002" s="10" t="s">
        <v>43</v>
      </c>
      <c r="D1002" s="10" t="s">
        <v>3477</v>
      </c>
      <c r="E1002" s="10" t="s">
        <v>45</v>
      </c>
      <c r="F1002" s="11">
        <v>1.0</v>
      </c>
      <c r="G1002" s="11">
        <v>79.0</v>
      </c>
      <c r="H1002" s="11"/>
      <c r="I1002" s="11">
        <v>-13.43</v>
      </c>
      <c r="J1002" s="11">
        <v>-20.45</v>
      </c>
      <c r="K1002" s="11"/>
      <c r="L1002" s="11">
        <v>45.12</v>
      </c>
      <c r="M1002" s="10" t="s">
        <v>46</v>
      </c>
      <c r="N1002" s="10" t="s">
        <v>45</v>
      </c>
      <c r="O1002" s="10" t="s">
        <v>160</v>
      </c>
      <c r="P1002" s="10" t="s">
        <v>161</v>
      </c>
      <c r="Q1002" s="10" t="s">
        <v>162</v>
      </c>
      <c r="R1002" s="10" t="s">
        <v>74</v>
      </c>
      <c r="S1002" s="11">
        <v>79.0</v>
      </c>
      <c r="T1002" s="11">
        <v>2.49</v>
      </c>
      <c r="U1002" s="11" t="s">
        <v>51</v>
      </c>
      <c r="V1002" s="10" t="s">
        <v>52</v>
      </c>
      <c r="W1002" s="10" t="s">
        <v>10313</v>
      </c>
      <c r="X1002" s="10" t="s">
        <v>10314</v>
      </c>
      <c r="Y1002" s="10" t="s">
        <v>10315</v>
      </c>
      <c r="Z1002" s="10" t="s">
        <v>50</v>
      </c>
      <c r="AA1002" s="10" t="s">
        <v>50</v>
      </c>
      <c r="AB1002" s="10" t="s">
        <v>10313</v>
      </c>
      <c r="AC1002" s="10" t="s">
        <v>10316</v>
      </c>
      <c r="AD1002" s="10" t="s">
        <v>10317</v>
      </c>
      <c r="AE1002" s="10" t="s">
        <v>1089</v>
      </c>
      <c r="AF1002" s="10" t="s">
        <v>284</v>
      </c>
      <c r="AG1002" s="10" t="s">
        <v>10318</v>
      </c>
      <c r="AH1002" s="10" t="s">
        <v>60</v>
      </c>
      <c r="AI1002" s="10" t="s">
        <v>61</v>
      </c>
      <c r="AJ1002" s="10" t="s">
        <v>10319</v>
      </c>
      <c r="AK1002" s="10" t="s">
        <v>10320</v>
      </c>
      <c r="AL1002" s="10" t="s">
        <v>64</v>
      </c>
      <c r="AM1002" s="10" t="s">
        <v>10321</v>
      </c>
      <c r="AN1002" s="10" t="s">
        <v>50</v>
      </c>
      <c r="AO1002" s="11" t="s">
        <v>50</v>
      </c>
      <c r="AP1002" s="10" t="s">
        <v>50</v>
      </c>
      <c r="AQ1002" s="10" t="s">
        <v>50</v>
      </c>
      <c r="AR1002" s="10" t="s">
        <v>50</v>
      </c>
      <c r="AS1002" s="10" t="s">
        <v>50</v>
      </c>
      <c r="AT1002" s="10" t="s">
        <v>50</v>
      </c>
      <c r="AU1002" s="10" t="s">
        <v>50</v>
      </c>
      <c r="AV1002" s="11"/>
      <c r="AW1002" s="10" t="s">
        <v>66</v>
      </c>
      <c r="AX1002" s="10"/>
      <c r="AY1002" s="10" t="s">
        <v>66</v>
      </c>
    </row>
    <row r="1003" ht="22.5" hidden="1" customHeight="1">
      <c r="A1003" s="9" t="s">
        <v>10322</v>
      </c>
      <c r="B1003" s="10" t="s">
        <v>10323</v>
      </c>
      <c r="C1003" s="10" t="s">
        <v>43</v>
      </c>
      <c r="D1003" s="10" t="s">
        <v>7530</v>
      </c>
      <c r="E1003" s="10" t="s">
        <v>66</v>
      </c>
      <c r="F1003" s="11">
        <v>1.0</v>
      </c>
      <c r="G1003" s="11">
        <v>120.0</v>
      </c>
      <c r="H1003" s="11"/>
      <c r="I1003" s="11">
        <v>-20.4</v>
      </c>
      <c r="J1003" s="11">
        <v>-19.95</v>
      </c>
      <c r="K1003" s="11"/>
      <c r="L1003" s="11">
        <v>86.85</v>
      </c>
      <c r="M1003" s="10" t="s">
        <v>46</v>
      </c>
      <c r="N1003" s="10" t="s">
        <v>50</v>
      </c>
      <c r="O1003" s="10" t="s">
        <v>85</v>
      </c>
      <c r="P1003" s="10" t="s">
        <v>86</v>
      </c>
      <c r="Q1003" s="10" t="s">
        <v>87</v>
      </c>
      <c r="R1003" s="10" t="s">
        <v>74</v>
      </c>
      <c r="S1003" s="11">
        <v>120.0</v>
      </c>
      <c r="T1003" s="11">
        <v>65.78</v>
      </c>
      <c r="U1003" s="11" t="s">
        <v>51</v>
      </c>
      <c r="V1003" s="10" t="s">
        <v>52</v>
      </c>
      <c r="W1003" s="10" t="s">
        <v>10324</v>
      </c>
      <c r="X1003" s="10" t="s">
        <v>10325</v>
      </c>
      <c r="Y1003" s="10" t="s">
        <v>10326</v>
      </c>
      <c r="Z1003" s="10" t="s">
        <v>50</v>
      </c>
      <c r="AA1003" s="10" t="s">
        <v>50</v>
      </c>
      <c r="AB1003" s="10" t="s">
        <v>10324</v>
      </c>
      <c r="AC1003" s="10" t="s">
        <v>10327</v>
      </c>
      <c r="AD1003" s="10" t="s">
        <v>10328</v>
      </c>
      <c r="AE1003" s="10" t="s">
        <v>151</v>
      </c>
      <c r="AF1003" s="10" t="s">
        <v>151</v>
      </c>
      <c r="AG1003" s="10" t="s">
        <v>10329</v>
      </c>
      <c r="AH1003" s="10" t="s">
        <v>60</v>
      </c>
      <c r="AI1003" s="10" t="s">
        <v>61</v>
      </c>
      <c r="AJ1003" s="10" t="s">
        <v>10330</v>
      </c>
      <c r="AK1003" s="10" t="s">
        <v>10331</v>
      </c>
      <c r="AL1003" s="10" t="s">
        <v>64</v>
      </c>
      <c r="AM1003" s="10" t="s">
        <v>10332</v>
      </c>
      <c r="AN1003" s="10" t="s">
        <v>50</v>
      </c>
      <c r="AO1003" s="11" t="s">
        <v>50</v>
      </c>
      <c r="AP1003" s="10" t="s">
        <v>50</v>
      </c>
      <c r="AQ1003" s="10" t="s">
        <v>50</v>
      </c>
      <c r="AR1003" s="10" t="s">
        <v>50</v>
      </c>
      <c r="AS1003" s="10" t="s">
        <v>50</v>
      </c>
      <c r="AT1003" s="10" t="s">
        <v>50</v>
      </c>
      <c r="AU1003" s="10" t="s">
        <v>50</v>
      </c>
      <c r="AV1003" s="11"/>
      <c r="AW1003" s="10" t="s">
        <v>66</v>
      </c>
      <c r="AX1003" s="10"/>
      <c r="AY1003" s="10" t="s">
        <v>66</v>
      </c>
    </row>
    <row r="1004" ht="22.5" hidden="1" customHeight="1">
      <c r="A1004" s="9" t="s">
        <v>10333</v>
      </c>
      <c r="B1004" s="10" t="s">
        <v>10334</v>
      </c>
      <c r="C1004" s="10" t="s">
        <v>43</v>
      </c>
      <c r="D1004" s="10" t="s">
        <v>5200</v>
      </c>
      <c r="E1004" s="10" t="s">
        <v>66</v>
      </c>
      <c r="F1004" s="11">
        <v>1.0</v>
      </c>
      <c r="G1004" s="11">
        <v>80.0</v>
      </c>
      <c r="H1004" s="11"/>
      <c r="I1004" s="11">
        <v>-13.6</v>
      </c>
      <c r="J1004" s="11">
        <v>-19.95</v>
      </c>
      <c r="K1004" s="11"/>
      <c r="L1004" s="11">
        <v>50.45</v>
      </c>
      <c r="M1004" s="10" t="s">
        <v>46</v>
      </c>
      <c r="N1004" s="10" t="s">
        <v>50</v>
      </c>
      <c r="O1004" s="10" t="s">
        <v>143</v>
      </c>
      <c r="P1004" s="10" t="s">
        <v>144</v>
      </c>
      <c r="Q1004" s="10" t="s">
        <v>145</v>
      </c>
      <c r="R1004" s="10" t="s">
        <v>74</v>
      </c>
      <c r="S1004" s="11">
        <v>80.0</v>
      </c>
      <c r="T1004" s="11">
        <v>33.38</v>
      </c>
      <c r="U1004" s="11" t="s">
        <v>51</v>
      </c>
      <c r="V1004" s="10" t="s">
        <v>52</v>
      </c>
      <c r="W1004" s="10" t="s">
        <v>10335</v>
      </c>
      <c r="X1004" s="10" t="s">
        <v>10336</v>
      </c>
      <c r="Y1004" s="10" t="s">
        <v>10337</v>
      </c>
      <c r="Z1004" s="10" t="s">
        <v>50</v>
      </c>
      <c r="AA1004" s="10" t="s">
        <v>50</v>
      </c>
      <c r="AB1004" s="10" t="s">
        <v>10335</v>
      </c>
      <c r="AC1004" s="10" t="s">
        <v>10338</v>
      </c>
      <c r="AD1004" s="10" t="s">
        <v>10339</v>
      </c>
      <c r="AE1004" s="10" t="s">
        <v>3395</v>
      </c>
      <c r="AF1004" s="10" t="s">
        <v>119</v>
      </c>
      <c r="AG1004" s="10" t="s">
        <v>3396</v>
      </c>
      <c r="AH1004" s="10" t="s">
        <v>60</v>
      </c>
      <c r="AI1004" s="10" t="s">
        <v>61</v>
      </c>
      <c r="AJ1004" s="10" t="s">
        <v>5208</v>
      </c>
      <c r="AK1004" s="10" t="s">
        <v>10340</v>
      </c>
      <c r="AL1004" s="10" t="s">
        <v>64</v>
      </c>
      <c r="AM1004" s="10" t="s">
        <v>10341</v>
      </c>
      <c r="AN1004" s="10" t="s">
        <v>50</v>
      </c>
      <c r="AO1004" s="11" t="s">
        <v>50</v>
      </c>
      <c r="AP1004" s="10" t="s">
        <v>50</v>
      </c>
      <c r="AQ1004" s="10" t="s">
        <v>50</v>
      </c>
      <c r="AR1004" s="10" t="s">
        <v>50</v>
      </c>
      <c r="AS1004" s="10" t="s">
        <v>50</v>
      </c>
      <c r="AT1004" s="10" t="s">
        <v>50</v>
      </c>
      <c r="AU1004" s="10" t="s">
        <v>50</v>
      </c>
      <c r="AV1004" s="11"/>
      <c r="AW1004" s="10" t="s">
        <v>66</v>
      </c>
      <c r="AX1004" s="10"/>
      <c r="AY1004" s="10" t="s">
        <v>66</v>
      </c>
    </row>
    <row r="1005" ht="22.5" hidden="1" customHeight="1">
      <c r="A1005" s="9" t="s">
        <v>10342</v>
      </c>
      <c r="B1005" s="10" t="s">
        <v>10343</v>
      </c>
      <c r="C1005" s="10" t="s">
        <v>43</v>
      </c>
      <c r="D1005" s="10" t="s">
        <v>3477</v>
      </c>
      <c r="E1005" s="10" t="s">
        <v>66</v>
      </c>
      <c r="F1005" s="11">
        <v>1.0</v>
      </c>
      <c r="G1005" s="11">
        <v>79.2</v>
      </c>
      <c r="H1005" s="11">
        <v>19.71</v>
      </c>
      <c r="I1005" s="11">
        <v>-13.46</v>
      </c>
      <c r="J1005" s="11">
        <v>-40.16</v>
      </c>
      <c r="K1005" s="11"/>
      <c r="L1005" s="11">
        <v>45.29</v>
      </c>
      <c r="M1005" s="10" t="s">
        <v>46</v>
      </c>
      <c r="N1005" s="10" t="s">
        <v>50</v>
      </c>
      <c r="O1005" s="10" t="s">
        <v>892</v>
      </c>
      <c r="P1005" s="10" t="s">
        <v>893</v>
      </c>
      <c r="Q1005" s="10" t="s">
        <v>894</v>
      </c>
      <c r="R1005" s="10" t="s">
        <v>74</v>
      </c>
      <c r="S1005" s="11">
        <v>79.2</v>
      </c>
      <c r="T1005" s="11">
        <v>2.97</v>
      </c>
      <c r="U1005" s="11" t="s">
        <v>51</v>
      </c>
      <c r="V1005" s="10" t="s">
        <v>52</v>
      </c>
      <c r="W1005" s="10" t="s">
        <v>10344</v>
      </c>
      <c r="X1005" s="10" t="s">
        <v>10345</v>
      </c>
      <c r="Y1005" s="10" t="s">
        <v>10346</v>
      </c>
      <c r="Z1005" s="10" t="s">
        <v>50</v>
      </c>
      <c r="AA1005" s="10" t="s">
        <v>50</v>
      </c>
      <c r="AB1005" s="10" t="s">
        <v>10344</v>
      </c>
      <c r="AC1005" s="10" t="s">
        <v>10347</v>
      </c>
      <c r="AD1005" s="10" t="s">
        <v>10348</v>
      </c>
      <c r="AE1005" s="10" t="s">
        <v>10349</v>
      </c>
      <c r="AF1005" s="10" t="s">
        <v>561</v>
      </c>
      <c r="AG1005" s="10" t="s">
        <v>10350</v>
      </c>
      <c r="AH1005" s="10" t="s">
        <v>60</v>
      </c>
      <c r="AI1005" s="10" t="s">
        <v>61</v>
      </c>
      <c r="AJ1005" s="10" t="s">
        <v>9789</v>
      </c>
      <c r="AK1005" s="10" t="s">
        <v>10351</v>
      </c>
      <c r="AL1005" s="10" t="s">
        <v>64</v>
      </c>
      <c r="AM1005" s="10" t="s">
        <v>10352</v>
      </c>
      <c r="AN1005" s="10" t="s">
        <v>50</v>
      </c>
      <c r="AO1005" s="11" t="s">
        <v>50</v>
      </c>
      <c r="AP1005" s="10" t="s">
        <v>50</v>
      </c>
      <c r="AQ1005" s="10" t="s">
        <v>50</v>
      </c>
      <c r="AR1005" s="10" t="s">
        <v>50</v>
      </c>
      <c r="AS1005" s="10" t="s">
        <v>50</v>
      </c>
      <c r="AT1005" s="10" t="s">
        <v>50</v>
      </c>
      <c r="AU1005" s="10" t="s">
        <v>50</v>
      </c>
      <c r="AV1005" s="11"/>
      <c r="AW1005" s="10" t="s">
        <v>66</v>
      </c>
      <c r="AX1005" s="10"/>
      <c r="AY1005" s="10" t="s">
        <v>66</v>
      </c>
    </row>
    <row r="1006" ht="22.5" hidden="1" customHeight="1">
      <c r="A1006" s="9" t="s">
        <v>10353</v>
      </c>
      <c r="B1006" s="10" t="s">
        <v>10354</v>
      </c>
      <c r="C1006" s="10" t="s">
        <v>43</v>
      </c>
      <c r="D1006" s="10" t="s">
        <v>5357</v>
      </c>
      <c r="E1006" s="10" t="s">
        <v>66</v>
      </c>
      <c r="F1006" s="11">
        <v>1.0</v>
      </c>
      <c r="G1006" s="11">
        <v>79.2</v>
      </c>
      <c r="H1006" s="11"/>
      <c r="I1006" s="11">
        <v>-13.46</v>
      </c>
      <c r="J1006" s="11">
        <v>-20.45</v>
      </c>
      <c r="K1006" s="11"/>
      <c r="L1006" s="11">
        <v>45.29</v>
      </c>
      <c r="M1006" s="10" t="s">
        <v>46</v>
      </c>
      <c r="N1006" s="10" t="s">
        <v>45</v>
      </c>
      <c r="O1006" s="10" t="s">
        <v>892</v>
      </c>
      <c r="P1006" s="10" t="s">
        <v>893</v>
      </c>
      <c r="Q1006" s="10" t="s">
        <v>894</v>
      </c>
      <c r="R1006" s="10" t="s">
        <v>74</v>
      </c>
      <c r="S1006" s="11">
        <v>79.2</v>
      </c>
      <c r="T1006" s="11">
        <v>2.97</v>
      </c>
      <c r="U1006" s="11" t="s">
        <v>51</v>
      </c>
      <c r="V1006" s="10" t="s">
        <v>52</v>
      </c>
      <c r="W1006" s="10" t="s">
        <v>10355</v>
      </c>
      <c r="X1006" s="10" t="s">
        <v>10356</v>
      </c>
      <c r="Y1006" s="10" t="s">
        <v>10357</v>
      </c>
      <c r="Z1006" s="10" t="s">
        <v>50</v>
      </c>
      <c r="AA1006" s="10" t="s">
        <v>50</v>
      </c>
      <c r="AB1006" s="10" t="s">
        <v>10355</v>
      </c>
      <c r="AC1006" s="10" t="s">
        <v>10358</v>
      </c>
      <c r="AD1006" s="10" t="s">
        <v>10359</v>
      </c>
      <c r="AE1006" s="10" t="s">
        <v>5363</v>
      </c>
      <c r="AF1006" s="10" t="s">
        <v>58</v>
      </c>
      <c r="AG1006" s="10" t="s">
        <v>10360</v>
      </c>
      <c r="AH1006" s="10" t="s">
        <v>60</v>
      </c>
      <c r="AI1006" s="10" t="s">
        <v>61</v>
      </c>
      <c r="AJ1006" s="10" t="s">
        <v>5365</v>
      </c>
      <c r="AK1006" s="10" t="s">
        <v>10361</v>
      </c>
      <c r="AL1006" s="10" t="s">
        <v>64</v>
      </c>
      <c r="AM1006" s="10" t="s">
        <v>10362</v>
      </c>
      <c r="AN1006" s="10" t="s">
        <v>50</v>
      </c>
      <c r="AO1006" s="11" t="s">
        <v>50</v>
      </c>
      <c r="AP1006" s="10" t="s">
        <v>50</v>
      </c>
      <c r="AQ1006" s="10" t="s">
        <v>50</v>
      </c>
      <c r="AR1006" s="10" t="s">
        <v>50</v>
      </c>
      <c r="AS1006" s="10" t="s">
        <v>50</v>
      </c>
      <c r="AT1006" s="10" t="s">
        <v>50</v>
      </c>
      <c r="AU1006" s="10" t="s">
        <v>50</v>
      </c>
      <c r="AV1006" s="11"/>
      <c r="AW1006" s="10" t="s">
        <v>66</v>
      </c>
      <c r="AX1006" s="10"/>
      <c r="AY1006" s="10" t="s">
        <v>66</v>
      </c>
    </row>
    <row r="1007" ht="22.5" hidden="1" customHeight="1">
      <c r="A1007" s="9" t="s">
        <v>10363</v>
      </c>
      <c r="B1007" s="10" t="s">
        <v>10364</v>
      </c>
      <c r="C1007" s="10" t="s">
        <v>43</v>
      </c>
      <c r="D1007" s="10" t="s">
        <v>7530</v>
      </c>
      <c r="E1007" s="10" t="s">
        <v>66</v>
      </c>
      <c r="F1007" s="11">
        <v>1.0</v>
      </c>
      <c r="G1007" s="11">
        <v>120.0</v>
      </c>
      <c r="H1007" s="11"/>
      <c r="I1007" s="11">
        <v>-20.4</v>
      </c>
      <c r="J1007" s="11">
        <v>-19.95</v>
      </c>
      <c r="K1007" s="11"/>
      <c r="L1007" s="11">
        <v>86.85</v>
      </c>
      <c r="M1007" s="10" t="s">
        <v>46</v>
      </c>
      <c r="N1007" s="10" t="s">
        <v>50</v>
      </c>
      <c r="O1007" s="10" t="s">
        <v>85</v>
      </c>
      <c r="P1007" s="10" t="s">
        <v>86</v>
      </c>
      <c r="Q1007" s="10" t="s">
        <v>87</v>
      </c>
      <c r="R1007" s="10" t="s">
        <v>74</v>
      </c>
      <c r="S1007" s="11">
        <v>120.0</v>
      </c>
      <c r="T1007" s="11">
        <v>65.78</v>
      </c>
      <c r="U1007" s="11" t="s">
        <v>51</v>
      </c>
      <c r="V1007" s="10" t="s">
        <v>52</v>
      </c>
      <c r="W1007" s="10" t="s">
        <v>10365</v>
      </c>
      <c r="X1007" s="10" t="s">
        <v>10366</v>
      </c>
      <c r="Y1007" s="10" t="s">
        <v>10367</v>
      </c>
      <c r="Z1007" s="10" t="s">
        <v>50</v>
      </c>
      <c r="AA1007" s="10" t="s">
        <v>50</v>
      </c>
      <c r="AB1007" s="10" t="s">
        <v>10365</v>
      </c>
      <c r="AC1007" s="10" t="s">
        <v>10368</v>
      </c>
      <c r="AD1007" s="10" t="s">
        <v>10369</v>
      </c>
      <c r="AE1007" s="10" t="s">
        <v>3320</v>
      </c>
      <c r="AF1007" s="10" t="s">
        <v>323</v>
      </c>
      <c r="AG1007" s="10" t="s">
        <v>10370</v>
      </c>
      <c r="AH1007" s="10" t="s">
        <v>60</v>
      </c>
      <c r="AI1007" s="10" t="s">
        <v>61</v>
      </c>
      <c r="AJ1007" s="10" t="s">
        <v>10009</v>
      </c>
      <c r="AK1007" s="10" t="s">
        <v>10371</v>
      </c>
      <c r="AL1007" s="10" t="s">
        <v>64</v>
      </c>
      <c r="AM1007" s="10" t="s">
        <v>10372</v>
      </c>
      <c r="AN1007" s="10" t="s">
        <v>50</v>
      </c>
      <c r="AO1007" s="11" t="s">
        <v>50</v>
      </c>
      <c r="AP1007" s="10" t="s">
        <v>50</v>
      </c>
      <c r="AQ1007" s="10" t="s">
        <v>50</v>
      </c>
      <c r="AR1007" s="10" t="s">
        <v>50</v>
      </c>
      <c r="AS1007" s="10" t="s">
        <v>50</v>
      </c>
      <c r="AT1007" s="10" t="s">
        <v>50</v>
      </c>
      <c r="AU1007" s="10" t="s">
        <v>50</v>
      </c>
      <c r="AV1007" s="11"/>
      <c r="AW1007" s="10" t="s">
        <v>66</v>
      </c>
      <c r="AX1007" s="10"/>
      <c r="AY1007" s="10" t="s">
        <v>66</v>
      </c>
    </row>
    <row r="1008" ht="22.5" hidden="1" customHeight="1">
      <c r="A1008" s="9" t="s">
        <v>10373</v>
      </c>
      <c r="B1008" s="10" t="s">
        <v>10374</v>
      </c>
      <c r="C1008" s="10" t="s">
        <v>43</v>
      </c>
      <c r="D1008" s="10" t="s">
        <v>5200</v>
      </c>
      <c r="E1008" s="10" t="s">
        <v>66</v>
      </c>
      <c r="F1008" s="11">
        <v>1.0</v>
      </c>
      <c r="G1008" s="11">
        <v>79.0</v>
      </c>
      <c r="H1008" s="11"/>
      <c r="I1008" s="11">
        <v>-13.43</v>
      </c>
      <c r="J1008" s="11">
        <v>-20.45</v>
      </c>
      <c r="K1008" s="11"/>
      <c r="L1008" s="11">
        <v>45.12</v>
      </c>
      <c r="M1008" s="10" t="s">
        <v>46</v>
      </c>
      <c r="N1008" s="10" t="s">
        <v>45</v>
      </c>
      <c r="O1008" s="10" t="s">
        <v>461</v>
      </c>
      <c r="P1008" s="10" t="s">
        <v>462</v>
      </c>
      <c r="Q1008" s="10" t="s">
        <v>463</v>
      </c>
      <c r="R1008" s="10" t="s">
        <v>74</v>
      </c>
      <c r="S1008" s="11">
        <v>79.0</v>
      </c>
      <c r="T1008" s="11">
        <v>10.09</v>
      </c>
      <c r="U1008" s="11" t="s">
        <v>51</v>
      </c>
      <c r="V1008" s="10" t="s">
        <v>52</v>
      </c>
      <c r="W1008" s="10" t="s">
        <v>10375</v>
      </c>
      <c r="X1008" s="10" t="s">
        <v>10376</v>
      </c>
      <c r="Y1008" s="10" t="s">
        <v>10377</v>
      </c>
      <c r="Z1008" s="10" t="s">
        <v>50</v>
      </c>
      <c r="AA1008" s="10" t="s">
        <v>50</v>
      </c>
      <c r="AB1008" s="10" t="s">
        <v>10375</v>
      </c>
      <c r="AC1008" s="10" t="s">
        <v>10378</v>
      </c>
      <c r="AD1008" s="10" t="s">
        <v>10379</v>
      </c>
      <c r="AE1008" s="10" t="s">
        <v>58</v>
      </c>
      <c r="AF1008" s="10" t="s">
        <v>58</v>
      </c>
      <c r="AG1008" s="10" t="s">
        <v>10380</v>
      </c>
      <c r="AH1008" s="10" t="s">
        <v>60</v>
      </c>
      <c r="AI1008" s="10" t="s">
        <v>61</v>
      </c>
      <c r="AJ1008" s="10" t="s">
        <v>9789</v>
      </c>
      <c r="AK1008" s="10" t="s">
        <v>10381</v>
      </c>
      <c r="AL1008" s="10" t="s">
        <v>64</v>
      </c>
      <c r="AM1008" s="10" t="s">
        <v>10382</v>
      </c>
      <c r="AN1008" s="10" t="s">
        <v>50</v>
      </c>
      <c r="AO1008" s="11" t="s">
        <v>50</v>
      </c>
      <c r="AP1008" s="10" t="s">
        <v>50</v>
      </c>
      <c r="AQ1008" s="10" t="s">
        <v>50</v>
      </c>
      <c r="AR1008" s="10" t="s">
        <v>50</v>
      </c>
      <c r="AS1008" s="10" t="s">
        <v>50</v>
      </c>
      <c r="AT1008" s="10" t="s">
        <v>50</v>
      </c>
      <c r="AU1008" s="10" t="s">
        <v>50</v>
      </c>
      <c r="AV1008" s="11"/>
      <c r="AW1008" s="10" t="s">
        <v>66</v>
      </c>
      <c r="AX1008" s="10"/>
      <c r="AY1008" s="10" t="s">
        <v>66</v>
      </c>
    </row>
    <row r="1009" ht="22.5" hidden="1" customHeight="1">
      <c r="A1009" s="9" t="s">
        <v>10383</v>
      </c>
      <c r="B1009" s="10" t="s">
        <v>10384</v>
      </c>
      <c r="C1009" s="10" t="s">
        <v>43</v>
      </c>
      <c r="D1009" s="10" t="s">
        <v>5357</v>
      </c>
      <c r="E1009" s="10" t="s">
        <v>66</v>
      </c>
      <c r="F1009" s="11">
        <v>1.0</v>
      </c>
      <c r="G1009" s="11">
        <v>90.0</v>
      </c>
      <c r="H1009" s="11"/>
      <c r="I1009" s="11">
        <v>-15.3</v>
      </c>
      <c r="J1009" s="11">
        <v>-20.45</v>
      </c>
      <c r="K1009" s="11"/>
      <c r="L1009" s="11">
        <v>59.65</v>
      </c>
      <c r="M1009" s="10" t="s">
        <v>46</v>
      </c>
      <c r="N1009" s="10" t="s">
        <v>45</v>
      </c>
      <c r="O1009" s="10" t="s">
        <v>5094</v>
      </c>
      <c r="P1009" s="10" t="s">
        <v>5095</v>
      </c>
      <c r="Q1009" s="10" t="s">
        <v>5096</v>
      </c>
      <c r="R1009" s="10" t="s">
        <v>74</v>
      </c>
      <c r="S1009" s="11">
        <v>90.0</v>
      </c>
      <c r="T1009" s="11">
        <v>39.99</v>
      </c>
      <c r="U1009" s="11" t="s">
        <v>51</v>
      </c>
      <c r="V1009" s="10" t="s">
        <v>52</v>
      </c>
      <c r="W1009" s="10" t="s">
        <v>10385</v>
      </c>
      <c r="X1009" s="10" t="s">
        <v>10386</v>
      </c>
      <c r="Y1009" s="10" t="s">
        <v>10387</v>
      </c>
      <c r="Z1009" s="10" t="s">
        <v>50</v>
      </c>
      <c r="AA1009" s="10" t="s">
        <v>50</v>
      </c>
      <c r="AB1009" s="10" t="s">
        <v>10385</v>
      </c>
      <c r="AC1009" s="10" t="s">
        <v>10388</v>
      </c>
      <c r="AD1009" s="10" t="s">
        <v>10389</v>
      </c>
      <c r="AE1009" s="10" t="s">
        <v>5067</v>
      </c>
      <c r="AF1009" s="10" t="s">
        <v>58</v>
      </c>
      <c r="AG1009" s="10" t="s">
        <v>10390</v>
      </c>
      <c r="AH1009" s="10" t="s">
        <v>60</v>
      </c>
      <c r="AI1009" s="10" t="s">
        <v>61</v>
      </c>
      <c r="AJ1009" s="10" t="s">
        <v>9977</v>
      </c>
      <c r="AK1009" s="10" t="s">
        <v>10391</v>
      </c>
      <c r="AL1009" s="10" t="s">
        <v>64</v>
      </c>
      <c r="AM1009" s="10" t="s">
        <v>10392</v>
      </c>
      <c r="AN1009" s="10" t="s">
        <v>50</v>
      </c>
      <c r="AO1009" s="11" t="s">
        <v>50</v>
      </c>
      <c r="AP1009" s="10" t="s">
        <v>50</v>
      </c>
      <c r="AQ1009" s="10" t="s">
        <v>50</v>
      </c>
      <c r="AR1009" s="10" t="s">
        <v>50</v>
      </c>
      <c r="AS1009" s="10" t="s">
        <v>50</v>
      </c>
      <c r="AT1009" s="10" t="s">
        <v>50</v>
      </c>
      <c r="AU1009" s="10" t="s">
        <v>50</v>
      </c>
      <c r="AV1009" s="11"/>
      <c r="AW1009" s="10" t="s">
        <v>66</v>
      </c>
      <c r="AX1009" s="10"/>
      <c r="AY1009" s="10" t="s">
        <v>66</v>
      </c>
    </row>
    <row r="1010" ht="22.5" hidden="1" customHeight="1">
      <c r="A1010" s="9" t="s">
        <v>10393</v>
      </c>
      <c r="B1010" s="10" t="s">
        <v>10394</v>
      </c>
      <c r="C1010" s="10" t="s">
        <v>43</v>
      </c>
      <c r="D1010" s="10" t="s">
        <v>3477</v>
      </c>
      <c r="E1010" s="10" t="s">
        <v>66</v>
      </c>
      <c r="F1010" s="11">
        <v>1.0</v>
      </c>
      <c r="G1010" s="11">
        <v>120.0</v>
      </c>
      <c r="H1010" s="11"/>
      <c r="I1010" s="11">
        <v>-20.4</v>
      </c>
      <c r="J1010" s="11">
        <v>-19.95</v>
      </c>
      <c r="K1010" s="11"/>
      <c r="L1010" s="11">
        <v>86.85</v>
      </c>
      <c r="M1010" s="10" t="s">
        <v>46</v>
      </c>
      <c r="N1010" s="10" t="s">
        <v>45</v>
      </c>
      <c r="O1010" s="10" t="s">
        <v>85</v>
      </c>
      <c r="P1010" s="10" t="s">
        <v>86</v>
      </c>
      <c r="Q1010" s="10" t="s">
        <v>87</v>
      </c>
      <c r="R1010" s="10" t="s">
        <v>74</v>
      </c>
      <c r="S1010" s="11">
        <v>120.0</v>
      </c>
      <c r="T1010" s="11">
        <v>65.78</v>
      </c>
      <c r="U1010" s="11" t="s">
        <v>51</v>
      </c>
      <c r="V1010" s="10" t="s">
        <v>52</v>
      </c>
      <c r="W1010" s="10" t="s">
        <v>10395</v>
      </c>
      <c r="X1010" s="10" t="s">
        <v>10396</v>
      </c>
      <c r="Y1010" s="10" t="s">
        <v>10397</v>
      </c>
      <c r="Z1010" s="10" t="s">
        <v>50</v>
      </c>
      <c r="AA1010" s="10" t="s">
        <v>50</v>
      </c>
      <c r="AB1010" s="10" t="s">
        <v>10395</v>
      </c>
      <c r="AC1010" s="10" t="s">
        <v>10398</v>
      </c>
      <c r="AD1010" s="10" t="s">
        <v>10399</v>
      </c>
      <c r="AE1010" s="10" t="s">
        <v>10400</v>
      </c>
      <c r="AF1010" s="10" t="s">
        <v>284</v>
      </c>
      <c r="AG1010" s="10" t="s">
        <v>10401</v>
      </c>
      <c r="AH1010" s="10" t="s">
        <v>60</v>
      </c>
      <c r="AI1010" s="10" t="s">
        <v>61</v>
      </c>
      <c r="AJ1010" s="10" t="s">
        <v>10402</v>
      </c>
      <c r="AK1010" s="10" t="s">
        <v>10403</v>
      </c>
      <c r="AL1010" s="10" t="s">
        <v>64</v>
      </c>
      <c r="AM1010" s="10" t="s">
        <v>10404</v>
      </c>
      <c r="AN1010" s="10" t="s">
        <v>50</v>
      </c>
      <c r="AO1010" s="11" t="s">
        <v>50</v>
      </c>
      <c r="AP1010" s="10" t="s">
        <v>50</v>
      </c>
      <c r="AQ1010" s="10" t="s">
        <v>50</v>
      </c>
      <c r="AR1010" s="10" t="s">
        <v>50</v>
      </c>
      <c r="AS1010" s="10" t="s">
        <v>50</v>
      </c>
      <c r="AT1010" s="10" t="s">
        <v>50</v>
      </c>
      <c r="AU1010" s="10" t="s">
        <v>50</v>
      </c>
      <c r="AV1010" s="11"/>
      <c r="AW1010" s="10" t="s">
        <v>66</v>
      </c>
      <c r="AX1010" s="10"/>
      <c r="AY1010" s="10" t="s">
        <v>66</v>
      </c>
    </row>
    <row r="1011" ht="22.5" hidden="1" customHeight="1">
      <c r="A1011" s="9" t="s">
        <v>10405</v>
      </c>
      <c r="B1011" s="10" t="s">
        <v>10406</v>
      </c>
      <c r="C1011" s="10" t="s">
        <v>43</v>
      </c>
      <c r="D1011" s="10" t="s">
        <v>5357</v>
      </c>
      <c r="E1011" s="10" t="s">
        <v>66</v>
      </c>
      <c r="F1011" s="11">
        <v>1.0</v>
      </c>
      <c r="G1011" s="11">
        <v>120.0</v>
      </c>
      <c r="H1011" s="11"/>
      <c r="I1011" s="11">
        <v>-20.4</v>
      </c>
      <c r="J1011" s="11">
        <v>-19.95</v>
      </c>
      <c r="K1011" s="11"/>
      <c r="L1011" s="11">
        <v>86.85</v>
      </c>
      <c r="M1011" s="10" t="s">
        <v>46</v>
      </c>
      <c r="N1011" s="10" t="s">
        <v>50</v>
      </c>
      <c r="O1011" s="10" t="s">
        <v>85</v>
      </c>
      <c r="P1011" s="10" t="s">
        <v>86</v>
      </c>
      <c r="Q1011" s="10" t="s">
        <v>87</v>
      </c>
      <c r="R1011" s="10" t="s">
        <v>74</v>
      </c>
      <c r="S1011" s="11">
        <v>120.0</v>
      </c>
      <c r="T1011" s="11">
        <v>65.78</v>
      </c>
      <c r="U1011" s="11" t="s">
        <v>51</v>
      </c>
      <c r="V1011" s="10" t="s">
        <v>52</v>
      </c>
      <c r="W1011" s="10" t="s">
        <v>10407</v>
      </c>
      <c r="X1011" s="10" t="s">
        <v>10408</v>
      </c>
      <c r="Y1011" s="10" t="s">
        <v>10409</v>
      </c>
      <c r="Z1011" s="10" t="s">
        <v>50</v>
      </c>
      <c r="AA1011" s="10" t="s">
        <v>50</v>
      </c>
      <c r="AB1011" s="10" t="s">
        <v>10407</v>
      </c>
      <c r="AC1011" s="10" t="s">
        <v>10410</v>
      </c>
      <c r="AD1011" s="10" t="s">
        <v>10411</v>
      </c>
      <c r="AE1011" s="10" t="s">
        <v>58</v>
      </c>
      <c r="AF1011" s="10" t="s">
        <v>58</v>
      </c>
      <c r="AG1011" s="10" t="s">
        <v>10412</v>
      </c>
      <c r="AH1011" s="10" t="s">
        <v>60</v>
      </c>
      <c r="AI1011" s="10" t="s">
        <v>61</v>
      </c>
      <c r="AJ1011" s="10" t="s">
        <v>9789</v>
      </c>
      <c r="AK1011" s="10" t="s">
        <v>10413</v>
      </c>
      <c r="AL1011" s="10" t="s">
        <v>64</v>
      </c>
      <c r="AM1011" s="10" t="s">
        <v>10414</v>
      </c>
      <c r="AN1011" s="10" t="s">
        <v>50</v>
      </c>
      <c r="AO1011" s="11" t="s">
        <v>50</v>
      </c>
      <c r="AP1011" s="10" t="s">
        <v>50</v>
      </c>
      <c r="AQ1011" s="10" t="s">
        <v>50</v>
      </c>
      <c r="AR1011" s="10" t="s">
        <v>50</v>
      </c>
      <c r="AS1011" s="10" t="s">
        <v>50</v>
      </c>
      <c r="AT1011" s="10" t="s">
        <v>50</v>
      </c>
      <c r="AU1011" s="10" t="s">
        <v>50</v>
      </c>
      <c r="AV1011" s="11"/>
      <c r="AW1011" s="10" t="s">
        <v>66</v>
      </c>
      <c r="AX1011" s="10"/>
      <c r="AY1011" s="10" t="s">
        <v>66</v>
      </c>
    </row>
    <row r="1012" ht="22.5" hidden="1" customHeight="1">
      <c r="A1012" s="9" t="s">
        <v>10415</v>
      </c>
      <c r="B1012" s="10" t="s">
        <v>10416</v>
      </c>
      <c r="C1012" s="10" t="s">
        <v>43</v>
      </c>
      <c r="D1012" s="10" t="s">
        <v>5357</v>
      </c>
      <c r="E1012" s="10" t="s">
        <v>45</v>
      </c>
      <c r="F1012" s="11">
        <v>2.0</v>
      </c>
      <c r="G1012" s="11">
        <v>87.4</v>
      </c>
      <c r="H1012" s="11"/>
      <c r="I1012" s="11">
        <v>-26.86</v>
      </c>
      <c r="J1012" s="11"/>
      <c r="K1012" s="11"/>
      <c r="L1012" s="11">
        <v>65.78</v>
      </c>
      <c r="M1012" s="10" t="s">
        <v>46</v>
      </c>
      <c r="N1012" s="10" t="s">
        <v>50</v>
      </c>
      <c r="O1012" s="10" t="s">
        <v>176</v>
      </c>
      <c r="P1012" s="10" t="s">
        <v>177</v>
      </c>
      <c r="Q1012" s="10" t="s">
        <v>178</v>
      </c>
      <c r="R1012" s="10" t="s">
        <v>74</v>
      </c>
      <c r="S1012" s="11">
        <v>43.7</v>
      </c>
      <c r="T1012" s="11">
        <f>2*22.58</f>
        <v>45.16</v>
      </c>
      <c r="U1012" s="11" t="s">
        <v>51</v>
      </c>
      <c r="V1012" s="10" t="s">
        <v>52</v>
      </c>
      <c r="W1012" s="10" t="s">
        <v>10417</v>
      </c>
      <c r="X1012" s="10" t="s">
        <v>10418</v>
      </c>
      <c r="Y1012" s="10" t="s">
        <v>10419</v>
      </c>
      <c r="Z1012" s="10" t="s">
        <v>50</v>
      </c>
      <c r="AA1012" s="10" t="s">
        <v>50</v>
      </c>
      <c r="AB1012" s="10" t="s">
        <v>10417</v>
      </c>
      <c r="AC1012" s="10" t="s">
        <v>10420</v>
      </c>
      <c r="AD1012" s="10" t="s">
        <v>10421</v>
      </c>
      <c r="AE1012" s="10" t="s">
        <v>58</v>
      </c>
      <c r="AF1012" s="10" t="s">
        <v>58</v>
      </c>
      <c r="AG1012" s="10" t="s">
        <v>10422</v>
      </c>
      <c r="AH1012" s="10" t="s">
        <v>60</v>
      </c>
      <c r="AI1012" s="10" t="s">
        <v>61</v>
      </c>
      <c r="AJ1012" s="10" t="s">
        <v>9977</v>
      </c>
      <c r="AK1012" s="10" t="s">
        <v>10423</v>
      </c>
      <c r="AL1012" s="10" t="s">
        <v>64</v>
      </c>
      <c r="AM1012" s="10" t="s">
        <v>10424</v>
      </c>
      <c r="AN1012" s="10" t="s">
        <v>50</v>
      </c>
      <c r="AO1012" s="11" t="s">
        <v>50</v>
      </c>
      <c r="AP1012" s="10" t="s">
        <v>50</v>
      </c>
      <c r="AQ1012" s="10" t="s">
        <v>50</v>
      </c>
      <c r="AR1012" s="10" t="s">
        <v>50</v>
      </c>
      <c r="AS1012" s="10" t="s">
        <v>50</v>
      </c>
      <c r="AT1012" s="10" t="s">
        <v>50</v>
      </c>
      <c r="AU1012" s="10" t="s">
        <v>50</v>
      </c>
      <c r="AV1012" s="11"/>
      <c r="AW1012" s="10" t="s">
        <v>66</v>
      </c>
      <c r="AX1012" s="10"/>
      <c r="AY1012" s="10" t="s">
        <v>66</v>
      </c>
    </row>
    <row r="1013" ht="22.5" hidden="1" customHeight="1">
      <c r="A1013" s="9" t="s">
        <v>10425</v>
      </c>
      <c r="B1013" s="10" t="s">
        <v>10426</v>
      </c>
      <c r="C1013" s="10" t="s">
        <v>43</v>
      </c>
      <c r="D1013" s="10" t="s">
        <v>7577</v>
      </c>
      <c r="E1013" s="10" t="s">
        <v>66</v>
      </c>
      <c r="F1013" s="11">
        <v>1.0</v>
      </c>
      <c r="G1013" s="11">
        <v>43.7</v>
      </c>
      <c r="H1013" s="11">
        <v>13.87</v>
      </c>
      <c r="I1013" s="11">
        <v>-13.43</v>
      </c>
      <c r="J1013" s="11">
        <v>-13.87</v>
      </c>
      <c r="K1013" s="11"/>
      <c r="L1013" s="11">
        <v>32.89</v>
      </c>
      <c r="M1013" s="10" t="s">
        <v>46</v>
      </c>
      <c r="N1013" s="10" t="s">
        <v>50</v>
      </c>
      <c r="O1013" s="10" t="s">
        <v>176</v>
      </c>
      <c r="P1013" s="10" t="s">
        <v>177</v>
      </c>
      <c r="Q1013" s="10" t="s">
        <v>178</v>
      </c>
      <c r="R1013" s="10" t="s">
        <v>74</v>
      </c>
      <c r="S1013" s="11">
        <v>43.7</v>
      </c>
      <c r="T1013" s="11">
        <v>22.58</v>
      </c>
      <c r="U1013" s="11" t="s">
        <v>51</v>
      </c>
      <c r="V1013" s="10" t="s">
        <v>52</v>
      </c>
      <c r="W1013" s="10" t="s">
        <v>10427</v>
      </c>
      <c r="X1013" s="10" t="s">
        <v>10428</v>
      </c>
      <c r="Y1013" s="10" t="s">
        <v>10429</v>
      </c>
      <c r="Z1013" s="10" t="s">
        <v>50</v>
      </c>
      <c r="AA1013" s="10" t="s">
        <v>50</v>
      </c>
      <c r="AB1013" s="10" t="s">
        <v>10427</v>
      </c>
      <c r="AC1013" s="10" t="s">
        <v>10430</v>
      </c>
      <c r="AD1013" s="10" t="s">
        <v>10431</v>
      </c>
      <c r="AE1013" s="10" t="s">
        <v>58</v>
      </c>
      <c r="AF1013" s="10" t="s">
        <v>58</v>
      </c>
      <c r="AG1013" s="10" t="s">
        <v>10432</v>
      </c>
      <c r="AH1013" s="10" t="s">
        <v>60</v>
      </c>
      <c r="AI1013" s="10" t="s">
        <v>61</v>
      </c>
      <c r="AJ1013" s="10" t="s">
        <v>9834</v>
      </c>
      <c r="AK1013" s="10" t="s">
        <v>10433</v>
      </c>
      <c r="AL1013" s="10" t="s">
        <v>64</v>
      </c>
      <c r="AM1013" s="10" t="s">
        <v>10434</v>
      </c>
      <c r="AN1013" s="10" t="s">
        <v>10435</v>
      </c>
      <c r="AO1013" s="11" t="s">
        <v>50</v>
      </c>
      <c r="AP1013" s="10" t="s">
        <v>50</v>
      </c>
      <c r="AQ1013" s="10" t="s">
        <v>50</v>
      </c>
      <c r="AR1013" s="10" t="s">
        <v>50</v>
      </c>
      <c r="AS1013" s="10" t="s">
        <v>50</v>
      </c>
      <c r="AT1013" s="10" t="s">
        <v>50</v>
      </c>
      <c r="AU1013" s="10" t="s">
        <v>50</v>
      </c>
      <c r="AV1013" s="11"/>
      <c r="AW1013" s="10" t="s">
        <v>66</v>
      </c>
      <c r="AX1013" s="10"/>
      <c r="AY1013" s="10" t="s">
        <v>66</v>
      </c>
    </row>
    <row r="1014" ht="22.5" hidden="1" customHeight="1">
      <c r="A1014" s="9" t="s">
        <v>10436</v>
      </c>
      <c r="B1014" s="10" t="s">
        <v>10437</v>
      </c>
      <c r="C1014" s="10" t="s">
        <v>43</v>
      </c>
      <c r="D1014" s="10" t="s">
        <v>7530</v>
      </c>
      <c r="E1014" s="10" t="s">
        <v>45</v>
      </c>
      <c r="F1014" s="11">
        <v>1.0</v>
      </c>
      <c r="G1014" s="11">
        <v>79.0</v>
      </c>
      <c r="H1014" s="11"/>
      <c r="I1014" s="11">
        <v>-13.43</v>
      </c>
      <c r="J1014" s="11">
        <v>-20.45</v>
      </c>
      <c r="K1014" s="11"/>
      <c r="L1014" s="11">
        <v>45.12</v>
      </c>
      <c r="M1014" s="10" t="s">
        <v>46</v>
      </c>
      <c r="N1014" s="10" t="s">
        <v>50</v>
      </c>
      <c r="O1014" s="10" t="s">
        <v>160</v>
      </c>
      <c r="P1014" s="10" t="s">
        <v>161</v>
      </c>
      <c r="Q1014" s="10" t="s">
        <v>162</v>
      </c>
      <c r="R1014" s="10" t="s">
        <v>74</v>
      </c>
      <c r="S1014" s="11">
        <v>79.0</v>
      </c>
      <c r="T1014" s="11">
        <v>2.49</v>
      </c>
      <c r="U1014" s="11" t="s">
        <v>51</v>
      </c>
      <c r="V1014" s="10" t="s">
        <v>52</v>
      </c>
      <c r="W1014" s="10" t="s">
        <v>10438</v>
      </c>
      <c r="X1014" s="10" t="s">
        <v>10439</v>
      </c>
      <c r="Y1014" s="10" t="s">
        <v>10440</v>
      </c>
      <c r="Z1014" s="10" t="s">
        <v>50</v>
      </c>
      <c r="AA1014" s="10" t="s">
        <v>50</v>
      </c>
      <c r="AB1014" s="10" t="s">
        <v>10438</v>
      </c>
      <c r="AC1014" s="10" t="s">
        <v>10441</v>
      </c>
      <c r="AD1014" s="10" t="s">
        <v>10442</v>
      </c>
      <c r="AE1014" s="10" t="s">
        <v>526</v>
      </c>
      <c r="AF1014" s="10" t="s">
        <v>151</v>
      </c>
      <c r="AG1014" s="10" t="s">
        <v>10443</v>
      </c>
      <c r="AH1014" s="10" t="s">
        <v>60</v>
      </c>
      <c r="AI1014" s="10" t="s">
        <v>61</v>
      </c>
      <c r="AJ1014" s="10" t="s">
        <v>10444</v>
      </c>
      <c r="AK1014" s="10" t="s">
        <v>10445</v>
      </c>
      <c r="AL1014" s="10" t="s">
        <v>64</v>
      </c>
      <c r="AM1014" s="10" t="s">
        <v>10446</v>
      </c>
      <c r="AN1014" s="10" t="s">
        <v>50</v>
      </c>
      <c r="AO1014" s="11" t="s">
        <v>50</v>
      </c>
      <c r="AP1014" s="10" t="s">
        <v>50</v>
      </c>
      <c r="AQ1014" s="10" t="s">
        <v>50</v>
      </c>
      <c r="AR1014" s="10" t="s">
        <v>50</v>
      </c>
      <c r="AS1014" s="10" t="s">
        <v>50</v>
      </c>
      <c r="AT1014" s="10" t="s">
        <v>50</v>
      </c>
      <c r="AU1014" s="10" t="s">
        <v>50</v>
      </c>
      <c r="AV1014" s="11"/>
      <c r="AW1014" s="10" t="s">
        <v>66</v>
      </c>
      <c r="AX1014" s="10"/>
      <c r="AY1014" s="10" t="s">
        <v>66</v>
      </c>
    </row>
    <row r="1015" ht="22.5" hidden="1" customHeight="1">
      <c r="A1015" s="9" t="s">
        <v>10447</v>
      </c>
      <c r="B1015" s="10" t="s">
        <v>10448</v>
      </c>
      <c r="C1015" s="10" t="s">
        <v>43</v>
      </c>
      <c r="D1015" s="10" t="s">
        <v>5357</v>
      </c>
      <c r="E1015" s="10" t="s">
        <v>66</v>
      </c>
      <c r="F1015" s="11">
        <v>1.0</v>
      </c>
      <c r="G1015" s="11">
        <v>79.0</v>
      </c>
      <c r="H1015" s="11"/>
      <c r="I1015" s="11">
        <v>-13.43</v>
      </c>
      <c r="J1015" s="11">
        <v>-20.45</v>
      </c>
      <c r="K1015" s="11"/>
      <c r="L1015" s="11">
        <v>45.12</v>
      </c>
      <c r="M1015" s="10" t="s">
        <v>46</v>
      </c>
      <c r="N1015" s="10" t="s">
        <v>45</v>
      </c>
      <c r="O1015" s="10" t="s">
        <v>160</v>
      </c>
      <c r="P1015" s="10" t="s">
        <v>161</v>
      </c>
      <c r="Q1015" s="10" t="s">
        <v>162</v>
      </c>
      <c r="R1015" s="10" t="s">
        <v>74</v>
      </c>
      <c r="S1015" s="11">
        <v>79.0</v>
      </c>
      <c r="T1015" s="11">
        <v>2.49</v>
      </c>
      <c r="U1015" s="11" t="s">
        <v>51</v>
      </c>
      <c r="V1015" s="10" t="s">
        <v>52</v>
      </c>
      <c r="W1015" s="10" t="s">
        <v>10449</v>
      </c>
      <c r="X1015" s="10" t="s">
        <v>10450</v>
      </c>
      <c r="Y1015" s="10" t="s">
        <v>10451</v>
      </c>
      <c r="Z1015" s="10" t="s">
        <v>50</v>
      </c>
      <c r="AA1015" s="10" t="s">
        <v>50</v>
      </c>
      <c r="AB1015" s="10" t="s">
        <v>10449</v>
      </c>
      <c r="AC1015" s="10" t="s">
        <v>10452</v>
      </c>
      <c r="AD1015" s="10" t="s">
        <v>10453</v>
      </c>
      <c r="AE1015" s="10" t="s">
        <v>10454</v>
      </c>
      <c r="AF1015" s="10" t="s">
        <v>119</v>
      </c>
      <c r="AG1015" s="10" t="s">
        <v>10455</v>
      </c>
      <c r="AH1015" s="10" t="s">
        <v>60</v>
      </c>
      <c r="AI1015" s="10" t="s">
        <v>61</v>
      </c>
      <c r="AJ1015" s="10" t="s">
        <v>5208</v>
      </c>
      <c r="AK1015" s="10" t="s">
        <v>10456</v>
      </c>
      <c r="AL1015" s="10" t="s">
        <v>64</v>
      </c>
      <c r="AM1015" s="10" t="s">
        <v>10457</v>
      </c>
      <c r="AN1015" s="10" t="s">
        <v>50</v>
      </c>
      <c r="AO1015" s="11" t="s">
        <v>50</v>
      </c>
      <c r="AP1015" s="10" t="s">
        <v>50</v>
      </c>
      <c r="AQ1015" s="10" t="s">
        <v>50</v>
      </c>
      <c r="AR1015" s="10" t="s">
        <v>50</v>
      </c>
      <c r="AS1015" s="10" t="s">
        <v>50</v>
      </c>
      <c r="AT1015" s="10" t="s">
        <v>50</v>
      </c>
      <c r="AU1015" s="10" t="s">
        <v>50</v>
      </c>
      <c r="AV1015" s="11"/>
      <c r="AW1015" s="10" t="s">
        <v>66</v>
      </c>
      <c r="AX1015" s="10"/>
      <c r="AY1015" s="10" t="s">
        <v>66</v>
      </c>
    </row>
    <row r="1016" ht="22.5" hidden="1" customHeight="1">
      <c r="A1016" s="9" t="s">
        <v>10458</v>
      </c>
      <c r="B1016" s="10" t="s">
        <v>10459</v>
      </c>
      <c r="C1016" s="10" t="s">
        <v>43</v>
      </c>
      <c r="D1016" s="10" t="s">
        <v>5357</v>
      </c>
      <c r="E1016" s="10" t="s">
        <v>66</v>
      </c>
      <c r="F1016" s="11">
        <v>1.0</v>
      </c>
      <c r="G1016" s="11">
        <v>79.0</v>
      </c>
      <c r="H1016" s="11"/>
      <c r="I1016" s="11">
        <v>-13.43</v>
      </c>
      <c r="J1016" s="11">
        <v>-20.45</v>
      </c>
      <c r="K1016" s="11"/>
      <c r="L1016" s="11">
        <v>45.12</v>
      </c>
      <c r="M1016" s="10" t="s">
        <v>46</v>
      </c>
      <c r="N1016" s="10" t="s">
        <v>45</v>
      </c>
      <c r="O1016" s="10" t="s">
        <v>461</v>
      </c>
      <c r="P1016" s="10" t="s">
        <v>462</v>
      </c>
      <c r="Q1016" s="10" t="s">
        <v>463</v>
      </c>
      <c r="R1016" s="10" t="s">
        <v>74</v>
      </c>
      <c r="S1016" s="11">
        <v>79.0</v>
      </c>
      <c r="T1016" s="11">
        <v>10.09</v>
      </c>
      <c r="U1016" s="11" t="s">
        <v>51</v>
      </c>
      <c r="V1016" s="10" t="s">
        <v>52</v>
      </c>
      <c r="W1016" s="10" t="s">
        <v>10460</v>
      </c>
      <c r="X1016" s="10" t="s">
        <v>10461</v>
      </c>
      <c r="Y1016" s="10" t="s">
        <v>10462</v>
      </c>
      <c r="Z1016" s="10" t="s">
        <v>50</v>
      </c>
      <c r="AA1016" s="10" t="s">
        <v>50</v>
      </c>
      <c r="AB1016" s="10" t="s">
        <v>10460</v>
      </c>
      <c r="AC1016" s="10" t="s">
        <v>10463</v>
      </c>
      <c r="AD1016" s="10" t="s">
        <v>10464</v>
      </c>
      <c r="AE1016" s="10" t="s">
        <v>296</v>
      </c>
      <c r="AF1016" s="10" t="s">
        <v>58</v>
      </c>
      <c r="AG1016" s="10" t="s">
        <v>10465</v>
      </c>
      <c r="AH1016" s="10" t="s">
        <v>60</v>
      </c>
      <c r="AI1016" s="10" t="s">
        <v>61</v>
      </c>
      <c r="AJ1016" s="10" t="s">
        <v>10086</v>
      </c>
      <c r="AK1016" s="10" t="s">
        <v>7978</v>
      </c>
      <c r="AL1016" s="10" t="s">
        <v>64</v>
      </c>
      <c r="AM1016" s="10" t="s">
        <v>10466</v>
      </c>
      <c r="AN1016" s="10" t="s">
        <v>50</v>
      </c>
      <c r="AO1016" s="11" t="s">
        <v>50</v>
      </c>
      <c r="AP1016" s="10" t="s">
        <v>50</v>
      </c>
      <c r="AQ1016" s="10" t="s">
        <v>50</v>
      </c>
      <c r="AR1016" s="10" t="s">
        <v>50</v>
      </c>
      <c r="AS1016" s="10" t="s">
        <v>50</v>
      </c>
      <c r="AT1016" s="10" t="s">
        <v>50</v>
      </c>
      <c r="AU1016" s="10" t="s">
        <v>50</v>
      </c>
      <c r="AV1016" s="11"/>
      <c r="AW1016" s="10" t="s">
        <v>66</v>
      </c>
      <c r="AX1016" s="10"/>
      <c r="AY1016" s="10" t="s">
        <v>66</v>
      </c>
    </row>
    <row r="1017" ht="22.5" hidden="1" customHeight="1">
      <c r="A1017" s="9" t="s">
        <v>10467</v>
      </c>
      <c r="B1017" s="10" t="s">
        <v>10468</v>
      </c>
      <c r="C1017" s="10" t="s">
        <v>43</v>
      </c>
      <c r="D1017" s="10" t="s">
        <v>6539</v>
      </c>
      <c r="E1017" s="10" t="s">
        <v>66</v>
      </c>
      <c r="F1017" s="11">
        <v>1.0</v>
      </c>
      <c r="G1017" s="11">
        <v>79.0</v>
      </c>
      <c r="H1017" s="11">
        <v>19.73</v>
      </c>
      <c r="I1017" s="11">
        <v>-13.43</v>
      </c>
      <c r="J1017" s="11">
        <v>-40.18</v>
      </c>
      <c r="K1017" s="11"/>
      <c r="L1017" s="11">
        <v>45.12</v>
      </c>
      <c r="M1017" s="10" t="s">
        <v>46</v>
      </c>
      <c r="N1017" s="10" t="s">
        <v>45</v>
      </c>
      <c r="O1017" s="10" t="s">
        <v>160</v>
      </c>
      <c r="P1017" s="10" t="s">
        <v>161</v>
      </c>
      <c r="Q1017" s="10" t="s">
        <v>162</v>
      </c>
      <c r="R1017" s="10" t="s">
        <v>74</v>
      </c>
      <c r="S1017" s="11">
        <v>79.0</v>
      </c>
      <c r="T1017" s="11">
        <v>2.49</v>
      </c>
      <c r="U1017" s="11" t="s">
        <v>51</v>
      </c>
      <c r="V1017" s="10" t="s">
        <v>52</v>
      </c>
      <c r="W1017" s="10" t="s">
        <v>10469</v>
      </c>
      <c r="X1017" s="10" t="s">
        <v>10470</v>
      </c>
      <c r="Y1017" s="10" t="s">
        <v>10471</v>
      </c>
      <c r="Z1017" s="10" t="s">
        <v>50</v>
      </c>
      <c r="AA1017" s="10" t="s">
        <v>50</v>
      </c>
      <c r="AB1017" s="10" t="s">
        <v>10469</v>
      </c>
      <c r="AC1017" s="10" t="s">
        <v>10472</v>
      </c>
      <c r="AD1017" s="10" t="s">
        <v>10473</v>
      </c>
      <c r="AE1017" s="10" t="s">
        <v>5864</v>
      </c>
      <c r="AF1017" s="10" t="s">
        <v>561</v>
      </c>
      <c r="AG1017" s="10" t="s">
        <v>10474</v>
      </c>
      <c r="AH1017" s="10" t="s">
        <v>60</v>
      </c>
      <c r="AI1017" s="10" t="s">
        <v>61</v>
      </c>
      <c r="AJ1017" s="10" t="s">
        <v>9789</v>
      </c>
      <c r="AK1017" s="10" t="s">
        <v>10475</v>
      </c>
      <c r="AL1017" s="10" t="s">
        <v>64</v>
      </c>
      <c r="AM1017" s="10" t="s">
        <v>10476</v>
      </c>
      <c r="AN1017" s="10" t="s">
        <v>50</v>
      </c>
      <c r="AO1017" s="11" t="s">
        <v>50</v>
      </c>
      <c r="AP1017" s="10" t="s">
        <v>50</v>
      </c>
      <c r="AQ1017" s="10" t="s">
        <v>50</v>
      </c>
      <c r="AR1017" s="10" t="s">
        <v>50</v>
      </c>
      <c r="AS1017" s="10" t="s">
        <v>50</v>
      </c>
      <c r="AT1017" s="10" t="s">
        <v>50</v>
      </c>
      <c r="AU1017" s="10" t="s">
        <v>50</v>
      </c>
      <c r="AV1017" s="11"/>
      <c r="AW1017" s="10" t="s">
        <v>66</v>
      </c>
      <c r="AX1017" s="10"/>
      <c r="AY1017" s="10" t="s">
        <v>66</v>
      </c>
    </row>
    <row r="1018" ht="22.5" hidden="1" customHeight="1">
      <c r="A1018" s="9" t="s">
        <v>10477</v>
      </c>
      <c r="B1018" s="10" t="s">
        <v>10478</v>
      </c>
      <c r="C1018" s="10" t="s">
        <v>43</v>
      </c>
      <c r="D1018" s="10" t="s">
        <v>5357</v>
      </c>
      <c r="E1018" s="10" t="s">
        <v>66</v>
      </c>
      <c r="F1018" s="11">
        <v>1.0</v>
      </c>
      <c r="G1018" s="11">
        <v>120.0</v>
      </c>
      <c r="H1018" s="11"/>
      <c r="I1018" s="11">
        <v>-20.4</v>
      </c>
      <c r="J1018" s="11">
        <v>-19.95</v>
      </c>
      <c r="K1018" s="11"/>
      <c r="L1018" s="11">
        <v>86.85</v>
      </c>
      <c r="M1018" s="10" t="s">
        <v>46</v>
      </c>
      <c r="N1018" s="10" t="s">
        <v>45</v>
      </c>
      <c r="O1018" s="10" t="s">
        <v>85</v>
      </c>
      <c r="P1018" s="10" t="s">
        <v>86</v>
      </c>
      <c r="Q1018" s="10" t="s">
        <v>87</v>
      </c>
      <c r="R1018" s="10" t="s">
        <v>74</v>
      </c>
      <c r="S1018" s="11">
        <v>120.0</v>
      </c>
      <c r="T1018" s="11">
        <v>65.78</v>
      </c>
      <c r="U1018" s="11" t="s">
        <v>51</v>
      </c>
      <c r="V1018" s="10" t="s">
        <v>52</v>
      </c>
      <c r="W1018" s="10" t="s">
        <v>10479</v>
      </c>
      <c r="X1018" s="10" t="s">
        <v>10480</v>
      </c>
      <c r="Y1018" s="10" t="s">
        <v>10481</v>
      </c>
      <c r="Z1018" s="10" t="s">
        <v>50</v>
      </c>
      <c r="AA1018" s="10" t="s">
        <v>50</v>
      </c>
      <c r="AB1018" s="10" t="s">
        <v>10479</v>
      </c>
      <c r="AC1018" s="10" t="s">
        <v>10482</v>
      </c>
      <c r="AD1018" s="10" t="s">
        <v>10483</v>
      </c>
      <c r="AE1018" s="10" t="s">
        <v>10484</v>
      </c>
      <c r="AF1018" s="10" t="s">
        <v>58</v>
      </c>
      <c r="AG1018" s="10" t="s">
        <v>10485</v>
      </c>
      <c r="AH1018" s="10" t="s">
        <v>60</v>
      </c>
      <c r="AI1018" s="10" t="s">
        <v>61</v>
      </c>
      <c r="AJ1018" s="10" t="s">
        <v>9789</v>
      </c>
      <c r="AK1018" s="10" t="s">
        <v>10172</v>
      </c>
      <c r="AL1018" s="10" t="s">
        <v>64</v>
      </c>
      <c r="AM1018" s="10" t="s">
        <v>10486</v>
      </c>
      <c r="AN1018" s="10" t="s">
        <v>50</v>
      </c>
      <c r="AO1018" s="11" t="s">
        <v>50</v>
      </c>
      <c r="AP1018" s="10" t="s">
        <v>50</v>
      </c>
      <c r="AQ1018" s="10" t="s">
        <v>50</v>
      </c>
      <c r="AR1018" s="10" t="s">
        <v>50</v>
      </c>
      <c r="AS1018" s="10" t="s">
        <v>50</v>
      </c>
      <c r="AT1018" s="10" t="s">
        <v>50</v>
      </c>
      <c r="AU1018" s="10" t="s">
        <v>50</v>
      </c>
      <c r="AV1018" s="11"/>
      <c r="AW1018" s="10" t="s">
        <v>66</v>
      </c>
      <c r="AX1018" s="10"/>
      <c r="AY1018" s="10" t="s">
        <v>66</v>
      </c>
    </row>
    <row r="1019" ht="22.5" hidden="1" customHeight="1">
      <c r="A1019" s="9" t="s">
        <v>10487</v>
      </c>
      <c r="B1019" s="10" t="s">
        <v>10488</v>
      </c>
      <c r="C1019" s="10" t="s">
        <v>43</v>
      </c>
      <c r="D1019" s="10" t="s">
        <v>5357</v>
      </c>
      <c r="E1019" s="10" t="s">
        <v>66</v>
      </c>
      <c r="F1019" s="11">
        <v>1.0</v>
      </c>
      <c r="G1019" s="11">
        <v>79.0</v>
      </c>
      <c r="H1019" s="11"/>
      <c r="I1019" s="11">
        <v>-13.43</v>
      </c>
      <c r="J1019" s="11">
        <v>-19.95</v>
      </c>
      <c r="K1019" s="11"/>
      <c r="L1019" s="11">
        <v>45.62</v>
      </c>
      <c r="M1019" s="10" t="s">
        <v>46</v>
      </c>
      <c r="N1019" s="10" t="s">
        <v>50</v>
      </c>
      <c r="O1019" s="10" t="s">
        <v>766</v>
      </c>
      <c r="P1019" s="10" t="s">
        <v>767</v>
      </c>
      <c r="Q1019" s="10" t="s">
        <v>768</v>
      </c>
      <c r="R1019" s="10" t="s">
        <v>74</v>
      </c>
      <c r="S1019" s="11">
        <v>79.0</v>
      </c>
      <c r="T1019" s="11">
        <v>13.62</v>
      </c>
      <c r="U1019" s="11" t="s">
        <v>51</v>
      </c>
      <c r="V1019" s="10" t="s">
        <v>52</v>
      </c>
      <c r="W1019" s="10" t="s">
        <v>10489</v>
      </c>
      <c r="X1019" s="10" t="s">
        <v>10490</v>
      </c>
      <c r="Y1019" s="10" t="s">
        <v>10491</v>
      </c>
      <c r="Z1019" s="10" t="s">
        <v>50</v>
      </c>
      <c r="AA1019" s="10" t="s">
        <v>50</v>
      </c>
      <c r="AB1019" s="10" t="s">
        <v>10489</v>
      </c>
      <c r="AC1019" s="10" t="s">
        <v>10492</v>
      </c>
      <c r="AD1019" s="10" t="s">
        <v>10493</v>
      </c>
      <c r="AE1019" s="10" t="s">
        <v>2443</v>
      </c>
      <c r="AF1019" s="10" t="s">
        <v>58</v>
      </c>
      <c r="AG1019" s="10" t="s">
        <v>10494</v>
      </c>
      <c r="AH1019" s="10" t="s">
        <v>60</v>
      </c>
      <c r="AI1019" s="10" t="s">
        <v>61</v>
      </c>
      <c r="AJ1019" s="10" t="s">
        <v>9789</v>
      </c>
      <c r="AK1019" s="10" t="s">
        <v>10495</v>
      </c>
      <c r="AL1019" s="10" t="s">
        <v>64</v>
      </c>
      <c r="AM1019" s="10" t="s">
        <v>10496</v>
      </c>
      <c r="AN1019" s="10" t="s">
        <v>50</v>
      </c>
      <c r="AO1019" s="11" t="s">
        <v>50</v>
      </c>
      <c r="AP1019" s="10" t="s">
        <v>50</v>
      </c>
      <c r="AQ1019" s="10" t="s">
        <v>50</v>
      </c>
      <c r="AR1019" s="10" t="s">
        <v>50</v>
      </c>
      <c r="AS1019" s="10" t="s">
        <v>50</v>
      </c>
      <c r="AT1019" s="10" t="s">
        <v>50</v>
      </c>
      <c r="AU1019" s="10" t="s">
        <v>50</v>
      </c>
      <c r="AV1019" s="11"/>
      <c r="AW1019" s="10" t="s">
        <v>66</v>
      </c>
      <c r="AX1019" s="10"/>
      <c r="AY1019" s="10" t="s">
        <v>66</v>
      </c>
    </row>
    <row r="1020" ht="22.5" hidden="1" customHeight="1">
      <c r="A1020" s="9" t="s">
        <v>10497</v>
      </c>
      <c r="B1020" s="10" t="s">
        <v>10498</v>
      </c>
      <c r="C1020" s="10" t="s">
        <v>43</v>
      </c>
      <c r="D1020" s="10" t="s">
        <v>5357</v>
      </c>
      <c r="E1020" s="10" t="s">
        <v>66</v>
      </c>
      <c r="F1020" s="11">
        <v>1.0</v>
      </c>
      <c r="G1020" s="11">
        <v>120.0</v>
      </c>
      <c r="H1020" s="11"/>
      <c r="I1020" s="11">
        <v>-20.4</v>
      </c>
      <c r="J1020" s="11">
        <v>-19.95</v>
      </c>
      <c r="K1020" s="11"/>
      <c r="L1020" s="11">
        <v>86.85</v>
      </c>
      <c r="M1020" s="10" t="s">
        <v>46</v>
      </c>
      <c r="N1020" s="10" t="s">
        <v>50</v>
      </c>
      <c r="O1020" s="10" t="s">
        <v>85</v>
      </c>
      <c r="P1020" s="10" t="s">
        <v>86</v>
      </c>
      <c r="Q1020" s="10" t="s">
        <v>87</v>
      </c>
      <c r="R1020" s="10" t="s">
        <v>74</v>
      </c>
      <c r="S1020" s="11">
        <v>120.0</v>
      </c>
      <c r="T1020" s="11">
        <v>65.78</v>
      </c>
      <c r="U1020" s="11" t="s">
        <v>51</v>
      </c>
      <c r="V1020" s="10" t="s">
        <v>52</v>
      </c>
      <c r="W1020" s="10" t="s">
        <v>10499</v>
      </c>
      <c r="X1020" s="10" t="s">
        <v>10500</v>
      </c>
      <c r="Y1020" s="10" t="s">
        <v>10501</v>
      </c>
      <c r="Z1020" s="10" t="s">
        <v>50</v>
      </c>
      <c r="AA1020" s="10" t="s">
        <v>50</v>
      </c>
      <c r="AB1020" s="10" t="s">
        <v>10499</v>
      </c>
      <c r="AC1020" s="10" t="s">
        <v>10502</v>
      </c>
      <c r="AD1020" s="10" t="s">
        <v>10503</v>
      </c>
      <c r="AE1020" s="10" t="s">
        <v>1291</v>
      </c>
      <c r="AF1020" s="10" t="s">
        <v>201</v>
      </c>
      <c r="AG1020" s="10" t="s">
        <v>10504</v>
      </c>
      <c r="AH1020" s="10" t="s">
        <v>60</v>
      </c>
      <c r="AI1020" s="10" t="s">
        <v>61</v>
      </c>
      <c r="AJ1020" s="10" t="s">
        <v>7910</v>
      </c>
      <c r="AK1020" s="10" t="s">
        <v>10505</v>
      </c>
      <c r="AL1020" s="10" t="s">
        <v>64</v>
      </c>
      <c r="AM1020" s="10" t="s">
        <v>10506</v>
      </c>
      <c r="AN1020" s="10" t="s">
        <v>50</v>
      </c>
      <c r="AO1020" s="11" t="s">
        <v>50</v>
      </c>
      <c r="AP1020" s="10" t="s">
        <v>50</v>
      </c>
      <c r="AQ1020" s="10" t="s">
        <v>50</v>
      </c>
      <c r="AR1020" s="10" t="s">
        <v>50</v>
      </c>
      <c r="AS1020" s="10" t="s">
        <v>50</v>
      </c>
      <c r="AT1020" s="10" t="s">
        <v>50</v>
      </c>
      <c r="AU1020" s="10" t="s">
        <v>50</v>
      </c>
      <c r="AV1020" s="11"/>
      <c r="AW1020" s="10" t="s">
        <v>66</v>
      </c>
      <c r="AX1020" s="10"/>
      <c r="AY1020" s="10" t="s">
        <v>66</v>
      </c>
    </row>
    <row r="1021" ht="22.5" hidden="1" customHeight="1">
      <c r="A1021" s="9" t="s">
        <v>10507</v>
      </c>
      <c r="B1021" s="10" t="s">
        <v>10508</v>
      </c>
      <c r="C1021" s="10" t="s">
        <v>43</v>
      </c>
      <c r="D1021" s="10" t="s">
        <v>7530</v>
      </c>
      <c r="E1021" s="10" t="s">
        <v>66</v>
      </c>
      <c r="F1021" s="11">
        <v>1.0</v>
      </c>
      <c r="G1021" s="11">
        <v>92.15</v>
      </c>
      <c r="H1021" s="11"/>
      <c r="I1021" s="11">
        <v>-17.51</v>
      </c>
      <c r="J1021" s="11">
        <v>-20.45</v>
      </c>
      <c r="K1021" s="11"/>
      <c r="L1021" s="11">
        <v>59.72</v>
      </c>
      <c r="M1021" s="10" t="s">
        <v>46</v>
      </c>
      <c r="N1021" s="10" t="s">
        <v>50</v>
      </c>
      <c r="O1021" s="10" t="s">
        <v>586</v>
      </c>
      <c r="P1021" s="10" t="s">
        <v>587</v>
      </c>
      <c r="Q1021" s="10" t="s">
        <v>588</v>
      </c>
      <c r="R1021" s="10" t="s">
        <v>50</v>
      </c>
      <c r="S1021" s="11">
        <v>92.15</v>
      </c>
      <c r="T1021" s="11">
        <v>20.76</v>
      </c>
      <c r="U1021" s="11" t="s">
        <v>51</v>
      </c>
      <c r="V1021" s="10" t="s">
        <v>52</v>
      </c>
      <c r="W1021" s="10" t="s">
        <v>10509</v>
      </c>
      <c r="X1021" s="10" t="s">
        <v>10510</v>
      </c>
      <c r="Y1021" s="10" t="s">
        <v>10511</v>
      </c>
      <c r="Z1021" s="10" t="s">
        <v>50</v>
      </c>
      <c r="AA1021" s="10" t="s">
        <v>50</v>
      </c>
      <c r="AB1021" s="10" t="s">
        <v>10509</v>
      </c>
      <c r="AC1021" s="10" t="s">
        <v>10512</v>
      </c>
      <c r="AD1021" s="10" t="s">
        <v>10513</v>
      </c>
      <c r="AE1021" s="10" t="s">
        <v>58</v>
      </c>
      <c r="AF1021" s="10" t="s">
        <v>58</v>
      </c>
      <c r="AG1021" s="10" t="s">
        <v>10514</v>
      </c>
      <c r="AH1021" s="10" t="s">
        <v>60</v>
      </c>
      <c r="AI1021" s="10" t="s">
        <v>61</v>
      </c>
      <c r="AJ1021" s="10" t="s">
        <v>7607</v>
      </c>
      <c r="AK1021" s="10" t="s">
        <v>10515</v>
      </c>
      <c r="AL1021" s="10" t="s">
        <v>64</v>
      </c>
      <c r="AM1021" s="10" t="s">
        <v>10516</v>
      </c>
      <c r="AN1021" s="10" t="s">
        <v>50</v>
      </c>
      <c r="AO1021" s="11" t="s">
        <v>50</v>
      </c>
      <c r="AP1021" s="10" t="s">
        <v>50</v>
      </c>
      <c r="AQ1021" s="10" t="s">
        <v>50</v>
      </c>
      <c r="AR1021" s="10" t="s">
        <v>50</v>
      </c>
      <c r="AS1021" s="10" t="s">
        <v>50</v>
      </c>
      <c r="AT1021" s="10" t="s">
        <v>50</v>
      </c>
      <c r="AU1021" s="10" t="s">
        <v>50</v>
      </c>
      <c r="AV1021" s="11"/>
      <c r="AW1021" s="10" t="s">
        <v>66</v>
      </c>
      <c r="AX1021" s="10"/>
      <c r="AY1021" s="10" t="s">
        <v>66</v>
      </c>
    </row>
    <row r="1022" ht="22.5" hidden="1" customHeight="1">
      <c r="A1022" s="9" t="s">
        <v>10517</v>
      </c>
      <c r="B1022" s="10" t="s">
        <v>10518</v>
      </c>
      <c r="C1022" s="10" t="s">
        <v>43</v>
      </c>
      <c r="D1022" s="10" t="s">
        <v>44</v>
      </c>
      <c r="E1022" s="10" t="s">
        <v>45</v>
      </c>
      <c r="F1022" s="11">
        <v>1.0</v>
      </c>
      <c r="G1022" s="11">
        <v>80.3</v>
      </c>
      <c r="H1022" s="11">
        <v>35.13</v>
      </c>
      <c r="I1022" s="11">
        <v>-13.65</v>
      </c>
      <c r="J1022" s="11">
        <v>-55.58</v>
      </c>
      <c r="K1022" s="11"/>
      <c r="L1022" s="11">
        <v>46.2</v>
      </c>
      <c r="M1022" s="10" t="s">
        <v>46</v>
      </c>
      <c r="N1022" s="10" t="s">
        <v>45</v>
      </c>
      <c r="O1022" s="10" t="s">
        <v>127</v>
      </c>
      <c r="P1022" s="10" t="s">
        <v>128</v>
      </c>
      <c r="Q1022" s="10" t="s">
        <v>129</v>
      </c>
      <c r="R1022" s="10" t="s">
        <v>74</v>
      </c>
      <c r="S1022" s="11">
        <v>80.3</v>
      </c>
      <c r="T1022" s="11">
        <v>17.68</v>
      </c>
      <c r="U1022" s="11" t="s">
        <v>51</v>
      </c>
      <c r="V1022" s="10" t="s">
        <v>52</v>
      </c>
      <c r="W1022" s="10" t="s">
        <v>10519</v>
      </c>
      <c r="X1022" s="10" t="s">
        <v>10520</v>
      </c>
      <c r="Y1022" s="10" t="s">
        <v>10521</v>
      </c>
      <c r="Z1022" s="10" t="s">
        <v>50</v>
      </c>
      <c r="AA1022" s="10" t="s">
        <v>50</v>
      </c>
      <c r="AB1022" s="10" t="s">
        <v>10519</v>
      </c>
      <c r="AC1022" s="10" t="s">
        <v>10522</v>
      </c>
      <c r="AD1022" s="10" t="s">
        <v>10523</v>
      </c>
      <c r="AE1022" s="10" t="s">
        <v>9146</v>
      </c>
      <c r="AF1022" s="10" t="s">
        <v>10524</v>
      </c>
      <c r="AG1022" s="10" t="s">
        <v>10525</v>
      </c>
      <c r="AH1022" s="10" t="s">
        <v>60</v>
      </c>
      <c r="AI1022" s="10" t="s">
        <v>61</v>
      </c>
      <c r="AJ1022" s="10" t="s">
        <v>7561</v>
      </c>
      <c r="AK1022" s="10" t="s">
        <v>10526</v>
      </c>
      <c r="AL1022" s="10" t="s">
        <v>1025</v>
      </c>
      <c r="AM1022" s="10" t="s">
        <v>10527</v>
      </c>
      <c r="AN1022" s="10" t="s">
        <v>10528</v>
      </c>
      <c r="AO1022" s="11" t="s">
        <v>50</v>
      </c>
      <c r="AP1022" s="10" t="s">
        <v>50</v>
      </c>
      <c r="AQ1022" s="10" t="s">
        <v>50</v>
      </c>
      <c r="AR1022" s="10" t="s">
        <v>50</v>
      </c>
      <c r="AS1022" s="10" t="s">
        <v>50</v>
      </c>
      <c r="AT1022" s="10" t="s">
        <v>50</v>
      </c>
      <c r="AU1022" s="10" t="s">
        <v>50</v>
      </c>
      <c r="AV1022" s="11"/>
      <c r="AW1022" s="10" t="s">
        <v>66</v>
      </c>
      <c r="AX1022" s="10"/>
      <c r="AY1022" s="10" t="s">
        <v>66</v>
      </c>
    </row>
    <row r="1023" ht="22.5" hidden="1" customHeight="1">
      <c r="A1023" s="9" t="s">
        <v>10529</v>
      </c>
      <c r="B1023" s="10" t="s">
        <v>10530</v>
      </c>
      <c r="C1023" s="10" t="s">
        <v>43</v>
      </c>
      <c r="D1023" s="10" t="s">
        <v>3477</v>
      </c>
      <c r="E1023" s="10" t="s">
        <v>45</v>
      </c>
      <c r="F1023" s="11">
        <v>1.0</v>
      </c>
      <c r="G1023" s="11">
        <v>79.2</v>
      </c>
      <c r="H1023" s="11">
        <v>19.71</v>
      </c>
      <c r="I1023" s="11">
        <v>-13.46</v>
      </c>
      <c r="J1023" s="11">
        <v>-40.16</v>
      </c>
      <c r="K1023" s="11"/>
      <c r="L1023" s="11">
        <v>45.29</v>
      </c>
      <c r="M1023" s="10" t="s">
        <v>46</v>
      </c>
      <c r="N1023" s="10" t="s">
        <v>45</v>
      </c>
      <c r="O1023" s="10" t="s">
        <v>412</v>
      </c>
      <c r="P1023" s="10" t="s">
        <v>413</v>
      </c>
      <c r="Q1023" s="10" t="s">
        <v>414</v>
      </c>
      <c r="R1023" s="10" t="s">
        <v>415</v>
      </c>
      <c r="S1023" s="11">
        <v>79.2</v>
      </c>
      <c r="T1023" s="11">
        <v>10.05</v>
      </c>
      <c r="U1023" s="11" t="s">
        <v>51</v>
      </c>
      <c r="V1023" s="10" t="s">
        <v>52</v>
      </c>
      <c r="W1023" s="10" t="s">
        <v>10531</v>
      </c>
      <c r="X1023" s="10" t="s">
        <v>10532</v>
      </c>
      <c r="Y1023" s="10" t="s">
        <v>10533</v>
      </c>
      <c r="Z1023" s="10" t="s">
        <v>50</v>
      </c>
      <c r="AA1023" s="10" t="s">
        <v>50</v>
      </c>
      <c r="AB1023" s="10" t="s">
        <v>10531</v>
      </c>
      <c r="AC1023" s="10" t="s">
        <v>10534</v>
      </c>
      <c r="AD1023" s="10" t="s">
        <v>10535</v>
      </c>
      <c r="AE1023" s="10" t="s">
        <v>10536</v>
      </c>
      <c r="AF1023" s="10" t="s">
        <v>2648</v>
      </c>
      <c r="AG1023" s="10" t="s">
        <v>10537</v>
      </c>
      <c r="AH1023" s="10" t="s">
        <v>60</v>
      </c>
      <c r="AI1023" s="10" t="s">
        <v>61</v>
      </c>
      <c r="AJ1023" s="10" t="s">
        <v>7932</v>
      </c>
      <c r="AK1023" s="10" t="s">
        <v>10538</v>
      </c>
      <c r="AL1023" s="10" t="s">
        <v>64</v>
      </c>
      <c r="AM1023" s="10" t="s">
        <v>10539</v>
      </c>
      <c r="AN1023" s="10" t="s">
        <v>50</v>
      </c>
      <c r="AO1023" s="11" t="s">
        <v>50</v>
      </c>
      <c r="AP1023" s="10" t="s">
        <v>50</v>
      </c>
      <c r="AQ1023" s="10" t="s">
        <v>50</v>
      </c>
      <c r="AR1023" s="10" t="s">
        <v>50</v>
      </c>
      <c r="AS1023" s="10" t="s">
        <v>50</v>
      </c>
      <c r="AT1023" s="10" t="s">
        <v>50</v>
      </c>
      <c r="AU1023" s="10" t="s">
        <v>50</v>
      </c>
      <c r="AV1023" s="11"/>
      <c r="AW1023" s="10" t="s">
        <v>66</v>
      </c>
      <c r="AX1023" s="10"/>
      <c r="AY1023" s="10" t="s">
        <v>66</v>
      </c>
    </row>
    <row r="1024" ht="22.5" hidden="1" customHeight="1">
      <c r="A1024" s="9" t="s">
        <v>10540</v>
      </c>
      <c r="B1024" s="10" t="s">
        <v>10541</v>
      </c>
      <c r="C1024" s="10" t="s">
        <v>43</v>
      </c>
      <c r="D1024" s="10" t="s">
        <v>5200</v>
      </c>
      <c r="E1024" s="10" t="s">
        <v>66</v>
      </c>
      <c r="F1024" s="11">
        <v>1.0</v>
      </c>
      <c r="G1024" s="11">
        <v>120.0</v>
      </c>
      <c r="H1024" s="11"/>
      <c r="I1024" s="11">
        <v>-20.4</v>
      </c>
      <c r="J1024" s="11">
        <v>-19.95</v>
      </c>
      <c r="K1024" s="11"/>
      <c r="L1024" s="11">
        <v>86.85</v>
      </c>
      <c r="M1024" s="10" t="s">
        <v>46</v>
      </c>
      <c r="N1024" s="10" t="s">
        <v>50</v>
      </c>
      <c r="O1024" s="10" t="s">
        <v>85</v>
      </c>
      <c r="P1024" s="10" t="s">
        <v>86</v>
      </c>
      <c r="Q1024" s="10" t="s">
        <v>87</v>
      </c>
      <c r="R1024" s="10" t="s">
        <v>74</v>
      </c>
      <c r="S1024" s="11">
        <v>120.0</v>
      </c>
      <c r="T1024" s="11">
        <v>65.78</v>
      </c>
      <c r="U1024" s="11" t="s">
        <v>51</v>
      </c>
      <c r="V1024" s="10" t="s">
        <v>52</v>
      </c>
      <c r="W1024" s="10" t="s">
        <v>10542</v>
      </c>
      <c r="X1024" s="10" t="s">
        <v>10543</v>
      </c>
      <c r="Y1024" s="10" t="s">
        <v>10544</v>
      </c>
      <c r="Z1024" s="10" t="s">
        <v>50</v>
      </c>
      <c r="AA1024" s="10" t="s">
        <v>50</v>
      </c>
      <c r="AB1024" s="10" t="s">
        <v>10542</v>
      </c>
      <c r="AC1024" s="10" t="s">
        <v>10545</v>
      </c>
      <c r="AD1024" s="10" t="s">
        <v>10546</v>
      </c>
      <c r="AE1024" s="10" t="s">
        <v>6888</v>
      </c>
      <c r="AF1024" s="10" t="s">
        <v>185</v>
      </c>
      <c r="AG1024" s="10" t="s">
        <v>6889</v>
      </c>
      <c r="AH1024" s="10" t="s">
        <v>60</v>
      </c>
      <c r="AI1024" s="10" t="s">
        <v>61</v>
      </c>
      <c r="AJ1024" s="10" t="s">
        <v>7910</v>
      </c>
      <c r="AK1024" s="10" t="s">
        <v>10547</v>
      </c>
      <c r="AL1024" s="10" t="s">
        <v>64</v>
      </c>
      <c r="AM1024" s="10" t="s">
        <v>10548</v>
      </c>
      <c r="AN1024" s="10" t="s">
        <v>50</v>
      </c>
      <c r="AO1024" s="11" t="s">
        <v>50</v>
      </c>
      <c r="AP1024" s="10" t="s">
        <v>50</v>
      </c>
      <c r="AQ1024" s="10" t="s">
        <v>50</v>
      </c>
      <c r="AR1024" s="10" t="s">
        <v>50</v>
      </c>
      <c r="AS1024" s="10" t="s">
        <v>50</v>
      </c>
      <c r="AT1024" s="10" t="s">
        <v>50</v>
      </c>
      <c r="AU1024" s="10" t="s">
        <v>50</v>
      </c>
      <c r="AV1024" s="11"/>
      <c r="AW1024" s="10" t="s">
        <v>66</v>
      </c>
      <c r="AX1024" s="10"/>
      <c r="AY1024" s="10" t="s">
        <v>66</v>
      </c>
    </row>
    <row r="1025" ht="22.5" hidden="1" customHeight="1">
      <c r="A1025" s="9" t="s">
        <v>10549</v>
      </c>
      <c r="B1025" s="10" t="s">
        <v>10550</v>
      </c>
      <c r="C1025" s="10" t="s">
        <v>43</v>
      </c>
      <c r="D1025" s="10" t="s">
        <v>7530</v>
      </c>
      <c r="E1025" s="10" t="s">
        <v>66</v>
      </c>
      <c r="F1025" s="11">
        <v>1.0</v>
      </c>
      <c r="G1025" s="11">
        <v>92.15</v>
      </c>
      <c r="H1025" s="11"/>
      <c r="I1025" s="11">
        <v>-17.51</v>
      </c>
      <c r="J1025" s="11">
        <v>-20.45</v>
      </c>
      <c r="K1025" s="11"/>
      <c r="L1025" s="11">
        <v>59.72</v>
      </c>
      <c r="M1025" s="10" t="s">
        <v>46</v>
      </c>
      <c r="N1025" s="10" t="s">
        <v>50</v>
      </c>
      <c r="O1025" s="10" t="s">
        <v>586</v>
      </c>
      <c r="P1025" s="10" t="s">
        <v>587</v>
      </c>
      <c r="Q1025" s="10" t="s">
        <v>588</v>
      </c>
      <c r="R1025" s="10" t="s">
        <v>50</v>
      </c>
      <c r="S1025" s="11">
        <v>92.15</v>
      </c>
      <c r="T1025" s="11">
        <v>20.76</v>
      </c>
      <c r="U1025" s="11" t="s">
        <v>51</v>
      </c>
      <c r="V1025" s="10" t="s">
        <v>52</v>
      </c>
      <c r="W1025" s="10" t="s">
        <v>10551</v>
      </c>
      <c r="X1025" s="10" t="s">
        <v>10552</v>
      </c>
      <c r="Y1025" s="10" t="s">
        <v>10553</v>
      </c>
      <c r="Z1025" s="10" t="s">
        <v>50</v>
      </c>
      <c r="AA1025" s="10" t="s">
        <v>50</v>
      </c>
      <c r="AB1025" s="10" t="s">
        <v>10551</v>
      </c>
      <c r="AC1025" s="10" t="s">
        <v>10554</v>
      </c>
      <c r="AD1025" s="10" t="s">
        <v>10555</v>
      </c>
      <c r="AE1025" s="10" t="s">
        <v>8260</v>
      </c>
      <c r="AF1025" s="10" t="s">
        <v>119</v>
      </c>
      <c r="AG1025" s="10" t="s">
        <v>10556</v>
      </c>
      <c r="AH1025" s="10" t="s">
        <v>60</v>
      </c>
      <c r="AI1025" s="10" t="s">
        <v>61</v>
      </c>
      <c r="AJ1025" s="10" t="s">
        <v>7538</v>
      </c>
      <c r="AK1025" s="10" t="s">
        <v>10557</v>
      </c>
      <c r="AL1025" s="10" t="s">
        <v>64</v>
      </c>
      <c r="AM1025" s="10" t="s">
        <v>10558</v>
      </c>
      <c r="AN1025" s="10" t="s">
        <v>50</v>
      </c>
      <c r="AO1025" s="11" t="s">
        <v>50</v>
      </c>
      <c r="AP1025" s="10" t="s">
        <v>50</v>
      </c>
      <c r="AQ1025" s="10" t="s">
        <v>50</v>
      </c>
      <c r="AR1025" s="10" t="s">
        <v>50</v>
      </c>
      <c r="AS1025" s="10" t="s">
        <v>50</v>
      </c>
      <c r="AT1025" s="10" t="s">
        <v>50</v>
      </c>
      <c r="AU1025" s="10" t="s">
        <v>50</v>
      </c>
      <c r="AV1025" s="11"/>
      <c r="AW1025" s="10" t="s">
        <v>66</v>
      </c>
      <c r="AX1025" s="10"/>
      <c r="AY1025" s="10" t="s">
        <v>66</v>
      </c>
    </row>
    <row r="1026" ht="22.5" hidden="1" customHeight="1">
      <c r="A1026" s="9" t="s">
        <v>10559</v>
      </c>
      <c r="B1026" s="10" t="s">
        <v>10560</v>
      </c>
      <c r="C1026" s="10" t="s">
        <v>43</v>
      </c>
      <c r="D1026" s="10" t="s">
        <v>5200</v>
      </c>
      <c r="E1026" s="10" t="s">
        <v>66</v>
      </c>
      <c r="F1026" s="11">
        <v>1.0</v>
      </c>
      <c r="G1026" s="11">
        <v>80.0</v>
      </c>
      <c r="H1026" s="11"/>
      <c r="I1026" s="11">
        <v>-13.6</v>
      </c>
      <c r="J1026" s="11">
        <v>-19.95</v>
      </c>
      <c r="K1026" s="11"/>
      <c r="L1026" s="11">
        <v>50.45</v>
      </c>
      <c r="M1026" s="10" t="s">
        <v>46</v>
      </c>
      <c r="N1026" s="10" t="s">
        <v>50</v>
      </c>
      <c r="O1026" s="10" t="s">
        <v>143</v>
      </c>
      <c r="P1026" s="10" t="s">
        <v>144</v>
      </c>
      <c r="Q1026" s="10" t="s">
        <v>145</v>
      </c>
      <c r="R1026" s="10" t="s">
        <v>74</v>
      </c>
      <c r="S1026" s="11">
        <v>80.0</v>
      </c>
      <c r="T1026" s="11">
        <v>33.38</v>
      </c>
      <c r="U1026" s="11" t="s">
        <v>51</v>
      </c>
      <c r="V1026" s="10" t="s">
        <v>52</v>
      </c>
      <c r="W1026" s="10" t="s">
        <v>10561</v>
      </c>
      <c r="X1026" s="10" t="s">
        <v>10562</v>
      </c>
      <c r="Y1026" s="10" t="s">
        <v>10563</v>
      </c>
      <c r="Z1026" s="10" t="s">
        <v>50</v>
      </c>
      <c r="AA1026" s="10" t="s">
        <v>50</v>
      </c>
      <c r="AB1026" s="10" t="s">
        <v>10561</v>
      </c>
      <c r="AC1026" s="10" t="s">
        <v>10564</v>
      </c>
      <c r="AD1026" s="10" t="s">
        <v>10565</v>
      </c>
      <c r="AE1026" s="10" t="s">
        <v>9877</v>
      </c>
      <c r="AF1026" s="10" t="s">
        <v>323</v>
      </c>
      <c r="AG1026" s="10" t="s">
        <v>10566</v>
      </c>
      <c r="AH1026" s="10" t="s">
        <v>60</v>
      </c>
      <c r="AI1026" s="10" t="s">
        <v>61</v>
      </c>
      <c r="AJ1026" s="10" t="s">
        <v>10567</v>
      </c>
      <c r="AK1026" s="10" t="s">
        <v>10568</v>
      </c>
      <c r="AL1026" s="10" t="s">
        <v>64</v>
      </c>
      <c r="AM1026" s="10" t="s">
        <v>10569</v>
      </c>
      <c r="AN1026" s="10" t="s">
        <v>50</v>
      </c>
      <c r="AO1026" s="11" t="s">
        <v>50</v>
      </c>
      <c r="AP1026" s="10" t="s">
        <v>50</v>
      </c>
      <c r="AQ1026" s="10" t="s">
        <v>50</v>
      </c>
      <c r="AR1026" s="10" t="s">
        <v>50</v>
      </c>
      <c r="AS1026" s="10" t="s">
        <v>50</v>
      </c>
      <c r="AT1026" s="10" t="s">
        <v>50</v>
      </c>
      <c r="AU1026" s="10" t="s">
        <v>50</v>
      </c>
      <c r="AV1026" s="11"/>
      <c r="AW1026" s="10" t="s">
        <v>66</v>
      </c>
      <c r="AX1026" s="10"/>
      <c r="AY1026" s="10" t="s">
        <v>66</v>
      </c>
    </row>
    <row r="1027" ht="22.5" hidden="1" customHeight="1">
      <c r="A1027" s="12" t="s">
        <v>10570</v>
      </c>
      <c r="B1027" s="13" t="s">
        <v>10571</v>
      </c>
      <c r="C1027" s="13" t="s">
        <v>747</v>
      </c>
      <c r="D1027" s="13" t="s">
        <v>50</v>
      </c>
      <c r="E1027" s="13" t="s">
        <v>50</v>
      </c>
      <c r="F1027" s="14"/>
      <c r="G1027" s="14">
        <v>91.7</v>
      </c>
      <c r="H1027" s="14">
        <v>16.02</v>
      </c>
      <c r="I1027" s="14">
        <v>-27.59</v>
      </c>
      <c r="J1027" s="14">
        <v>-16.02</v>
      </c>
      <c r="K1027" s="14"/>
      <c r="L1027" s="14">
        <v>69.13</v>
      </c>
      <c r="M1027" s="13" t="s">
        <v>46</v>
      </c>
      <c r="N1027" s="13" t="s">
        <v>50</v>
      </c>
      <c r="O1027" s="13" t="s">
        <v>50</v>
      </c>
      <c r="P1027" s="13" t="s">
        <v>50</v>
      </c>
      <c r="Q1027" s="13" t="s">
        <v>50</v>
      </c>
      <c r="R1027" s="13" t="s">
        <v>50</v>
      </c>
      <c r="S1027" s="14"/>
      <c r="T1027" s="14"/>
      <c r="U1027" s="14" t="s">
        <v>50</v>
      </c>
      <c r="V1027" s="13" t="s">
        <v>52</v>
      </c>
      <c r="W1027" s="13" t="s">
        <v>10572</v>
      </c>
      <c r="X1027" s="13" t="s">
        <v>10573</v>
      </c>
      <c r="Y1027" s="13" t="s">
        <v>10574</v>
      </c>
      <c r="Z1027" s="13" t="s">
        <v>50</v>
      </c>
      <c r="AA1027" s="13" t="s">
        <v>50</v>
      </c>
      <c r="AB1027" s="13" t="s">
        <v>10572</v>
      </c>
      <c r="AC1027" s="13" t="s">
        <v>10575</v>
      </c>
      <c r="AD1027" s="13" t="s">
        <v>10576</v>
      </c>
      <c r="AE1027" s="13" t="s">
        <v>10577</v>
      </c>
      <c r="AF1027" s="13" t="s">
        <v>1417</v>
      </c>
      <c r="AG1027" s="13" t="s">
        <v>10578</v>
      </c>
      <c r="AH1027" s="13" t="s">
        <v>60</v>
      </c>
      <c r="AI1027" s="13" t="s">
        <v>61</v>
      </c>
      <c r="AJ1027" s="13" t="s">
        <v>7910</v>
      </c>
      <c r="AK1027" s="13" t="s">
        <v>10579</v>
      </c>
      <c r="AL1027" s="13" t="s">
        <v>64</v>
      </c>
      <c r="AM1027" s="13" t="s">
        <v>10580</v>
      </c>
      <c r="AN1027" s="13" t="s">
        <v>50</v>
      </c>
      <c r="AO1027" s="15" t="s">
        <v>50</v>
      </c>
      <c r="AP1027" s="13" t="s">
        <v>50</v>
      </c>
      <c r="AQ1027" s="13" t="s">
        <v>50</v>
      </c>
      <c r="AR1027" s="13" t="s">
        <v>50</v>
      </c>
      <c r="AS1027" s="13" t="s">
        <v>50</v>
      </c>
      <c r="AT1027" s="13" t="s">
        <v>50</v>
      </c>
      <c r="AU1027" s="13" t="s">
        <v>50</v>
      </c>
      <c r="AV1027" s="15"/>
      <c r="AW1027" s="13" t="s">
        <v>50</v>
      </c>
      <c r="AX1027" s="13"/>
      <c r="AY1027" s="13" t="s">
        <v>50</v>
      </c>
    </row>
    <row r="1028" ht="22.5" hidden="1" customHeight="1">
      <c r="A1028" s="16" t="s">
        <v>10581</v>
      </c>
      <c r="B1028" s="17" t="s">
        <v>10571</v>
      </c>
      <c r="C1028" s="17" t="s">
        <v>43</v>
      </c>
      <c r="D1028" s="17" t="s">
        <v>7577</v>
      </c>
      <c r="E1028" s="17" t="s">
        <v>45</v>
      </c>
      <c r="F1028" s="18">
        <v>1.0</v>
      </c>
      <c r="G1028" s="18"/>
      <c r="H1028" s="18"/>
      <c r="I1028" s="18"/>
      <c r="J1028" s="18"/>
      <c r="K1028" s="18"/>
      <c r="L1028" s="18"/>
      <c r="M1028" s="17" t="s">
        <v>50</v>
      </c>
      <c r="N1028" s="17" t="s">
        <v>50</v>
      </c>
      <c r="O1028" s="17" t="s">
        <v>176</v>
      </c>
      <c r="P1028" s="17" t="s">
        <v>177</v>
      </c>
      <c r="Q1028" s="17" t="s">
        <v>178</v>
      </c>
      <c r="R1028" s="17" t="s">
        <v>74</v>
      </c>
      <c r="S1028" s="18">
        <v>43.7</v>
      </c>
      <c r="T1028" s="18">
        <v>22.58</v>
      </c>
      <c r="U1028" s="18" t="s">
        <v>51</v>
      </c>
      <c r="V1028" s="17" t="s">
        <v>50</v>
      </c>
      <c r="W1028" s="17" t="s">
        <v>50</v>
      </c>
      <c r="X1028" s="17" t="s">
        <v>50</v>
      </c>
      <c r="Y1028" s="17" t="s">
        <v>50</v>
      </c>
      <c r="Z1028" s="17" t="s">
        <v>50</v>
      </c>
      <c r="AA1028" s="17" t="s">
        <v>50</v>
      </c>
      <c r="AB1028" s="17" t="s">
        <v>50</v>
      </c>
      <c r="AC1028" s="17" t="s">
        <v>50</v>
      </c>
      <c r="AD1028" s="17" t="s">
        <v>50</v>
      </c>
      <c r="AE1028" s="17" t="s">
        <v>50</v>
      </c>
      <c r="AF1028" s="17" t="s">
        <v>50</v>
      </c>
      <c r="AG1028" s="17" t="s">
        <v>50</v>
      </c>
      <c r="AH1028" s="17" t="s">
        <v>50</v>
      </c>
      <c r="AI1028" s="17" t="s">
        <v>50</v>
      </c>
      <c r="AJ1028" s="17" t="s">
        <v>50</v>
      </c>
      <c r="AK1028" s="17" t="s">
        <v>50</v>
      </c>
      <c r="AL1028" s="17" t="s">
        <v>50</v>
      </c>
      <c r="AM1028" s="17" t="s">
        <v>50</v>
      </c>
      <c r="AN1028" s="17" t="s">
        <v>50</v>
      </c>
      <c r="AO1028" s="18" t="s">
        <v>50</v>
      </c>
      <c r="AP1028" s="17" t="s">
        <v>50</v>
      </c>
      <c r="AQ1028" s="17" t="s">
        <v>50</v>
      </c>
      <c r="AR1028" s="17" t="s">
        <v>50</v>
      </c>
      <c r="AS1028" s="17" t="s">
        <v>50</v>
      </c>
      <c r="AT1028" s="17" t="s">
        <v>50</v>
      </c>
      <c r="AU1028" s="17" t="s">
        <v>50</v>
      </c>
      <c r="AV1028" s="18"/>
      <c r="AW1028" s="17" t="s">
        <v>66</v>
      </c>
      <c r="AX1028" s="17"/>
      <c r="AY1028" s="17" t="s">
        <v>66</v>
      </c>
    </row>
    <row r="1029" ht="22.5" hidden="1" customHeight="1">
      <c r="A1029" s="16" t="s">
        <v>10582</v>
      </c>
      <c r="B1029" s="17" t="s">
        <v>10571</v>
      </c>
      <c r="C1029" s="17" t="s">
        <v>43</v>
      </c>
      <c r="D1029" s="17" t="s">
        <v>7577</v>
      </c>
      <c r="E1029" s="17" t="s">
        <v>45</v>
      </c>
      <c r="F1029" s="18">
        <v>1.0</v>
      </c>
      <c r="G1029" s="18"/>
      <c r="H1029" s="18"/>
      <c r="I1029" s="18"/>
      <c r="J1029" s="18"/>
      <c r="K1029" s="18"/>
      <c r="L1029" s="18"/>
      <c r="M1029" s="17" t="s">
        <v>50</v>
      </c>
      <c r="N1029" s="17" t="s">
        <v>50</v>
      </c>
      <c r="O1029" s="17" t="s">
        <v>1821</v>
      </c>
      <c r="P1029" s="17" t="s">
        <v>1822</v>
      </c>
      <c r="Q1029" s="17" t="s">
        <v>1823</v>
      </c>
      <c r="R1029" s="17" t="s">
        <v>74</v>
      </c>
      <c r="S1029" s="18">
        <v>48.0</v>
      </c>
      <c r="T1029" s="18">
        <v>6.28</v>
      </c>
      <c r="U1029" s="18" t="s">
        <v>51</v>
      </c>
      <c r="V1029" s="17" t="s">
        <v>50</v>
      </c>
      <c r="W1029" s="17" t="s">
        <v>50</v>
      </c>
      <c r="X1029" s="17" t="s">
        <v>50</v>
      </c>
      <c r="Y1029" s="17" t="s">
        <v>50</v>
      </c>
      <c r="Z1029" s="17" t="s">
        <v>50</v>
      </c>
      <c r="AA1029" s="17" t="s">
        <v>50</v>
      </c>
      <c r="AB1029" s="17" t="s">
        <v>50</v>
      </c>
      <c r="AC1029" s="17" t="s">
        <v>50</v>
      </c>
      <c r="AD1029" s="17" t="s">
        <v>50</v>
      </c>
      <c r="AE1029" s="17" t="s">
        <v>50</v>
      </c>
      <c r="AF1029" s="17" t="s">
        <v>50</v>
      </c>
      <c r="AG1029" s="17" t="s">
        <v>50</v>
      </c>
      <c r="AH1029" s="17" t="s">
        <v>50</v>
      </c>
      <c r="AI1029" s="17" t="s">
        <v>50</v>
      </c>
      <c r="AJ1029" s="17" t="s">
        <v>50</v>
      </c>
      <c r="AK1029" s="17" t="s">
        <v>50</v>
      </c>
      <c r="AL1029" s="17" t="s">
        <v>50</v>
      </c>
      <c r="AM1029" s="17" t="s">
        <v>50</v>
      </c>
      <c r="AN1029" s="17" t="s">
        <v>50</v>
      </c>
      <c r="AO1029" s="18" t="s">
        <v>50</v>
      </c>
      <c r="AP1029" s="17" t="s">
        <v>50</v>
      </c>
      <c r="AQ1029" s="17" t="s">
        <v>50</v>
      </c>
      <c r="AR1029" s="17" t="s">
        <v>50</v>
      </c>
      <c r="AS1029" s="17" t="s">
        <v>50</v>
      </c>
      <c r="AT1029" s="17" t="s">
        <v>50</v>
      </c>
      <c r="AU1029" s="17" t="s">
        <v>50</v>
      </c>
      <c r="AV1029" s="18"/>
      <c r="AW1029" s="17" t="s">
        <v>66</v>
      </c>
      <c r="AX1029" s="17"/>
      <c r="AY1029" s="17" t="s">
        <v>66</v>
      </c>
    </row>
    <row r="1030" ht="22.5" hidden="1" customHeight="1">
      <c r="A1030" s="12" t="s">
        <v>10583</v>
      </c>
      <c r="B1030" s="13" t="s">
        <v>10584</v>
      </c>
      <c r="C1030" s="13" t="s">
        <v>2866</v>
      </c>
      <c r="D1030" s="13" t="s">
        <v>50</v>
      </c>
      <c r="E1030" s="13" t="s">
        <v>50</v>
      </c>
      <c r="F1030" s="14"/>
      <c r="G1030" s="14">
        <v>366.6</v>
      </c>
      <c r="H1030" s="14"/>
      <c r="I1030" s="14">
        <v>-64.16</v>
      </c>
      <c r="J1030" s="14">
        <v>-81.8</v>
      </c>
      <c r="K1030" s="14"/>
      <c r="L1030" s="14">
        <v>233.07</v>
      </c>
      <c r="M1030" s="13" t="s">
        <v>46</v>
      </c>
      <c r="N1030" s="13" t="s">
        <v>50</v>
      </c>
      <c r="O1030" s="13" t="s">
        <v>50</v>
      </c>
      <c r="P1030" s="13" t="s">
        <v>50</v>
      </c>
      <c r="Q1030" s="13" t="s">
        <v>50</v>
      </c>
      <c r="R1030" s="13" t="s">
        <v>50</v>
      </c>
      <c r="S1030" s="14"/>
      <c r="T1030" s="14"/>
      <c r="U1030" s="14" t="s">
        <v>50</v>
      </c>
      <c r="V1030" s="13" t="s">
        <v>52</v>
      </c>
      <c r="W1030" s="13" t="s">
        <v>10585</v>
      </c>
      <c r="X1030" s="13" t="s">
        <v>10586</v>
      </c>
      <c r="Y1030" s="13" t="s">
        <v>10587</v>
      </c>
      <c r="Z1030" s="13" t="s">
        <v>50</v>
      </c>
      <c r="AA1030" s="13" t="s">
        <v>50</v>
      </c>
      <c r="AB1030" s="13" t="s">
        <v>10585</v>
      </c>
      <c r="AC1030" s="13" t="s">
        <v>10588</v>
      </c>
      <c r="AD1030" s="13" t="s">
        <v>10589</v>
      </c>
      <c r="AE1030" s="13" t="s">
        <v>1100</v>
      </c>
      <c r="AF1030" s="13" t="s">
        <v>799</v>
      </c>
      <c r="AG1030" s="13" t="s">
        <v>10590</v>
      </c>
      <c r="AH1030" s="13" t="s">
        <v>60</v>
      </c>
      <c r="AI1030" s="13" t="s">
        <v>61</v>
      </c>
      <c r="AJ1030" s="13" t="s">
        <v>8144</v>
      </c>
      <c r="AK1030" s="13" t="s">
        <v>10591</v>
      </c>
      <c r="AL1030" s="13" t="s">
        <v>64</v>
      </c>
      <c r="AM1030" s="13" t="s">
        <v>10592</v>
      </c>
      <c r="AN1030" s="13" t="s">
        <v>50</v>
      </c>
      <c r="AO1030" s="15" t="s">
        <v>50</v>
      </c>
      <c r="AP1030" s="13" t="s">
        <v>50</v>
      </c>
      <c r="AQ1030" s="13" t="s">
        <v>50</v>
      </c>
      <c r="AR1030" s="13" t="s">
        <v>50</v>
      </c>
      <c r="AS1030" s="13" t="s">
        <v>50</v>
      </c>
      <c r="AT1030" s="13" t="s">
        <v>50</v>
      </c>
      <c r="AU1030" s="13" t="s">
        <v>50</v>
      </c>
      <c r="AV1030" s="15"/>
      <c r="AW1030" s="13" t="s">
        <v>50</v>
      </c>
      <c r="AX1030" s="13"/>
      <c r="AY1030" s="13" t="s">
        <v>50</v>
      </c>
    </row>
    <row r="1031" ht="22.5" hidden="1" customHeight="1">
      <c r="A1031" s="16" t="s">
        <v>10593</v>
      </c>
      <c r="B1031" s="17" t="s">
        <v>10584</v>
      </c>
      <c r="C1031" s="17" t="s">
        <v>43</v>
      </c>
      <c r="D1031" s="17" t="s">
        <v>5200</v>
      </c>
      <c r="E1031" s="17" t="s">
        <v>45</v>
      </c>
      <c r="F1031" s="18">
        <v>1.0</v>
      </c>
      <c r="G1031" s="18"/>
      <c r="H1031" s="18"/>
      <c r="I1031" s="18"/>
      <c r="J1031" s="18"/>
      <c r="K1031" s="18"/>
      <c r="L1031" s="18"/>
      <c r="M1031" s="17" t="s">
        <v>50</v>
      </c>
      <c r="N1031" s="17" t="s">
        <v>45</v>
      </c>
      <c r="O1031" s="17" t="s">
        <v>586</v>
      </c>
      <c r="P1031" s="17" t="s">
        <v>587</v>
      </c>
      <c r="Q1031" s="17" t="s">
        <v>588</v>
      </c>
      <c r="R1031" s="17" t="s">
        <v>50</v>
      </c>
      <c r="S1031" s="18">
        <v>92.15</v>
      </c>
      <c r="T1031" s="18">
        <v>20.76</v>
      </c>
      <c r="U1031" s="18" t="s">
        <v>51</v>
      </c>
      <c r="V1031" s="17" t="s">
        <v>50</v>
      </c>
      <c r="W1031" s="17" t="s">
        <v>50</v>
      </c>
      <c r="X1031" s="17" t="s">
        <v>50</v>
      </c>
      <c r="Y1031" s="17" t="s">
        <v>50</v>
      </c>
      <c r="Z1031" s="17" t="s">
        <v>50</v>
      </c>
      <c r="AA1031" s="17" t="s">
        <v>50</v>
      </c>
      <c r="AB1031" s="17" t="s">
        <v>50</v>
      </c>
      <c r="AC1031" s="17" t="s">
        <v>50</v>
      </c>
      <c r="AD1031" s="17" t="s">
        <v>50</v>
      </c>
      <c r="AE1031" s="17" t="s">
        <v>50</v>
      </c>
      <c r="AF1031" s="17" t="s">
        <v>50</v>
      </c>
      <c r="AG1031" s="17" t="s">
        <v>50</v>
      </c>
      <c r="AH1031" s="17" t="s">
        <v>50</v>
      </c>
      <c r="AI1031" s="17" t="s">
        <v>50</v>
      </c>
      <c r="AJ1031" s="17" t="s">
        <v>50</v>
      </c>
      <c r="AK1031" s="17" t="s">
        <v>50</v>
      </c>
      <c r="AL1031" s="17" t="s">
        <v>50</v>
      </c>
      <c r="AM1031" s="17" t="s">
        <v>50</v>
      </c>
      <c r="AN1031" s="17" t="s">
        <v>50</v>
      </c>
      <c r="AO1031" s="18" t="s">
        <v>50</v>
      </c>
      <c r="AP1031" s="17" t="s">
        <v>50</v>
      </c>
      <c r="AQ1031" s="17" t="s">
        <v>50</v>
      </c>
      <c r="AR1031" s="17" t="s">
        <v>50</v>
      </c>
      <c r="AS1031" s="17" t="s">
        <v>50</v>
      </c>
      <c r="AT1031" s="17" t="s">
        <v>50</v>
      </c>
      <c r="AU1031" s="17" t="s">
        <v>50</v>
      </c>
      <c r="AV1031" s="18"/>
      <c r="AW1031" s="17" t="s">
        <v>66</v>
      </c>
      <c r="AX1031" s="17"/>
      <c r="AY1031" s="17" t="s">
        <v>66</v>
      </c>
    </row>
    <row r="1032" ht="22.5" hidden="1" customHeight="1">
      <c r="A1032" s="16" t="s">
        <v>10594</v>
      </c>
      <c r="B1032" s="17" t="s">
        <v>10584</v>
      </c>
      <c r="C1032" s="17" t="s">
        <v>43</v>
      </c>
      <c r="D1032" s="17" t="s">
        <v>5200</v>
      </c>
      <c r="E1032" s="17" t="s">
        <v>45</v>
      </c>
      <c r="F1032" s="18">
        <v>1.0</v>
      </c>
      <c r="G1032" s="18"/>
      <c r="H1032" s="18"/>
      <c r="I1032" s="18"/>
      <c r="J1032" s="18"/>
      <c r="K1032" s="18"/>
      <c r="L1032" s="18"/>
      <c r="M1032" s="17" t="s">
        <v>50</v>
      </c>
      <c r="N1032" s="17" t="s">
        <v>45</v>
      </c>
      <c r="O1032" s="17" t="s">
        <v>10595</v>
      </c>
      <c r="P1032" s="17" t="s">
        <v>10596</v>
      </c>
      <c r="Q1032" s="17" t="s">
        <v>10597</v>
      </c>
      <c r="R1032" s="17" t="s">
        <v>74</v>
      </c>
      <c r="S1032" s="18">
        <v>114.95</v>
      </c>
      <c r="T1032" s="18">
        <v>49.74</v>
      </c>
      <c r="U1032" s="18" t="s">
        <v>51</v>
      </c>
      <c r="V1032" s="17" t="s">
        <v>50</v>
      </c>
      <c r="W1032" s="17" t="s">
        <v>50</v>
      </c>
      <c r="X1032" s="17" t="s">
        <v>50</v>
      </c>
      <c r="Y1032" s="17" t="s">
        <v>50</v>
      </c>
      <c r="Z1032" s="17" t="s">
        <v>50</v>
      </c>
      <c r="AA1032" s="17" t="s">
        <v>50</v>
      </c>
      <c r="AB1032" s="17" t="s">
        <v>50</v>
      </c>
      <c r="AC1032" s="17" t="s">
        <v>50</v>
      </c>
      <c r="AD1032" s="17" t="s">
        <v>50</v>
      </c>
      <c r="AE1032" s="17" t="s">
        <v>50</v>
      </c>
      <c r="AF1032" s="17" t="s">
        <v>50</v>
      </c>
      <c r="AG1032" s="17" t="s">
        <v>50</v>
      </c>
      <c r="AH1032" s="17" t="s">
        <v>50</v>
      </c>
      <c r="AI1032" s="17" t="s">
        <v>50</v>
      </c>
      <c r="AJ1032" s="17" t="s">
        <v>50</v>
      </c>
      <c r="AK1032" s="17" t="s">
        <v>50</v>
      </c>
      <c r="AL1032" s="17" t="s">
        <v>50</v>
      </c>
      <c r="AM1032" s="17" t="s">
        <v>50</v>
      </c>
      <c r="AN1032" s="17" t="s">
        <v>50</v>
      </c>
      <c r="AO1032" s="18" t="s">
        <v>50</v>
      </c>
      <c r="AP1032" s="17" t="s">
        <v>50</v>
      </c>
      <c r="AQ1032" s="17" t="s">
        <v>50</v>
      </c>
      <c r="AR1032" s="17" t="s">
        <v>50</v>
      </c>
      <c r="AS1032" s="17" t="s">
        <v>50</v>
      </c>
      <c r="AT1032" s="17" t="s">
        <v>50</v>
      </c>
      <c r="AU1032" s="17" t="s">
        <v>50</v>
      </c>
      <c r="AV1032" s="18"/>
      <c r="AW1032" s="17" t="s">
        <v>66</v>
      </c>
      <c r="AX1032" s="17"/>
      <c r="AY1032" s="17" t="s">
        <v>66</v>
      </c>
    </row>
    <row r="1033" ht="22.5" hidden="1" customHeight="1">
      <c r="A1033" s="16" t="s">
        <v>10598</v>
      </c>
      <c r="B1033" s="17" t="s">
        <v>10584</v>
      </c>
      <c r="C1033" s="17" t="s">
        <v>43</v>
      </c>
      <c r="D1033" s="17" t="s">
        <v>5200</v>
      </c>
      <c r="E1033" s="17" t="s">
        <v>45</v>
      </c>
      <c r="F1033" s="18">
        <v>1.0</v>
      </c>
      <c r="G1033" s="18"/>
      <c r="H1033" s="18"/>
      <c r="I1033" s="18"/>
      <c r="J1033" s="18"/>
      <c r="K1033" s="18"/>
      <c r="L1033" s="18"/>
      <c r="M1033" s="17" t="s">
        <v>50</v>
      </c>
      <c r="N1033" s="17" t="s">
        <v>45</v>
      </c>
      <c r="O1033" s="17" t="s">
        <v>892</v>
      </c>
      <c r="P1033" s="17" t="s">
        <v>893</v>
      </c>
      <c r="Q1033" s="17" t="s">
        <v>894</v>
      </c>
      <c r="R1033" s="17" t="s">
        <v>74</v>
      </c>
      <c r="S1033" s="18">
        <v>79.2</v>
      </c>
      <c r="T1033" s="18">
        <v>2.97</v>
      </c>
      <c r="U1033" s="18" t="s">
        <v>51</v>
      </c>
      <c r="V1033" s="17" t="s">
        <v>50</v>
      </c>
      <c r="W1033" s="17" t="s">
        <v>50</v>
      </c>
      <c r="X1033" s="17" t="s">
        <v>50</v>
      </c>
      <c r="Y1033" s="17" t="s">
        <v>50</v>
      </c>
      <c r="Z1033" s="17" t="s">
        <v>50</v>
      </c>
      <c r="AA1033" s="17" t="s">
        <v>50</v>
      </c>
      <c r="AB1033" s="17" t="s">
        <v>50</v>
      </c>
      <c r="AC1033" s="17" t="s">
        <v>50</v>
      </c>
      <c r="AD1033" s="17" t="s">
        <v>50</v>
      </c>
      <c r="AE1033" s="17" t="s">
        <v>50</v>
      </c>
      <c r="AF1033" s="17" t="s">
        <v>50</v>
      </c>
      <c r="AG1033" s="17" t="s">
        <v>50</v>
      </c>
      <c r="AH1033" s="17" t="s">
        <v>50</v>
      </c>
      <c r="AI1033" s="17" t="s">
        <v>50</v>
      </c>
      <c r="AJ1033" s="17" t="s">
        <v>50</v>
      </c>
      <c r="AK1033" s="17" t="s">
        <v>50</v>
      </c>
      <c r="AL1033" s="17" t="s">
        <v>50</v>
      </c>
      <c r="AM1033" s="17" t="s">
        <v>50</v>
      </c>
      <c r="AN1033" s="17" t="s">
        <v>50</v>
      </c>
      <c r="AO1033" s="18" t="s">
        <v>50</v>
      </c>
      <c r="AP1033" s="17" t="s">
        <v>50</v>
      </c>
      <c r="AQ1033" s="17" t="s">
        <v>50</v>
      </c>
      <c r="AR1033" s="17" t="s">
        <v>50</v>
      </c>
      <c r="AS1033" s="17" t="s">
        <v>50</v>
      </c>
      <c r="AT1033" s="17" t="s">
        <v>50</v>
      </c>
      <c r="AU1033" s="17" t="s">
        <v>50</v>
      </c>
      <c r="AV1033" s="18"/>
      <c r="AW1033" s="17" t="s">
        <v>66</v>
      </c>
      <c r="AX1033" s="17"/>
      <c r="AY1033" s="17" t="s">
        <v>66</v>
      </c>
    </row>
    <row r="1034" ht="22.5" hidden="1" customHeight="1">
      <c r="A1034" s="16" t="s">
        <v>10599</v>
      </c>
      <c r="B1034" s="17" t="s">
        <v>10584</v>
      </c>
      <c r="C1034" s="17" t="s">
        <v>43</v>
      </c>
      <c r="D1034" s="17" t="s">
        <v>5200</v>
      </c>
      <c r="E1034" s="17" t="s">
        <v>45</v>
      </c>
      <c r="F1034" s="18">
        <v>1.0</v>
      </c>
      <c r="G1034" s="18"/>
      <c r="H1034" s="18"/>
      <c r="I1034" s="18"/>
      <c r="J1034" s="18"/>
      <c r="K1034" s="18"/>
      <c r="L1034" s="18"/>
      <c r="M1034" s="17" t="s">
        <v>50</v>
      </c>
      <c r="N1034" s="17" t="s">
        <v>45</v>
      </c>
      <c r="O1034" s="17" t="s">
        <v>127</v>
      </c>
      <c r="P1034" s="17" t="s">
        <v>128</v>
      </c>
      <c r="Q1034" s="17" t="s">
        <v>129</v>
      </c>
      <c r="R1034" s="17" t="s">
        <v>74</v>
      </c>
      <c r="S1034" s="18">
        <v>80.3</v>
      </c>
      <c r="T1034" s="18">
        <v>17.68</v>
      </c>
      <c r="U1034" s="18" t="s">
        <v>51</v>
      </c>
      <c r="V1034" s="17" t="s">
        <v>50</v>
      </c>
      <c r="W1034" s="17" t="s">
        <v>50</v>
      </c>
      <c r="X1034" s="17" t="s">
        <v>50</v>
      </c>
      <c r="Y1034" s="17" t="s">
        <v>50</v>
      </c>
      <c r="Z1034" s="17" t="s">
        <v>50</v>
      </c>
      <c r="AA1034" s="17" t="s">
        <v>50</v>
      </c>
      <c r="AB1034" s="17" t="s">
        <v>50</v>
      </c>
      <c r="AC1034" s="17" t="s">
        <v>50</v>
      </c>
      <c r="AD1034" s="17" t="s">
        <v>50</v>
      </c>
      <c r="AE1034" s="17" t="s">
        <v>50</v>
      </c>
      <c r="AF1034" s="17" t="s">
        <v>50</v>
      </c>
      <c r="AG1034" s="17" t="s">
        <v>50</v>
      </c>
      <c r="AH1034" s="17" t="s">
        <v>50</v>
      </c>
      <c r="AI1034" s="17" t="s">
        <v>50</v>
      </c>
      <c r="AJ1034" s="17" t="s">
        <v>50</v>
      </c>
      <c r="AK1034" s="17" t="s">
        <v>50</v>
      </c>
      <c r="AL1034" s="17" t="s">
        <v>50</v>
      </c>
      <c r="AM1034" s="17" t="s">
        <v>50</v>
      </c>
      <c r="AN1034" s="17" t="s">
        <v>50</v>
      </c>
      <c r="AO1034" s="18" t="s">
        <v>50</v>
      </c>
      <c r="AP1034" s="17" t="s">
        <v>50</v>
      </c>
      <c r="AQ1034" s="17" t="s">
        <v>50</v>
      </c>
      <c r="AR1034" s="17" t="s">
        <v>50</v>
      </c>
      <c r="AS1034" s="17" t="s">
        <v>50</v>
      </c>
      <c r="AT1034" s="17" t="s">
        <v>50</v>
      </c>
      <c r="AU1034" s="17" t="s">
        <v>50</v>
      </c>
      <c r="AV1034" s="18"/>
      <c r="AW1034" s="17" t="s">
        <v>66</v>
      </c>
      <c r="AX1034" s="17"/>
      <c r="AY1034" s="17" t="s">
        <v>66</v>
      </c>
    </row>
    <row r="1035" ht="22.5" hidden="1" customHeight="1">
      <c r="A1035" s="9" t="s">
        <v>10600</v>
      </c>
      <c r="B1035" s="10" t="s">
        <v>10601</v>
      </c>
      <c r="C1035" s="10" t="s">
        <v>43</v>
      </c>
      <c r="D1035" s="10" t="s">
        <v>7577</v>
      </c>
      <c r="E1035" s="10" t="s">
        <v>66</v>
      </c>
      <c r="F1035" s="11">
        <v>1.0</v>
      </c>
      <c r="G1035" s="11">
        <v>80.6</v>
      </c>
      <c r="H1035" s="11">
        <v>13.8</v>
      </c>
      <c r="I1035" s="11">
        <v>-13.7</v>
      </c>
      <c r="J1035" s="11">
        <v>-34.25</v>
      </c>
      <c r="K1035" s="11"/>
      <c r="L1035" s="11">
        <v>46.45</v>
      </c>
      <c r="M1035" s="10" t="s">
        <v>46</v>
      </c>
      <c r="N1035" s="10" t="s">
        <v>45</v>
      </c>
      <c r="O1035" s="10" t="s">
        <v>265</v>
      </c>
      <c r="P1035" s="10" t="s">
        <v>266</v>
      </c>
      <c r="Q1035" s="10" t="s">
        <v>267</v>
      </c>
      <c r="R1035" s="10" t="s">
        <v>74</v>
      </c>
      <c r="S1035" s="11">
        <v>80.6</v>
      </c>
      <c r="T1035" s="11">
        <v>26.22</v>
      </c>
      <c r="U1035" s="11" t="s">
        <v>51</v>
      </c>
      <c r="V1035" s="10" t="s">
        <v>52</v>
      </c>
      <c r="W1035" s="10" t="s">
        <v>10602</v>
      </c>
      <c r="X1035" s="10" t="s">
        <v>10603</v>
      </c>
      <c r="Y1035" s="10" t="s">
        <v>10604</v>
      </c>
      <c r="Z1035" s="10" t="s">
        <v>50</v>
      </c>
      <c r="AA1035" s="10" t="s">
        <v>50</v>
      </c>
      <c r="AB1035" s="10" t="s">
        <v>10602</v>
      </c>
      <c r="AC1035" s="10" t="s">
        <v>10605</v>
      </c>
      <c r="AD1035" s="10" t="s">
        <v>10606</v>
      </c>
      <c r="AE1035" s="10" t="s">
        <v>10607</v>
      </c>
      <c r="AF1035" s="10" t="s">
        <v>775</v>
      </c>
      <c r="AG1035" s="10" t="s">
        <v>10608</v>
      </c>
      <c r="AH1035" s="10" t="s">
        <v>60</v>
      </c>
      <c r="AI1035" s="10" t="s">
        <v>61</v>
      </c>
      <c r="AJ1035" s="10" t="s">
        <v>8144</v>
      </c>
      <c r="AK1035" s="10" t="s">
        <v>10609</v>
      </c>
      <c r="AL1035" s="10" t="s">
        <v>64</v>
      </c>
      <c r="AM1035" s="10" t="s">
        <v>10610</v>
      </c>
      <c r="AN1035" s="10" t="s">
        <v>50</v>
      </c>
      <c r="AO1035" s="11" t="s">
        <v>50</v>
      </c>
      <c r="AP1035" s="10" t="s">
        <v>50</v>
      </c>
      <c r="AQ1035" s="10" t="s">
        <v>50</v>
      </c>
      <c r="AR1035" s="10" t="s">
        <v>50</v>
      </c>
      <c r="AS1035" s="10" t="s">
        <v>50</v>
      </c>
      <c r="AT1035" s="10" t="s">
        <v>50</v>
      </c>
      <c r="AU1035" s="10" t="s">
        <v>50</v>
      </c>
      <c r="AV1035" s="11"/>
      <c r="AW1035" s="10" t="s">
        <v>66</v>
      </c>
      <c r="AX1035" s="10"/>
      <c r="AY1035" s="10" t="s">
        <v>66</v>
      </c>
    </row>
    <row r="1036" ht="22.5" hidden="1" customHeight="1">
      <c r="A1036" s="9" t="s">
        <v>10611</v>
      </c>
      <c r="B1036" s="10" t="s">
        <v>10612</v>
      </c>
      <c r="C1036" s="10" t="s">
        <v>43</v>
      </c>
      <c r="D1036" s="10" t="s">
        <v>7530</v>
      </c>
      <c r="E1036" s="10" t="s">
        <v>45</v>
      </c>
      <c r="F1036" s="11">
        <v>2.0</v>
      </c>
      <c r="G1036" s="11">
        <v>87.4</v>
      </c>
      <c r="H1036" s="11"/>
      <c r="I1036" s="11">
        <v>-26.86</v>
      </c>
      <c r="J1036" s="11"/>
      <c r="K1036" s="11"/>
      <c r="L1036" s="11">
        <v>60.54</v>
      </c>
      <c r="M1036" s="10" t="s">
        <v>46</v>
      </c>
      <c r="N1036" s="10" t="s">
        <v>45</v>
      </c>
      <c r="O1036" s="10" t="s">
        <v>176</v>
      </c>
      <c r="P1036" s="10" t="s">
        <v>177</v>
      </c>
      <c r="Q1036" s="10" t="s">
        <v>178</v>
      </c>
      <c r="R1036" s="10" t="s">
        <v>74</v>
      </c>
      <c r="S1036" s="11">
        <v>43.7</v>
      </c>
      <c r="T1036" s="11">
        <f>2*22.58</f>
        <v>45.16</v>
      </c>
      <c r="U1036" s="11" t="s">
        <v>51</v>
      </c>
      <c r="V1036" s="10" t="s">
        <v>52</v>
      </c>
      <c r="W1036" s="10" t="s">
        <v>10613</v>
      </c>
      <c r="X1036" s="10" t="s">
        <v>10614</v>
      </c>
      <c r="Y1036" s="10" t="s">
        <v>10615</v>
      </c>
      <c r="Z1036" s="10" t="s">
        <v>50</v>
      </c>
      <c r="AA1036" s="10" t="s">
        <v>50</v>
      </c>
      <c r="AB1036" s="10" t="s">
        <v>10613</v>
      </c>
      <c r="AC1036" s="10" t="s">
        <v>10616</v>
      </c>
      <c r="AD1036" s="10" t="s">
        <v>10617</v>
      </c>
      <c r="AE1036" s="10" t="s">
        <v>10618</v>
      </c>
      <c r="AF1036" s="10" t="s">
        <v>58</v>
      </c>
      <c r="AG1036" s="10" t="s">
        <v>10619</v>
      </c>
      <c r="AH1036" s="10" t="s">
        <v>60</v>
      </c>
      <c r="AI1036" s="10" t="s">
        <v>61</v>
      </c>
      <c r="AJ1036" s="10" t="s">
        <v>7910</v>
      </c>
      <c r="AK1036" s="10" t="s">
        <v>10620</v>
      </c>
      <c r="AL1036" s="10" t="s">
        <v>64</v>
      </c>
      <c r="AM1036" s="10" t="s">
        <v>10621</v>
      </c>
      <c r="AN1036" s="10" t="s">
        <v>50</v>
      </c>
      <c r="AO1036" s="11" t="s">
        <v>50</v>
      </c>
      <c r="AP1036" s="10" t="s">
        <v>50</v>
      </c>
      <c r="AQ1036" s="10" t="s">
        <v>50</v>
      </c>
      <c r="AR1036" s="10" t="s">
        <v>50</v>
      </c>
      <c r="AS1036" s="10" t="s">
        <v>50</v>
      </c>
      <c r="AT1036" s="10" t="s">
        <v>50</v>
      </c>
      <c r="AU1036" s="10" t="s">
        <v>50</v>
      </c>
      <c r="AV1036" s="11"/>
      <c r="AW1036" s="10" t="s">
        <v>66</v>
      </c>
      <c r="AX1036" s="10"/>
      <c r="AY1036" s="10" t="s">
        <v>66</v>
      </c>
    </row>
    <row r="1037" ht="22.5" hidden="1" customHeight="1">
      <c r="A1037" s="9" t="s">
        <v>10622</v>
      </c>
      <c r="B1037" s="10" t="s">
        <v>10623</v>
      </c>
      <c r="C1037" s="10" t="s">
        <v>43</v>
      </c>
      <c r="D1037" s="10" t="s">
        <v>7577</v>
      </c>
      <c r="E1037" s="10" t="s">
        <v>66</v>
      </c>
      <c r="F1037" s="11">
        <v>1.0</v>
      </c>
      <c r="G1037" s="11">
        <v>120.0</v>
      </c>
      <c r="H1037" s="11">
        <v>7.55</v>
      </c>
      <c r="I1037" s="11">
        <v>-20.4</v>
      </c>
      <c r="J1037" s="11">
        <v>-27.5</v>
      </c>
      <c r="K1037" s="11"/>
      <c r="L1037" s="11">
        <v>86.85</v>
      </c>
      <c r="M1037" s="10" t="s">
        <v>46</v>
      </c>
      <c r="N1037" s="10" t="s">
        <v>50</v>
      </c>
      <c r="O1037" s="10" t="s">
        <v>85</v>
      </c>
      <c r="P1037" s="10" t="s">
        <v>86</v>
      </c>
      <c r="Q1037" s="10" t="s">
        <v>87</v>
      </c>
      <c r="R1037" s="10" t="s">
        <v>74</v>
      </c>
      <c r="S1037" s="11">
        <v>120.0</v>
      </c>
      <c r="T1037" s="11">
        <v>65.78</v>
      </c>
      <c r="U1037" s="11" t="s">
        <v>51</v>
      </c>
      <c r="V1037" s="10" t="s">
        <v>52</v>
      </c>
      <c r="W1037" s="10" t="s">
        <v>10624</v>
      </c>
      <c r="X1037" s="10" t="s">
        <v>10625</v>
      </c>
      <c r="Y1037" s="10" t="s">
        <v>10626</v>
      </c>
      <c r="Z1037" s="10" t="s">
        <v>50</v>
      </c>
      <c r="AA1037" s="10" t="s">
        <v>50</v>
      </c>
      <c r="AB1037" s="10" t="s">
        <v>10624</v>
      </c>
      <c r="AC1037" s="10" t="s">
        <v>10627</v>
      </c>
      <c r="AD1037" s="10" t="s">
        <v>10628</v>
      </c>
      <c r="AE1037" s="10" t="s">
        <v>10629</v>
      </c>
      <c r="AF1037" s="10" t="s">
        <v>1417</v>
      </c>
      <c r="AG1037" s="10" t="s">
        <v>10630</v>
      </c>
      <c r="AH1037" s="10" t="s">
        <v>60</v>
      </c>
      <c r="AI1037" s="10" t="s">
        <v>61</v>
      </c>
      <c r="AJ1037" s="10" t="s">
        <v>7910</v>
      </c>
      <c r="AK1037" s="10" t="s">
        <v>10631</v>
      </c>
      <c r="AL1037" s="10" t="s">
        <v>64</v>
      </c>
      <c r="AM1037" s="10" t="s">
        <v>10632</v>
      </c>
      <c r="AN1037" s="10" t="s">
        <v>50</v>
      </c>
      <c r="AO1037" s="11" t="s">
        <v>50</v>
      </c>
      <c r="AP1037" s="10" t="s">
        <v>50</v>
      </c>
      <c r="AQ1037" s="10" t="s">
        <v>50</v>
      </c>
      <c r="AR1037" s="10" t="s">
        <v>50</v>
      </c>
      <c r="AS1037" s="10" t="s">
        <v>50</v>
      </c>
      <c r="AT1037" s="10" t="s">
        <v>50</v>
      </c>
      <c r="AU1037" s="10" t="s">
        <v>50</v>
      </c>
      <c r="AV1037" s="11"/>
      <c r="AW1037" s="10" t="s">
        <v>66</v>
      </c>
      <c r="AX1037" s="10"/>
      <c r="AY1037" s="10" t="s">
        <v>66</v>
      </c>
    </row>
    <row r="1038" ht="22.5" hidden="1" customHeight="1">
      <c r="A1038" s="9" t="s">
        <v>10633</v>
      </c>
      <c r="B1038" s="10" t="s">
        <v>10634</v>
      </c>
      <c r="C1038" s="10" t="s">
        <v>43</v>
      </c>
      <c r="D1038" s="10" t="s">
        <v>7577</v>
      </c>
      <c r="E1038" s="10" t="s">
        <v>66</v>
      </c>
      <c r="F1038" s="11">
        <v>1.0</v>
      </c>
      <c r="G1038" s="11">
        <v>79.0</v>
      </c>
      <c r="H1038" s="11">
        <v>10.83</v>
      </c>
      <c r="I1038" s="11">
        <v>-13.43</v>
      </c>
      <c r="J1038" s="11">
        <v>-30.78</v>
      </c>
      <c r="K1038" s="11"/>
      <c r="L1038" s="11">
        <v>45.62</v>
      </c>
      <c r="M1038" s="10" t="s">
        <v>46</v>
      </c>
      <c r="N1038" s="10" t="s">
        <v>50</v>
      </c>
      <c r="O1038" s="10" t="s">
        <v>766</v>
      </c>
      <c r="P1038" s="10" t="s">
        <v>767</v>
      </c>
      <c r="Q1038" s="10" t="s">
        <v>768</v>
      </c>
      <c r="R1038" s="10" t="s">
        <v>74</v>
      </c>
      <c r="S1038" s="11">
        <v>79.0</v>
      </c>
      <c r="T1038" s="11">
        <v>13.62</v>
      </c>
      <c r="U1038" s="11" t="s">
        <v>51</v>
      </c>
      <c r="V1038" s="10" t="s">
        <v>52</v>
      </c>
      <c r="W1038" s="10" t="s">
        <v>10635</v>
      </c>
      <c r="X1038" s="10" t="s">
        <v>10636</v>
      </c>
      <c r="Y1038" s="10" t="s">
        <v>10637</v>
      </c>
      <c r="Z1038" s="10" t="s">
        <v>50</v>
      </c>
      <c r="AA1038" s="10" t="s">
        <v>50</v>
      </c>
      <c r="AB1038" s="10" t="s">
        <v>10635</v>
      </c>
      <c r="AC1038" s="10" t="s">
        <v>10638</v>
      </c>
      <c r="AD1038" s="10" t="s">
        <v>10639</v>
      </c>
      <c r="AE1038" s="10" t="s">
        <v>10640</v>
      </c>
      <c r="AF1038" s="10" t="s">
        <v>185</v>
      </c>
      <c r="AG1038" s="10" t="s">
        <v>10641</v>
      </c>
      <c r="AH1038" s="10" t="s">
        <v>60</v>
      </c>
      <c r="AI1038" s="10" t="s">
        <v>61</v>
      </c>
      <c r="AJ1038" s="10" t="s">
        <v>7561</v>
      </c>
      <c r="AK1038" s="10" t="s">
        <v>10579</v>
      </c>
      <c r="AL1038" s="10" t="s">
        <v>64</v>
      </c>
      <c r="AM1038" s="10" t="s">
        <v>10642</v>
      </c>
      <c r="AN1038" s="10" t="s">
        <v>50</v>
      </c>
      <c r="AO1038" s="11" t="s">
        <v>50</v>
      </c>
      <c r="AP1038" s="10" t="s">
        <v>50</v>
      </c>
      <c r="AQ1038" s="10" t="s">
        <v>50</v>
      </c>
      <c r="AR1038" s="10" t="s">
        <v>50</v>
      </c>
      <c r="AS1038" s="10" t="s">
        <v>50</v>
      </c>
      <c r="AT1038" s="10" t="s">
        <v>50</v>
      </c>
      <c r="AU1038" s="10" t="s">
        <v>50</v>
      </c>
      <c r="AV1038" s="11"/>
      <c r="AW1038" s="10" t="s">
        <v>66</v>
      </c>
      <c r="AX1038" s="10"/>
      <c r="AY1038" s="10" t="s">
        <v>66</v>
      </c>
    </row>
    <row r="1039" ht="22.5" hidden="1" customHeight="1">
      <c r="A1039" s="9" t="s">
        <v>10643</v>
      </c>
      <c r="B1039" s="10" t="s">
        <v>10644</v>
      </c>
      <c r="C1039" s="10" t="s">
        <v>43</v>
      </c>
      <c r="D1039" s="10" t="s">
        <v>7530</v>
      </c>
      <c r="E1039" s="10" t="s">
        <v>66</v>
      </c>
      <c r="F1039" s="11">
        <v>1.0</v>
      </c>
      <c r="G1039" s="11">
        <v>120.0</v>
      </c>
      <c r="H1039" s="11"/>
      <c r="I1039" s="11">
        <v>-20.4</v>
      </c>
      <c r="J1039" s="11">
        <v>-19.95</v>
      </c>
      <c r="K1039" s="11"/>
      <c r="L1039" s="11">
        <v>86.85</v>
      </c>
      <c r="M1039" s="10" t="s">
        <v>46</v>
      </c>
      <c r="N1039" s="10" t="s">
        <v>50</v>
      </c>
      <c r="O1039" s="10" t="s">
        <v>85</v>
      </c>
      <c r="P1039" s="10" t="s">
        <v>86</v>
      </c>
      <c r="Q1039" s="10" t="s">
        <v>87</v>
      </c>
      <c r="R1039" s="10" t="s">
        <v>74</v>
      </c>
      <c r="S1039" s="11">
        <v>120.0</v>
      </c>
      <c r="T1039" s="11">
        <v>65.78</v>
      </c>
      <c r="U1039" s="11" t="s">
        <v>51</v>
      </c>
      <c r="V1039" s="10" t="s">
        <v>52</v>
      </c>
      <c r="W1039" s="10" t="s">
        <v>10645</v>
      </c>
      <c r="X1039" s="10" t="s">
        <v>10646</v>
      </c>
      <c r="Y1039" s="10" t="s">
        <v>10647</v>
      </c>
      <c r="Z1039" s="10" t="s">
        <v>50</v>
      </c>
      <c r="AA1039" s="10" t="s">
        <v>50</v>
      </c>
      <c r="AB1039" s="10" t="s">
        <v>10645</v>
      </c>
      <c r="AC1039" s="10" t="s">
        <v>10648</v>
      </c>
      <c r="AD1039" s="10" t="s">
        <v>10649</v>
      </c>
      <c r="AE1039" s="10" t="s">
        <v>10650</v>
      </c>
      <c r="AF1039" s="10" t="s">
        <v>136</v>
      </c>
      <c r="AG1039" s="10" t="s">
        <v>10651</v>
      </c>
      <c r="AH1039" s="10" t="s">
        <v>60</v>
      </c>
      <c r="AI1039" s="10" t="s">
        <v>61</v>
      </c>
      <c r="AJ1039" s="10" t="s">
        <v>10652</v>
      </c>
      <c r="AK1039" s="10" t="s">
        <v>10653</v>
      </c>
      <c r="AL1039" s="10" t="s">
        <v>64</v>
      </c>
      <c r="AM1039" s="10" t="s">
        <v>10654</v>
      </c>
      <c r="AN1039" s="10" t="s">
        <v>50</v>
      </c>
      <c r="AO1039" s="11" t="s">
        <v>50</v>
      </c>
      <c r="AP1039" s="10" t="s">
        <v>50</v>
      </c>
      <c r="AQ1039" s="10" t="s">
        <v>50</v>
      </c>
      <c r="AR1039" s="10" t="s">
        <v>50</v>
      </c>
      <c r="AS1039" s="10" t="s">
        <v>50</v>
      </c>
      <c r="AT1039" s="10" t="s">
        <v>50</v>
      </c>
      <c r="AU1039" s="10" t="s">
        <v>50</v>
      </c>
      <c r="AV1039" s="11"/>
      <c r="AW1039" s="10" t="s">
        <v>66</v>
      </c>
      <c r="AX1039" s="10"/>
      <c r="AY1039" s="10" t="s">
        <v>66</v>
      </c>
    </row>
    <row r="1040" ht="22.5" hidden="1" customHeight="1">
      <c r="A1040" s="9" t="s">
        <v>10655</v>
      </c>
      <c r="B1040" s="10" t="s">
        <v>10656</v>
      </c>
      <c r="C1040" s="10" t="s">
        <v>43</v>
      </c>
      <c r="D1040" s="10" t="s">
        <v>7577</v>
      </c>
      <c r="E1040" s="10" t="s">
        <v>66</v>
      </c>
      <c r="F1040" s="11">
        <v>1.0</v>
      </c>
      <c r="G1040" s="11">
        <v>79.35</v>
      </c>
      <c r="H1040" s="11"/>
      <c r="I1040" s="11">
        <v>-15.08</v>
      </c>
      <c r="J1040" s="11">
        <v>-19.95</v>
      </c>
      <c r="K1040" s="11"/>
      <c r="L1040" s="11">
        <v>44.32</v>
      </c>
      <c r="M1040" s="10" t="s">
        <v>46</v>
      </c>
      <c r="N1040" s="10" t="s">
        <v>50</v>
      </c>
      <c r="O1040" s="10" t="s">
        <v>47</v>
      </c>
      <c r="P1040" s="10" t="s">
        <v>48</v>
      </c>
      <c r="Q1040" s="10" t="s">
        <v>49</v>
      </c>
      <c r="R1040" s="10" t="s">
        <v>50</v>
      </c>
      <c r="S1040" s="11">
        <v>79.35</v>
      </c>
      <c r="T1040" s="11">
        <v>12.45</v>
      </c>
      <c r="U1040" s="11" t="s">
        <v>51</v>
      </c>
      <c r="V1040" s="10" t="s">
        <v>52</v>
      </c>
      <c r="W1040" s="10" t="s">
        <v>10657</v>
      </c>
      <c r="X1040" s="10" t="s">
        <v>10658</v>
      </c>
      <c r="Y1040" s="10" t="s">
        <v>10659</v>
      </c>
      <c r="Z1040" s="10" t="s">
        <v>50</v>
      </c>
      <c r="AA1040" s="10" t="s">
        <v>50</v>
      </c>
      <c r="AB1040" s="10" t="s">
        <v>10657</v>
      </c>
      <c r="AC1040" s="10" t="s">
        <v>10660</v>
      </c>
      <c r="AD1040" s="10" t="s">
        <v>10661</v>
      </c>
      <c r="AE1040" s="10" t="s">
        <v>10662</v>
      </c>
      <c r="AF1040" s="10" t="s">
        <v>214</v>
      </c>
      <c r="AG1040" s="10" t="s">
        <v>10663</v>
      </c>
      <c r="AH1040" s="10" t="s">
        <v>60</v>
      </c>
      <c r="AI1040" s="10" t="s">
        <v>61</v>
      </c>
      <c r="AJ1040" s="10" t="s">
        <v>8043</v>
      </c>
      <c r="AK1040" s="10" t="s">
        <v>10664</v>
      </c>
      <c r="AL1040" s="10" t="s">
        <v>64</v>
      </c>
      <c r="AM1040" s="10" t="s">
        <v>10665</v>
      </c>
      <c r="AN1040" s="10" t="s">
        <v>50</v>
      </c>
      <c r="AO1040" s="11" t="s">
        <v>50</v>
      </c>
      <c r="AP1040" s="10" t="s">
        <v>50</v>
      </c>
      <c r="AQ1040" s="10" t="s">
        <v>50</v>
      </c>
      <c r="AR1040" s="10" t="s">
        <v>50</v>
      </c>
      <c r="AS1040" s="10" t="s">
        <v>50</v>
      </c>
      <c r="AT1040" s="10" t="s">
        <v>50</v>
      </c>
      <c r="AU1040" s="10" t="s">
        <v>50</v>
      </c>
      <c r="AV1040" s="11"/>
      <c r="AW1040" s="10" t="s">
        <v>66</v>
      </c>
      <c r="AX1040" s="10"/>
      <c r="AY1040" s="10" t="s">
        <v>66</v>
      </c>
    </row>
    <row r="1041" ht="22.5" hidden="1" customHeight="1">
      <c r="A1041" s="9" t="s">
        <v>10666</v>
      </c>
      <c r="B1041" s="10" t="s">
        <v>10667</v>
      </c>
      <c r="C1041" s="10" t="s">
        <v>43</v>
      </c>
      <c r="D1041" s="10" t="s">
        <v>5200</v>
      </c>
      <c r="E1041" s="10" t="s">
        <v>66</v>
      </c>
      <c r="F1041" s="11">
        <v>1.0</v>
      </c>
      <c r="G1041" s="11">
        <v>120.0</v>
      </c>
      <c r="H1041" s="11"/>
      <c r="I1041" s="11">
        <v>-20.4</v>
      </c>
      <c r="J1041" s="11">
        <v>-19.95</v>
      </c>
      <c r="K1041" s="11"/>
      <c r="L1041" s="11">
        <v>86.85</v>
      </c>
      <c r="M1041" s="10" t="s">
        <v>46</v>
      </c>
      <c r="N1041" s="10" t="s">
        <v>50</v>
      </c>
      <c r="O1041" s="10" t="s">
        <v>85</v>
      </c>
      <c r="P1041" s="10" t="s">
        <v>86</v>
      </c>
      <c r="Q1041" s="10" t="s">
        <v>87</v>
      </c>
      <c r="R1041" s="10" t="s">
        <v>74</v>
      </c>
      <c r="S1041" s="11">
        <v>120.0</v>
      </c>
      <c r="T1041" s="11">
        <v>65.78</v>
      </c>
      <c r="U1041" s="11" t="s">
        <v>51</v>
      </c>
      <c r="V1041" s="10" t="s">
        <v>52</v>
      </c>
      <c r="W1041" s="10" t="s">
        <v>10668</v>
      </c>
      <c r="X1041" s="10" t="s">
        <v>10669</v>
      </c>
      <c r="Y1041" s="10" t="s">
        <v>10670</v>
      </c>
      <c r="Z1041" s="10" t="s">
        <v>50</v>
      </c>
      <c r="AA1041" s="10" t="s">
        <v>50</v>
      </c>
      <c r="AB1041" s="10" t="s">
        <v>10668</v>
      </c>
      <c r="AC1041" s="10" t="s">
        <v>10671</v>
      </c>
      <c r="AD1041" s="10" t="s">
        <v>10672</v>
      </c>
      <c r="AE1041" s="10" t="s">
        <v>10673</v>
      </c>
      <c r="AF1041" s="10" t="s">
        <v>185</v>
      </c>
      <c r="AG1041" s="10" t="s">
        <v>10674</v>
      </c>
      <c r="AH1041" s="10" t="s">
        <v>60</v>
      </c>
      <c r="AI1041" s="10" t="s">
        <v>61</v>
      </c>
      <c r="AJ1041" s="10" t="s">
        <v>10675</v>
      </c>
      <c r="AK1041" s="10" t="s">
        <v>10340</v>
      </c>
      <c r="AL1041" s="10" t="s">
        <v>64</v>
      </c>
      <c r="AM1041" s="10" t="s">
        <v>10676</v>
      </c>
      <c r="AN1041" s="10" t="s">
        <v>50</v>
      </c>
      <c r="AO1041" s="11" t="s">
        <v>50</v>
      </c>
      <c r="AP1041" s="10" t="s">
        <v>50</v>
      </c>
      <c r="AQ1041" s="10" t="s">
        <v>50</v>
      </c>
      <c r="AR1041" s="10" t="s">
        <v>50</v>
      </c>
      <c r="AS1041" s="10" t="s">
        <v>50</v>
      </c>
      <c r="AT1041" s="10" t="s">
        <v>50</v>
      </c>
      <c r="AU1041" s="10" t="s">
        <v>50</v>
      </c>
      <c r="AV1041" s="11"/>
      <c r="AW1041" s="10" t="s">
        <v>66</v>
      </c>
      <c r="AX1041" s="10"/>
      <c r="AY1041" s="10" t="s">
        <v>66</v>
      </c>
    </row>
    <row r="1042" ht="22.5" hidden="1" customHeight="1">
      <c r="A1042" s="9" t="s">
        <v>10677</v>
      </c>
      <c r="B1042" s="10" t="s">
        <v>10678</v>
      </c>
      <c r="C1042" s="10" t="s">
        <v>43</v>
      </c>
      <c r="D1042" s="10" t="s">
        <v>5200</v>
      </c>
      <c r="E1042" s="10" t="s">
        <v>45</v>
      </c>
      <c r="F1042" s="11">
        <v>1.0</v>
      </c>
      <c r="G1042" s="11">
        <v>79.2</v>
      </c>
      <c r="H1042" s="11"/>
      <c r="I1042" s="11">
        <v>-13.46</v>
      </c>
      <c r="J1042" s="11">
        <v>-20.45</v>
      </c>
      <c r="K1042" s="11"/>
      <c r="L1042" s="11">
        <v>45.29</v>
      </c>
      <c r="M1042" s="10" t="s">
        <v>46</v>
      </c>
      <c r="N1042" s="10" t="s">
        <v>45</v>
      </c>
      <c r="O1042" s="10" t="s">
        <v>892</v>
      </c>
      <c r="P1042" s="10" t="s">
        <v>893</v>
      </c>
      <c r="Q1042" s="10" t="s">
        <v>894</v>
      </c>
      <c r="R1042" s="10" t="s">
        <v>74</v>
      </c>
      <c r="S1042" s="11">
        <v>79.2</v>
      </c>
      <c r="T1042" s="11">
        <v>2.97</v>
      </c>
      <c r="U1042" s="11" t="s">
        <v>51</v>
      </c>
      <c r="V1042" s="10" t="s">
        <v>52</v>
      </c>
      <c r="W1042" s="10" t="s">
        <v>10679</v>
      </c>
      <c r="X1042" s="10" t="s">
        <v>10680</v>
      </c>
      <c r="Y1042" s="10" t="s">
        <v>10681</v>
      </c>
      <c r="Z1042" s="10" t="s">
        <v>50</v>
      </c>
      <c r="AA1042" s="10" t="s">
        <v>50</v>
      </c>
      <c r="AB1042" s="10" t="s">
        <v>10679</v>
      </c>
      <c r="AC1042" s="10" t="s">
        <v>10682</v>
      </c>
      <c r="AD1042" s="10" t="s">
        <v>10683</v>
      </c>
      <c r="AE1042" s="10" t="s">
        <v>3873</v>
      </c>
      <c r="AF1042" s="10" t="s">
        <v>58</v>
      </c>
      <c r="AG1042" s="10" t="s">
        <v>3874</v>
      </c>
      <c r="AH1042" s="10" t="s">
        <v>60</v>
      </c>
      <c r="AI1042" s="10" t="s">
        <v>61</v>
      </c>
      <c r="AJ1042" s="10" t="s">
        <v>7607</v>
      </c>
      <c r="AK1042" s="10" t="s">
        <v>10684</v>
      </c>
      <c r="AL1042" s="10" t="s">
        <v>64</v>
      </c>
      <c r="AM1042" s="10" t="s">
        <v>10685</v>
      </c>
      <c r="AN1042" s="10" t="s">
        <v>10686</v>
      </c>
      <c r="AO1042" s="11" t="s">
        <v>50</v>
      </c>
      <c r="AP1042" s="10" t="s">
        <v>50</v>
      </c>
      <c r="AQ1042" s="10" t="s">
        <v>50</v>
      </c>
      <c r="AR1042" s="10" t="s">
        <v>50</v>
      </c>
      <c r="AS1042" s="10" t="s">
        <v>50</v>
      </c>
      <c r="AT1042" s="10" t="s">
        <v>50</v>
      </c>
      <c r="AU1042" s="10" t="s">
        <v>50</v>
      </c>
      <c r="AV1042" s="11"/>
      <c r="AW1042" s="10" t="s">
        <v>66</v>
      </c>
      <c r="AX1042" s="10"/>
      <c r="AY1042" s="10" t="s">
        <v>66</v>
      </c>
    </row>
    <row r="1043" ht="22.5" hidden="1" customHeight="1">
      <c r="A1043" s="9" t="s">
        <v>10687</v>
      </c>
      <c r="B1043" s="10" t="s">
        <v>10688</v>
      </c>
      <c r="C1043" s="10" t="s">
        <v>43</v>
      </c>
      <c r="D1043" s="10" t="s">
        <v>7577</v>
      </c>
      <c r="E1043" s="10" t="s">
        <v>66</v>
      </c>
      <c r="F1043" s="11">
        <v>1.0</v>
      </c>
      <c r="G1043" s="11">
        <v>120.0</v>
      </c>
      <c r="H1043" s="11">
        <v>13.45</v>
      </c>
      <c r="I1043" s="11">
        <v>-20.4</v>
      </c>
      <c r="J1043" s="11">
        <v>-33.4</v>
      </c>
      <c r="K1043" s="11"/>
      <c r="L1043" s="11">
        <v>86.85</v>
      </c>
      <c r="M1043" s="10" t="s">
        <v>46</v>
      </c>
      <c r="N1043" s="10" t="s">
        <v>50</v>
      </c>
      <c r="O1043" s="10" t="s">
        <v>85</v>
      </c>
      <c r="P1043" s="10" t="s">
        <v>86</v>
      </c>
      <c r="Q1043" s="10" t="s">
        <v>87</v>
      </c>
      <c r="R1043" s="10" t="s">
        <v>74</v>
      </c>
      <c r="S1043" s="11">
        <v>120.0</v>
      </c>
      <c r="T1043" s="11">
        <v>65.78</v>
      </c>
      <c r="U1043" s="11" t="s">
        <v>51</v>
      </c>
      <c r="V1043" s="10" t="s">
        <v>52</v>
      </c>
      <c r="W1043" s="10" t="s">
        <v>10689</v>
      </c>
      <c r="X1043" s="10" t="s">
        <v>10690</v>
      </c>
      <c r="Y1043" s="10" t="s">
        <v>10691</v>
      </c>
      <c r="Z1043" s="10" t="s">
        <v>50</v>
      </c>
      <c r="AA1043" s="10" t="s">
        <v>50</v>
      </c>
      <c r="AB1043" s="10" t="s">
        <v>10689</v>
      </c>
      <c r="AC1043" s="10" t="s">
        <v>10692</v>
      </c>
      <c r="AD1043" s="10" t="s">
        <v>10693</v>
      </c>
      <c r="AE1043" s="10" t="s">
        <v>10694</v>
      </c>
      <c r="AF1043" s="10" t="s">
        <v>6728</v>
      </c>
      <c r="AG1043" s="10" t="s">
        <v>10695</v>
      </c>
      <c r="AH1043" s="10" t="s">
        <v>60</v>
      </c>
      <c r="AI1043" s="10" t="s">
        <v>61</v>
      </c>
      <c r="AJ1043" s="10" t="s">
        <v>7910</v>
      </c>
      <c r="AK1043" s="10" t="s">
        <v>10696</v>
      </c>
      <c r="AL1043" s="10" t="s">
        <v>64</v>
      </c>
      <c r="AM1043" s="10" t="s">
        <v>10697</v>
      </c>
      <c r="AN1043" s="10" t="s">
        <v>50</v>
      </c>
      <c r="AO1043" s="11" t="s">
        <v>50</v>
      </c>
      <c r="AP1043" s="10" t="s">
        <v>50</v>
      </c>
      <c r="AQ1043" s="10" t="s">
        <v>50</v>
      </c>
      <c r="AR1043" s="10" t="s">
        <v>50</v>
      </c>
      <c r="AS1043" s="10" t="s">
        <v>50</v>
      </c>
      <c r="AT1043" s="10" t="s">
        <v>50</v>
      </c>
      <c r="AU1043" s="10" t="s">
        <v>50</v>
      </c>
      <c r="AV1043" s="11"/>
      <c r="AW1043" s="10" t="s">
        <v>66</v>
      </c>
      <c r="AX1043" s="10"/>
      <c r="AY1043" s="10" t="s">
        <v>66</v>
      </c>
    </row>
    <row r="1044" ht="22.5" hidden="1" customHeight="1">
      <c r="A1044" s="9" t="s">
        <v>10698</v>
      </c>
      <c r="B1044" s="10" t="s">
        <v>10699</v>
      </c>
      <c r="C1044" s="10" t="s">
        <v>43</v>
      </c>
      <c r="D1044" s="10" t="s">
        <v>7530</v>
      </c>
      <c r="E1044" s="10" t="s">
        <v>66</v>
      </c>
      <c r="F1044" s="11">
        <v>1.0</v>
      </c>
      <c r="G1044" s="11">
        <v>120.0</v>
      </c>
      <c r="H1044" s="11"/>
      <c r="I1044" s="11">
        <v>-20.4</v>
      </c>
      <c r="J1044" s="11">
        <v>-19.95</v>
      </c>
      <c r="K1044" s="11"/>
      <c r="L1044" s="11">
        <v>86.85</v>
      </c>
      <c r="M1044" s="10" t="s">
        <v>46</v>
      </c>
      <c r="N1044" s="10" t="s">
        <v>45</v>
      </c>
      <c r="O1044" s="10" t="s">
        <v>85</v>
      </c>
      <c r="P1044" s="10" t="s">
        <v>86</v>
      </c>
      <c r="Q1044" s="10" t="s">
        <v>87</v>
      </c>
      <c r="R1044" s="10" t="s">
        <v>74</v>
      </c>
      <c r="S1044" s="11">
        <v>120.0</v>
      </c>
      <c r="T1044" s="11">
        <v>65.78</v>
      </c>
      <c r="U1044" s="11" t="s">
        <v>51</v>
      </c>
      <c r="V1044" s="10" t="s">
        <v>52</v>
      </c>
      <c r="W1044" s="10" t="s">
        <v>10700</v>
      </c>
      <c r="X1044" s="10" t="s">
        <v>10701</v>
      </c>
      <c r="Y1044" s="10" t="s">
        <v>10702</v>
      </c>
      <c r="Z1044" s="10" t="s">
        <v>50</v>
      </c>
      <c r="AA1044" s="10" t="s">
        <v>50</v>
      </c>
      <c r="AB1044" s="10" t="s">
        <v>10700</v>
      </c>
      <c r="AC1044" s="10" t="s">
        <v>10703</v>
      </c>
      <c r="AD1044" s="10" t="s">
        <v>10704</v>
      </c>
      <c r="AE1044" s="10" t="s">
        <v>10705</v>
      </c>
      <c r="AF1044" s="10" t="s">
        <v>58</v>
      </c>
      <c r="AG1044" s="10" t="s">
        <v>10706</v>
      </c>
      <c r="AH1044" s="10" t="s">
        <v>60</v>
      </c>
      <c r="AI1044" s="10" t="s">
        <v>61</v>
      </c>
      <c r="AJ1044" s="10" t="s">
        <v>7561</v>
      </c>
      <c r="AK1044" s="10" t="s">
        <v>10707</v>
      </c>
      <c r="AL1044" s="10" t="s">
        <v>64</v>
      </c>
      <c r="AM1044" s="10" t="s">
        <v>10708</v>
      </c>
      <c r="AN1044" s="10" t="s">
        <v>50</v>
      </c>
      <c r="AO1044" s="11" t="s">
        <v>50</v>
      </c>
      <c r="AP1044" s="10" t="s">
        <v>50</v>
      </c>
      <c r="AQ1044" s="10" t="s">
        <v>50</v>
      </c>
      <c r="AR1044" s="10" t="s">
        <v>50</v>
      </c>
      <c r="AS1044" s="10" t="s">
        <v>50</v>
      </c>
      <c r="AT1044" s="10" t="s">
        <v>50</v>
      </c>
      <c r="AU1044" s="10" t="s">
        <v>50</v>
      </c>
      <c r="AV1044" s="11"/>
      <c r="AW1044" s="10" t="s">
        <v>66</v>
      </c>
      <c r="AX1044" s="10"/>
      <c r="AY1044" s="10" t="s">
        <v>66</v>
      </c>
    </row>
    <row r="1045" ht="22.5" hidden="1" customHeight="1">
      <c r="A1045" s="9" t="s">
        <v>10709</v>
      </c>
      <c r="B1045" s="10" t="s">
        <v>10710</v>
      </c>
      <c r="C1045" s="10" t="s">
        <v>43</v>
      </c>
      <c r="D1045" s="10" t="s">
        <v>7530</v>
      </c>
      <c r="E1045" s="10" t="s">
        <v>45</v>
      </c>
      <c r="F1045" s="11">
        <v>1.0</v>
      </c>
      <c r="G1045" s="11">
        <v>79.0</v>
      </c>
      <c r="H1045" s="11">
        <v>7.43</v>
      </c>
      <c r="I1045" s="11">
        <v>-13.43</v>
      </c>
      <c r="J1045" s="11">
        <v>-27.88</v>
      </c>
      <c r="K1045" s="11"/>
      <c r="L1045" s="11">
        <v>45.12</v>
      </c>
      <c r="M1045" s="10" t="s">
        <v>46</v>
      </c>
      <c r="N1045" s="10" t="s">
        <v>45</v>
      </c>
      <c r="O1045" s="10" t="s">
        <v>160</v>
      </c>
      <c r="P1045" s="10" t="s">
        <v>161</v>
      </c>
      <c r="Q1045" s="10" t="s">
        <v>162</v>
      </c>
      <c r="R1045" s="10" t="s">
        <v>74</v>
      </c>
      <c r="S1045" s="11">
        <v>79.0</v>
      </c>
      <c r="T1045" s="11">
        <v>2.49</v>
      </c>
      <c r="U1045" s="11" t="s">
        <v>51</v>
      </c>
      <c r="V1045" s="10" t="s">
        <v>52</v>
      </c>
      <c r="W1045" s="10" t="s">
        <v>10711</v>
      </c>
      <c r="X1045" s="10" t="s">
        <v>10712</v>
      </c>
      <c r="Y1045" s="10" t="s">
        <v>10713</v>
      </c>
      <c r="Z1045" s="10" t="s">
        <v>50</v>
      </c>
      <c r="AA1045" s="10" t="s">
        <v>50</v>
      </c>
      <c r="AB1045" s="10" t="s">
        <v>10711</v>
      </c>
      <c r="AC1045" s="10" t="s">
        <v>10714</v>
      </c>
      <c r="AD1045" s="10" t="s">
        <v>10715</v>
      </c>
      <c r="AE1045" s="10" t="s">
        <v>3359</v>
      </c>
      <c r="AF1045" s="10" t="s">
        <v>185</v>
      </c>
      <c r="AG1045" s="10" t="s">
        <v>10716</v>
      </c>
      <c r="AH1045" s="10" t="s">
        <v>60</v>
      </c>
      <c r="AI1045" s="10" t="s">
        <v>61</v>
      </c>
      <c r="AJ1045" s="10" t="s">
        <v>7999</v>
      </c>
      <c r="AK1045" s="10" t="s">
        <v>10717</v>
      </c>
      <c r="AL1045" s="10" t="s">
        <v>64</v>
      </c>
      <c r="AM1045" s="10" t="s">
        <v>10718</v>
      </c>
      <c r="AN1045" s="10" t="s">
        <v>50</v>
      </c>
      <c r="AO1045" s="11" t="s">
        <v>50</v>
      </c>
      <c r="AP1045" s="10" t="s">
        <v>50</v>
      </c>
      <c r="AQ1045" s="10" t="s">
        <v>50</v>
      </c>
      <c r="AR1045" s="10" t="s">
        <v>50</v>
      </c>
      <c r="AS1045" s="10" t="s">
        <v>50</v>
      </c>
      <c r="AT1045" s="10" t="s">
        <v>50</v>
      </c>
      <c r="AU1045" s="10" t="s">
        <v>50</v>
      </c>
      <c r="AV1045" s="11"/>
      <c r="AW1045" s="10" t="s">
        <v>66</v>
      </c>
      <c r="AX1045" s="10"/>
      <c r="AY1045" s="10" t="s">
        <v>66</v>
      </c>
    </row>
    <row r="1046" ht="22.5" hidden="1" customHeight="1">
      <c r="A1046" s="9" t="s">
        <v>10719</v>
      </c>
      <c r="B1046" s="10" t="s">
        <v>10720</v>
      </c>
      <c r="C1046" s="10" t="s">
        <v>43</v>
      </c>
      <c r="D1046" s="10" t="s">
        <v>7518</v>
      </c>
      <c r="E1046" s="10" t="s">
        <v>66</v>
      </c>
      <c r="F1046" s="11">
        <v>1.0</v>
      </c>
      <c r="G1046" s="11">
        <v>120.0</v>
      </c>
      <c r="H1046" s="11"/>
      <c r="I1046" s="11">
        <v>-20.4</v>
      </c>
      <c r="J1046" s="11">
        <v>-19.95</v>
      </c>
      <c r="K1046" s="11"/>
      <c r="L1046" s="11">
        <v>86.85</v>
      </c>
      <c r="M1046" s="10" t="s">
        <v>46</v>
      </c>
      <c r="N1046" s="10" t="s">
        <v>50</v>
      </c>
      <c r="O1046" s="10" t="s">
        <v>85</v>
      </c>
      <c r="P1046" s="10" t="s">
        <v>86</v>
      </c>
      <c r="Q1046" s="10" t="s">
        <v>87</v>
      </c>
      <c r="R1046" s="10" t="s">
        <v>74</v>
      </c>
      <c r="S1046" s="11">
        <v>120.0</v>
      </c>
      <c r="T1046" s="11">
        <v>65.78</v>
      </c>
      <c r="U1046" s="11" t="s">
        <v>51</v>
      </c>
      <c r="V1046" s="10" t="s">
        <v>52</v>
      </c>
      <c r="W1046" s="10" t="s">
        <v>10721</v>
      </c>
      <c r="X1046" s="10" t="s">
        <v>10722</v>
      </c>
      <c r="Y1046" s="10" t="s">
        <v>10723</v>
      </c>
      <c r="Z1046" s="10" t="s">
        <v>50</v>
      </c>
      <c r="AA1046" s="10" t="s">
        <v>50</v>
      </c>
      <c r="AB1046" s="10" t="s">
        <v>10721</v>
      </c>
      <c r="AC1046" s="10" t="s">
        <v>10724</v>
      </c>
      <c r="AD1046" s="10" t="s">
        <v>10725</v>
      </c>
      <c r="AE1046" s="10" t="s">
        <v>151</v>
      </c>
      <c r="AF1046" s="10" t="s">
        <v>151</v>
      </c>
      <c r="AG1046" s="10" t="s">
        <v>10726</v>
      </c>
      <c r="AH1046" s="10" t="s">
        <v>60</v>
      </c>
      <c r="AI1046" s="10" t="s">
        <v>61</v>
      </c>
      <c r="AJ1046" s="10" t="s">
        <v>10727</v>
      </c>
      <c r="AK1046" s="10" t="s">
        <v>10728</v>
      </c>
      <c r="AL1046" s="10" t="s">
        <v>64</v>
      </c>
      <c r="AM1046" s="10" t="s">
        <v>10729</v>
      </c>
      <c r="AN1046" s="10" t="s">
        <v>50</v>
      </c>
      <c r="AO1046" s="11" t="s">
        <v>50</v>
      </c>
      <c r="AP1046" s="10" t="s">
        <v>50</v>
      </c>
      <c r="AQ1046" s="10" t="s">
        <v>50</v>
      </c>
      <c r="AR1046" s="10" t="s">
        <v>50</v>
      </c>
      <c r="AS1046" s="10" t="s">
        <v>50</v>
      </c>
      <c r="AT1046" s="10" t="s">
        <v>50</v>
      </c>
      <c r="AU1046" s="10" t="s">
        <v>50</v>
      </c>
      <c r="AV1046" s="11"/>
      <c r="AW1046" s="10" t="s">
        <v>66</v>
      </c>
      <c r="AX1046" s="10"/>
      <c r="AY1046" s="10" t="s">
        <v>66</v>
      </c>
    </row>
    <row r="1047" ht="22.5" hidden="1" customHeight="1">
      <c r="A1047" s="9" t="s">
        <v>10730</v>
      </c>
      <c r="B1047" s="10" t="s">
        <v>10731</v>
      </c>
      <c r="C1047" s="10" t="s">
        <v>43</v>
      </c>
      <c r="D1047" s="10" t="s">
        <v>7530</v>
      </c>
      <c r="E1047" s="10" t="s">
        <v>66</v>
      </c>
      <c r="F1047" s="11">
        <v>1.0</v>
      </c>
      <c r="G1047" s="11">
        <v>88.4</v>
      </c>
      <c r="H1047" s="11"/>
      <c r="I1047" s="11">
        <v>-15.03</v>
      </c>
      <c r="J1047" s="11">
        <v>-19.95</v>
      </c>
      <c r="K1047" s="11"/>
      <c r="L1047" s="11">
        <v>53.42</v>
      </c>
      <c r="M1047" s="10" t="s">
        <v>46</v>
      </c>
      <c r="N1047" s="10" t="s">
        <v>50</v>
      </c>
      <c r="O1047" s="10" t="s">
        <v>314</v>
      </c>
      <c r="P1047" s="10" t="s">
        <v>315</v>
      </c>
      <c r="Q1047" s="10" t="s">
        <v>316</v>
      </c>
      <c r="R1047" s="10" t="s">
        <v>74</v>
      </c>
      <c r="S1047" s="11">
        <v>88.4</v>
      </c>
      <c r="T1047" s="11">
        <v>6.66</v>
      </c>
      <c r="U1047" s="11" t="s">
        <v>51</v>
      </c>
      <c r="V1047" s="10" t="s">
        <v>52</v>
      </c>
      <c r="W1047" s="10" t="s">
        <v>10732</v>
      </c>
      <c r="X1047" s="10" t="s">
        <v>10733</v>
      </c>
      <c r="Y1047" s="10" t="s">
        <v>10734</v>
      </c>
      <c r="Z1047" s="10" t="s">
        <v>50</v>
      </c>
      <c r="AA1047" s="10" t="s">
        <v>50</v>
      </c>
      <c r="AB1047" s="10" t="s">
        <v>10732</v>
      </c>
      <c r="AC1047" s="10" t="s">
        <v>10735</v>
      </c>
      <c r="AD1047" s="10" t="s">
        <v>10736</v>
      </c>
      <c r="AE1047" s="10" t="s">
        <v>10737</v>
      </c>
      <c r="AF1047" s="10" t="s">
        <v>323</v>
      </c>
      <c r="AG1047" s="10" t="s">
        <v>10738</v>
      </c>
      <c r="AH1047" s="10" t="s">
        <v>60</v>
      </c>
      <c r="AI1047" s="10" t="s">
        <v>61</v>
      </c>
      <c r="AJ1047" s="10" t="s">
        <v>10567</v>
      </c>
      <c r="AK1047" s="10" t="s">
        <v>10739</v>
      </c>
      <c r="AL1047" s="10" t="s">
        <v>64</v>
      </c>
      <c r="AM1047" s="10" t="s">
        <v>10740</v>
      </c>
      <c r="AN1047" s="10" t="s">
        <v>50</v>
      </c>
      <c r="AO1047" s="11" t="s">
        <v>50</v>
      </c>
      <c r="AP1047" s="10" t="s">
        <v>50</v>
      </c>
      <c r="AQ1047" s="10" t="s">
        <v>50</v>
      </c>
      <c r="AR1047" s="10" t="s">
        <v>50</v>
      </c>
      <c r="AS1047" s="10" t="s">
        <v>50</v>
      </c>
      <c r="AT1047" s="10" t="s">
        <v>50</v>
      </c>
      <c r="AU1047" s="10" t="s">
        <v>50</v>
      </c>
      <c r="AV1047" s="11"/>
      <c r="AW1047" s="10" t="s">
        <v>66</v>
      </c>
      <c r="AX1047" s="10"/>
      <c r="AY1047" s="10" t="s">
        <v>66</v>
      </c>
    </row>
    <row r="1048" ht="22.5" hidden="1" customHeight="1">
      <c r="A1048" s="9" t="s">
        <v>10741</v>
      </c>
      <c r="B1048" s="10" t="s">
        <v>10742</v>
      </c>
      <c r="C1048" s="10" t="s">
        <v>43</v>
      </c>
      <c r="D1048" s="10" t="s">
        <v>7530</v>
      </c>
      <c r="E1048" s="10" t="s">
        <v>66</v>
      </c>
      <c r="F1048" s="11">
        <v>1.0</v>
      </c>
      <c r="G1048" s="11">
        <v>88.0</v>
      </c>
      <c r="H1048" s="11">
        <v>8.51</v>
      </c>
      <c r="I1048" s="11">
        <v>-14.96</v>
      </c>
      <c r="J1048" s="11">
        <v>-29.96</v>
      </c>
      <c r="K1048" s="11"/>
      <c r="L1048" s="11">
        <v>55.99</v>
      </c>
      <c r="M1048" s="10" t="s">
        <v>46</v>
      </c>
      <c r="N1048" s="10" t="s">
        <v>45</v>
      </c>
      <c r="O1048" s="10" t="s">
        <v>5739</v>
      </c>
      <c r="P1048" s="10" t="s">
        <v>5740</v>
      </c>
      <c r="Q1048" s="10" t="s">
        <v>5741</v>
      </c>
      <c r="R1048" s="10" t="s">
        <v>74</v>
      </c>
      <c r="S1048" s="11">
        <v>88.0</v>
      </c>
      <c r="T1048" s="11">
        <v>3.96</v>
      </c>
      <c r="U1048" s="11" t="s">
        <v>51</v>
      </c>
      <c r="V1048" s="10" t="s">
        <v>52</v>
      </c>
      <c r="W1048" s="10" t="s">
        <v>10743</v>
      </c>
      <c r="X1048" s="10" t="s">
        <v>10744</v>
      </c>
      <c r="Y1048" s="10" t="s">
        <v>10745</v>
      </c>
      <c r="Z1048" s="10" t="s">
        <v>50</v>
      </c>
      <c r="AA1048" s="10" t="s">
        <v>50</v>
      </c>
      <c r="AB1048" s="10" t="s">
        <v>10743</v>
      </c>
      <c r="AC1048" s="10" t="s">
        <v>10746</v>
      </c>
      <c r="AD1048" s="10" t="s">
        <v>10747</v>
      </c>
      <c r="AE1048" s="10" t="s">
        <v>3359</v>
      </c>
      <c r="AF1048" s="10" t="s">
        <v>185</v>
      </c>
      <c r="AG1048" s="10" t="s">
        <v>10748</v>
      </c>
      <c r="AH1048" s="10" t="s">
        <v>60</v>
      </c>
      <c r="AI1048" s="10" t="s">
        <v>61</v>
      </c>
      <c r="AJ1048" s="10" t="s">
        <v>7999</v>
      </c>
      <c r="AK1048" s="10" t="s">
        <v>10749</v>
      </c>
      <c r="AL1048" s="10" t="s">
        <v>64</v>
      </c>
      <c r="AM1048" s="10" t="s">
        <v>10750</v>
      </c>
      <c r="AN1048" s="10" t="s">
        <v>50</v>
      </c>
      <c r="AO1048" s="11" t="s">
        <v>50</v>
      </c>
      <c r="AP1048" s="10" t="s">
        <v>50</v>
      </c>
      <c r="AQ1048" s="10" t="s">
        <v>50</v>
      </c>
      <c r="AR1048" s="10" t="s">
        <v>50</v>
      </c>
      <c r="AS1048" s="10" t="s">
        <v>50</v>
      </c>
      <c r="AT1048" s="10" t="s">
        <v>50</v>
      </c>
      <c r="AU1048" s="10" t="s">
        <v>50</v>
      </c>
      <c r="AV1048" s="11"/>
      <c r="AW1048" s="10" t="s">
        <v>66</v>
      </c>
      <c r="AX1048" s="10"/>
      <c r="AY1048" s="10" t="s">
        <v>66</v>
      </c>
    </row>
    <row r="1049" ht="22.5" hidden="1" customHeight="1">
      <c r="A1049" s="9" t="s">
        <v>10751</v>
      </c>
      <c r="B1049" s="10" t="s">
        <v>10752</v>
      </c>
      <c r="C1049" s="10" t="s">
        <v>43</v>
      </c>
      <c r="D1049" s="10" t="s">
        <v>7518</v>
      </c>
      <c r="E1049" s="10" t="s">
        <v>66</v>
      </c>
      <c r="F1049" s="11">
        <v>1.0</v>
      </c>
      <c r="G1049" s="11">
        <v>79.35</v>
      </c>
      <c r="H1049" s="11"/>
      <c r="I1049" s="11">
        <v>-15.08</v>
      </c>
      <c r="J1049" s="11">
        <v>-19.95</v>
      </c>
      <c r="K1049" s="11"/>
      <c r="L1049" s="11">
        <v>44.32</v>
      </c>
      <c r="M1049" s="10" t="s">
        <v>46</v>
      </c>
      <c r="N1049" s="10" t="s">
        <v>50</v>
      </c>
      <c r="O1049" s="10" t="s">
        <v>47</v>
      </c>
      <c r="P1049" s="10" t="s">
        <v>48</v>
      </c>
      <c r="Q1049" s="10" t="s">
        <v>49</v>
      </c>
      <c r="R1049" s="10" t="s">
        <v>50</v>
      </c>
      <c r="S1049" s="11">
        <v>79.35</v>
      </c>
      <c r="T1049" s="11">
        <v>12.45</v>
      </c>
      <c r="U1049" s="11" t="s">
        <v>51</v>
      </c>
      <c r="V1049" s="10" t="s">
        <v>52</v>
      </c>
      <c r="W1049" s="10" t="s">
        <v>10753</v>
      </c>
      <c r="X1049" s="10" t="s">
        <v>10754</v>
      </c>
      <c r="Y1049" s="10" t="s">
        <v>10755</v>
      </c>
      <c r="Z1049" s="10" t="s">
        <v>50</v>
      </c>
      <c r="AA1049" s="10" t="s">
        <v>50</v>
      </c>
      <c r="AB1049" s="10" t="s">
        <v>10753</v>
      </c>
      <c r="AC1049" s="10" t="s">
        <v>10756</v>
      </c>
      <c r="AD1049" s="10" t="s">
        <v>10757</v>
      </c>
      <c r="AE1049" s="10" t="s">
        <v>3694</v>
      </c>
      <c r="AF1049" s="10" t="s">
        <v>151</v>
      </c>
      <c r="AG1049" s="10" t="s">
        <v>10758</v>
      </c>
      <c r="AH1049" s="10" t="s">
        <v>60</v>
      </c>
      <c r="AI1049" s="10" t="s">
        <v>61</v>
      </c>
      <c r="AJ1049" s="10" t="s">
        <v>7572</v>
      </c>
      <c r="AK1049" s="10" t="s">
        <v>10759</v>
      </c>
      <c r="AL1049" s="10" t="s">
        <v>64</v>
      </c>
      <c r="AM1049" s="10" t="s">
        <v>10760</v>
      </c>
      <c r="AN1049" s="10" t="s">
        <v>50</v>
      </c>
      <c r="AO1049" s="11" t="s">
        <v>50</v>
      </c>
      <c r="AP1049" s="10" t="s">
        <v>50</v>
      </c>
      <c r="AQ1049" s="10" t="s">
        <v>50</v>
      </c>
      <c r="AR1049" s="10" t="s">
        <v>50</v>
      </c>
      <c r="AS1049" s="10" t="s">
        <v>50</v>
      </c>
      <c r="AT1049" s="10" t="s">
        <v>50</v>
      </c>
      <c r="AU1049" s="10" t="s">
        <v>50</v>
      </c>
      <c r="AV1049" s="11"/>
      <c r="AW1049" s="10" t="s">
        <v>66</v>
      </c>
      <c r="AX1049" s="10"/>
      <c r="AY1049" s="10" t="s">
        <v>66</v>
      </c>
    </row>
    <row r="1050" ht="22.5" hidden="1" customHeight="1">
      <c r="A1050" s="9" t="s">
        <v>10761</v>
      </c>
      <c r="B1050" s="10" t="s">
        <v>10762</v>
      </c>
      <c r="C1050" s="10" t="s">
        <v>43</v>
      </c>
      <c r="D1050" s="10" t="s">
        <v>7518</v>
      </c>
      <c r="E1050" s="10" t="s">
        <v>45</v>
      </c>
      <c r="F1050" s="11">
        <v>3.0</v>
      </c>
      <c r="G1050" s="11">
        <v>131.1</v>
      </c>
      <c r="H1050" s="11"/>
      <c r="I1050" s="11">
        <v>-40.29</v>
      </c>
      <c r="J1050" s="11"/>
      <c r="K1050" s="11"/>
      <c r="L1050" s="11">
        <v>98.67</v>
      </c>
      <c r="M1050" s="10" t="s">
        <v>46</v>
      </c>
      <c r="N1050" s="10" t="s">
        <v>50</v>
      </c>
      <c r="O1050" s="10" t="s">
        <v>176</v>
      </c>
      <c r="P1050" s="10" t="s">
        <v>177</v>
      </c>
      <c r="Q1050" s="10" t="s">
        <v>178</v>
      </c>
      <c r="R1050" s="10" t="s">
        <v>74</v>
      </c>
      <c r="S1050" s="11">
        <v>43.7</v>
      </c>
      <c r="T1050" s="11">
        <f>3*22.58</f>
        <v>67.74</v>
      </c>
      <c r="U1050" s="11" t="s">
        <v>51</v>
      </c>
      <c r="V1050" s="10" t="s">
        <v>52</v>
      </c>
      <c r="W1050" s="10" t="s">
        <v>10763</v>
      </c>
      <c r="X1050" s="10" t="s">
        <v>10764</v>
      </c>
      <c r="Y1050" s="10" t="s">
        <v>10765</v>
      </c>
      <c r="Z1050" s="10" t="s">
        <v>50</v>
      </c>
      <c r="AA1050" s="10" t="s">
        <v>50</v>
      </c>
      <c r="AB1050" s="10" t="s">
        <v>10763</v>
      </c>
      <c r="AC1050" s="10" t="s">
        <v>10766</v>
      </c>
      <c r="AD1050" s="10" t="s">
        <v>10767</v>
      </c>
      <c r="AE1050" s="10" t="s">
        <v>322</v>
      </c>
      <c r="AF1050" s="10" t="s">
        <v>323</v>
      </c>
      <c r="AG1050" s="10" t="s">
        <v>10768</v>
      </c>
      <c r="AH1050" s="10" t="s">
        <v>60</v>
      </c>
      <c r="AI1050" s="10" t="s">
        <v>61</v>
      </c>
      <c r="AJ1050" s="10" t="s">
        <v>10769</v>
      </c>
      <c r="AK1050" s="10" t="s">
        <v>10770</v>
      </c>
      <c r="AL1050" s="10" t="s">
        <v>64</v>
      </c>
      <c r="AM1050" s="10" t="s">
        <v>10771</v>
      </c>
      <c r="AN1050" s="10" t="s">
        <v>50</v>
      </c>
      <c r="AO1050" s="11" t="s">
        <v>50</v>
      </c>
      <c r="AP1050" s="10" t="s">
        <v>50</v>
      </c>
      <c r="AQ1050" s="10" t="s">
        <v>50</v>
      </c>
      <c r="AR1050" s="10" t="s">
        <v>50</v>
      </c>
      <c r="AS1050" s="10" t="s">
        <v>50</v>
      </c>
      <c r="AT1050" s="10" t="s">
        <v>50</v>
      </c>
      <c r="AU1050" s="10" t="s">
        <v>50</v>
      </c>
      <c r="AV1050" s="11"/>
      <c r="AW1050" s="10" t="s">
        <v>66</v>
      </c>
      <c r="AX1050" s="10"/>
      <c r="AY1050" s="10" t="s">
        <v>66</v>
      </c>
    </row>
    <row r="1051" ht="22.5" hidden="1" customHeight="1">
      <c r="A1051" s="9" t="s">
        <v>10772</v>
      </c>
      <c r="B1051" s="10" t="s">
        <v>10773</v>
      </c>
      <c r="C1051" s="10" t="s">
        <v>43</v>
      </c>
      <c r="D1051" s="10" t="s">
        <v>7577</v>
      </c>
      <c r="E1051" s="10" t="s">
        <v>66</v>
      </c>
      <c r="F1051" s="11">
        <v>1.0</v>
      </c>
      <c r="G1051" s="11">
        <v>43.7</v>
      </c>
      <c r="H1051" s="11">
        <v>35.24</v>
      </c>
      <c r="I1051" s="11">
        <v>-13.43</v>
      </c>
      <c r="J1051" s="11">
        <v>-35.24</v>
      </c>
      <c r="K1051" s="11"/>
      <c r="L1051" s="11">
        <v>32.89</v>
      </c>
      <c r="M1051" s="10" t="s">
        <v>46</v>
      </c>
      <c r="N1051" s="10" t="s">
        <v>45</v>
      </c>
      <c r="O1051" s="10" t="s">
        <v>176</v>
      </c>
      <c r="P1051" s="10" t="s">
        <v>177</v>
      </c>
      <c r="Q1051" s="10" t="s">
        <v>178</v>
      </c>
      <c r="R1051" s="10" t="s">
        <v>74</v>
      </c>
      <c r="S1051" s="11">
        <v>43.7</v>
      </c>
      <c r="T1051" s="11">
        <v>22.58</v>
      </c>
      <c r="U1051" s="11" t="s">
        <v>51</v>
      </c>
      <c r="V1051" s="10" t="s">
        <v>52</v>
      </c>
      <c r="W1051" s="10" t="s">
        <v>10774</v>
      </c>
      <c r="X1051" s="10" t="s">
        <v>10775</v>
      </c>
      <c r="Y1051" s="10" t="s">
        <v>10776</v>
      </c>
      <c r="Z1051" s="10" t="s">
        <v>50</v>
      </c>
      <c r="AA1051" s="10" t="s">
        <v>50</v>
      </c>
      <c r="AB1051" s="10" t="s">
        <v>10774</v>
      </c>
      <c r="AC1051" s="10" t="s">
        <v>10777</v>
      </c>
      <c r="AD1051" s="10" t="s">
        <v>10778</v>
      </c>
      <c r="AE1051" s="10" t="s">
        <v>10629</v>
      </c>
      <c r="AF1051" s="10" t="s">
        <v>1417</v>
      </c>
      <c r="AG1051" s="10" t="s">
        <v>10779</v>
      </c>
      <c r="AH1051" s="10" t="s">
        <v>60</v>
      </c>
      <c r="AI1051" s="10" t="s">
        <v>61</v>
      </c>
      <c r="AJ1051" s="10" t="s">
        <v>7910</v>
      </c>
      <c r="AK1051" s="10" t="s">
        <v>10780</v>
      </c>
      <c r="AL1051" s="10" t="s">
        <v>64</v>
      </c>
      <c r="AM1051" s="10" t="s">
        <v>10781</v>
      </c>
      <c r="AN1051" s="10" t="s">
        <v>50</v>
      </c>
      <c r="AO1051" s="11" t="s">
        <v>50</v>
      </c>
      <c r="AP1051" s="10" t="s">
        <v>50</v>
      </c>
      <c r="AQ1051" s="10" t="s">
        <v>50</v>
      </c>
      <c r="AR1051" s="10" t="s">
        <v>50</v>
      </c>
      <c r="AS1051" s="10" t="s">
        <v>50</v>
      </c>
      <c r="AT1051" s="10" t="s">
        <v>50</v>
      </c>
      <c r="AU1051" s="10" t="s">
        <v>50</v>
      </c>
      <c r="AV1051" s="11"/>
      <c r="AW1051" s="10" t="s">
        <v>66</v>
      </c>
      <c r="AX1051" s="10"/>
      <c r="AY1051" s="10" t="s">
        <v>66</v>
      </c>
    </row>
    <row r="1052" ht="22.5" hidden="1" customHeight="1">
      <c r="A1052" s="9" t="s">
        <v>10782</v>
      </c>
      <c r="B1052" s="10" t="s">
        <v>10783</v>
      </c>
      <c r="C1052" s="10" t="s">
        <v>43</v>
      </c>
      <c r="D1052" s="10" t="s">
        <v>7518</v>
      </c>
      <c r="E1052" s="10" t="s">
        <v>45</v>
      </c>
      <c r="F1052" s="11">
        <v>1.0</v>
      </c>
      <c r="G1052" s="11">
        <v>88.4</v>
      </c>
      <c r="H1052" s="11"/>
      <c r="I1052" s="11">
        <v>-15.03</v>
      </c>
      <c r="J1052" s="11">
        <v>-19.95</v>
      </c>
      <c r="K1052" s="11"/>
      <c r="L1052" s="11">
        <v>53.42</v>
      </c>
      <c r="M1052" s="10" t="s">
        <v>46</v>
      </c>
      <c r="N1052" s="10" t="s">
        <v>50</v>
      </c>
      <c r="O1052" s="10" t="s">
        <v>314</v>
      </c>
      <c r="P1052" s="10" t="s">
        <v>315</v>
      </c>
      <c r="Q1052" s="10" t="s">
        <v>316</v>
      </c>
      <c r="R1052" s="10" t="s">
        <v>74</v>
      </c>
      <c r="S1052" s="11">
        <v>88.4</v>
      </c>
      <c r="T1052" s="11">
        <v>6.66</v>
      </c>
      <c r="U1052" s="11" t="s">
        <v>51</v>
      </c>
      <c r="V1052" s="10" t="s">
        <v>52</v>
      </c>
      <c r="W1052" s="10" t="s">
        <v>10784</v>
      </c>
      <c r="X1052" s="10" t="s">
        <v>10785</v>
      </c>
      <c r="Y1052" s="10" t="s">
        <v>10786</v>
      </c>
      <c r="Z1052" s="10" t="s">
        <v>50</v>
      </c>
      <c r="AA1052" s="10" t="s">
        <v>50</v>
      </c>
      <c r="AB1052" s="10" t="s">
        <v>10784</v>
      </c>
      <c r="AC1052" s="10" t="s">
        <v>10787</v>
      </c>
      <c r="AD1052" s="10" t="s">
        <v>10788</v>
      </c>
      <c r="AE1052" s="10" t="s">
        <v>10789</v>
      </c>
      <c r="AF1052" s="10" t="s">
        <v>151</v>
      </c>
      <c r="AG1052" s="10" t="s">
        <v>10790</v>
      </c>
      <c r="AH1052" s="10" t="s">
        <v>60</v>
      </c>
      <c r="AI1052" s="10" t="s">
        <v>61</v>
      </c>
      <c r="AJ1052" s="10" t="s">
        <v>10791</v>
      </c>
      <c r="AK1052" s="10" t="s">
        <v>10792</v>
      </c>
      <c r="AL1052" s="10" t="s">
        <v>64</v>
      </c>
      <c r="AM1052" s="10" t="s">
        <v>10793</v>
      </c>
      <c r="AN1052" s="10" t="s">
        <v>50</v>
      </c>
      <c r="AO1052" s="11" t="s">
        <v>50</v>
      </c>
      <c r="AP1052" s="10" t="s">
        <v>50</v>
      </c>
      <c r="AQ1052" s="10" t="s">
        <v>50</v>
      </c>
      <c r="AR1052" s="10" t="s">
        <v>50</v>
      </c>
      <c r="AS1052" s="10" t="s">
        <v>50</v>
      </c>
      <c r="AT1052" s="10" t="s">
        <v>50</v>
      </c>
      <c r="AU1052" s="10" t="s">
        <v>50</v>
      </c>
      <c r="AV1052" s="11"/>
      <c r="AW1052" s="10" t="s">
        <v>66</v>
      </c>
      <c r="AX1052" s="10"/>
      <c r="AY1052" s="10" t="s">
        <v>66</v>
      </c>
    </row>
    <row r="1053" ht="22.5" hidden="1" customHeight="1">
      <c r="A1053" s="9" t="s">
        <v>10794</v>
      </c>
      <c r="B1053" s="10" t="s">
        <v>10795</v>
      </c>
      <c r="C1053" s="10" t="s">
        <v>43</v>
      </c>
      <c r="D1053" s="10" t="s">
        <v>7530</v>
      </c>
      <c r="E1053" s="10" t="s">
        <v>66</v>
      </c>
      <c r="F1053" s="11">
        <v>1.0</v>
      </c>
      <c r="G1053" s="11">
        <v>120.0</v>
      </c>
      <c r="H1053" s="11"/>
      <c r="I1053" s="11">
        <v>-20.4</v>
      </c>
      <c r="J1053" s="11">
        <v>-19.95</v>
      </c>
      <c r="K1053" s="11"/>
      <c r="L1053" s="11">
        <v>86.85</v>
      </c>
      <c r="M1053" s="10" t="s">
        <v>46</v>
      </c>
      <c r="N1053" s="10" t="s">
        <v>45</v>
      </c>
      <c r="O1053" s="10" t="s">
        <v>85</v>
      </c>
      <c r="P1053" s="10" t="s">
        <v>86</v>
      </c>
      <c r="Q1053" s="10" t="s">
        <v>87</v>
      </c>
      <c r="R1053" s="10" t="s">
        <v>74</v>
      </c>
      <c r="S1053" s="11">
        <v>120.0</v>
      </c>
      <c r="T1053" s="11">
        <v>65.78</v>
      </c>
      <c r="U1053" s="11" t="s">
        <v>51</v>
      </c>
      <c r="V1053" s="10" t="s">
        <v>52</v>
      </c>
      <c r="W1053" s="10" t="s">
        <v>10796</v>
      </c>
      <c r="X1053" s="10" t="s">
        <v>10797</v>
      </c>
      <c r="Y1053" s="10" t="s">
        <v>10798</v>
      </c>
      <c r="Z1053" s="10" t="s">
        <v>50</v>
      </c>
      <c r="AA1053" s="10" t="s">
        <v>50</v>
      </c>
      <c r="AB1053" s="10" t="s">
        <v>10796</v>
      </c>
      <c r="AC1053" s="10" t="s">
        <v>10799</v>
      </c>
      <c r="AD1053" s="10" t="s">
        <v>10800</v>
      </c>
      <c r="AE1053" s="10" t="s">
        <v>740</v>
      </c>
      <c r="AF1053" s="10" t="s">
        <v>119</v>
      </c>
      <c r="AG1053" s="10" t="s">
        <v>10801</v>
      </c>
      <c r="AH1053" s="10" t="s">
        <v>60</v>
      </c>
      <c r="AI1053" s="10" t="s">
        <v>61</v>
      </c>
      <c r="AJ1053" s="10" t="s">
        <v>7538</v>
      </c>
      <c r="AK1053" s="10" t="s">
        <v>10802</v>
      </c>
      <c r="AL1053" s="10" t="s">
        <v>64</v>
      </c>
      <c r="AM1053" s="10" t="s">
        <v>10803</v>
      </c>
      <c r="AN1053" s="10" t="s">
        <v>50</v>
      </c>
      <c r="AO1053" s="11" t="s">
        <v>50</v>
      </c>
      <c r="AP1053" s="10" t="s">
        <v>50</v>
      </c>
      <c r="AQ1053" s="10" t="s">
        <v>50</v>
      </c>
      <c r="AR1053" s="10" t="s">
        <v>50</v>
      </c>
      <c r="AS1053" s="10" t="s">
        <v>50</v>
      </c>
      <c r="AT1053" s="10" t="s">
        <v>50</v>
      </c>
      <c r="AU1053" s="10" t="s">
        <v>50</v>
      </c>
      <c r="AV1053" s="11"/>
      <c r="AW1053" s="10" t="s">
        <v>66</v>
      </c>
      <c r="AX1053" s="10"/>
      <c r="AY1053" s="10" t="s">
        <v>66</v>
      </c>
    </row>
    <row r="1054" ht="22.5" hidden="1" customHeight="1">
      <c r="A1054" s="9" t="s">
        <v>10804</v>
      </c>
      <c r="B1054" s="10" t="s">
        <v>10805</v>
      </c>
      <c r="C1054" s="10" t="s">
        <v>43</v>
      </c>
      <c r="D1054" s="10" t="s">
        <v>5200</v>
      </c>
      <c r="E1054" s="10" t="s">
        <v>45</v>
      </c>
      <c r="F1054" s="11">
        <v>2.0</v>
      </c>
      <c r="G1054" s="11">
        <v>87.4</v>
      </c>
      <c r="H1054" s="11"/>
      <c r="I1054" s="11">
        <v>-26.86</v>
      </c>
      <c r="J1054" s="11"/>
      <c r="K1054" s="11"/>
      <c r="L1054" s="11">
        <v>65.78</v>
      </c>
      <c r="M1054" s="10" t="s">
        <v>46</v>
      </c>
      <c r="N1054" s="10" t="s">
        <v>50</v>
      </c>
      <c r="O1054" s="10" t="s">
        <v>176</v>
      </c>
      <c r="P1054" s="10" t="s">
        <v>177</v>
      </c>
      <c r="Q1054" s="10" t="s">
        <v>178</v>
      </c>
      <c r="R1054" s="10" t="s">
        <v>74</v>
      </c>
      <c r="S1054" s="11">
        <v>43.7</v>
      </c>
      <c r="T1054" s="11">
        <f>2*22.58</f>
        <v>45.16</v>
      </c>
      <c r="U1054" s="11" t="s">
        <v>51</v>
      </c>
      <c r="V1054" s="10" t="s">
        <v>52</v>
      </c>
      <c r="W1054" s="10" t="s">
        <v>10806</v>
      </c>
      <c r="X1054" s="10" t="s">
        <v>10807</v>
      </c>
      <c r="Y1054" s="10" t="s">
        <v>10808</v>
      </c>
      <c r="Z1054" s="10" t="s">
        <v>50</v>
      </c>
      <c r="AA1054" s="10" t="s">
        <v>50</v>
      </c>
      <c r="AB1054" s="10" t="s">
        <v>10806</v>
      </c>
      <c r="AC1054" s="10" t="s">
        <v>10809</v>
      </c>
      <c r="AD1054" s="10" t="s">
        <v>10810</v>
      </c>
      <c r="AE1054" s="10" t="s">
        <v>10811</v>
      </c>
      <c r="AF1054" s="10" t="s">
        <v>185</v>
      </c>
      <c r="AG1054" s="10" t="s">
        <v>10812</v>
      </c>
      <c r="AH1054" s="10" t="s">
        <v>60</v>
      </c>
      <c r="AI1054" s="10" t="s">
        <v>61</v>
      </c>
      <c r="AJ1054" s="10" t="s">
        <v>10813</v>
      </c>
      <c r="AK1054" s="10" t="s">
        <v>10814</v>
      </c>
      <c r="AL1054" s="10" t="s">
        <v>64</v>
      </c>
      <c r="AM1054" s="10" t="s">
        <v>10815</v>
      </c>
      <c r="AN1054" s="10" t="s">
        <v>50</v>
      </c>
      <c r="AO1054" s="11" t="s">
        <v>50</v>
      </c>
      <c r="AP1054" s="10" t="s">
        <v>50</v>
      </c>
      <c r="AQ1054" s="10" t="s">
        <v>50</v>
      </c>
      <c r="AR1054" s="10" t="s">
        <v>50</v>
      </c>
      <c r="AS1054" s="10" t="s">
        <v>50</v>
      </c>
      <c r="AT1054" s="10" t="s">
        <v>50</v>
      </c>
      <c r="AU1054" s="10" t="s">
        <v>50</v>
      </c>
      <c r="AV1054" s="11"/>
      <c r="AW1054" s="10" t="s">
        <v>66</v>
      </c>
      <c r="AX1054" s="10"/>
      <c r="AY1054" s="10" t="s">
        <v>66</v>
      </c>
    </row>
    <row r="1055" ht="22.5" hidden="1" customHeight="1">
      <c r="A1055" s="9" t="s">
        <v>10816</v>
      </c>
      <c r="B1055" s="10" t="s">
        <v>10817</v>
      </c>
      <c r="C1055" s="10" t="s">
        <v>43</v>
      </c>
      <c r="D1055" s="10" t="s">
        <v>7530</v>
      </c>
      <c r="E1055" s="10" t="s">
        <v>66</v>
      </c>
      <c r="F1055" s="11">
        <v>1.0</v>
      </c>
      <c r="G1055" s="11">
        <v>79.35</v>
      </c>
      <c r="H1055" s="11"/>
      <c r="I1055" s="11">
        <v>-15.08</v>
      </c>
      <c r="J1055" s="11">
        <v>-19.95</v>
      </c>
      <c r="K1055" s="11"/>
      <c r="L1055" s="11">
        <v>44.32</v>
      </c>
      <c r="M1055" s="10" t="s">
        <v>46</v>
      </c>
      <c r="N1055" s="10" t="s">
        <v>45</v>
      </c>
      <c r="O1055" s="10" t="s">
        <v>47</v>
      </c>
      <c r="P1055" s="10" t="s">
        <v>48</v>
      </c>
      <c r="Q1055" s="10" t="s">
        <v>49</v>
      </c>
      <c r="R1055" s="10" t="s">
        <v>50</v>
      </c>
      <c r="S1055" s="11">
        <v>79.35</v>
      </c>
      <c r="T1055" s="11">
        <v>12.45</v>
      </c>
      <c r="U1055" s="11" t="s">
        <v>51</v>
      </c>
      <c r="V1055" s="10" t="s">
        <v>52</v>
      </c>
      <c r="W1055" s="10" t="s">
        <v>10818</v>
      </c>
      <c r="X1055" s="10" t="s">
        <v>10819</v>
      </c>
      <c r="Y1055" s="10" t="s">
        <v>10820</v>
      </c>
      <c r="Z1055" s="10" t="s">
        <v>50</v>
      </c>
      <c r="AA1055" s="10" t="s">
        <v>50</v>
      </c>
      <c r="AB1055" s="10" t="s">
        <v>10818</v>
      </c>
      <c r="AC1055" s="10" t="s">
        <v>10821</v>
      </c>
      <c r="AD1055" s="10" t="s">
        <v>10822</v>
      </c>
      <c r="AE1055" s="10" t="s">
        <v>58</v>
      </c>
      <c r="AF1055" s="10" t="s">
        <v>58</v>
      </c>
      <c r="AG1055" s="10" t="s">
        <v>10823</v>
      </c>
      <c r="AH1055" s="10" t="s">
        <v>60</v>
      </c>
      <c r="AI1055" s="10" t="s">
        <v>61</v>
      </c>
      <c r="AJ1055" s="10" t="s">
        <v>7607</v>
      </c>
      <c r="AK1055" s="10" t="s">
        <v>10824</v>
      </c>
      <c r="AL1055" s="10" t="s">
        <v>64</v>
      </c>
      <c r="AM1055" s="10" t="s">
        <v>10825</v>
      </c>
      <c r="AN1055" s="10" t="s">
        <v>50</v>
      </c>
      <c r="AO1055" s="11" t="s">
        <v>50</v>
      </c>
      <c r="AP1055" s="10" t="s">
        <v>50</v>
      </c>
      <c r="AQ1055" s="10" t="s">
        <v>50</v>
      </c>
      <c r="AR1055" s="10" t="s">
        <v>50</v>
      </c>
      <c r="AS1055" s="10" t="s">
        <v>50</v>
      </c>
      <c r="AT1055" s="10" t="s">
        <v>50</v>
      </c>
      <c r="AU1055" s="10" t="s">
        <v>50</v>
      </c>
      <c r="AV1055" s="11"/>
      <c r="AW1055" s="10" t="s">
        <v>66</v>
      </c>
      <c r="AX1055" s="10"/>
      <c r="AY1055" s="10" t="s">
        <v>66</v>
      </c>
    </row>
    <row r="1056" ht="22.5" hidden="1" customHeight="1">
      <c r="A1056" s="9" t="s">
        <v>10826</v>
      </c>
      <c r="B1056" s="10" t="s">
        <v>10827</v>
      </c>
      <c r="C1056" s="10" t="s">
        <v>43</v>
      </c>
      <c r="D1056" s="10" t="s">
        <v>7518</v>
      </c>
      <c r="E1056" s="10" t="s">
        <v>66</v>
      </c>
      <c r="F1056" s="11">
        <v>1.0</v>
      </c>
      <c r="G1056" s="11">
        <v>79.2</v>
      </c>
      <c r="H1056" s="11"/>
      <c r="I1056" s="11">
        <v>-13.46</v>
      </c>
      <c r="J1056" s="11">
        <v>-20.45</v>
      </c>
      <c r="K1056" s="11"/>
      <c r="L1056" s="11">
        <v>45.29</v>
      </c>
      <c r="M1056" s="10" t="s">
        <v>46</v>
      </c>
      <c r="N1056" s="10" t="s">
        <v>45</v>
      </c>
      <c r="O1056" s="10" t="s">
        <v>412</v>
      </c>
      <c r="P1056" s="10" t="s">
        <v>413</v>
      </c>
      <c r="Q1056" s="10" t="s">
        <v>414</v>
      </c>
      <c r="R1056" s="10" t="s">
        <v>415</v>
      </c>
      <c r="S1056" s="11">
        <v>79.2</v>
      </c>
      <c r="T1056" s="11">
        <v>10.05</v>
      </c>
      <c r="U1056" s="11" t="s">
        <v>51</v>
      </c>
      <c r="V1056" s="10" t="s">
        <v>52</v>
      </c>
      <c r="W1056" s="10" t="s">
        <v>10828</v>
      </c>
      <c r="X1056" s="10" t="s">
        <v>10829</v>
      </c>
      <c r="Y1056" s="10" t="s">
        <v>10830</v>
      </c>
      <c r="Z1056" s="10" t="s">
        <v>50</v>
      </c>
      <c r="AA1056" s="10" t="s">
        <v>50</v>
      </c>
      <c r="AB1056" s="10" t="s">
        <v>10828</v>
      </c>
      <c r="AC1056" s="10" t="s">
        <v>10831</v>
      </c>
      <c r="AD1056" s="10" t="s">
        <v>10832</v>
      </c>
      <c r="AE1056" s="10" t="s">
        <v>10833</v>
      </c>
      <c r="AF1056" s="10" t="s">
        <v>323</v>
      </c>
      <c r="AG1056" s="10" t="s">
        <v>10834</v>
      </c>
      <c r="AH1056" s="10" t="s">
        <v>60</v>
      </c>
      <c r="AI1056" s="10" t="s">
        <v>61</v>
      </c>
      <c r="AJ1056" s="10" t="s">
        <v>10835</v>
      </c>
      <c r="AK1056" s="10" t="s">
        <v>10836</v>
      </c>
      <c r="AL1056" s="10" t="s">
        <v>64</v>
      </c>
      <c r="AM1056" s="10" t="s">
        <v>10837</v>
      </c>
      <c r="AN1056" s="10" t="s">
        <v>50</v>
      </c>
      <c r="AO1056" s="11" t="s">
        <v>50</v>
      </c>
      <c r="AP1056" s="10" t="s">
        <v>50</v>
      </c>
      <c r="AQ1056" s="10" t="s">
        <v>50</v>
      </c>
      <c r="AR1056" s="10" t="s">
        <v>50</v>
      </c>
      <c r="AS1056" s="10" t="s">
        <v>50</v>
      </c>
      <c r="AT1056" s="10" t="s">
        <v>50</v>
      </c>
      <c r="AU1056" s="10" t="s">
        <v>50</v>
      </c>
      <c r="AV1056" s="11"/>
      <c r="AW1056" s="10" t="s">
        <v>66</v>
      </c>
      <c r="AX1056" s="10"/>
      <c r="AY1056" s="10" t="s">
        <v>66</v>
      </c>
    </row>
    <row r="1057" ht="22.5" hidden="1" customHeight="1">
      <c r="A1057" s="9" t="s">
        <v>10838</v>
      </c>
      <c r="B1057" s="10" t="s">
        <v>10839</v>
      </c>
      <c r="C1057" s="10" t="s">
        <v>43</v>
      </c>
      <c r="D1057" s="10" t="s">
        <v>7518</v>
      </c>
      <c r="E1057" s="10" t="s">
        <v>66</v>
      </c>
      <c r="F1057" s="11">
        <v>1.0</v>
      </c>
      <c r="G1057" s="11">
        <v>43.7</v>
      </c>
      <c r="H1057" s="11">
        <v>13.77</v>
      </c>
      <c r="I1057" s="11">
        <v>-13.43</v>
      </c>
      <c r="J1057" s="11">
        <v>-13.77</v>
      </c>
      <c r="K1057" s="11"/>
      <c r="L1057" s="11">
        <v>32.89</v>
      </c>
      <c r="M1057" s="10" t="s">
        <v>46</v>
      </c>
      <c r="N1057" s="10" t="s">
        <v>50</v>
      </c>
      <c r="O1057" s="10" t="s">
        <v>176</v>
      </c>
      <c r="P1057" s="10" t="s">
        <v>177</v>
      </c>
      <c r="Q1057" s="10" t="s">
        <v>178</v>
      </c>
      <c r="R1057" s="10" t="s">
        <v>74</v>
      </c>
      <c r="S1057" s="11">
        <v>43.7</v>
      </c>
      <c r="T1057" s="11">
        <v>22.58</v>
      </c>
      <c r="U1057" s="11" t="s">
        <v>51</v>
      </c>
      <c r="V1057" s="10" t="s">
        <v>52</v>
      </c>
      <c r="W1057" s="10" t="s">
        <v>10840</v>
      </c>
      <c r="X1057" s="10" t="s">
        <v>10841</v>
      </c>
      <c r="Y1057" s="10" t="s">
        <v>10842</v>
      </c>
      <c r="Z1057" s="10" t="s">
        <v>50</v>
      </c>
      <c r="AA1057" s="10" t="s">
        <v>50</v>
      </c>
      <c r="AB1057" s="10" t="s">
        <v>10840</v>
      </c>
      <c r="AC1057" s="10" t="s">
        <v>10843</v>
      </c>
      <c r="AD1057" s="10" t="s">
        <v>10844</v>
      </c>
      <c r="AE1057" s="10" t="s">
        <v>151</v>
      </c>
      <c r="AF1057" s="10" t="s">
        <v>151</v>
      </c>
      <c r="AG1057" s="10" t="s">
        <v>10845</v>
      </c>
      <c r="AH1057" s="10" t="s">
        <v>60</v>
      </c>
      <c r="AI1057" s="10" t="s">
        <v>61</v>
      </c>
      <c r="AJ1057" s="10" t="s">
        <v>7722</v>
      </c>
      <c r="AK1057" s="10" t="s">
        <v>10846</v>
      </c>
      <c r="AL1057" s="10" t="s">
        <v>64</v>
      </c>
      <c r="AM1057" s="10" t="s">
        <v>10847</v>
      </c>
      <c r="AN1057" s="10" t="s">
        <v>50</v>
      </c>
      <c r="AO1057" s="11" t="s">
        <v>50</v>
      </c>
      <c r="AP1057" s="10" t="s">
        <v>50</v>
      </c>
      <c r="AQ1057" s="10" t="s">
        <v>50</v>
      </c>
      <c r="AR1057" s="10" t="s">
        <v>50</v>
      </c>
      <c r="AS1057" s="10" t="s">
        <v>50</v>
      </c>
      <c r="AT1057" s="10" t="s">
        <v>50</v>
      </c>
      <c r="AU1057" s="10" t="s">
        <v>50</v>
      </c>
      <c r="AV1057" s="11"/>
      <c r="AW1057" s="10" t="s">
        <v>66</v>
      </c>
      <c r="AX1057" s="10"/>
      <c r="AY1057" s="10" t="s">
        <v>66</v>
      </c>
    </row>
    <row r="1058" ht="22.5" hidden="1" customHeight="1">
      <c r="A1058" s="9" t="s">
        <v>10848</v>
      </c>
      <c r="B1058" s="10" t="s">
        <v>10849</v>
      </c>
      <c r="C1058" s="10" t="s">
        <v>43</v>
      </c>
      <c r="D1058" s="10" t="s">
        <v>7530</v>
      </c>
      <c r="E1058" s="10" t="s">
        <v>66</v>
      </c>
      <c r="F1058" s="11">
        <v>1.0</v>
      </c>
      <c r="G1058" s="11">
        <v>79.35</v>
      </c>
      <c r="H1058" s="11"/>
      <c r="I1058" s="11">
        <v>-15.08</v>
      </c>
      <c r="J1058" s="11">
        <v>-19.95</v>
      </c>
      <c r="K1058" s="11"/>
      <c r="L1058" s="11">
        <v>44.32</v>
      </c>
      <c r="M1058" s="10" t="s">
        <v>46</v>
      </c>
      <c r="N1058" s="10" t="s">
        <v>45</v>
      </c>
      <c r="O1058" s="10" t="s">
        <v>47</v>
      </c>
      <c r="P1058" s="10" t="s">
        <v>48</v>
      </c>
      <c r="Q1058" s="10" t="s">
        <v>49</v>
      </c>
      <c r="R1058" s="10" t="s">
        <v>50</v>
      </c>
      <c r="S1058" s="11">
        <v>79.35</v>
      </c>
      <c r="T1058" s="11">
        <v>12.45</v>
      </c>
      <c r="U1058" s="11" t="s">
        <v>51</v>
      </c>
      <c r="V1058" s="10" t="s">
        <v>52</v>
      </c>
      <c r="W1058" s="10" t="s">
        <v>10850</v>
      </c>
      <c r="X1058" s="10" t="s">
        <v>10851</v>
      </c>
      <c r="Y1058" s="10" t="s">
        <v>10852</v>
      </c>
      <c r="Z1058" s="10" t="s">
        <v>50</v>
      </c>
      <c r="AA1058" s="10" t="s">
        <v>50</v>
      </c>
      <c r="AB1058" s="10" t="s">
        <v>10850</v>
      </c>
      <c r="AC1058" s="10" t="s">
        <v>10853</v>
      </c>
      <c r="AD1058" s="10" t="s">
        <v>10854</v>
      </c>
      <c r="AE1058" s="10" t="s">
        <v>2839</v>
      </c>
      <c r="AF1058" s="10" t="s">
        <v>58</v>
      </c>
      <c r="AG1058" s="10" t="s">
        <v>10855</v>
      </c>
      <c r="AH1058" s="10" t="s">
        <v>60</v>
      </c>
      <c r="AI1058" s="10" t="s">
        <v>61</v>
      </c>
      <c r="AJ1058" s="10" t="s">
        <v>10856</v>
      </c>
      <c r="AK1058" s="10" t="s">
        <v>10857</v>
      </c>
      <c r="AL1058" s="10" t="s">
        <v>64</v>
      </c>
      <c r="AM1058" s="10" t="s">
        <v>10858</v>
      </c>
      <c r="AN1058" s="10" t="s">
        <v>50</v>
      </c>
      <c r="AO1058" s="11" t="s">
        <v>50</v>
      </c>
      <c r="AP1058" s="10" t="s">
        <v>50</v>
      </c>
      <c r="AQ1058" s="10" t="s">
        <v>50</v>
      </c>
      <c r="AR1058" s="10" t="s">
        <v>50</v>
      </c>
      <c r="AS1058" s="10" t="s">
        <v>50</v>
      </c>
      <c r="AT1058" s="10" t="s">
        <v>50</v>
      </c>
      <c r="AU1058" s="10" t="s">
        <v>50</v>
      </c>
      <c r="AV1058" s="11"/>
      <c r="AW1058" s="10" t="s">
        <v>66</v>
      </c>
      <c r="AX1058" s="10"/>
      <c r="AY1058" s="10" t="s">
        <v>66</v>
      </c>
    </row>
    <row r="1059" ht="22.5" hidden="1" customHeight="1">
      <c r="A1059" s="9" t="s">
        <v>10859</v>
      </c>
      <c r="B1059" s="10" t="s">
        <v>10860</v>
      </c>
      <c r="C1059" s="10" t="s">
        <v>43</v>
      </c>
      <c r="D1059" s="10" t="s">
        <v>7530</v>
      </c>
      <c r="E1059" s="10" t="s">
        <v>66</v>
      </c>
      <c r="F1059" s="11">
        <v>1.0</v>
      </c>
      <c r="G1059" s="11">
        <v>79.0</v>
      </c>
      <c r="H1059" s="11"/>
      <c r="I1059" s="11">
        <v>-13.43</v>
      </c>
      <c r="J1059" s="11">
        <v>-19.95</v>
      </c>
      <c r="K1059" s="11"/>
      <c r="L1059" s="11">
        <v>45.62</v>
      </c>
      <c r="M1059" s="10" t="s">
        <v>46</v>
      </c>
      <c r="N1059" s="10" t="s">
        <v>45</v>
      </c>
      <c r="O1059" s="10" t="s">
        <v>766</v>
      </c>
      <c r="P1059" s="10" t="s">
        <v>767</v>
      </c>
      <c r="Q1059" s="10" t="s">
        <v>768</v>
      </c>
      <c r="R1059" s="10" t="s">
        <v>74</v>
      </c>
      <c r="S1059" s="11">
        <v>79.0</v>
      </c>
      <c r="T1059" s="11">
        <v>13.62</v>
      </c>
      <c r="U1059" s="11" t="s">
        <v>51</v>
      </c>
      <c r="V1059" s="10" t="s">
        <v>52</v>
      </c>
      <c r="W1059" s="10" t="s">
        <v>10861</v>
      </c>
      <c r="X1059" s="10" t="s">
        <v>10862</v>
      </c>
      <c r="Y1059" s="10" t="s">
        <v>10863</v>
      </c>
      <c r="Z1059" s="10" t="s">
        <v>50</v>
      </c>
      <c r="AA1059" s="10" t="s">
        <v>50</v>
      </c>
      <c r="AB1059" s="10" t="s">
        <v>10861</v>
      </c>
      <c r="AC1059" s="10" t="s">
        <v>10864</v>
      </c>
      <c r="AD1059" s="10" t="s">
        <v>10865</v>
      </c>
      <c r="AE1059" s="10" t="s">
        <v>10866</v>
      </c>
      <c r="AF1059" s="10" t="s">
        <v>58</v>
      </c>
      <c r="AG1059" s="10" t="s">
        <v>10867</v>
      </c>
      <c r="AH1059" s="10" t="s">
        <v>60</v>
      </c>
      <c r="AI1059" s="10" t="s">
        <v>61</v>
      </c>
      <c r="AJ1059" s="10" t="s">
        <v>7561</v>
      </c>
      <c r="AK1059" s="10" t="s">
        <v>10868</v>
      </c>
      <c r="AL1059" s="10" t="s">
        <v>64</v>
      </c>
      <c r="AM1059" s="10" t="s">
        <v>10869</v>
      </c>
      <c r="AN1059" s="10" t="s">
        <v>50</v>
      </c>
      <c r="AO1059" s="11" t="s">
        <v>50</v>
      </c>
      <c r="AP1059" s="10" t="s">
        <v>50</v>
      </c>
      <c r="AQ1059" s="10" t="s">
        <v>50</v>
      </c>
      <c r="AR1059" s="10" t="s">
        <v>50</v>
      </c>
      <c r="AS1059" s="10" t="s">
        <v>50</v>
      </c>
      <c r="AT1059" s="10" t="s">
        <v>50</v>
      </c>
      <c r="AU1059" s="10" t="s">
        <v>50</v>
      </c>
      <c r="AV1059" s="11"/>
      <c r="AW1059" s="10" t="s">
        <v>66</v>
      </c>
      <c r="AX1059" s="10"/>
      <c r="AY1059" s="10" t="s">
        <v>66</v>
      </c>
    </row>
    <row r="1060" ht="22.5" hidden="1" customHeight="1">
      <c r="A1060" s="9" t="s">
        <v>10870</v>
      </c>
      <c r="B1060" s="10" t="s">
        <v>10871</v>
      </c>
      <c r="C1060" s="10" t="s">
        <v>43</v>
      </c>
      <c r="D1060" s="10" t="s">
        <v>7577</v>
      </c>
      <c r="E1060" s="10" t="s">
        <v>66</v>
      </c>
      <c r="F1060" s="11">
        <v>1.0</v>
      </c>
      <c r="G1060" s="11">
        <v>120.0</v>
      </c>
      <c r="H1060" s="11">
        <v>13.45</v>
      </c>
      <c r="I1060" s="11">
        <v>-20.4</v>
      </c>
      <c r="J1060" s="11">
        <v>-33.4</v>
      </c>
      <c r="K1060" s="11"/>
      <c r="L1060" s="11">
        <v>86.85</v>
      </c>
      <c r="M1060" s="10" t="s">
        <v>46</v>
      </c>
      <c r="N1060" s="10" t="s">
        <v>45</v>
      </c>
      <c r="O1060" s="10" t="s">
        <v>85</v>
      </c>
      <c r="P1060" s="10" t="s">
        <v>86</v>
      </c>
      <c r="Q1060" s="10" t="s">
        <v>87</v>
      </c>
      <c r="R1060" s="10" t="s">
        <v>74</v>
      </c>
      <c r="S1060" s="11">
        <v>120.0</v>
      </c>
      <c r="T1060" s="11">
        <v>65.78</v>
      </c>
      <c r="U1060" s="11" t="s">
        <v>51</v>
      </c>
      <c r="V1060" s="10" t="s">
        <v>52</v>
      </c>
      <c r="W1060" s="10" t="s">
        <v>10872</v>
      </c>
      <c r="X1060" s="10" t="s">
        <v>10873</v>
      </c>
      <c r="Y1060" s="10" t="s">
        <v>10874</v>
      </c>
      <c r="Z1060" s="10" t="s">
        <v>50</v>
      </c>
      <c r="AA1060" s="10" t="s">
        <v>50</v>
      </c>
      <c r="AB1060" s="10" t="s">
        <v>10872</v>
      </c>
      <c r="AC1060" s="10" t="s">
        <v>10875</v>
      </c>
      <c r="AD1060" s="10" t="s">
        <v>10876</v>
      </c>
      <c r="AE1060" s="10" t="s">
        <v>4547</v>
      </c>
      <c r="AF1060" s="10" t="s">
        <v>2648</v>
      </c>
      <c r="AG1060" s="10" t="s">
        <v>10877</v>
      </c>
      <c r="AH1060" s="10" t="s">
        <v>60</v>
      </c>
      <c r="AI1060" s="10" t="s">
        <v>61</v>
      </c>
      <c r="AJ1060" s="10" t="s">
        <v>8144</v>
      </c>
      <c r="AK1060" s="10" t="s">
        <v>10878</v>
      </c>
      <c r="AL1060" s="10" t="s">
        <v>64</v>
      </c>
      <c r="AM1060" s="10" t="s">
        <v>10879</v>
      </c>
      <c r="AN1060" s="10" t="s">
        <v>50</v>
      </c>
      <c r="AO1060" s="11" t="s">
        <v>50</v>
      </c>
      <c r="AP1060" s="10" t="s">
        <v>50</v>
      </c>
      <c r="AQ1060" s="10" t="s">
        <v>50</v>
      </c>
      <c r="AR1060" s="10" t="s">
        <v>50</v>
      </c>
      <c r="AS1060" s="10" t="s">
        <v>50</v>
      </c>
      <c r="AT1060" s="10" t="s">
        <v>50</v>
      </c>
      <c r="AU1060" s="10" t="s">
        <v>50</v>
      </c>
      <c r="AV1060" s="11"/>
      <c r="AW1060" s="10" t="s">
        <v>66</v>
      </c>
      <c r="AX1060" s="10"/>
      <c r="AY1060" s="10" t="s">
        <v>66</v>
      </c>
    </row>
    <row r="1061" ht="22.5" hidden="1" customHeight="1">
      <c r="A1061" s="9" t="s">
        <v>10880</v>
      </c>
      <c r="B1061" s="10" t="s">
        <v>10881</v>
      </c>
      <c r="C1061" s="10" t="s">
        <v>43</v>
      </c>
      <c r="D1061" s="10" t="s">
        <v>7577</v>
      </c>
      <c r="E1061" s="10" t="s">
        <v>66</v>
      </c>
      <c r="F1061" s="11">
        <v>1.0</v>
      </c>
      <c r="G1061" s="11">
        <v>79.2</v>
      </c>
      <c r="H1061" s="11"/>
      <c r="I1061" s="11">
        <v>-13.46</v>
      </c>
      <c r="J1061" s="11">
        <v>-20.45</v>
      </c>
      <c r="K1061" s="11"/>
      <c r="L1061" s="11">
        <v>45.29</v>
      </c>
      <c r="M1061" s="10" t="s">
        <v>46</v>
      </c>
      <c r="N1061" s="10" t="s">
        <v>45</v>
      </c>
      <c r="O1061" s="10" t="s">
        <v>412</v>
      </c>
      <c r="P1061" s="10" t="s">
        <v>413</v>
      </c>
      <c r="Q1061" s="10" t="s">
        <v>414</v>
      </c>
      <c r="R1061" s="10" t="s">
        <v>415</v>
      </c>
      <c r="S1061" s="11">
        <v>79.2</v>
      </c>
      <c r="T1061" s="11">
        <v>10.05</v>
      </c>
      <c r="U1061" s="11" t="s">
        <v>51</v>
      </c>
      <c r="V1061" s="10" t="s">
        <v>52</v>
      </c>
      <c r="W1061" s="10" t="s">
        <v>10882</v>
      </c>
      <c r="X1061" s="10" t="s">
        <v>10883</v>
      </c>
      <c r="Y1061" s="10" t="s">
        <v>10884</v>
      </c>
      <c r="Z1061" s="10" t="s">
        <v>50</v>
      </c>
      <c r="AA1061" s="10" t="s">
        <v>50</v>
      </c>
      <c r="AB1061" s="10" t="s">
        <v>10882</v>
      </c>
      <c r="AC1061" s="10" t="s">
        <v>10885</v>
      </c>
      <c r="AD1061" s="10" t="s">
        <v>10886</v>
      </c>
      <c r="AE1061" s="10" t="s">
        <v>10887</v>
      </c>
      <c r="AF1061" s="10" t="s">
        <v>284</v>
      </c>
      <c r="AG1061" s="10" t="s">
        <v>10888</v>
      </c>
      <c r="AH1061" s="10" t="s">
        <v>60</v>
      </c>
      <c r="AI1061" s="10" t="s">
        <v>61</v>
      </c>
      <c r="AJ1061" s="10" t="s">
        <v>7652</v>
      </c>
      <c r="AK1061" s="10" t="s">
        <v>10889</v>
      </c>
      <c r="AL1061" s="10" t="s">
        <v>64</v>
      </c>
      <c r="AM1061" s="10" t="s">
        <v>10890</v>
      </c>
      <c r="AN1061" s="10" t="s">
        <v>50</v>
      </c>
      <c r="AO1061" s="11" t="s">
        <v>50</v>
      </c>
      <c r="AP1061" s="10" t="s">
        <v>50</v>
      </c>
      <c r="AQ1061" s="10" t="s">
        <v>50</v>
      </c>
      <c r="AR1061" s="10" t="s">
        <v>50</v>
      </c>
      <c r="AS1061" s="10" t="s">
        <v>50</v>
      </c>
      <c r="AT1061" s="10" t="s">
        <v>50</v>
      </c>
      <c r="AU1061" s="10" t="s">
        <v>50</v>
      </c>
      <c r="AV1061" s="11"/>
      <c r="AW1061" s="10" t="s">
        <v>66</v>
      </c>
      <c r="AX1061" s="10"/>
      <c r="AY1061" s="10" t="s">
        <v>66</v>
      </c>
    </row>
    <row r="1062" ht="22.5" hidden="1" customHeight="1">
      <c r="A1062" s="9" t="s">
        <v>10891</v>
      </c>
      <c r="B1062" s="10" t="s">
        <v>10892</v>
      </c>
      <c r="C1062" s="10" t="s">
        <v>43</v>
      </c>
      <c r="D1062" s="10" t="s">
        <v>7530</v>
      </c>
      <c r="E1062" s="10" t="s">
        <v>66</v>
      </c>
      <c r="F1062" s="11">
        <v>1.0</v>
      </c>
      <c r="G1062" s="11">
        <v>79.2</v>
      </c>
      <c r="H1062" s="11"/>
      <c r="I1062" s="11">
        <v>-13.46</v>
      </c>
      <c r="J1062" s="11">
        <v>-20.45</v>
      </c>
      <c r="K1062" s="11"/>
      <c r="L1062" s="11">
        <v>45.29</v>
      </c>
      <c r="M1062" s="10" t="s">
        <v>46</v>
      </c>
      <c r="N1062" s="10" t="s">
        <v>45</v>
      </c>
      <c r="O1062" s="10" t="s">
        <v>892</v>
      </c>
      <c r="P1062" s="10" t="s">
        <v>893</v>
      </c>
      <c r="Q1062" s="10" t="s">
        <v>894</v>
      </c>
      <c r="R1062" s="10" t="s">
        <v>74</v>
      </c>
      <c r="S1062" s="11">
        <v>79.2</v>
      </c>
      <c r="T1062" s="11">
        <v>2.97</v>
      </c>
      <c r="U1062" s="11" t="s">
        <v>51</v>
      </c>
      <c r="V1062" s="10" t="s">
        <v>52</v>
      </c>
      <c r="W1062" s="10" t="s">
        <v>10893</v>
      </c>
      <c r="X1062" s="10" t="s">
        <v>10894</v>
      </c>
      <c r="Y1062" s="10" t="s">
        <v>10895</v>
      </c>
      <c r="Z1062" s="10" t="s">
        <v>50</v>
      </c>
      <c r="AA1062" s="10" t="s">
        <v>50</v>
      </c>
      <c r="AB1062" s="10" t="s">
        <v>10893</v>
      </c>
      <c r="AC1062" s="10" t="s">
        <v>10896</v>
      </c>
      <c r="AD1062" s="10" t="s">
        <v>10897</v>
      </c>
      <c r="AE1062" s="10" t="s">
        <v>58</v>
      </c>
      <c r="AF1062" s="10" t="s">
        <v>58</v>
      </c>
      <c r="AG1062" s="10" t="s">
        <v>10898</v>
      </c>
      <c r="AH1062" s="10" t="s">
        <v>60</v>
      </c>
      <c r="AI1062" s="10" t="s">
        <v>61</v>
      </c>
      <c r="AJ1062" s="10" t="s">
        <v>10856</v>
      </c>
      <c r="AK1062" s="10" t="s">
        <v>10899</v>
      </c>
      <c r="AL1062" s="10" t="s">
        <v>64</v>
      </c>
      <c r="AM1062" s="10" t="s">
        <v>10900</v>
      </c>
      <c r="AN1062" s="10" t="s">
        <v>50</v>
      </c>
      <c r="AO1062" s="11" t="s">
        <v>50</v>
      </c>
      <c r="AP1062" s="10" t="s">
        <v>50</v>
      </c>
      <c r="AQ1062" s="10" t="s">
        <v>50</v>
      </c>
      <c r="AR1062" s="10" t="s">
        <v>50</v>
      </c>
      <c r="AS1062" s="10" t="s">
        <v>50</v>
      </c>
      <c r="AT1062" s="10" t="s">
        <v>50</v>
      </c>
      <c r="AU1062" s="10" t="s">
        <v>50</v>
      </c>
      <c r="AV1062" s="11"/>
      <c r="AW1062" s="10" t="s">
        <v>66</v>
      </c>
      <c r="AX1062" s="10"/>
      <c r="AY1062" s="10" t="s">
        <v>66</v>
      </c>
    </row>
    <row r="1063" ht="22.5" hidden="1" customHeight="1">
      <c r="A1063" s="9" t="s">
        <v>10901</v>
      </c>
      <c r="B1063" s="10" t="s">
        <v>10902</v>
      </c>
      <c r="C1063" s="10" t="s">
        <v>43</v>
      </c>
      <c r="D1063" s="10" t="s">
        <v>7530</v>
      </c>
      <c r="E1063" s="10" t="s">
        <v>66</v>
      </c>
      <c r="F1063" s="11">
        <v>1.0</v>
      </c>
      <c r="G1063" s="11">
        <v>79.0</v>
      </c>
      <c r="H1063" s="11"/>
      <c r="I1063" s="11">
        <v>-13.43</v>
      </c>
      <c r="J1063" s="11">
        <v>-20.45</v>
      </c>
      <c r="K1063" s="11"/>
      <c r="L1063" s="11">
        <v>45.12</v>
      </c>
      <c r="M1063" s="10" t="s">
        <v>46</v>
      </c>
      <c r="N1063" s="10" t="s">
        <v>50</v>
      </c>
      <c r="O1063" s="10" t="s">
        <v>160</v>
      </c>
      <c r="P1063" s="10" t="s">
        <v>161</v>
      </c>
      <c r="Q1063" s="10" t="s">
        <v>162</v>
      </c>
      <c r="R1063" s="10" t="s">
        <v>74</v>
      </c>
      <c r="S1063" s="11">
        <v>79.0</v>
      </c>
      <c r="T1063" s="11">
        <v>2.49</v>
      </c>
      <c r="U1063" s="11" t="s">
        <v>51</v>
      </c>
      <c r="V1063" s="10" t="s">
        <v>52</v>
      </c>
      <c r="W1063" s="10" t="s">
        <v>10903</v>
      </c>
      <c r="X1063" s="10" t="s">
        <v>10904</v>
      </c>
      <c r="Y1063" s="10" t="s">
        <v>10905</v>
      </c>
      <c r="Z1063" s="10" t="s">
        <v>50</v>
      </c>
      <c r="AA1063" s="10" t="s">
        <v>50</v>
      </c>
      <c r="AB1063" s="10" t="s">
        <v>10903</v>
      </c>
      <c r="AC1063" s="10" t="s">
        <v>10906</v>
      </c>
      <c r="AD1063" s="10" t="s">
        <v>10907</v>
      </c>
      <c r="AE1063" s="10" t="s">
        <v>10908</v>
      </c>
      <c r="AF1063" s="10" t="s">
        <v>58</v>
      </c>
      <c r="AG1063" s="10" t="s">
        <v>10909</v>
      </c>
      <c r="AH1063" s="10" t="s">
        <v>60</v>
      </c>
      <c r="AI1063" s="10" t="s">
        <v>61</v>
      </c>
      <c r="AJ1063" s="10" t="s">
        <v>7910</v>
      </c>
      <c r="AK1063" s="10" t="s">
        <v>10910</v>
      </c>
      <c r="AL1063" s="10" t="s">
        <v>64</v>
      </c>
      <c r="AM1063" s="10" t="s">
        <v>10911</v>
      </c>
      <c r="AN1063" s="10" t="s">
        <v>50</v>
      </c>
      <c r="AO1063" s="11" t="s">
        <v>50</v>
      </c>
      <c r="AP1063" s="10" t="s">
        <v>50</v>
      </c>
      <c r="AQ1063" s="10" t="s">
        <v>50</v>
      </c>
      <c r="AR1063" s="10" t="s">
        <v>50</v>
      </c>
      <c r="AS1063" s="10" t="s">
        <v>50</v>
      </c>
      <c r="AT1063" s="10" t="s">
        <v>50</v>
      </c>
      <c r="AU1063" s="10" t="s">
        <v>50</v>
      </c>
      <c r="AV1063" s="11"/>
      <c r="AW1063" s="10" t="s">
        <v>66</v>
      </c>
      <c r="AX1063" s="10"/>
      <c r="AY1063" s="10" t="s">
        <v>66</v>
      </c>
    </row>
    <row r="1064" ht="22.5" hidden="1" customHeight="1">
      <c r="A1064" s="9" t="s">
        <v>10912</v>
      </c>
      <c r="B1064" s="10" t="s">
        <v>10913</v>
      </c>
      <c r="C1064" s="10" t="s">
        <v>43</v>
      </c>
      <c r="D1064" s="10" t="s">
        <v>7530</v>
      </c>
      <c r="E1064" s="10" t="s">
        <v>66</v>
      </c>
      <c r="F1064" s="11">
        <v>1.0</v>
      </c>
      <c r="G1064" s="11">
        <v>79.2</v>
      </c>
      <c r="H1064" s="11"/>
      <c r="I1064" s="11">
        <v>-13.46</v>
      </c>
      <c r="J1064" s="11">
        <v>-20.45</v>
      </c>
      <c r="K1064" s="11"/>
      <c r="L1064" s="11">
        <v>45.29</v>
      </c>
      <c r="M1064" s="10" t="s">
        <v>46</v>
      </c>
      <c r="N1064" s="10" t="s">
        <v>45</v>
      </c>
      <c r="O1064" s="10" t="s">
        <v>892</v>
      </c>
      <c r="P1064" s="10" t="s">
        <v>893</v>
      </c>
      <c r="Q1064" s="10" t="s">
        <v>894</v>
      </c>
      <c r="R1064" s="10" t="s">
        <v>74</v>
      </c>
      <c r="S1064" s="11">
        <v>79.2</v>
      </c>
      <c r="T1064" s="11">
        <v>2.97</v>
      </c>
      <c r="U1064" s="11" t="s">
        <v>51</v>
      </c>
      <c r="V1064" s="10" t="s">
        <v>52</v>
      </c>
      <c r="W1064" s="10" t="s">
        <v>10914</v>
      </c>
      <c r="X1064" s="10" t="s">
        <v>10915</v>
      </c>
      <c r="Y1064" s="10" t="s">
        <v>10916</v>
      </c>
      <c r="Z1064" s="10" t="s">
        <v>50</v>
      </c>
      <c r="AA1064" s="10" t="s">
        <v>50</v>
      </c>
      <c r="AB1064" s="10" t="s">
        <v>10914</v>
      </c>
      <c r="AC1064" s="10" t="s">
        <v>10917</v>
      </c>
      <c r="AD1064" s="10" t="s">
        <v>10918</v>
      </c>
      <c r="AE1064" s="10" t="s">
        <v>740</v>
      </c>
      <c r="AF1064" s="10" t="s">
        <v>119</v>
      </c>
      <c r="AG1064" s="10" t="s">
        <v>10919</v>
      </c>
      <c r="AH1064" s="10" t="s">
        <v>60</v>
      </c>
      <c r="AI1064" s="10" t="s">
        <v>61</v>
      </c>
      <c r="AJ1064" s="10" t="s">
        <v>7538</v>
      </c>
      <c r="AK1064" s="10" t="s">
        <v>10920</v>
      </c>
      <c r="AL1064" s="10" t="s">
        <v>64</v>
      </c>
      <c r="AM1064" s="10" t="s">
        <v>10921</v>
      </c>
      <c r="AN1064" s="10" t="s">
        <v>50</v>
      </c>
      <c r="AO1064" s="11" t="s">
        <v>50</v>
      </c>
      <c r="AP1064" s="10" t="s">
        <v>50</v>
      </c>
      <c r="AQ1064" s="10" t="s">
        <v>50</v>
      </c>
      <c r="AR1064" s="10" t="s">
        <v>50</v>
      </c>
      <c r="AS1064" s="10" t="s">
        <v>50</v>
      </c>
      <c r="AT1064" s="10" t="s">
        <v>50</v>
      </c>
      <c r="AU1064" s="10" t="s">
        <v>50</v>
      </c>
      <c r="AV1064" s="11"/>
      <c r="AW1064" s="10" t="s">
        <v>66</v>
      </c>
      <c r="AX1064" s="10"/>
      <c r="AY1064" s="10" t="s">
        <v>66</v>
      </c>
    </row>
    <row r="1065" ht="22.5" hidden="1" customHeight="1">
      <c r="A1065" s="9" t="s">
        <v>10922</v>
      </c>
      <c r="B1065" s="10" t="s">
        <v>10923</v>
      </c>
      <c r="C1065" s="10" t="s">
        <v>43</v>
      </c>
      <c r="D1065" s="10" t="s">
        <v>7530</v>
      </c>
      <c r="E1065" s="10" t="s">
        <v>45</v>
      </c>
      <c r="F1065" s="11">
        <v>1.0</v>
      </c>
      <c r="G1065" s="11">
        <v>79.0</v>
      </c>
      <c r="H1065" s="11"/>
      <c r="I1065" s="11">
        <v>-13.43</v>
      </c>
      <c r="J1065" s="11">
        <v>-19.95</v>
      </c>
      <c r="K1065" s="11"/>
      <c r="L1065" s="11">
        <v>45.62</v>
      </c>
      <c r="M1065" s="10" t="s">
        <v>46</v>
      </c>
      <c r="N1065" s="10" t="s">
        <v>45</v>
      </c>
      <c r="O1065" s="10" t="s">
        <v>766</v>
      </c>
      <c r="P1065" s="10" t="s">
        <v>767</v>
      </c>
      <c r="Q1065" s="10" t="s">
        <v>768</v>
      </c>
      <c r="R1065" s="10" t="s">
        <v>74</v>
      </c>
      <c r="S1065" s="11">
        <v>79.0</v>
      </c>
      <c r="T1065" s="11">
        <v>13.62</v>
      </c>
      <c r="U1065" s="11" t="s">
        <v>51</v>
      </c>
      <c r="V1065" s="10" t="s">
        <v>52</v>
      </c>
      <c r="W1065" s="10" t="s">
        <v>10924</v>
      </c>
      <c r="X1065" s="10" t="s">
        <v>10925</v>
      </c>
      <c r="Y1065" s="10" t="s">
        <v>10926</v>
      </c>
      <c r="Z1065" s="10" t="s">
        <v>50</v>
      </c>
      <c r="AA1065" s="10" t="s">
        <v>50</v>
      </c>
      <c r="AB1065" s="10" t="s">
        <v>10924</v>
      </c>
      <c r="AC1065" s="10" t="s">
        <v>10927</v>
      </c>
      <c r="AD1065" s="10" t="s">
        <v>10928</v>
      </c>
      <c r="AE1065" s="10" t="s">
        <v>10929</v>
      </c>
      <c r="AF1065" s="10" t="s">
        <v>323</v>
      </c>
      <c r="AG1065" s="10" t="s">
        <v>10930</v>
      </c>
      <c r="AH1065" s="10" t="s">
        <v>60</v>
      </c>
      <c r="AI1065" s="10" t="s">
        <v>61</v>
      </c>
      <c r="AJ1065" s="10" t="s">
        <v>10769</v>
      </c>
      <c r="AK1065" s="10" t="s">
        <v>10739</v>
      </c>
      <c r="AL1065" s="10" t="s">
        <v>64</v>
      </c>
      <c r="AM1065" s="10" t="s">
        <v>10931</v>
      </c>
      <c r="AN1065" s="10" t="s">
        <v>50</v>
      </c>
      <c r="AO1065" s="11" t="s">
        <v>50</v>
      </c>
      <c r="AP1065" s="10" t="s">
        <v>50</v>
      </c>
      <c r="AQ1065" s="10" t="s">
        <v>50</v>
      </c>
      <c r="AR1065" s="10" t="s">
        <v>50</v>
      </c>
      <c r="AS1065" s="10" t="s">
        <v>50</v>
      </c>
      <c r="AT1065" s="10" t="s">
        <v>50</v>
      </c>
      <c r="AU1065" s="10" t="s">
        <v>50</v>
      </c>
      <c r="AV1065" s="11"/>
      <c r="AW1065" s="10" t="s">
        <v>66</v>
      </c>
      <c r="AX1065" s="10"/>
      <c r="AY1065" s="10" t="s">
        <v>66</v>
      </c>
    </row>
    <row r="1066" ht="22.5" hidden="1" customHeight="1">
      <c r="A1066" s="9" t="s">
        <v>10932</v>
      </c>
      <c r="B1066" s="10" t="s">
        <v>10933</v>
      </c>
      <c r="C1066" s="10" t="s">
        <v>43</v>
      </c>
      <c r="D1066" s="10" t="s">
        <v>7530</v>
      </c>
      <c r="E1066" s="10" t="s">
        <v>66</v>
      </c>
      <c r="F1066" s="11">
        <v>1.0</v>
      </c>
      <c r="G1066" s="11">
        <v>43.7</v>
      </c>
      <c r="H1066" s="11">
        <v>14.15</v>
      </c>
      <c r="I1066" s="11">
        <v>-13.43</v>
      </c>
      <c r="J1066" s="11">
        <v>-14.15</v>
      </c>
      <c r="K1066" s="11"/>
      <c r="L1066" s="11">
        <v>32.89</v>
      </c>
      <c r="M1066" s="10" t="s">
        <v>46</v>
      </c>
      <c r="N1066" s="10" t="s">
        <v>50</v>
      </c>
      <c r="O1066" s="10" t="s">
        <v>176</v>
      </c>
      <c r="P1066" s="10" t="s">
        <v>177</v>
      </c>
      <c r="Q1066" s="10" t="s">
        <v>178</v>
      </c>
      <c r="R1066" s="10" t="s">
        <v>74</v>
      </c>
      <c r="S1066" s="11">
        <v>43.7</v>
      </c>
      <c r="T1066" s="11">
        <v>22.58</v>
      </c>
      <c r="U1066" s="11" t="s">
        <v>51</v>
      </c>
      <c r="V1066" s="10" t="s">
        <v>52</v>
      </c>
      <c r="W1066" s="10" t="s">
        <v>10934</v>
      </c>
      <c r="X1066" s="10" t="s">
        <v>10935</v>
      </c>
      <c r="Y1066" s="10" t="s">
        <v>10936</v>
      </c>
      <c r="Z1066" s="10" t="s">
        <v>50</v>
      </c>
      <c r="AA1066" s="10" t="s">
        <v>50</v>
      </c>
      <c r="AB1066" s="10" t="s">
        <v>10934</v>
      </c>
      <c r="AC1066" s="10" t="s">
        <v>10937</v>
      </c>
      <c r="AD1066" s="10" t="s">
        <v>10938</v>
      </c>
      <c r="AE1066" s="10" t="s">
        <v>2032</v>
      </c>
      <c r="AF1066" s="10" t="s">
        <v>58</v>
      </c>
      <c r="AG1066" s="10" t="s">
        <v>10939</v>
      </c>
      <c r="AH1066" s="10" t="s">
        <v>60</v>
      </c>
      <c r="AI1066" s="10" t="s">
        <v>61</v>
      </c>
      <c r="AJ1066" s="10" t="s">
        <v>8088</v>
      </c>
      <c r="AK1066" s="10" t="s">
        <v>10940</v>
      </c>
      <c r="AL1066" s="10" t="s">
        <v>64</v>
      </c>
      <c r="AM1066" s="10" t="s">
        <v>10941</v>
      </c>
      <c r="AN1066" s="10" t="s">
        <v>50</v>
      </c>
      <c r="AO1066" s="11" t="s">
        <v>50</v>
      </c>
      <c r="AP1066" s="10" t="s">
        <v>50</v>
      </c>
      <c r="AQ1066" s="10" t="s">
        <v>50</v>
      </c>
      <c r="AR1066" s="10" t="s">
        <v>50</v>
      </c>
      <c r="AS1066" s="10" t="s">
        <v>50</v>
      </c>
      <c r="AT1066" s="10" t="s">
        <v>50</v>
      </c>
      <c r="AU1066" s="10" t="s">
        <v>50</v>
      </c>
      <c r="AV1066" s="11"/>
      <c r="AW1066" s="10" t="s">
        <v>66</v>
      </c>
      <c r="AX1066" s="10"/>
      <c r="AY1066" s="10" t="s">
        <v>66</v>
      </c>
    </row>
    <row r="1067" ht="22.5" hidden="1" customHeight="1">
      <c r="A1067" s="9" t="s">
        <v>10942</v>
      </c>
      <c r="B1067" s="10" t="s">
        <v>10943</v>
      </c>
      <c r="C1067" s="10" t="s">
        <v>43</v>
      </c>
      <c r="D1067" s="10" t="s">
        <v>7530</v>
      </c>
      <c r="E1067" s="10" t="s">
        <v>66</v>
      </c>
      <c r="F1067" s="11">
        <v>1.0</v>
      </c>
      <c r="G1067" s="11">
        <v>42.35</v>
      </c>
      <c r="H1067" s="11">
        <v>13.68</v>
      </c>
      <c r="I1067" s="11">
        <v>-14.05</v>
      </c>
      <c r="J1067" s="11">
        <v>-13.68</v>
      </c>
      <c r="K1067" s="11"/>
      <c r="L1067" s="11">
        <v>28.3</v>
      </c>
      <c r="M1067" s="10" t="s">
        <v>46</v>
      </c>
      <c r="N1067" s="10" t="s">
        <v>45</v>
      </c>
      <c r="O1067" s="10" t="s">
        <v>863</v>
      </c>
      <c r="P1067" s="10" t="s">
        <v>864</v>
      </c>
      <c r="Q1067" s="10" t="s">
        <v>865</v>
      </c>
      <c r="R1067" s="10" t="s">
        <v>50</v>
      </c>
      <c r="S1067" s="11">
        <v>42.35</v>
      </c>
      <c r="T1067" s="11">
        <v>4.15</v>
      </c>
      <c r="U1067" s="11" t="s">
        <v>51</v>
      </c>
      <c r="V1067" s="10" t="s">
        <v>52</v>
      </c>
      <c r="W1067" s="10" t="s">
        <v>10944</v>
      </c>
      <c r="X1067" s="10" t="s">
        <v>10945</v>
      </c>
      <c r="Y1067" s="10" t="s">
        <v>10946</v>
      </c>
      <c r="Z1067" s="10" t="s">
        <v>50</v>
      </c>
      <c r="AA1067" s="10" t="s">
        <v>50</v>
      </c>
      <c r="AB1067" s="10" t="s">
        <v>10944</v>
      </c>
      <c r="AC1067" s="10" t="s">
        <v>10947</v>
      </c>
      <c r="AD1067" s="10" t="s">
        <v>10948</v>
      </c>
      <c r="AE1067" s="10" t="s">
        <v>235</v>
      </c>
      <c r="AF1067" s="10" t="s">
        <v>58</v>
      </c>
      <c r="AG1067" s="10" t="s">
        <v>9157</v>
      </c>
      <c r="AH1067" s="10" t="s">
        <v>60</v>
      </c>
      <c r="AI1067" s="10" t="s">
        <v>61</v>
      </c>
      <c r="AJ1067" s="10" t="s">
        <v>10856</v>
      </c>
      <c r="AK1067" s="10" t="s">
        <v>10949</v>
      </c>
      <c r="AL1067" s="10" t="s">
        <v>64</v>
      </c>
      <c r="AM1067" s="10" t="s">
        <v>10950</v>
      </c>
      <c r="AN1067" s="10" t="s">
        <v>50</v>
      </c>
      <c r="AO1067" s="11" t="s">
        <v>50</v>
      </c>
      <c r="AP1067" s="10" t="s">
        <v>50</v>
      </c>
      <c r="AQ1067" s="10" t="s">
        <v>50</v>
      </c>
      <c r="AR1067" s="10" t="s">
        <v>50</v>
      </c>
      <c r="AS1067" s="10" t="s">
        <v>50</v>
      </c>
      <c r="AT1067" s="10" t="s">
        <v>50</v>
      </c>
      <c r="AU1067" s="10" t="s">
        <v>50</v>
      </c>
      <c r="AV1067" s="11"/>
      <c r="AW1067" s="10" t="s">
        <v>66</v>
      </c>
      <c r="AX1067" s="10"/>
      <c r="AY1067" s="10" t="s">
        <v>66</v>
      </c>
    </row>
    <row r="1068" ht="22.5" hidden="1" customHeight="1">
      <c r="A1068" s="9" t="s">
        <v>10951</v>
      </c>
      <c r="B1068" s="10" t="s">
        <v>10952</v>
      </c>
      <c r="C1068" s="10" t="s">
        <v>43</v>
      </c>
      <c r="D1068" s="10" t="s">
        <v>7518</v>
      </c>
      <c r="E1068" s="10" t="s">
        <v>45</v>
      </c>
      <c r="F1068" s="11">
        <v>1.0</v>
      </c>
      <c r="G1068" s="11">
        <v>79.0</v>
      </c>
      <c r="H1068" s="11"/>
      <c r="I1068" s="11">
        <v>-13.43</v>
      </c>
      <c r="J1068" s="11">
        <v>-19.95</v>
      </c>
      <c r="K1068" s="11"/>
      <c r="L1068" s="11">
        <v>45.62</v>
      </c>
      <c r="M1068" s="10" t="s">
        <v>46</v>
      </c>
      <c r="N1068" s="10" t="s">
        <v>50</v>
      </c>
      <c r="O1068" s="10" t="s">
        <v>766</v>
      </c>
      <c r="P1068" s="10" t="s">
        <v>767</v>
      </c>
      <c r="Q1068" s="10" t="s">
        <v>768</v>
      </c>
      <c r="R1068" s="10" t="s">
        <v>74</v>
      </c>
      <c r="S1068" s="11">
        <v>79.0</v>
      </c>
      <c r="T1068" s="11">
        <v>13.62</v>
      </c>
      <c r="U1068" s="11" t="s">
        <v>51</v>
      </c>
      <c r="V1068" s="10" t="s">
        <v>52</v>
      </c>
      <c r="W1068" s="10" t="s">
        <v>10953</v>
      </c>
      <c r="X1068" s="10" t="s">
        <v>10954</v>
      </c>
      <c r="Y1068" s="10" t="s">
        <v>10955</v>
      </c>
      <c r="Z1068" s="10" t="s">
        <v>50</v>
      </c>
      <c r="AA1068" s="10" t="s">
        <v>50</v>
      </c>
      <c r="AB1068" s="10" t="s">
        <v>10953</v>
      </c>
      <c r="AC1068" s="10" t="s">
        <v>10956</v>
      </c>
      <c r="AD1068" s="10" t="s">
        <v>10957</v>
      </c>
      <c r="AE1068" s="10" t="s">
        <v>10833</v>
      </c>
      <c r="AF1068" s="10" t="s">
        <v>323</v>
      </c>
      <c r="AG1068" s="10" t="s">
        <v>10958</v>
      </c>
      <c r="AH1068" s="10" t="s">
        <v>60</v>
      </c>
      <c r="AI1068" s="10" t="s">
        <v>61</v>
      </c>
      <c r="AJ1068" s="10" t="s">
        <v>10835</v>
      </c>
      <c r="AK1068" s="10" t="s">
        <v>10959</v>
      </c>
      <c r="AL1068" s="10" t="s">
        <v>64</v>
      </c>
      <c r="AM1068" s="10" t="s">
        <v>10960</v>
      </c>
      <c r="AN1068" s="10" t="s">
        <v>50</v>
      </c>
      <c r="AO1068" s="11" t="s">
        <v>50</v>
      </c>
      <c r="AP1068" s="10" t="s">
        <v>50</v>
      </c>
      <c r="AQ1068" s="10" t="s">
        <v>50</v>
      </c>
      <c r="AR1068" s="10" t="s">
        <v>50</v>
      </c>
      <c r="AS1068" s="10" t="s">
        <v>50</v>
      </c>
      <c r="AT1068" s="10" t="s">
        <v>50</v>
      </c>
      <c r="AU1068" s="10" t="s">
        <v>50</v>
      </c>
      <c r="AV1068" s="11"/>
      <c r="AW1068" s="10" t="s">
        <v>66</v>
      </c>
      <c r="AX1068" s="10"/>
      <c r="AY1068" s="10" t="s">
        <v>66</v>
      </c>
    </row>
    <row r="1069" ht="22.5" hidden="1" customHeight="1">
      <c r="A1069" s="9" t="s">
        <v>10961</v>
      </c>
      <c r="B1069" s="10" t="s">
        <v>10962</v>
      </c>
      <c r="C1069" s="10" t="s">
        <v>43</v>
      </c>
      <c r="D1069" s="10" t="s">
        <v>7530</v>
      </c>
      <c r="E1069" s="10" t="s">
        <v>45</v>
      </c>
      <c r="F1069" s="11">
        <v>2.0</v>
      </c>
      <c r="G1069" s="11">
        <v>87.4</v>
      </c>
      <c r="H1069" s="11"/>
      <c r="I1069" s="11">
        <v>-26.86</v>
      </c>
      <c r="J1069" s="11"/>
      <c r="K1069" s="11"/>
      <c r="L1069" s="11">
        <v>65.78</v>
      </c>
      <c r="M1069" s="10" t="s">
        <v>46</v>
      </c>
      <c r="N1069" s="10" t="s">
        <v>50</v>
      </c>
      <c r="O1069" s="10" t="s">
        <v>176</v>
      </c>
      <c r="P1069" s="10" t="s">
        <v>177</v>
      </c>
      <c r="Q1069" s="10" t="s">
        <v>178</v>
      </c>
      <c r="R1069" s="10" t="s">
        <v>74</v>
      </c>
      <c r="S1069" s="11">
        <v>43.7</v>
      </c>
      <c r="T1069" s="11">
        <f>2*22.58</f>
        <v>45.16</v>
      </c>
      <c r="U1069" s="11" t="s">
        <v>51</v>
      </c>
      <c r="V1069" s="10" t="s">
        <v>52</v>
      </c>
      <c r="W1069" s="10" t="s">
        <v>10963</v>
      </c>
      <c r="X1069" s="10" t="s">
        <v>10964</v>
      </c>
      <c r="Y1069" s="10" t="s">
        <v>10965</v>
      </c>
      <c r="Z1069" s="10" t="s">
        <v>50</v>
      </c>
      <c r="AA1069" s="10" t="s">
        <v>50</v>
      </c>
      <c r="AB1069" s="10" t="s">
        <v>10963</v>
      </c>
      <c r="AC1069" s="10" t="s">
        <v>10966</v>
      </c>
      <c r="AD1069" s="10" t="s">
        <v>10967</v>
      </c>
      <c r="AE1069" s="10" t="s">
        <v>235</v>
      </c>
      <c r="AF1069" s="10" t="s">
        <v>58</v>
      </c>
      <c r="AG1069" s="10" t="s">
        <v>10968</v>
      </c>
      <c r="AH1069" s="10" t="s">
        <v>60</v>
      </c>
      <c r="AI1069" s="10" t="s">
        <v>61</v>
      </c>
      <c r="AJ1069" s="10" t="s">
        <v>10856</v>
      </c>
      <c r="AK1069" s="10" t="s">
        <v>10969</v>
      </c>
      <c r="AL1069" s="10" t="s">
        <v>64</v>
      </c>
      <c r="AM1069" s="10" t="s">
        <v>10970</v>
      </c>
      <c r="AN1069" s="10" t="s">
        <v>50</v>
      </c>
      <c r="AO1069" s="11" t="s">
        <v>50</v>
      </c>
      <c r="AP1069" s="10" t="s">
        <v>50</v>
      </c>
      <c r="AQ1069" s="10" t="s">
        <v>50</v>
      </c>
      <c r="AR1069" s="10" t="s">
        <v>50</v>
      </c>
      <c r="AS1069" s="10" t="s">
        <v>50</v>
      </c>
      <c r="AT1069" s="10" t="s">
        <v>50</v>
      </c>
      <c r="AU1069" s="10" t="s">
        <v>50</v>
      </c>
      <c r="AV1069" s="11"/>
      <c r="AW1069" s="10" t="s">
        <v>66</v>
      </c>
      <c r="AX1069" s="10"/>
      <c r="AY1069" s="10" t="s">
        <v>66</v>
      </c>
    </row>
    <row r="1070" ht="22.5" hidden="1" customHeight="1">
      <c r="A1070" s="9" t="s">
        <v>10971</v>
      </c>
      <c r="B1070" s="10" t="s">
        <v>10972</v>
      </c>
      <c r="C1070" s="10" t="s">
        <v>43</v>
      </c>
      <c r="D1070" s="10" t="s">
        <v>7530</v>
      </c>
      <c r="E1070" s="10" t="s">
        <v>45</v>
      </c>
      <c r="F1070" s="11">
        <v>4.0</v>
      </c>
      <c r="G1070" s="11">
        <v>174.8</v>
      </c>
      <c r="H1070" s="11"/>
      <c r="I1070" s="11">
        <v>-53.72</v>
      </c>
      <c r="J1070" s="11"/>
      <c r="K1070" s="11"/>
      <c r="L1070" s="11">
        <v>131.56</v>
      </c>
      <c r="M1070" s="10" t="s">
        <v>46</v>
      </c>
      <c r="N1070" s="10" t="s">
        <v>50</v>
      </c>
      <c r="O1070" s="10" t="s">
        <v>176</v>
      </c>
      <c r="P1070" s="10" t="s">
        <v>177</v>
      </c>
      <c r="Q1070" s="10" t="s">
        <v>178</v>
      </c>
      <c r="R1070" s="10" t="s">
        <v>74</v>
      </c>
      <c r="S1070" s="11">
        <v>43.7</v>
      </c>
      <c r="T1070" s="11">
        <f>4*22.58</f>
        <v>90.32</v>
      </c>
      <c r="U1070" s="11" t="s">
        <v>51</v>
      </c>
      <c r="V1070" s="10" t="s">
        <v>52</v>
      </c>
      <c r="W1070" s="10" t="s">
        <v>10973</v>
      </c>
      <c r="X1070" s="10" t="s">
        <v>10974</v>
      </c>
      <c r="Y1070" s="10" t="s">
        <v>10975</v>
      </c>
      <c r="Z1070" s="10" t="s">
        <v>50</v>
      </c>
      <c r="AA1070" s="10" t="s">
        <v>50</v>
      </c>
      <c r="AB1070" s="10" t="s">
        <v>10973</v>
      </c>
      <c r="AC1070" s="10" t="s">
        <v>10976</v>
      </c>
      <c r="AD1070" s="10" t="s">
        <v>10977</v>
      </c>
      <c r="AE1070" s="10" t="s">
        <v>1346</v>
      </c>
      <c r="AF1070" s="10" t="s">
        <v>1347</v>
      </c>
      <c r="AG1070" s="10" t="s">
        <v>10978</v>
      </c>
      <c r="AH1070" s="10" t="s">
        <v>60</v>
      </c>
      <c r="AI1070" s="10" t="s">
        <v>61</v>
      </c>
      <c r="AJ1070" s="10" t="s">
        <v>7999</v>
      </c>
      <c r="AK1070" s="10" t="s">
        <v>10979</v>
      </c>
      <c r="AL1070" s="10" t="s">
        <v>64</v>
      </c>
      <c r="AM1070" s="10" t="s">
        <v>10980</v>
      </c>
      <c r="AN1070" s="10" t="s">
        <v>50</v>
      </c>
      <c r="AO1070" s="11" t="s">
        <v>50</v>
      </c>
      <c r="AP1070" s="10" t="s">
        <v>50</v>
      </c>
      <c r="AQ1070" s="10" t="s">
        <v>50</v>
      </c>
      <c r="AR1070" s="10" t="s">
        <v>50</v>
      </c>
      <c r="AS1070" s="10" t="s">
        <v>50</v>
      </c>
      <c r="AT1070" s="10" t="s">
        <v>50</v>
      </c>
      <c r="AU1070" s="10" t="s">
        <v>50</v>
      </c>
      <c r="AV1070" s="11"/>
      <c r="AW1070" s="10" t="s">
        <v>66</v>
      </c>
      <c r="AX1070" s="10"/>
      <c r="AY1070" s="10" t="s">
        <v>66</v>
      </c>
    </row>
    <row r="1071" ht="22.5" hidden="1" customHeight="1">
      <c r="A1071" s="9" t="s">
        <v>10981</v>
      </c>
      <c r="B1071" s="10" t="s">
        <v>10982</v>
      </c>
      <c r="C1071" s="10" t="s">
        <v>43</v>
      </c>
      <c r="D1071" s="10" t="s">
        <v>7518</v>
      </c>
      <c r="E1071" s="10" t="s">
        <v>45</v>
      </c>
      <c r="F1071" s="11">
        <v>2.0</v>
      </c>
      <c r="G1071" s="11">
        <v>240.0</v>
      </c>
      <c r="H1071" s="11"/>
      <c r="I1071" s="11">
        <v>-40.8</v>
      </c>
      <c r="J1071" s="11">
        <v>-39.9</v>
      </c>
      <c r="K1071" s="11"/>
      <c r="L1071" s="11">
        <v>173.7</v>
      </c>
      <c r="M1071" s="10" t="s">
        <v>46</v>
      </c>
      <c r="N1071" s="10" t="s">
        <v>45</v>
      </c>
      <c r="O1071" s="10" t="s">
        <v>85</v>
      </c>
      <c r="P1071" s="10" t="s">
        <v>86</v>
      </c>
      <c r="Q1071" s="10" t="s">
        <v>87</v>
      </c>
      <c r="R1071" s="10" t="s">
        <v>74</v>
      </c>
      <c r="S1071" s="11">
        <v>120.0</v>
      </c>
      <c r="T1071" s="11">
        <f>2*65.78</f>
        <v>131.56</v>
      </c>
      <c r="U1071" s="11" t="s">
        <v>51</v>
      </c>
      <c r="V1071" s="10" t="s">
        <v>52</v>
      </c>
      <c r="W1071" s="10" t="s">
        <v>10983</v>
      </c>
      <c r="X1071" s="10" t="s">
        <v>10984</v>
      </c>
      <c r="Y1071" s="10" t="s">
        <v>10985</v>
      </c>
      <c r="Z1071" s="10" t="s">
        <v>50</v>
      </c>
      <c r="AA1071" s="10" t="s">
        <v>50</v>
      </c>
      <c r="AB1071" s="10" t="s">
        <v>10983</v>
      </c>
      <c r="AC1071" s="10" t="s">
        <v>10986</v>
      </c>
      <c r="AD1071" s="10" t="s">
        <v>10987</v>
      </c>
      <c r="AE1071" s="10" t="s">
        <v>4905</v>
      </c>
      <c r="AF1071" s="10" t="s">
        <v>151</v>
      </c>
      <c r="AG1071" s="10" t="s">
        <v>10988</v>
      </c>
      <c r="AH1071" s="10" t="s">
        <v>60</v>
      </c>
      <c r="AI1071" s="10" t="s">
        <v>61</v>
      </c>
      <c r="AJ1071" s="10" t="s">
        <v>7572</v>
      </c>
      <c r="AK1071" s="10" t="s">
        <v>10989</v>
      </c>
      <c r="AL1071" s="10" t="s">
        <v>64</v>
      </c>
      <c r="AM1071" s="10" t="s">
        <v>10990</v>
      </c>
      <c r="AN1071" s="10" t="s">
        <v>50</v>
      </c>
      <c r="AO1071" s="11" t="s">
        <v>50</v>
      </c>
      <c r="AP1071" s="10" t="s">
        <v>50</v>
      </c>
      <c r="AQ1071" s="10" t="s">
        <v>50</v>
      </c>
      <c r="AR1071" s="10" t="s">
        <v>50</v>
      </c>
      <c r="AS1071" s="10" t="s">
        <v>50</v>
      </c>
      <c r="AT1071" s="10" t="s">
        <v>50</v>
      </c>
      <c r="AU1071" s="10" t="s">
        <v>50</v>
      </c>
      <c r="AV1071" s="11"/>
      <c r="AW1071" s="10" t="s">
        <v>66</v>
      </c>
      <c r="AX1071" s="10"/>
      <c r="AY1071" s="10" t="s">
        <v>66</v>
      </c>
    </row>
    <row r="1072" ht="22.5" hidden="1" customHeight="1">
      <c r="A1072" s="9" t="s">
        <v>10991</v>
      </c>
      <c r="B1072" s="10" t="s">
        <v>10992</v>
      </c>
      <c r="C1072" s="10" t="s">
        <v>43</v>
      </c>
      <c r="D1072" s="10" t="s">
        <v>7530</v>
      </c>
      <c r="E1072" s="10" t="s">
        <v>66</v>
      </c>
      <c r="F1072" s="11">
        <v>1.0</v>
      </c>
      <c r="G1072" s="11">
        <v>43.7</v>
      </c>
      <c r="H1072" s="11">
        <v>14.63</v>
      </c>
      <c r="I1072" s="11">
        <v>-13.43</v>
      </c>
      <c r="J1072" s="11">
        <v>-14.63</v>
      </c>
      <c r="K1072" s="11"/>
      <c r="L1072" s="11">
        <v>32.89</v>
      </c>
      <c r="M1072" s="10" t="s">
        <v>46</v>
      </c>
      <c r="N1072" s="10" t="s">
        <v>50</v>
      </c>
      <c r="O1072" s="10" t="s">
        <v>176</v>
      </c>
      <c r="P1072" s="10" t="s">
        <v>177</v>
      </c>
      <c r="Q1072" s="10" t="s">
        <v>178</v>
      </c>
      <c r="R1072" s="10" t="s">
        <v>74</v>
      </c>
      <c r="S1072" s="11">
        <v>43.7</v>
      </c>
      <c r="T1072" s="11">
        <v>22.58</v>
      </c>
      <c r="U1072" s="11" t="s">
        <v>51</v>
      </c>
      <c r="V1072" s="10" t="s">
        <v>52</v>
      </c>
      <c r="W1072" s="10" t="s">
        <v>10993</v>
      </c>
      <c r="X1072" s="10" t="s">
        <v>10994</v>
      </c>
      <c r="Y1072" s="10" t="s">
        <v>10995</v>
      </c>
      <c r="Z1072" s="10" t="s">
        <v>50</v>
      </c>
      <c r="AA1072" s="10" t="s">
        <v>50</v>
      </c>
      <c r="AB1072" s="10" t="s">
        <v>10993</v>
      </c>
      <c r="AC1072" s="10" t="s">
        <v>10996</v>
      </c>
      <c r="AD1072" s="10" t="s">
        <v>10997</v>
      </c>
      <c r="AE1072" s="10" t="s">
        <v>10998</v>
      </c>
      <c r="AF1072" s="10" t="s">
        <v>58</v>
      </c>
      <c r="AG1072" s="10" t="s">
        <v>10999</v>
      </c>
      <c r="AH1072" s="10" t="s">
        <v>60</v>
      </c>
      <c r="AI1072" s="10" t="s">
        <v>61</v>
      </c>
      <c r="AJ1072" s="10" t="s">
        <v>8021</v>
      </c>
      <c r="AK1072" s="10" t="s">
        <v>11000</v>
      </c>
      <c r="AL1072" s="10" t="s">
        <v>64</v>
      </c>
      <c r="AM1072" s="10" t="s">
        <v>11001</v>
      </c>
      <c r="AN1072" s="10" t="s">
        <v>50</v>
      </c>
      <c r="AO1072" s="11" t="s">
        <v>50</v>
      </c>
      <c r="AP1072" s="10" t="s">
        <v>50</v>
      </c>
      <c r="AQ1072" s="10" t="s">
        <v>50</v>
      </c>
      <c r="AR1072" s="10" t="s">
        <v>50</v>
      </c>
      <c r="AS1072" s="10" t="s">
        <v>50</v>
      </c>
      <c r="AT1072" s="10" t="s">
        <v>50</v>
      </c>
      <c r="AU1072" s="10" t="s">
        <v>50</v>
      </c>
      <c r="AV1072" s="11"/>
      <c r="AW1072" s="10" t="s">
        <v>66</v>
      </c>
      <c r="AX1072" s="10"/>
      <c r="AY1072" s="10" t="s">
        <v>66</v>
      </c>
    </row>
    <row r="1073" ht="22.5" hidden="1" customHeight="1">
      <c r="A1073" s="9" t="s">
        <v>11002</v>
      </c>
      <c r="B1073" s="10" t="s">
        <v>11003</v>
      </c>
      <c r="C1073" s="10" t="s">
        <v>43</v>
      </c>
      <c r="D1073" s="10" t="s">
        <v>5200</v>
      </c>
      <c r="E1073" s="10" t="s">
        <v>66</v>
      </c>
      <c r="F1073" s="11">
        <v>1.0</v>
      </c>
      <c r="G1073" s="11">
        <v>79.2</v>
      </c>
      <c r="H1073" s="11"/>
      <c r="I1073" s="11">
        <v>-13.46</v>
      </c>
      <c r="J1073" s="11">
        <v>-20.45</v>
      </c>
      <c r="K1073" s="11"/>
      <c r="L1073" s="11">
        <v>45.29</v>
      </c>
      <c r="M1073" s="10" t="s">
        <v>46</v>
      </c>
      <c r="N1073" s="10" t="s">
        <v>45</v>
      </c>
      <c r="O1073" s="10" t="s">
        <v>892</v>
      </c>
      <c r="P1073" s="10" t="s">
        <v>893</v>
      </c>
      <c r="Q1073" s="10" t="s">
        <v>894</v>
      </c>
      <c r="R1073" s="10" t="s">
        <v>74</v>
      </c>
      <c r="S1073" s="11">
        <v>79.2</v>
      </c>
      <c r="T1073" s="11">
        <v>2.97</v>
      </c>
      <c r="U1073" s="11" t="s">
        <v>51</v>
      </c>
      <c r="V1073" s="10" t="s">
        <v>52</v>
      </c>
      <c r="W1073" s="10" t="s">
        <v>11004</v>
      </c>
      <c r="X1073" s="10" t="s">
        <v>11005</v>
      </c>
      <c r="Y1073" s="10" t="s">
        <v>11006</v>
      </c>
      <c r="Z1073" s="10" t="s">
        <v>50</v>
      </c>
      <c r="AA1073" s="10" t="s">
        <v>50</v>
      </c>
      <c r="AB1073" s="10" t="s">
        <v>11004</v>
      </c>
      <c r="AC1073" s="10" t="s">
        <v>11007</v>
      </c>
      <c r="AD1073" s="10" t="s">
        <v>11008</v>
      </c>
      <c r="AE1073" s="10" t="s">
        <v>1100</v>
      </c>
      <c r="AF1073" s="10" t="s">
        <v>799</v>
      </c>
      <c r="AG1073" s="10" t="s">
        <v>11009</v>
      </c>
      <c r="AH1073" s="10" t="s">
        <v>60</v>
      </c>
      <c r="AI1073" s="10" t="s">
        <v>61</v>
      </c>
      <c r="AJ1073" s="10" t="s">
        <v>8144</v>
      </c>
      <c r="AK1073" s="10" t="s">
        <v>11010</v>
      </c>
      <c r="AL1073" s="10" t="s">
        <v>64</v>
      </c>
      <c r="AM1073" s="10" t="s">
        <v>11011</v>
      </c>
      <c r="AN1073" s="10" t="s">
        <v>50</v>
      </c>
      <c r="AO1073" s="11" t="s">
        <v>50</v>
      </c>
      <c r="AP1073" s="10" t="s">
        <v>50</v>
      </c>
      <c r="AQ1073" s="10" t="s">
        <v>50</v>
      </c>
      <c r="AR1073" s="10" t="s">
        <v>50</v>
      </c>
      <c r="AS1073" s="10" t="s">
        <v>50</v>
      </c>
      <c r="AT1073" s="10" t="s">
        <v>50</v>
      </c>
      <c r="AU1073" s="10" t="s">
        <v>50</v>
      </c>
      <c r="AV1073" s="11"/>
      <c r="AW1073" s="10" t="s">
        <v>66</v>
      </c>
      <c r="AX1073" s="10"/>
      <c r="AY1073" s="10" t="s">
        <v>66</v>
      </c>
    </row>
    <row r="1074" ht="22.5" hidden="1" customHeight="1">
      <c r="A1074" s="9" t="s">
        <v>11012</v>
      </c>
      <c r="B1074" s="10" t="s">
        <v>11013</v>
      </c>
      <c r="C1074" s="10" t="s">
        <v>43</v>
      </c>
      <c r="D1074" s="10" t="s">
        <v>5200</v>
      </c>
      <c r="E1074" s="10" t="s">
        <v>66</v>
      </c>
      <c r="F1074" s="11">
        <v>1.0</v>
      </c>
      <c r="G1074" s="11">
        <v>120.0</v>
      </c>
      <c r="H1074" s="11"/>
      <c r="I1074" s="11">
        <v>-20.4</v>
      </c>
      <c r="J1074" s="11">
        <v>-19.95</v>
      </c>
      <c r="K1074" s="11"/>
      <c r="L1074" s="11">
        <v>86.85</v>
      </c>
      <c r="M1074" s="10" t="s">
        <v>46</v>
      </c>
      <c r="N1074" s="10" t="s">
        <v>50</v>
      </c>
      <c r="O1074" s="10" t="s">
        <v>85</v>
      </c>
      <c r="P1074" s="10" t="s">
        <v>86</v>
      </c>
      <c r="Q1074" s="10" t="s">
        <v>87</v>
      </c>
      <c r="R1074" s="10" t="s">
        <v>74</v>
      </c>
      <c r="S1074" s="11">
        <v>120.0</v>
      </c>
      <c r="T1074" s="11">
        <v>65.78</v>
      </c>
      <c r="U1074" s="11" t="s">
        <v>51</v>
      </c>
      <c r="V1074" s="10" t="s">
        <v>52</v>
      </c>
      <c r="W1074" s="10" t="s">
        <v>11014</v>
      </c>
      <c r="X1074" s="10" t="s">
        <v>11015</v>
      </c>
      <c r="Y1074" s="10" t="s">
        <v>11016</v>
      </c>
      <c r="Z1074" s="10" t="s">
        <v>50</v>
      </c>
      <c r="AA1074" s="10" t="s">
        <v>50</v>
      </c>
      <c r="AB1074" s="10" t="s">
        <v>11014</v>
      </c>
      <c r="AC1074" s="10" t="s">
        <v>11017</v>
      </c>
      <c r="AD1074" s="10" t="s">
        <v>11018</v>
      </c>
      <c r="AE1074" s="10" t="s">
        <v>1936</v>
      </c>
      <c r="AF1074" s="10" t="s">
        <v>58</v>
      </c>
      <c r="AG1074" s="10" t="s">
        <v>11019</v>
      </c>
      <c r="AH1074" s="10" t="s">
        <v>60</v>
      </c>
      <c r="AI1074" s="10" t="s">
        <v>61</v>
      </c>
      <c r="AJ1074" s="10" t="s">
        <v>7561</v>
      </c>
      <c r="AK1074" s="10" t="s">
        <v>11020</v>
      </c>
      <c r="AL1074" s="10" t="s">
        <v>64</v>
      </c>
      <c r="AM1074" s="10" t="s">
        <v>11021</v>
      </c>
      <c r="AN1074" s="10" t="s">
        <v>50</v>
      </c>
      <c r="AO1074" s="11" t="s">
        <v>50</v>
      </c>
      <c r="AP1074" s="10" t="s">
        <v>50</v>
      </c>
      <c r="AQ1074" s="10" t="s">
        <v>50</v>
      </c>
      <c r="AR1074" s="10" t="s">
        <v>50</v>
      </c>
      <c r="AS1074" s="10" t="s">
        <v>50</v>
      </c>
      <c r="AT1074" s="10" t="s">
        <v>50</v>
      </c>
      <c r="AU1074" s="10" t="s">
        <v>50</v>
      </c>
      <c r="AV1074" s="11"/>
      <c r="AW1074" s="10" t="s">
        <v>66</v>
      </c>
      <c r="AX1074" s="10"/>
      <c r="AY1074" s="10" t="s">
        <v>66</v>
      </c>
    </row>
    <row r="1075" ht="22.5" hidden="1" customHeight="1">
      <c r="A1075" s="9" t="s">
        <v>11022</v>
      </c>
      <c r="B1075" s="10" t="s">
        <v>11023</v>
      </c>
      <c r="C1075" s="10" t="s">
        <v>69</v>
      </c>
      <c r="D1075" s="10" t="s">
        <v>2283</v>
      </c>
      <c r="E1075" s="10" t="s">
        <v>45</v>
      </c>
      <c r="F1075" s="11">
        <v>1.0</v>
      </c>
      <c r="G1075" s="11">
        <v>120.0</v>
      </c>
      <c r="H1075" s="11"/>
      <c r="I1075" s="11">
        <v>-20.4</v>
      </c>
      <c r="J1075" s="11">
        <v>-19.95</v>
      </c>
      <c r="K1075" s="11">
        <v>-86.85</v>
      </c>
      <c r="L1075" s="11">
        <v>0.0</v>
      </c>
      <c r="M1075" s="10" t="s">
        <v>46</v>
      </c>
      <c r="N1075" s="10" t="s">
        <v>50</v>
      </c>
      <c r="O1075" s="10" t="s">
        <v>85</v>
      </c>
      <c r="P1075" s="10" t="s">
        <v>86</v>
      </c>
      <c r="Q1075" s="10" t="s">
        <v>87</v>
      </c>
      <c r="R1075" s="10" t="s">
        <v>74</v>
      </c>
      <c r="S1075" s="11">
        <v>120.0</v>
      </c>
      <c r="T1075" s="11"/>
      <c r="U1075" s="11" t="s">
        <v>51</v>
      </c>
      <c r="V1075" s="10" t="s">
        <v>75</v>
      </c>
      <c r="W1075" s="10" t="s">
        <v>11024</v>
      </c>
      <c r="X1075" s="10" t="s">
        <v>11025</v>
      </c>
      <c r="Y1075" s="10" t="s">
        <v>11026</v>
      </c>
      <c r="Z1075" s="10" t="s">
        <v>50</v>
      </c>
      <c r="AA1075" s="10" t="s">
        <v>50</v>
      </c>
      <c r="AB1075" s="10" t="s">
        <v>11024</v>
      </c>
      <c r="AC1075" s="10" t="s">
        <v>11027</v>
      </c>
      <c r="AD1075" s="10" t="s">
        <v>50</v>
      </c>
      <c r="AE1075" s="10" t="s">
        <v>322</v>
      </c>
      <c r="AF1075" s="10" t="s">
        <v>323</v>
      </c>
      <c r="AG1075" s="10" t="s">
        <v>11028</v>
      </c>
      <c r="AH1075" s="10" t="s">
        <v>60</v>
      </c>
      <c r="AI1075" s="10" t="s">
        <v>61</v>
      </c>
      <c r="AJ1075" s="10" t="s">
        <v>50</v>
      </c>
      <c r="AK1075" s="10" t="s">
        <v>50</v>
      </c>
      <c r="AL1075" s="10" t="s">
        <v>64</v>
      </c>
      <c r="AM1075" s="10" t="s">
        <v>50</v>
      </c>
      <c r="AN1075" s="10" t="s">
        <v>50</v>
      </c>
      <c r="AO1075" s="11" t="s">
        <v>50</v>
      </c>
      <c r="AP1075" s="10" t="s">
        <v>50</v>
      </c>
      <c r="AQ1075" s="10" t="s">
        <v>50</v>
      </c>
      <c r="AR1075" s="10" t="s">
        <v>50</v>
      </c>
      <c r="AS1075" s="10" t="s">
        <v>50</v>
      </c>
      <c r="AT1075" s="10" t="s">
        <v>50</v>
      </c>
      <c r="AU1075" s="10" t="s">
        <v>50</v>
      </c>
      <c r="AV1075" s="11"/>
      <c r="AW1075" s="10" t="s">
        <v>66</v>
      </c>
      <c r="AX1075" s="10"/>
      <c r="AY1075" s="10" t="s">
        <v>66</v>
      </c>
    </row>
    <row r="1076" ht="22.5" hidden="1" customHeight="1">
      <c r="A1076" s="9" t="s">
        <v>11029</v>
      </c>
      <c r="B1076" s="10" t="s">
        <v>11030</v>
      </c>
      <c r="C1076" s="10" t="s">
        <v>43</v>
      </c>
      <c r="D1076" s="10" t="s">
        <v>7518</v>
      </c>
      <c r="E1076" s="10" t="s">
        <v>45</v>
      </c>
      <c r="F1076" s="11">
        <v>1.0</v>
      </c>
      <c r="G1076" s="11">
        <v>79.0</v>
      </c>
      <c r="H1076" s="11"/>
      <c r="I1076" s="11">
        <v>-13.43</v>
      </c>
      <c r="J1076" s="11">
        <v>-20.45</v>
      </c>
      <c r="K1076" s="11"/>
      <c r="L1076" s="11">
        <v>45.12</v>
      </c>
      <c r="M1076" s="10" t="s">
        <v>46</v>
      </c>
      <c r="N1076" s="10" t="s">
        <v>45</v>
      </c>
      <c r="O1076" s="10" t="s">
        <v>160</v>
      </c>
      <c r="P1076" s="10" t="s">
        <v>161</v>
      </c>
      <c r="Q1076" s="10" t="s">
        <v>162</v>
      </c>
      <c r="R1076" s="10" t="s">
        <v>74</v>
      </c>
      <c r="S1076" s="11">
        <v>79.0</v>
      </c>
      <c r="T1076" s="11">
        <v>2.49</v>
      </c>
      <c r="U1076" s="11" t="s">
        <v>51</v>
      </c>
      <c r="V1076" s="10" t="s">
        <v>52</v>
      </c>
      <c r="W1076" s="10" t="s">
        <v>11031</v>
      </c>
      <c r="X1076" s="10" t="s">
        <v>11032</v>
      </c>
      <c r="Y1076" s="10" t="s">
        <v>11033</v>
      </c>
      <c r="Z1076" s="10" t="s">
        <v>50</v>
      </c>
      <c r="AA1076" s="10" t="s">
        <v>50</v>
      </c>
      <c r="AB1076" s="10" t="s">
        <v>11031</v>
      </c>
      <c r="AC1076" s="10" t="s">
        <v>11034</v>
      </c>
      <c r="AD1076" s="10" t="s">
        <v>11035</v>
      </c>
      <c r="AE1076" s="10" t="s">
        <v>9539</v>
      </c>
      <c r="AF1076" s="10" t="s">
        <v>151</v>
      </c>
      <c r="AG1076" s="10" t="s">
        <v>11036</v>
      </c>
      <c r="AH1076" s="10" t="s">
        <v>60</v>
      </c>
      <c r="AI1076" s="10" t="s">
        <v>61</v>
      </c>
      <c r="AJ1076" s="10" t="s">
        <v>11037</v>
      </c>
      <c r="AK1076" s="10" t="s">
        <v>11038</v>
      </c>
      <c r="AL1076" s="10" t="s">
        <v>64</v>
      </c>
      <c r="AM1076" s="10" t="s">
        <v>11039</v>
      </c>
      <c r="AN1076" s="10" t="s">
        <v>50</v>
      </c>
      <c r="AO1076" s="11" t="s">
        <v>50</v>
      </c>
      <c r="AP1076" s="10" t="s">
        <v>50</v>
      </c>
      <c r="AQ1076" s="10" t="s">
        <v>50</v>
      </c>
      <c r="AR1076" s="10" t="s">
        <v>50</v>
      </c>
      <c r="AS1076" s="10" t="s">
        <v>50</v>
      </c>
      <c r="AT1076" s="10" t="s">
        <v>50</v>
      </c>
      <c r="AU1076" s="10" t="s">
        <v>50</v>
      </c>
      <c r="AV1076" s="11"/>
      <c r="AW1076" s="10" t="s">
        <v>66</v>
      </c>
      <c r="AX1076" s="10"/>
      <c r="AY1076" s="10" t="s">
        <v>66</v>
      </c>
    </row>
    <row r="1077" ht="22.5" hidden="1" customHeight="1">
      <c r="A1077" s="9" t="s">
        <v>11040</v>
      </c>
      <c r="B1077" s="10" t="s">
        <v>11041</v>
      </c>
      <c r="C1077" s="10" t="s">
        <v>43</v>
      </c>
      <c r="D1077" s="10" t="s">
        <v>7530</v>
      </c>
      <c r="E1077" s="10" t="s">
        <v>66</v>
      </c>
      <c r="F1077" s="11">
        <v>1.0</v>
      </c>
      <c r="G1077" s="11">
        <v>43.7</v>
      </c>
      <c r="H1077" s="11">
        <v>11.11</v>
      </c>
      <c r="I1077" s="11">
        <v>-13.43</v>
      </c>
      <c r="J1077" s="11">
        <v>-11.11</v>
      </c>
      <c r="K1077" s="11"/>
      <c r="L1077" s="11">
        <v>32.89</v>
      </c>
      <c r="M1077" s="10" t="s">
        <v>46</v>
      </c>
      <c r="N1077" s="10" t="s">
        <v>50</v>
      </c>
      <c r="O1077" s="10" t="s">
        <v>176</v>
      </c>
      <c r="P1077" s="10" t="s">
        <v>177</v>
      </c>
      <c r="Q1077" s="10" t="s">
        <v>178</v>
      </c>
      <c r="R1077" s="10" t="s">
        <v>74</v>
      </c>
      <c r="S1077" s="11">
        <v>43.7</v>
      </c>
      <c r="T1077" s="11">
        <v>22.58</v>
      </c>
      <c r="U1077" s="11" t="s">
        <v>51</v>
      </c>
      <c r="V1077" s="10" t="s">
        <v>52</v>
      </c>
      <c r="W1077" s="10" t="s">
        <v>11042</v>
      </c>
      <c r="X1077" s="10" t="s">
        <v>11043</v>
      </c>
      <c r="Y1077" s="10" t="s">
        <v>11044</v>
      </c>
      <c r="Z1077" s="10" t="s">
        <v>50</v>
      </c>
      <c r="AA1077" s="10" t="s">
        <v>50</v>
      </c>
      <c r="AB1077" s="10" t="s">
        <v>11042</v>
      </c>
      <c r="AC1077" s="10" t="s">
        <v>11045</v>
      </c>
      <c r="AD1077" s="10" t="s">
        <v>11046</v>
      </c>
      <c r="AE1077" s="10" t="s">
        <v>235</v>
      </c>
      <c r="AF1077" s="10" t="s">
        <v>58</v>
      </c>
      <c r="AG1077" s="10" t="s">
        <v>11047</v>
      </c>
      <c r="AH1077" s="10" t="s">
        <v>60</v>
      </c>
      <c r="AI1077" s="10" t="s">
        <v>61</v>
      </c>
      <c r="AJ1077" s="10" t="s">
        <v>10856</v>
      </c>
      <c r="AK1077" s="10" t="s">
        <v>11048</v>
      </c>
      <c r="AL1077" s="10" t="s">
        <v>64</v>
      </c>
      <c r="AM1077" s="10" t="s">
        <v>11049</v>
      </c>
      <c r="AN1077" s="10" t="s">
        <v>50</v>
      </c>
      <c r="AO1077" s="11" t="s">
        <v>50</v>
      </c>
      <c r="AP1077" s="10" t="s">
        <v>50</v>
      </c>
      <c r="AQ1077" s="10" t="s">
        <v>50</v>
      </c>
      <c r="AR1077" s="10" t="s">
        <v>50</v>
      </c>
      <c r="AS1077" s="10" t="s">
        <v>50</v>
      </c>
      <c r="AT1077" s="10" t="s">
        <v>50</v>
      </c>
      <c r="AU1077" s="10" t="s">
        <v>50</v>
      </c>
      <c r="AV1077" s="11"/>
      <c r="AW1077" s="10" t="s">
        <v>66</v>
      </c>
      <c r="AX1077" s="10"/>
      <c r="AY1077" s="10" t="s">
        <v>66</v>
      </c>
    </row>
    <row r="1078" ht="22.5" hidden="1" customHeight="1">
      <c r="A1078" s="9" t="s">
        <v>11050</v>
      </c>
      <c r="B1078" s="10" t="s">
        <v>11051</v>
      </c>
      <c r="C1078" s="10" t="s">
        <v>43</v>
      </c>
      <c r="D1078" s="10" t="s">
        <v>7577</v>
      </c>
      <c r="E1078" s="10" t="s">
        <v>66</v>
      </c>
      <c r="F1078" s="11">
        <v>1.0</v>
      </c>
      <c r="G1078" s="11">
        <v>92.15</v>
      </c>
      <c r="H1078" s="11">
        <v>8.08</v>
      </c>
      <c r="I1078" s="11">
        <v>-17.51</v>
      </c>
      <c r="J1078" s="11">
        <v>-28.53</v>
      </c>
      <c r="K1078" s="11"/>
      <c r="L1078" s="11">
        <v>59.72</v>
      </c>
      <c r="M1078" s="10" t="s">
        <v>46</v>
      </c>
      <c r="N1078" s="10" t="s">
        <v>45</v>
      </c>
      <c r="O1078" s="10" t="s">
        <v>586</v>
      </c>
      <c r="P1078" s="10" t="s">
        <v>587</v>
      </c>
      <c r="Q1078" s="10" t="s">
        <v>588</v>
      </c>
      <c r="R1078" s="10" t="s">
        <v>50</v>
      </c>
      <c r="S1078" s="11">
        <v>92.15</v>
      </c>
      <c r="T1078" s="11">
        <v>20.76</v>
      </c>
      <c r="U1078" s="11" t="s">
        <v>51</v>
      </c>
      <c r="V1078" s="10" t="s">
        <v>52</v>
      </c>
      <c r="W1078" s="10" t="s">
        <v>11052</v>
      </c>
      <c r="X1078" s="10" t="s">
        <v>11053</v>
      </c>
      <c r="Y1078" s="10" t="s">
        <v>11054</v>
      </c>
      <c r="Z1078" s="10" t="s">
        <v>50</v>
      </c>
      <c r="AA1078" s="10" t="s">
        <v>50</v>
      </c>
      <c r="AB1078" s="10" t="s">
        <v>11052</v>
      </c>
      <c r="AC1078" s="10" t="s">
        <v>11055</v>
      </c>
      <c r="AD1078" s="10" t="s">
        <v>11056</v>
      </c>
      <c r="AE1078" s="10" t="s">
        <v>5596</v>
      </c>
      <c r="AF1078" s="10" t="s">
        <v>561</v>
      </c>
      <c r="AG1078" s="10" t="s">
        <v>5597</v>
      </c>
      <c r="AH1078" s="10" t="s">
        <v>60</v>
      </c>
      <c r="AI1078" s="10" t="s">
        <v>61</v>
      </c>
      <c r="AJ1078" s="10" t="s">
        <v>8021</v>
      </c>
      <c r="AK1078" s="10" t="s">
        <v>11057</v>
      </c>
      <c r="AL1078" s="10" t="s">
        <v>64</v>
      </c>
      <c r="AM1078" s="10" t="s">
        <v>11058</v>
      </c>
      <c r="AN1078" s="10" t="s">
        <v>50</v>
      </c>
      <c r="AO1078" s="11" t="s">
        <v>50</v>
      </c>
      <c r="AP1078" s="10" t="s">
        <v>50</v>
      </c>
      <c r="AQ1078" s="10" t="s">
        <v>50</v>
      </c>
      <c r="AR1078" s="10" t="s">
        <v>50</v>
      </c>
      <c r="AS1078" s="10" t="s">
        <v>50</v>
      </c>
      <c r="AT1078" s="10" t="s">
        <v>50</v>
      </c>
      <c r="AU1078" s="10" t="s">
        <v>50</v>
      </c>
      <c r="AV1078" s="11"/>
      <c r="AW1078" s="10" t="s">
        <v>66</v>
      </c>
      <c r="AX1078" s="10"/>
      <c r="AY1078" s="10" t="s">
        <v>66</v>
      </c>
    </row>
    <row r="1079" ht="22.5" hidden="1" customHeight="1">
      <c r="A1079" s="9" t="s">
        <v>11059</v>
      </c>
      <c r="B1079" s="10" t="s">
        <v>11060</v>
      </c>
      <c r="C1079" s="10" t="s">
        <v>43</v>
      </c>
      <c r="D1079" s="10" t="s">
        <v>3477</v>
      </c>
      <c r="E1079" s="10" t="s">
        <v>66</v>
      </c>
      <c r="F1079" s="11">
        <v>1.0</v>
      </c>
      <c r="G1079" s="11">
        <v>80.0</v>
      </c>
      <c r="H1079" s="11"/>
      <c r="I1079" s="11">
        <v>-13.6</v>
      </c>
      <c r="J1079" s="11">
        <v>-19.95</v>
      </c>
      <c r="K1079" s="11"/>
      <c r="L1079" s="11">
        <v>50.45</v>
      </c>
      <c r="M1079" s="10" t="s">
        <v>46</v>
      </c>
      <c r="N1079" s="10" t="s">
        <v>50</v>
      </c>
      <c r="O1079" s="10" t="s">
        <v>143</v>
      </c>
      <c r="P1079" s="10" t="s">
        <v>144</v>
      </c>
      <c r="Q1079" s="10" t="s">
        <v>145</v>
      </c>
      <c r="R1079" s="10" t="s">
        <v>74</v>
      </c>
      <c r="S1079" s="11">
        <v>80.0</v>
      </c>
      <c r="T1079" s="11">
        <v>33.38</v>
      </c>
      <c r="U1079" s="11" t="s">
        <v>51</v>
      </c>
      <c r="V1079" s="10" t="s">
        <v>52</v>
      </c>
      <c r="W1079" s="10" t="s">
        <v>11061</v>
      </c>
      <c r="X1079" s="10" t="s">
        <v>11062</v>
      </c>
      <c r="Y1079" s="10" t="s">
        <v>11063</v>
      </c>
      <c r="Z1079" s="10" t="s">
        <v>50</v>
      </c>
      <c r="AA1079" s="10" t="s">
        <v>50</v>
      </c>
      <c r="AB1079" s="10" t="s">
        <v>11061</v>
      </c>
      <c r="AC1079" s="10" t="s">
        <v>11064</v>
      </c>
      <c r="AD1079" s="10" t="s">
        <v>11065</v>
      </c>
      <c r="AE1079" s="10" t="s">
        <v>58</v>
      </c>
      <c r="AF1079" s="10" t="s">
        <v>58</v>
      </c>
      <c r="AG1079" s="10" t="s">
        <v>11066</v>
      </c>
      <c r="AH1079" s="10" t="s">
        <v>60</v>
      </c>
      <c r="AI1079" s="10" t="s">
        <v>61</v>
      </c>
      <c r="AJ1079" s="10" t="s">
        <v>7561</v>
      </c>
      <c r="AK1079" s="10" t="s">
        <v>6844</v>
      </c>
      <c r="AL1079" s="10" t="s">
        <v>64</v>
      </c>
      <c r="AM1079" s="10" t="s">
        <v>11067</v>
      </c>
      <c r="AN1079" s="10" t="s">
        <v>11068</v>
      </c>
      <c r="AO1079" s="11" t="s">
        <v>50</v>
      </c>
      <c r="AP1079" s="10" t="s">
        <v>50</v>
      </c>
      <c r="AQ1079" s="10" t="s">
        <v>50</v>
      </c>
      <c r="AR1079" s="10" t="s">
        <v>50</v>
      </c>
      <c r="AS1079" s="10" t="s">
        <v>50</v>
      </c>
      <c r="AT1079" s="10" t="s">
        <v>50</v>
      </c>
      <c r="AU1079" s="10" t="s">
        <v>50</v>
      </c>
      <c r="AV1079" s="11"/>
      <c r="AW1079" s="10" t="s">
        <v>66</v>
      </c>
      <c r="AX1079" s="10"/>
      <c r="AY1079" s="10" t="s">
        <v>66</v>
      </c>
    </row>
    <row r="1080" ht="22.5" hidden="1" customHeight="1">
      <c r="A1080" s="12" t="s">
        <v>11069</v>
      </c>
      <c r="B1080" s="13" t="s">
        <v>11070</v>
      </c>
      <c r="C1080" s="13" t="s">
        <v>747</v>
      </c>
      <c r="D1080" s="13" t="s">
        <v>50</v>
      </c>
      <c r="E1080" s="13" t="s">
        <v>50</v>
      </c>
      <c r="F1080" s="14"/>
      <c r="G1080" s="14">
        <v>201.0</v>
      </c>
      <c r="H1080" s="14"/>
      <c r="I1080" s="14">
        <v>-34.17</v>
      </c>
      <c r="J1080" s="14">
        <v>-40.4</v>
      </c>
      <c r="K1080" s="14"/>
      <c r="L1080" s="14">
        <v>133.63</v>
      </c>
      <c r="M1080" s="13" t="s">
        <v>46</v>
      </c>
      <c r="N1080" s="13" t="s">
        <v>50</v>
      </c>
      <c r="O1080" s="13" t="s">
        <v>50</v>
      </c>
      <c r="P1080" s="13" t="s">
        <v>50</v>
      </c>
      <c r="Q1080" s="13" t="s">
        <v>50</v>
      </c>
      <c r="R1080" s="13" t="s">
        <v>50</v>
      </c>
      <c r="S1080" s="14"/>
      <c r="T1080" s="14"/>
      <c r="U1080" s="14" t="s">
        <v>50</v>
      </c>
      <c r="V1080" s="13" t="s">
        <v>52</v>
      </c>
      <c r="W1080" s="13" t="s">
        <v>11071</v>
      </c>
      <c r="X1080" s="13" t="s">
        <v>11072</v>
      </c>
      <c r="Y1080" s="13" t="s">
        <v>11073</v>
      </c>
      <c r="Z1080" s="13" t="s">
        <v>50</v>
      </c>
      <c r="AA1080" s="13" t="s">
        <v>50</v>
      </c>
      <c r="AB1080" s="13" t="s">
        <v>11071</v>
      </c>
      <c r="AC1080" s="13" t="s">
        <v>11074</v>
      </c>
      <c r="AD1080" s="13" t="s">
        <v>11075</v>
      </c>
      <c r="AE1080" s="13" t="s">
        <v>11076</v>
      </c>
      <c r="AF1080" s="13" t="s">
        <v>561</v>
      </c>
      <c r="AG1080" s="13" t="s">
        <v>11077</v>
      </c>
      <c r="AH1080" s="13" t="s">
        <v>60</v>
      </c>
      <c r="AI1080" s="13" t="s">
        <v>61</v>
      </c>
      <c r="AJ1080" s="13" t="s">
        <v>7561</v>
      </c>
      <c r="AK1080" s="13" t="s">
        <v>11078</v>
      </c>
      <c r="AL1080" s="13" t="s">
        <v>2113</v>
      </c>
      <c r="AM1080" s="13" t="s">
        <v>11079</v>
      </c>
      <c r="AN1080" s="13" t="s">
        <v>11080</v>
      </c>
      <c r="AO1080" s="15" t="s">
        <v>50</v>
      </c>
      <c r="AP1080" s="13" t="s">
        <v>50</v>
      </c>
      <c r="AQ1080" s="13" t="s">
        <v>50</v>
      </c>
      <c r="AR1080" s="13" t="s">
        <v>50</v>
      </c>
      <c r="AS1080" s="13" t="s">
        <v>50</v>
      </c>
      <c r="AT1080" s="13" t="s">
        <v>50</v>
      </c>
      <c r="AU1080" s="13" t="s">
        <v>50</v>
      </c>
      <c r="AV1080" s="15"/>
      <c r="AW1080" s="13" t="s">
        <v>50</v>
      </c>
      <c r="AX1080" s="13"/>
      <c r="AY1080" s="13" t="s">
        <v>50</v>
      </c>
    </row>
    <row r="1081" ht="22.5" hidden="1" customHeight="1">
      <c r="A1081" s="16" t="s">
        <v>11081</v>
      </c>
      <c r="B1081" s="17" t="s">
        <v>11070</v>
      </c>
      <c r="C1081" s="17" t="s">
        <v>43</v>
      </c>
      <c r="D1081" s="17" t="s">
        <v>2402</v>
      </c>
      <c r="E1081" s="17" t="s">
        <v>45</v>
      </c>
      <c r="F1081" s="18">
        <v>1.0</v>
      </c>
      <c r="G1081" s="18"/>
      <c r="H1081" s="18"/>
      <c r="I1081" s="18"/>
      <c r="J1081" s="18"/>
      <c r="K1081" s="18"/>
      <c r="L1081" s="18"/>
      <c r="M1081" s="17" t="s">
        <v>50</v>
      </c>
      <c r="N1081" s="17" t="s">
        <v>45</v>
      </c>
      <c r="O1081" s="17" t="s">
        <v>2878</v>
      </c>
      <c r="P1081" s="17" t="s">
        <v>2879</v>
      </c>
      <c r="Q1081" s="17" t="s">
        <v>2880</v>
      </c>
      <c r="R1081" s="17" t="s">
        <v>74</v>
      </c>
      <c r="S1081" s="18">
        <v>81.0</v>
      </c>
      <c r="T1081" s="18">
        <v>24.38</v>
      </c>
      <c r="U1081" s="18" t="s">
        <v>51</v>
      </c>
      <c r="V1081" s="17" t="s">
        <v>50</v>
      </c>
      <c r="W1081" s="17" t="s">
        <v>50</v>
      </c>
      <c r="X1081" s="17" t="s">
        <v>50</v>
      </c>
      <c r="Y1081" s="17" t="s">
        <v>50</v>
      </c>
      <c r="Z1081" s="17" t="s">
        <v>50</v>
      </c>
      <c r="AA1081" s="17" t="s">
        <v>50</v>
      </c>
      <c r="AB1081" s="17" t="s">
        <v>50</v>
      </c>
      <c r="AC1081" s="17" t="s">
        <v>50</v>
      </c>
      <c r="AD1081" s="17" t="s">
        <v>50</v>
      </c>
      <c r="AE1081" s="17" t="s">
        <v>50</v>
      </c>
      <c r="AF1081" s="17" t="s">
        <v>50</v>
      </c>
      <c r="AG1081" s="17" t="s">
        <v>50</v>
      </c>
      <c r="AH1081" s="17" t="s">
        <v>50</v>
      </c>
      <c r="AI1081" s="17" t="s">
        <v>50</v>
      </c>
      <c r="AJ1081" s="17" t="s">
        <v>50</v>
      </c>
      <c r="AK1081" s="17" t="s">
        <v>50</v>
      </c>
      <c r="AL1081" s="17" t="s">
        <v>50</v>
      </c>
      <c r="AM1081" s="17" t="s">
        <v>50</v>
      </c>
      <c r="AN1081" s="17" t="s">
        <v>50</v>
      </c>
      <c r="AO1081" s="18" t="s">
        <v>50</v>
      </c>
      <c r="AP1081" s="17" t="s">
        <v>50</v>
      </c>
      <c r="AQ1081" s="17" t="s">
        <v>50</v>
      </c>
      <c r="AR1081" s="17" t="s">
        <v>50</v>
      </c>
      <c r="AS1081" s="17" t="s">
        <v>50</v>
      </c>
      <c r="AT1081" s="17" t="s">
        <v>50</v>
      </c>
      <c r="AU1081" s="17" t="s">
        <v>50</v>
      </c>
      <c r="AV1081" s="18"/>
      <c r="AW1081" s="17" t="s">
        <v>66</v>
      </c>
      <c r="AX1081" s="17"/>
      <c r="AY1081" s="17" t="s">
        <v>66</v>
      </c>
    </row>
    <row r="1082" ht="22.5" hidden="1" customHeight="1">
      <c r="A1082" s="16" t="s">
        <v>11082</v>
      </c>
      <c r="B1082" s="17" t="s">
        <v>11070</v>
      </c>
      <c r="C1082" s="17" t="s">
        <v>43</v>
      </c>
      <c r="D1082" s="17" t="s">
        <v>2402</v>
      </c>
      <c r="E1082" s="17" t="s">
        <v>45</v>
      </c>
      <c r="F1082" s="18">
        <v>1.0</v>
      </c>
      <c r="G1082" s="18"/>
      <c r="H1082" s="18"/>
      <c r="I1082" s="18"/>
      <c r="J1082" s="18"/>
      <c r="K1082" s="18"/>
      <c r="L1082" s="18"/>
      <c r="M1082" s="17" t="s">
        <v>50</v>
      </c>
      <c r="N1082" s="17" t="s">
        <v>45</v>
      </c>
      <c r="O1082" s="17" t="s">
        <v>85</v>
      </c>
      <c r="P1082" s="17" t="s">
        <v>86</v>
      </c>
      <c r="Q1082" s="17" t="s">
        <v>87</v>
      </c>
      <c r="R1082" s="17" t="s">
        <v>74</v>
      </c>
      <c r="S1082" s="18">
        <v>120.0</v>
      </c>
      <c r="T1082" s="18">
        <v>65.78</v>
      </c>
      <c r="U1082" s="18" t="s">
        <v>51</v>
      </c>
      <c r="V1082" s="17" t="s">
        <v>50</v>
      </c>
      <c r="W1082" s="17" t="s">
        <v>50</v>
      </c>
      <c r="X1082" s="17" t="s">
        <v>50</v>
      </c>
      <c r="Y1082" s="17" t="s">
        <v>50</v>
      </c>
      <c r="Z1082" s="17" t="s">
        <v>50</v>
      </c>
      <c r="AA1082" s="17" t="s">
        <v>50</v>
      </c>
      <c r="AB1082" s="17" t="s">
        <v>50</v>
      </c>
      <c r="AC1082" s="17" t="s">
        <v>50</v>
      </c>
      <c r="AD1082" s="17" t="s">
        <v>50</v>
      </c>
      <c r="AE1082" s="17" t="s">
        <v>50</v>
      </c>
      <c r="AF1082" s="17" t="s">
        <v>50</v>
      </c>
      <c r="AG1082" s="17" t="s">
        <v>50</v>
      </c>
      <c r="AH1082" s="17" t="s">
        <v>50</v>
      </c>
      <c r="AI1082" s="17" t="s">
        <v>50</v>
      </c>
      <c r="AJ1082" s="17" t="s">
        <v>50</v>
      </c>
      <c r="AK1082" s="17" t="s">
        <v>50</v>
      </c>
      <c r="AL1082" s="17" t="s">
        <v>50</v>
      </c>
      <c r="AM1082" s="17" t="s">
        <v>50</v>
      </c>
      <c r="AN1082" s="17" t="s">
        <v>50</v>
      </c>
      <c r="AO1082" s="18" t="s">
        <v>50</v>
      </c>
      <c r="AP1082" s="17" t="s">
        <v>50</v>
      </c>
      <c r="AQ1082" s="17" t="s">
        <v>50</v>
      </c>
      <c r="AR1082" s="17" t="s">
        <v>50</v>
      </c>
      <c r="AS1082" s="17" t="s">
        <v>50</v>
      </c>
      <c r="AT1082" s="17" t="s">
        <v>50</v>
      </c>
      <c r="AU1082" s="17" t="s">
        <v>50</v>
      </c>
      <c r="AV1082" s="18"/>
      <c r="AW1082" s="17" t="s">
        <v>66</v>
      </c>
      <c r="AX1082" s="17"/>
      <c r="AY1082" s="17" t="s">
        <v>66</v>
      </c>
    </row>
    <row r="1083" ht="22.5" hidden="1" customHeight="1">
      <c r="A1083" s="9" t="s">
        <v>11083</v>
      </c>
      <c r="B1083" s="10" t="s">
        <v>11084</v>
      </c>
      <c r="C1083" s="10" t="s">
        <v>43</v>
      </c>
      <c r="D1083" s="10" t="s">
        <v>7530</v>
      </c>
      <c r="E1083" s="10" t="s">
        <v>45</v>
      </c>
      <c r="F1083" s="11">
        <v>2.0</v>
      </c>
      <c r="G1083" s="11">
        <v>87.4</v>
      </c>
      <c r="H1083" s="11">
        <v>12.01</v>
      </c>
      <c r="I1083" s="11">
        <v>-26.86</v>
      </c>
      <c r="J1083" s="11">
        <v>-12.01</v>
      </c>
      <c r="K1083" s="11"/>
      <c r="L1083" s="11">
        <v>65.78</v>
      </c>
      <c r="M1083" s="10" t="s">
        <v>46</v>
      </c>
      <c r="N1083" s="10" t="s">
        <v>50</v>
      </c>
      <c r="O1083" s="10" t="s">
        <v>176</v>
      </c>
      <c r="P1083" s="10" t="s">
        <v>177</v>
      </c>
      <c r="Q1083" s="10" t="s">
        <v>178</v>
      </c>
      <c r="R1083" s="10" t="s">
        <v>74</v>
      </c>
      <c r="S1083" s="11">
        <v>43.7</v>
      </c>
      <c r="T1083" s="11">
        <f>2*22.58</f>
        <v>45.16</v>
      </c>
      <c r="U1083" s="11" t="s">
        <v>51</v>
      </c>
      <c r="V1083" s="10" t="s">
        <v>52</v>
      </c>
      <c r="W1083" s="10" t="s">
        <v>11085</v>
      </c>
      <c r="X1083" s="10" t="s">
        <v>11086</v>
      </c>
      <c r="Y1083" s="10" t="s">
        <v>11087</v>
      </c>
      <c r="Z1083" s="10" t="s">
        <v>50</v>
      </c>
      <c r="AA1083" s="10" t="s">
        <v>50</v>
      </c>
      <c r="AB1083" s="10" t="s">
        <v>11085</v>
      </c>
      <c r="AC1083" s="10" t="s">
        <v>11088</v>
      </c>
      <c r="AD1083" s="10" t="s">
        <v>11089</v>
      </c>
      <c r="AE1083" s="10" t="s">
        <v>1346</v>
      </c>
      <c r="AF1083" s="10" t="s">
        <v>1347</v>
      </c>
      <c r="AG1083" s="10" t="s">
        <v>11090</v>
      </c>
      <c r="AH1083" s="10" t="s">
        <v>60</v>
      </c>
      <c r="AI1083" s="10" t="s">
        <v>61</v>
      </c>
      <c r="AJ1083" s="10" t="s">
        <v>7999</v>
      </c>
      <c r="AK1083" s="10" t="s">
        <v>11091</v>
      </c>
      <c r="AL1083" s="10" t="s">
        <v>64</v>
      </c>
      <c r="AM1083" s="10" t="s">
        <v>11092</v>
      </c>
      <c r="AN1083" s="10" t="s">
        <v>50</v>
      </c>
      <c r="AO1083" s="11" t="s">
        <v>50</v>
      </c>
      <c r="AP1083" s="10" t="s">
        <v>50</v>
      </c>
      <c r="AQ1083" s="10" t="s">
        <v>50</v>
      </c>
      <c r="AR1083" s="10" t="s">
        <v>50</v>
      </c>
      <c r="AS1083" s="10" t="s">
        <v>50</v>
      </c>
      <c r="AT1083" s="10" t="s">
        <v>50</v>
      </c>
      <c r="AU1083" s="10" t="s">
        <v>50</v>
      </c>
      <c r="AV1083" s="11"/>
      <c r="AW1083" s="10" t="s">
        <v>66</v>
      </c>
      <c r="AX1083" s="10"/>
      <c r="AY1083" s="10" t="s">
        <v>66</v>
      </c>
    </row>
    <row r="1084" ht="22.5" hidden="1" customHeight="1">
      <c r="A1084" s="9" t="s">
        <v>11093</v>
      </c>
      <c r="B1084" s="10" t="s">
        <v>11094</v>
      </c>
      <c r="C1084" s="10" t="s">
        <v>43</v>
      </c>
      <c r="D1084" s="10" t="s">
        <v>7530</v>
      </c>
      <c r="E1084" s="10" t="s">
        <v>45</v>
      </c>
      <c r="F1084" s="11">
        <v>1.0</v>
      </c>
      <c r="G1084" s="11">
        <v>79.0</v>
      </c>
      <c r="H1084" s="11"/>
      <c r="I1084" s="11">
        <v>-13.43</v>
      </c>
      <c r="J1084" s="11">
        <v>-20.45</v>
      </c>
      <c r="K1084" s="11"/>
      <c r="L1084" s="11">
        <v>45.12</v>
      </c>
      <c r="M1084" s="10" t="s">
        <v>46</v>
      </c>
      <c r="N1084" s="10" t="s">
        <v>45</v>
      </c>
      <c r="O1084" s="10" t="s">
        <v>160</v>
      </c>
      <c r="P1084" s="10" t="s">
        <v>161</v>
      </c>
      <c r="Q1084" s="10" t="s">
        <v>162</v>
      </c>
      <c r="R1084" s="10" t="s">
        <v>74</v>
      </c>
      <c r="S1084" s="11">
        <v>79.0</v>
      </c>
      <c r="T1084" s="11">
        <v>2.49</v>
      </c>
      <c r="U1084" s="11" t="s">
        <v>51</v>
      </c>
      <c r="V1084" s="10" t="s">
        <v>52</v>
      </c>
      <c r="W1084" s="10" t="s">
        <v>11095</v>
      </c>
      <c r="X1084" s="10" t="s">
        <v>11096</v>
      </c>
      <c r="Y1084" s="10" t="s">
        <v>11097</v>
      </c>
      <c r="Z1084" s="10" t="s">
        <v>50</v>
      </c>
      <c r="AA1084" s="10" t="s">
        <v>50</v>
      </c>
      <c r="AB1084" s="10" t="s">
        <v>11095</v>
      </c>
      <c r="AC1084" s="10" t="s">
        <v>11098</v>
      </c>
      <c r="AD1084" s="10" t="s">
        <v>11099</v>
      </c>
      <c r="AE1084" s="10" t="s">
        <v>504</v>
      </c>
      <c r="AF1084" s="10" t="s">
        <v>323</v>
      </c>
      <c r="AG1084" s="10" t="s">
        <v>11100</v>
      </c>
      <c r="AH1084" s="10" t="s">
        <v>60</v>
      </c>
      <c r="AI1084" s="10" t="s">
        <v>61</v>
      </c>
      <c r="AJ1084" s="10" t="s">
        <v>10567</v>
      </c>
      <c r="AK1084" s="10" t="s">
        <v>11101</v>
      </c>
      <c r="AL1084" s="10" t="s">
        <v>64</v>
      </c>
      <c r="AM1084" s="10" t="s">
        <v>11102</v>
      </c>
      <c r="AN1084" s="10" t="s">
        <v>50</v>
      </c>
      <c r="AO1084" s="11" t="s">
        <v>50</v>
      </c>
      <c r="AP1084" s="10" t="s">
        <v>50</v>
      </c>
      <c r="AQ1084" s="10" t="s">
        <v>50</v>
      </c>
      <c r="AR1084" s="10" t="s">
        <v>50</v>
      </c>
      <c r="AS1084" s="10" t="s">
        <v>50</v>
      </c>
      <c r="AT1084" s="10" t="s">
        <v>50</v>
      </c>
      <c r="AU1084" s="10" t="s">
        <v>50</v>
      </c>
      <c r="AV1084" s="11"/>
      <c r="AW1084" s="10" t="s">
        <v>66</v>
      </c>
      <c r="AX1084" s="10"/>
      <c r="AY1084" s="10" t="s">
        <v>66</v>
      </c>
    </row>
    <row r="1085" ht="22.5" hidden="1" customHeight="1">
      <c r="A1085" s="9" t="s">
        <v>11103</v>
      </c>
      <c r="B1085" s="10" t="s">
        <v>11104</v>
      </c>
      <c r="C1085" s="10" t="s">
        <v>43</v>
      </c>
      <c r="D1085" s="10" t="s">
        <v>7530</v>
      </c>
      <c r="E1085" s="10" t="s">
        <v>66</v>
      </c>
      <c r="F1085" s="11">
        <v>1.0</v>
      </c>
      <c r="G1085" s="11">
        <v>79.0</v>
      </c>
      <c r="H1085" s="11"/>
      <c r="I1085" s="11">
        <v>-13.43</v>
      </c>
      <c r="J1085" s="11">
        <v>-20.45</v>
      </c>
      <c r="K1085" s="11"/>
      <c r="L1085" s="11">
        <v>45.12</v>
      </c>
      <c r="M1085" s="10" t="s">
        <v>46</v>
      </c>
      <c r="N1085" s="10" t="s">
        <v>45</v>
      </c>
      <c r="O1085" s="10" t="s">
        <v>160</v>
      </c>
      <c r="P1085" s="10" t="s">
        <v>161</v>
      </c>
      <c r="Q1085" s="10" t="s">
        <v>162</v>
      </c>
      <c r="R1085" s="10" t="s">
        <v>74</v>
      </c>
      <c r="S1085" s="11">
        <v>79.0</v>
      </c>
      <c r="T1085" s="11">
        <v>2.49</v>
      </c>
      <c r="U1085" s="11" t="s">
        <v>51</v>
      </c>
      <c r="V1085" s="10" t="s">
        <v>52</v>
      </c>
      <c r="W1085" s="10" t="s">
        <v>11105</v>
      </c>
      <c r="X1085" s="10" t="s">
        <v>11106</v>
      </c>
      <c r="Y1085" s="10" t="s">
        <v>11107</v>
      </c>
      <c r="Z1085" s="10" t="s">
        <v>50</v>
      </c>
      <c r="AA1085" s="10" t="s">
        <v>50</v>
      </c>
      <c r="AB1085" s="10" t="s">
        <v>11105</v>
      </c>
      <c r="AC1085" s="10" t="s">
        <v>11108</v>
      </c>
      <c r="AD1085" s="10" t="s">
        <v>11109</v>
      </c>
      <c r="AE1085" s="10" t="s">
        <v>296</v>
      </c>
      <c r="AF1085" s="10" t="s">
        <v>58</v>
      </c>
      <c r="AG1085" s="10" t="s">
        <v>11110</v>
      </c>
      <c r="AH1085" s="10" t="s">
        <v>60</v>
      </c>
      <c r="AI1085" s="10" t="s">
        <v>61</v>
      </c>
      <c r="AJ1085" s="10" t="s">
        <v>11111</v>
      </c>
      <c r="AK1085" s="10" t="s">
        <v>11112</v>
      </c>
      <c r="AL1085" s="10" t="s">
        <v>64</v>
      </c>
      <c r="AM1085" s="10" t="s">
        <v>11113</v>
      </c>
      <c r="AN1085" s="10" t="s">
        <v>50</v>
      </c>
      <c r="AO1085" s="11" t="s">
        <v>50</v>
      </c>
      <c r="AP1085" s="10" t="s">
        <v>50</v>
      </c>
      <c r="AQ1085" s="10" t="s">
        <v>50</v>
      </c>
      <c r="AR1085" s="10" t="s">
        <v>50</v>
      </c>
      <c r="AS1085" s="10" t="s">
        <v>50</v>
      </c>
      <c r="AT1085" s="10" t="s">
        <v>50</v>
      </c>
      <c r="AU1085" s="10" t="s">
        <v>50</v>
      </c>
      <c r="AV1085" s="11"/>
      <c r="AW1085" s="10" t="s">
        <v>66</v>
      </c>
      <c r="AX1085" s="10"/>
      <c r="AY1085" s="10" t="s">
        <v>66</v>
      </c>
    </row>
    <row r="1086" ht="22.5" hidden="1" customHeight="1">
      <c r="A1086" s="9" t="s">
        <v>11114</v>
      </c>
      <c r="B1086" s="10" t="s">
        <v>11115</v>
      </c>
      <c r="C1086" s="10" t="s">
        <v>43</v>
      </c>
      <c r="D1086" s="10" t="s">
        <v>7530</v>
      </c>
      <c r="E1086" s="10" t="s">
        <v>45</v>
      </c>
      <c r="F1086" s="11">
        <v>1.0</v>
      </c>
      <c r="G1086" s="11">
        <v>80.3</v>
      </c>
      <c r="H1086" s="11"/>
      <c r="I1086" s="11">
        <v>-13.65</v>
      </c>
      <c r="J1086" s="11">
        <v>-20.45</v>
      </c>
      <c r="K1086" s="11"/>
      <c r="L1086" s="11">
        <v>46.2</v>
      </c>
      <c r="M1086" s="10" t="s">
        <v>46</v>
      </c>
      <c r="N1086" s="10" t="s">
        <v>45</v>
      </c>
      <c r="O1086" s="10" t="s">
        <v>127</v>
      </c>
      <c r="P1086" s="10" t="s">
        <v>128</v>
      </c>
      <c r="Q1086" s="10" t="s">
        <v>129</v>
      </c>
      <c r="R1086" s="10" t="s">
        <v>74</v>
      </c>
      <c r="S1086" s="11">
        <v>80.3</v>
      </c>
      <c r="T1086" s="11">
        <v>17.68</v>
      </c>
      <c r="U1086" s="11" t="s">
        <v>51</v>
      </c>
      <c r="V1086" s="10" t="s">
        <v>52</v>
      </c>
      <c r="W1086" s="10" t="s">
        <v>11116</v>
      </c>
      <c r="X1086" s="10" t="s">
        <v>11117</v>
      </c>
      <c r="Y1086" s="10" t="s">
        <v>11118</v>
      </c>
      <c r="Z1086" s="10" t="s">
        <v>50</v>
      </c>
      <c r="AA1086" s="10" t="s">
        <v>50</v>
      </c>
      <c r="AB1086" s="10" t="s">
        <v>11116</v>
      </c>
      <c r="AC1086" s="10" t="s">
        <v>11119</v>
      </c>
      <c r="AD1086" s="10" t="s">
        <v>11120</v>
      </c>
      <c r="AE1086" s="10" t="s">
        <v>1379</v>
      </c>
      <c r="AF1086" s="10" t="s">
        <v>58</v>
      </c>
      <c r="AG1086" s="10" t="s">
        <v>11121</v>
      </c>
      <c r="AH1086" s="10" t="s">
        <v>60</v>
      </c>
      <c r="AI1086" s="10" t="s">
        <v>61</v>
      </c>
      <c r="AJ1086" s="10" t="s">
        <v>7910</v>
      </c>
      <c r="AK1086" s="10" t="s">
        <v>11122</v>
      </c>
      <c r="AL1086" s="10" t="s">
        <v>64</v>
      </c>
      <c r="AM1086" s="10" t="s">
        <v>11123</v>
      </c>
      <c r="AN1086" s="10" t="s">
        <v>50</v>
      </c>
      <c r="AO1086" s="11" t="s">
        <v>50</v>
      </c>
      <c r="AP1086" s="10" t="s">
        <v>50</v>
      </c>
      <c r="AQ1086" s="10" t="s">
        <v>50</v>
      </c>
      <c r="AR1086" s="10" t="s">
        <v>50</v>
      </c>
      <c r="AS1086" s="10" t="s">
        <v>50</v>
      </c>
      <c r="AT1086" s="10" t="s">
        <v>50</v>
      </c>
      <c r="AU1086" s="10" t="s">
        <v>50</v>
      </c>
      <c r="AV1086" s="11"/>
      <c r="AW1086" s="10" t="s">
        <v>66</v>
      </c>
      <c r="AX1086" s="10"/>
      <c r="AY1086" s="10" t="s">
        <v>66</v>
      </c>
    </row>
    <row r="1087" ht="22.5" hidden="1" customHeight="1">
      <c r="A1087" s="9" t="s">
        <v>11124</v>
      </c>
      <c r="B1087" s="10" t="s">
        <v>11125</v>
      </c>
      <c r="C1087" s="10" t="s">
        <v>43</v>
      </c>
      <c r="D1087" s="10" t="s">
        <v>7577</v>
      </c>
      <c r="E1087" s="10" t="s">
        <v>45</v>
      </c>
      <c r="F1087" s="11">
        <v>1.0</v>
      </c>
      <c r="G1087" s="11">
        <v>79.2</v>
      </c>
      <c r="H1087" s="11"/>
      <c r="I1087" s="11">
        <v>-13.46</v>
      </c>
      <c r="J1087" s="11">
        <v>-20.45</v>
      </c>
      <c r="K1087" s="11"/>
      <c r="L1087" s="11">
        <v>45.29</v>
      </c>
      <c r="M1087" s="10" t="s">
        <v>46</v>
      </c>
      <c r="N1087" s="10" t="s">
        <v>45</v>
      </c>
      <c r="O1087" s="10" t="s">
        <v>892</v>
      </c>
      <c r="P1087" s="10" t="s">
        <v>893</v>
      </c>
      <c r="Q1087" s="10" t="s">
        <v>894</v>
      </c>
      <c r="R1087" s="10" t="s">
        <v>74</v>
      </c>
      <c r="S1087" s="11">
        <v>79.2</v>
      </c>
      <c r="T1087" s="11">
        <v>2.97</v>
      </c>
      <c r="U1087" s="11" t="s">
        <v>51</v>
      </c>
      <c r="V1087" s="10" t="s">
        <v>52</v>
      </c>
      <c r="W1087" s="10" t="s">
        <v>11126</v>
      </c>
      <c r="X1087" s="10" t="s">
        <v>11127</v>
      </c>
      <c r="Y1087" s="10" t="s">
        <v>11128</v>
      </c>
      <c r="Z1087" s="10" t="s">
        <v>50</v>
      </c>
      <c r="AA1087" s="10" t="s">
        <v>50</v>
      </c>
      <c r="AB1087" s="10" t="s">
        <v>11126</v>
      </c>
      <c r="AC1087" s="10" t="s">
        <v>11129</v>
      </c>
      <c r="AD1087" s="10" t="s">
        <v>11130</v>
      </c>
      <c r="AE1087" s="10" t="s">
        <v>11131</v>
      </c>
      <c r="AF1087" s="10" t="s">
        <v>214</v>
      </c>
      <c r="AG1087" s="10" t="s">
        <v>11132</v>
      </c>
      <c r="AH1087" s="10" t="s">
        <v>60</v>
      </c>
      <c r="AI1087" s="10" t="s">
        <v>61</v>
      </c>
      <c r="AJ1087" s="10" t="s">
        <v>7652</v>
      </c>
      <c r="AK1087" s="10" t="s">
        <v>11133</v>
      </c>
      <c r="AL1087" s="10" t="s">
        <v>64</v>
      </c>
      <c r="AM1087" s="10" t="s">
        <v>11134</v>
      </c>
      <c r="AN1087" s="10" t="s">
        <v>11135</v>
      </c>
      <c r="AO1087" s="11" t="s">
        <v>50</v>
      </c>
      <c r="AP1087" s="10" t="s">
        <v>50</v>
      </c>
      <c r="AQ1087" s="10" t="s">
        <v>50</v>
      </c>
      <c r="AR1087" s="10" t="s">
        <v>50</v>
      </c>
      <c r="AS1087" s="10" t="s">
        <v>50</v>
      </c>
      <c r="AT1087" s="10" t="s">
        <v>50</v>
      </c>
      <c r="AU1087" s="10" t="s">
        <v>50</v>
      </c>
      <c r="AV1087" s="11"/>
      <c r="AW1087" s="10" t="s">
        <v>66</v>
      </c>
      <c r="AX1087" s="10"/>
      <c r="AY1087" s="10" t="s">
        <v>66</v>
      </c>
    </row>
    <row r="1088" ht="22.5" hidden="1" customHeight="1">
      <c r="A1088" s="9" t="s">
        <v>11136</v>
      </c>
      <c r="B1088" s="10" t="s">
        <v>11137</v>
      </c>
      <c r="C1088" s="10" t="s">
        <v>43</v>
      </c>
      <c r="D1088" s="10" t="s">
        <v>7530</v>
      </c>
      <c r="E1088" s="10" t="s">
        <v>66</v>
      </c>
      <c r="F1088" s="11">
        <v>1.0</v>
      </c>
      <c r="G1088" s="11">
        <v>79.0</v>
      </c>
      <c r="H1088" s="11"/>
      <c r="I1088" s="11">
        <v>-13.43</v>
      </c>
      <c r="J1088" s="11">
        <v>-19.95</v>
      </c>
      <c r="K1088" s="11"/>
      <c r="L1088" s="11">
        <v>45.62</v>
      </c>
      <c r="M1088" s="10" t="s">
        <v>46</v>
      </c>
      <c r="N1088" s="10" t="s">
        <v>45</v>
      </c>
      <c r="O1088" s="10" t="s">
        <v>766</v>
      </c>
      <c r="P1088" s="10" t="s">
        <v>767</v>
      </c>
      <c r="Q1088" s="10" t="s">
        <v>768</v>
      </c>
      <c r="R1088" s="10" t="s">
        <v>74</v>
      </c>
      <c r="S1088" s="11">
        <v>79.0</v>
      </c>
      <c r="T1088" s="11">
        <v>2.49</v>
      </c>
      <c r="U1088" s="11" t="s">
        <v>51</v>
      </c>
      <c r="V1088" s="10" t="s">
        <v>52</v>
      </c>
      <c r="W1088" s="10" t="s">
        <v>11138</v>
      </c>
      <c r="X1088" s="10" t="s">
        <v>11139</v>
      </c>
      <c r="Y1088" s="10" t="s">
        <v>11140</v>
      </c>
      <c r="Z1088" s="10" t="s">
        <v>50</v>
      </c>
      <c r="AA1088" s="10" t="s">
        <v>50</v>
      </c>
      <c r="AB1088" s="10" t="s">
        <v>11138</v>
      </c>
      <c r="AC1088" s="10" t="s">
        <v>11141</v>
      </c>
      <c r="AD1088" s="10" t="s">
        <v>11142</v>
      </c>
      <c r="AE1088" s="10" t="s">
        <v>11143</v>
      </c>
      <c r="AF1088" s="10" t="s">
        <v>58</v>
      </c>
      <c r="AG1088" s="10" t="s">
        <v>11144</v>
      </c>
      <c r="AH1088" s="10" t="s">
        <v>60</v>
      </c>
      <c r="AI1088" s="10" t="s">
        <v>61</v>
      </c>
      <c r="AJ1088" s="10" t="s">
        <v>8021</v>
      </c>
      <c r="AK1088" s="10" t="s">
        <v>11145</v>
      </c>
      <c r="AL1088" s="10" t="s">
        <v>64</v>
      </c>
      <c r="AM1088" s="10" t="s">
        <v>11146</v>
      </c>
      <c r="AN1088" s="10" t="s">
        <v>50</v>
      </c>
      <c r="AO1088" s="11" t="s">
        <v>50</v>
      </c>
      <c r="AP1088" s="10" t="s">
        <v>50</v>
      </c>
      <c r="AQ1088" s="10" t="s">
        <v>50</v>
      </c>
      <c r="AR1088" s="10" t="s">
        <v>50</v>
      </c>
      <c r="AS1088" s="10" t="s">
        <v>50</v>
      </c>
      <c r="AT1088" s="10" t="s">
        <v>50</v>
      </c>
      <c r="AU1088" s="10" t="s">
        <v>50</v>
      </c>
      <c r="AV1088" s="11"/>
      <c r="AW1088" s="10" t="s">
        <v>66</v>
      </c>
      <c r="AX1088" s="10"/>
      <c r="AY1088" s="10" t="s">
        <v>66</v>
      </c>
    </row>
    <row r="1089" ht="22.5" hidden="1" customHeight="1">
      <c r="A1089" s="9" t="s">
        <v>11147</v>
      </c>
      <c r="B1089" s="10" t="s">
        <v>11148</v>
      </c>
      <c r="C1089" s="10" t="s">
        <v>43</v>
      </c>
      <c r="D1089" s="10" t="s">
        <v>7750</v>
      </c>
      <c r="E1089" s="10" t="s">
        <v>45</v>
      </c>
      <c r="F1089" s="11">
        <v>1.0</v>
      </c>
      <c r="G1089" s="11">
        <v>79.0</v>
      </c>
      <c r="H1089" s="11"/>
      <c r="I1089" s="11">
        <v>-13.43</v>
      </c>
      <c r="J1089" s="11">
        <v>-20.45</v>
      </c>
      <c r="K1089" s="11"/>
      <c r="L1089" s="11">
        <v>45.12</v>
      </c>
      <c r="M1089" s="10" t="s">
        <v>46</v>
      </c>
      <c r="N1089" s="10" t="s">
        <v>45</v>
      </c>
      <c r="O1089" s="10" t="s">
        <v>160</v>
      </c>
      <c r="P1089" s="10" t="s">
        <v>161</v>
      </c>
      <c r="Q1089" s="10" t="s">
        <v>162</v>
      </c>
      <c r="R1089" s="10" t="s">
        <v>74</v>
      </c>
      <c r="S1089" s="11">
        <v>79.0</v>
      </c>
      <c r="T1089" s="11">
        <v>2.49</v>
      </c>
      <c r="U1089" s="11" t="s">
        <v>51</v>
      </c>
      <c r="V1089" s="10" t="s">
        <v>52</v>
      </c>
      <c r="W1089" s="10" t="s">
        <v>11149</v>
      </c>
      <c r="X1089" s="10" t="s">
        <v>11150</v>
      </c>
      <c r="Y1089" s="10" t="s">
        <v>11151</v>
      </c>
      <c r="Z1089" s="10" t="s">
        <v>50</v>
      </c>
      <c r="AA1089" s="10" t="s">
        <v>50</v>
      </c>
      <c r="AB1089" s="10" t="s">
        <v>11149</v>
      </c>
      <c r="AC1089" s="10" t="s">
        <v>11152</v>
      </c>
      <c r="AD1089" s="10" t="s">
        <v>11153</v>
      </c>
      <c r="AE1089" s="10" t="s">
        <v>11154</v>
      </c>
      <c r="AF1089" s="10" t="s">
        <v>323</v>
      </c>
      <c r="AG1089" s="10" t="s">
        <v>11155</v>
      </c>
      <c r="AH1089" s="10" t="s">
        <v>60</v>
      </c>
      <c r="AI1089" s="10" t="s">
        <v>61</v>
      </c>
      <c r="AJ1089" s="10" t="s">
        <v>11156</v>
      </c>
      <c r="AK1089" s="10" t="s">
        <v>11157</v>
      </c>
      <c r="AL1089" s="10" t="s">
        <v>64</v>
      </c>
      <c r="AM1089" s="10" t="s">
        <v>11158</v>
      </c>
      <c r="AN1089" s="10" t="s">
        <v>50</v>
      </c>
      <c r="AO1089" s="11" t="s">
        <v>50</v>
      </c>
      <c r="AP1089" s="10" t="s">
        <v>50</v>
      </c>
      <c r="AQ1089" s="10" t="s">
        <v>50</v>
      </c>
      <c r="AR1089" s="10" t="s">
        <v>50</v>
      </c>
      <c r="AS1089" s="10" t="s">
        <v>50</v>
      </c>
      <c r="AT1089" s="10" t="s">
        <v>50</v>
      </c>
      <c r="AU1089" s="10" t="s">
        <v>50</v>
      </c>
      <c r="AV1089" s="11"/>
      <c r="AW1089" s="10" t="s">
        <v>66</v>
      </c>
      <c r="AX1089" s="10"/>
      <c r="AY1089" s="10" t="s">
        <v>66</v>
      </c>
    </row>
    <row r="1090" ht="22.5" hidden="1" customHeight="1">
      <c r="A1090" s="9" t="s">
        <v>11159</v>
      </c>
      <c r="B1090" s="10" t="s">
        <v>11160</v>
      </c>
      <c r="C1090" s="10" t="s">
        <v>43</v>
      </c>
      <c r="D1090" s="10" t="s">
        <v>11161</v>
      </c>
      <c r="E1090" s="10" t="s">
        <v>66</v>
      </c>
      <c r="F1090" s="11">
        <v>1.0</v>
      </c>
      <c r="G1090" s="11">
        <v>79.2</v>
      </c>
      <c r="H1090" s="11"/>
      <c r="I1090" s="11">
        <v>-13.46</v>
      </c>
      <c r="J1090" s="11">
        <v>-19.95</v>
      </c>
      <c r="K1090" s="11"/>
      <c r="L1090" s="11">
        <v>45.79</v>
      </c>
      <c r="M1090" s="10" t="s">
        <v>46</v>
      </c>
      <c r="N1090" s="10" t="s">
        <v>50</v>
      </c>
      <c r="O1090" s="10" t="s">
        <v>11162</v>
      </c>
      <c r="P1090" s="10" t="s">
        <v>11163</v>
      </c>
      <c r="Q1090" s="10" t="s">
        <v>11164</v>
      </c>
      <c r="R1090" s="10" t="s">
        <v>74</v>
      </c>
      <c r="S1090" s="11">
        <v>79.2</v>
      </c>
      <c r="T1090" s="11">
        <v>12.12</v>
      </c>
      <c r="U1090" s="11" t="s">
        <v>51</v>
      </c>
      <c r="V1090" s="10" t="s">
        <v>52</v>
      </c>
      <c r="W1090" s="10" t="s">
        <v>11165</v>
      </c>
      <c r="X1090" s="10" t="s">
        <v>11166</v>
      </c>
      <c r="Y1090" s="10" t="s">
        <v>11167</v>
      </c>
      <c r="Z1090" s="10" t="s">
        <v>50</v>
      </c>
      <c r="AA1090" s="10" t="s">
        <v>50</v>
      </c>
      <c r="AB1090" s="10" t="s">
        <v>11165</v>
      </c>
      <c r="AC1090" s="10" t="s">
        <v>11168</v>
      </c>
      <c r="AD1090" s="10" t="s">
        <v>11169</v>
      </c>
      <c r="AE1090" s="10" t="s">
        <v>11170</v>
      </c>
      <c r="AF1090" s="10" t="s">
        <v>323</v>
      </c>
      <c r="AG1090" s="10" t="s">
        <v>11171</v>
      </c>
      <c r="AH1090" s="10" t="s">
        <v>60</v>
      </c>
      <c r="AI1090" s="10" t="s">
        <v>61</v>
      </c>
      <c r="AJ1090" s="10" t="s">
        <v>11156</v>
      </c>
      <c r="AK1090" s="10" t="s">
        <v>11172</v>
      </c>
      <c r="AL1090" s="10" t="s">
        <v>64</v>
      </c>
      <c r="AM1090" s="10" t="s">
        <v>11173</v>
      </c>
      <c r="AN1090" s="10" t="s">
        <v>50</v>
      </c>
      <c r="AO1090" s="11" t="s">
        <v>50</v>
      </c>
      <c r="AP1090" s="10" t="s">
        <v>50</v>
      </c>
      <c r="AQ1090" s="10" t="s">
        <v>50</v>
      </c>
      <c r="AR1090" s="10" t="s">
        <v>50</v>
      </c>
      <c r="AS1090" s="10" t="s">
        <v>50</v>
      </c>
      <c r="AT1090" s="10" t="s">
        <v>50</v>
      </c>
      <c r="AU1090" s="10" t="s">
        <v>50</v>
      </c>
      <c r="AV1090" s="11"/>
      <c r="AW1090" s="10" t="s">
        <v>66</v>
      </c>
      <c r="AX1090" s="10"/>
      <c r="AY1090" s="10" t="s">
        <v>66</v>
      </c>
    </row>
    <row r="1091" ht="22.5" hidden="1" customHeight="1">
      <c r="A1091" s="9" t="s">
        <v>11174</v>
      </c>
      <c r="B1091" s="10" t="s">
        <v>11175</v>
      </c>
      <c r="C1091" s="10" t="s">
        <v>43</v>
      </c>
      <c r="D1091" s="10" t="s">
        <v>11161</v>
      </c>
      <c r="E1091" s="10" t="s">
        <v>45</v>
      </c>
      <c r="F1091" s="11">
        <v>1.0</v>
      </c>
      <c r="G1091" s="11">
        <v>48.0</v>
      </c>
      <c r="H1091" s="11">
        <v>14.15</v>
      </c>
      <c r="I1091" s="11">
        <v>-14.16</v>
      </c>
      <c r="J1091" s="11">
        <v>-14.15</v>
      </c>
      <c r="K1091" s="11"/>
      <c r="L1091" s="11">
        <v>33.84</v>
      </c>
      <c r="M1091" s="10" t="s">
        <v>46</v>
      </c>
      <c r="N1091" s="10" t="s">
        <v>50</v>
      </c>
      <c r="O1091" s="10" t="s">
        <v>4556</v>
      </c>
      <c r="P1091" s="10" t="s">
        <v>4557</v>
      </c>
      <c r="Q1091" s="10" t="s">
        <v>4558</v>
      </c>
      <c r="R1091" s="10" t="s">
        <v>74</v>
      </c>
      <c r="S1091" s="11">
        <v>48.0</v>
      </c>
      <c r="T1091" s="11">
        <v>8.73</v>
      </c>
      <c r="U1091" s="11" t="s">
        <v>51</v>
      </c>
      <c r="V1091" s="10" t="s">
        <v>52</v>
      </c>
      <c r="W1091" s="10" t="s">
        <v>11176</v>
      </c>
      <c r="X1091" s="10" t="s">
        <v>11177</v>
      </c>
      <c r="Y1091" s="10" t="s">
        <v>11178</v>
      </c>
      <c r="Z1091" s="10" t="s">
        <v>50</v>
      </c>
      <c r="AA1091" s="10" t="s">
        <v>50</v>
      </c>
      <c r="AB1091" s="10" t="s">
        <v>11176</v>
      </c>
      <c r="AC1091" s="10" t="s">
        <v>11179</v>
      </c>
      <c r="AD1091" s="10" t="s">
        <v>11180</v>
      </c>
      <c r="AE1091" s="10" t="s">
        <v>11181</v>
      </c>
      <c r="AF1091" s="10" t="s">
        <v>58</v>
      </c>
      <c r="AG1091" s="10" t="s">
        <v>11182</v>
      </c>
      <c r="AH1091" s="10" t="s">
        <v>60</v>
      </c>
      <c r="AI1091" s="10" t="s">
        <v>61</v>
      </c>
      <c r="AJ1091" s="10" t="s">
        <v>11183</v>
      </c>
      <c r="AK1091" s="10" t="s">
        <v>11184</v>
      </c>
      <c r="AL1091" s="10" t="s">
        <v>64</v>
      </c>
      <c r="AM1091" s="10" t="s">
        <v>11185</v>
      </c>
      <c r="AN1091" s="10" t="s">
        <v>50</v>
      </c>
      <c r="AO1091" s="11" t="s">
        <v>50</v>
      </c>
      <c r="AP1091" s="10" t="s">
        <v>50</v>
      </c>
      <c r="AQ1091" s="10" t="s">
        <v>50</v>
      </c>
      <c r="AR1091" s="10" t="s">
        <v>50</v>
      </c>
      <c r="AS1091" s="10" t="s">
        <v>50</v>
      </c>
      <c r="AT1091" s="10" t="s">
        <v>50</v>
      </c>
      <c r="AU1091" s="10" t="s">
        <v>50</v>
      </c>
      <c r="AV1091" s="11"/>
      <c r="AW1091" s="10" t="s">
        <v>66</v>
      </c>
      <c r="AX1091" s="10"/>
      <c r="AY1091" s="10" t="s">
        <v>66</v>
      </c>
    </row>
    <row r="1092" ht="22.5" hidden="1" customHeight="1">
      <c r="A1092" s="9" t="s">
        <v>11186</v>
      </c>
      <c r="B1092" s="10" t="s">
        <v>11187</v>
      </c>
      <c r="C1092" s="10" t="s">
        <v>43</v>
      </c>
      <c r="D1092" s="10" t="s">
        <v>7750</v>
      </c>
      <c r="E1092" s="10" t="s">
        <v>66</v>
      </c>
      <c r="F1092" s="11">
        <v>1.0</v>
      </c>
      <c r="G1092" s="11">
        <v>79.35</v>
      </c>
      <c r="H1092" s="11"/>
      <c r="I1092" s="11">
        <v>-15.08</v>
      </c>
      <c r="J1092" s="11">
        <v>-19.95</v>
      </c>
      <c r="K1092" s="11"/>
      <c r="L1092" s="11">
        <v>44.32</v>
      </c>
      <c r="M1092" s="10" t="s">
        <v>46</v>
      </c>
      <c r="N1092" s="10" t="s">
        <v>45</v>
      </c>
      <c r="O1092" s="10" t="s">
        <v>47</v>
      </c>
      <c r="P1092" s="10" t="s">
        <v>48</v>
      </c>
      <c r="Q1092" s="10" t="s">
        <v>49</v>
      </c>
      <c r="R1092" s="10" t="s">
        <v>50</v>
      </c>
      <c r="S1092" s="11">
        <v>79.35</v>
      </c>
      <c r="T1092" s="11">
        <v>12.45</v>
      </c>
      <c r="U1092" s="11" t="s">
        <v>51</v>
      </c>
      <c r="V1092" s="10" t="s">
        <v>52</v>
      </c>
      <c r="W1092" s="10" t="s">
        <v>11188</v>
      </c>
      <c r="X1092" s="10" t="s">
        <v>11189</v>
      </c>
      <c r="Y1092" s="10" t="s">
        <v>11190</v>
      </c>
      <c r="Z1092" s="10" t="s">
        <v>50</v>
      </c>
      <c r="AA1092" s="10" t="s">
        <v>50</v>
      </c>
      <c r="AB1092" s="10" t="s">
        <v>11188</v>
      </c>
      <c r="AC1092" s="10" t="s">
        <v>11191</v>
      </c>
      <c r="AD1092" s="10" t="s">
        <v>11192</v>
      </c>
      <c r="AE1092" s="10" t="s">
        <v>373</v>
      </c>
      <c r="AF1092" s="10" t="s">
        <v>58</v>
      </c>
      <c r="AG1092" s="10" t="s">
        <v>11193</v>
      </c>
      <c r="AH1092" s="10" t="s">
        <v>60</v>
      </c>
      <c r="AI1092" s="10" t="s">
        <v>61</v>
      </c>
      <c r="AJ1092" s="10" t="s">
        <v>11194</v>
      </c>
      <c r="AK1092" s="10" t="s">
        <v>11195</v>
      </c>
      <c r="AL1092" s="10" t="s">
        <v>64</v>
      </c>
      <c r="AM1092" s="10" t="s">
        <v>11196</v>
      </c>
      <c r="AN1092" s="10" t="s">
        <v>11197</v>
      </c>
      <c r="AO1092" s="11" t="s">
        <v>50</v>
      </c>
      <c r="AP1092" s="10" t="s">
        <v>50</v>
      </c>
      <c r="AQ1092" s="10" t="s">
        <v>50</v>
      </c>
      <c r="AR1092" s="10" t="s">
        <v>50</v>
      </c>
      <c r="AS1092" s="10" t="s">
        <v>50</v>
      </c>
      <c r="AT1092" s="10" t="s">
        <v>50</v>
      </c>
      <c r="AU1092" s="10" t="s">
        <v>50</v>
      </c>
      <c r="AV1092" s="11"/>
      <c r="AW1092" s="10" t="s">
        <v>66</v>
      </c>
      <c r="AX1092" s="10"/>
      <c r="AY1092" s="10" t="s">
        <v>66</v>
      </c>
    </row>
    <row r="1093" ht="22.5" hidden="1" customHeight="1">
      <c r="A1093" s="9" t="s">
        <v>11198</v>
      </c>
      <c r="B1093" s="10" t="s">
        <v>11199</v>
      </c>
      <c r="C1093" s="10" t="s">
        <v>43</v>
      </c>
      <c r="D1093" s="10" t="s">
        <v>7750</v>
      </c>
      <c r="E1093" s="10" t="s">
        <v>45</v>
      </c>
      <c r="F1093" s="11">
        <v>1.0</v>
      </c>
      <c r="G1093" s="11">
        <v>79.0</v>
      </c>
      <c r="H1093" s="11"/>
      <c r="I1093" s="11">
        <v>-9.48</v>
      </c>
      <c r="J1093" s="11">
        <v>-20.45</v>
      </c>
      <c r="K1093" s="11"/>
      <c r="L1093" s="11">
        <v>49.07</v>
      </c>
      <c r="M1093" s="10" t="s">
        <v>46</v>
      </c>
      <c r="N1093" s="10" t="s">
        <v>45</v>
      </c>
      <c r="O1093" s="10" t="s">
        <v>192</v>
      </c>
      <c r="P1093" s="10" t="s">
        <v>193</v>
      </c>
      <c r="Q1093" s="10" t="s">
        <v>162</v>
      </c>
      <c r="R1093" s="10" t="s">
        <v>74</v>
      </c>
      <c r="S1093" s="11">
        <v>79.0</v>
      </c>
      <c r="T1093" s="11">
        <v>2.49</v>
      </c>
      <c r="U1093" s="11" t="s">
        <v>194</v>
      </c>
      <c r="V1093" s="10" t="s">
        <v>52</v>
      </c>
      <c r="W1093" s="10" t="s">
        <v>11200</v>
      </c>
      <c r="X1093" s="10" t="s">
        <v>11201</v>
      </c>
      <c r="Y1093" s="10" t="s">
        <v>11202</v>
      </c>
      <c r="Z1093" s="10" t="s">
        <v>50</v>
      </c>
      <c r="AA1093" s="10" t="s">
        <v>50</v>
      </c>
      <c r="AB1093" s="10" t="s">
        <v>11200</v>
      </c>
      <c r="AC1093" s="10" t="s">
        <v>11203</v>
      </c>
      <c r="AD1093" s="10" t="s">
        <v>11204</v>
      </c>
      <c r="AE1093" s="10" t="s">
        <v>3740</v>
      </c>
      <c r="AF1093" s="10" t="s">
        <v>214</v>
      </c>
      <c r="AG1093" s="10" t="s">
        <v>3741</v>
      </c>
      <c r="AH1093" s="10" t="s">
        <v>60</v>
      </c>
      <c r="AI1093" s="10" t="s">
        <v>61</v>
      </c>
      <c r="AJ1093" s="10" t="s">
        <v>11205</v>
      </c>
      <c r="AK1093" s="10" t="s">
        <v>11206</v>
      </c>
      <c r="AL1093" s="10" t="s">
        <v>64</v>
      </c>
      <c r="AM1093" s="10" t="s">
        <v>11207</v>
      </c>
      <c r="AN1093" s="10" t="s">
        <v>50</v>
      </c>
      <c r="AO1093" s="11" t="s">
        <v>50</v>
      </c>
      <c r="AP1093" s="10" t="s">
        <v>50</v>
      </c>
      <c r="AQ1093" s="10" t="s">
        <v>50</v>
      </c>
      <c r="AR1093" s="10" t="s">
        <v>50</v>
      </c>
      <c r="AS1093" s="10" t="s">
        <v>50</v>
      </c>
      <c r="AT1093" s="10" t="s">
        <v>50</v>
      </c>
      <c r="AU1093" s="10" t="s">
        <v>50</v>
      </c>
      <c r="AV1093" s="11"/>
      <c r="AW1093" s="10" t="s">
        <v>66</v>
      </c>
      <c r="AX1093" s="10"/>
      <c r="AY1093" s="10" t="s">
        <v>66</v>
      </c>
    </row>
    <row r="1094" ht="22.5" hidden="1" customHeight="1">
      <c r="A1094" s="9" t="s">
        <v>11208</v>
      </c>
      <c r="B1094" s="10" t="s">
        <v>11209</v>
      </c>
      <c r="C1094" s="10" t="s">
        <v>43</v>
      </c>
      <c r="D1094" s="10" t="s">
        <v>7750</v>
      </c>
      <c r="E1094" s="10" t="s">
        <v>45</v>
      </c>
      <c r="F1094" s="11">
        <v>2.0</v>
      </c>
      <c r="G1094" s="11">
        <v>240.0</v>
      </c>
      <c r="H1094" s="11"/>
      <c r="I1094" s="11">
        <v>-40.8</v>
      </c>
      <c r="J1094" s="11">
        <v>-39.9</v>
      </c>
      <c r="K1094" s="11"/>
      <c r="L1094" s="11">
        <v>173.7</v>
      </c>
      <c r="M1094" s="10" t="s">
        <v>46</v>
      </c>
      <c r="N1094" s="10" t="s">
        <v>50</v>
      </c>
      <c r="O1094" s="10" t="s">
        <v>85</v>
      </c>
      <c r="P1094" s="10" t="s">
        <v>86</v>
      </c>
      <c r="Q1094" s="10" t="s">
        <v>87</v>
      </c>
      <c r="R1094" s="10" t="s">
        <v>74</v>
      </c>
      <c r="S1094" s="11">
        <v>120.0</v>
      </c>
      <c r="T1094" s="11">
        <f>2*65.78</f>
        <v>131.56</v>
      </c>
      <c r="U1094" s="11" t="s">
        <v>51</v>
      </c>
      <c r="V1094" s="10" t="s">
        <v>52</v>
      </c>
      <c r="W1094" s="10" t="s">
        <v>11210</v>
      </c>
      <c r="X1094" s="10" t="s">
        <v>11211</v>
      </c>
      <c r="Y1094" s="10" t="s">
        <v>11212</v>
      </c>
      <c r="Z1094" s="10" t="s">
        <v>50</v>
      </c>
      <c r="AA1094" s="10" t="s">
        <v>50</v>
      </c>
      <c r="AB1094" s="10" t="s">
        <v>11210</v>
      </c>
      <c r="AC1094" s="10" t="s">
        <v>11213</v>
      </c>
      <c r="AD1094" s="10" t="s">
        <v>11214</v>
      </c>
      <c r="AE1094" s="10" t="s">
        <v>11215</v>
      </c>
      <c r="AF1094" s="10" t="s">
        <v>201</v>
      </c>
      <c r="AG1094" s="10" t="s">
        <v>11216</v>
      </c>
      <c r="AH1094" s="10" t="s">
        <v>60</v>
      </c>
      <c r="AI1094" s="10" t="s">
        <v>61</v>
      </c>
      <c r="AJ1094" s="10" t="s">
        <v>11217</v>
      </c>
      <c r="AK1094" s="10" t="s">
        <v>11218</v>
      </c>
      <c r="AL1094" s="10" t="s">
        <v>64</v>
      </c>
      <c r="AM1094" s="10" t="s">
        <v>11219</v>
      </c>
      <c r="AN1094" s="10" t="s">
        <v>50</v>
      </c>
      <c r="AO1094" s="11" t="s">
        <v>50</v>
      </c>
      <c r="AP1094" s="10" t="s">
        <v>50</v>
      </c>
      <c r="AQ1094" s="10" t="s">
        <v>50</v>
      </c>
      <c r="AR1094" s="10" t="s">
        <v>50</v>
      </c>
      <c r="AS1094" s="10" t="s">
        <v>50</v>
      </c>
      <c r="AT1094" s="10" t="s">
        <v>50</v>
      </c>
      <c r="AU1094" s="10" t="s">
        <v>50</v>
      </c>
      <c r="AV1094" s="11"/>
      <c r="AW1094" s="10" t="s">
        <v>66</v>
      </c>
      <c r="AX1094" s="10"/>
      <c r="AY1094" s="10" t="s">
        <v>66</v>
      </c>
    </row>
    <row r="1095" ht="22.5" hidden="1" customHeight="1">
      <c r="A1095" s="9" t="s">
        <v>11220</v>
      </c>
      <c r="B1095" s="10" t="s">
        <v>11221</v>
      </c>
      <c r="C1095" s="10" t="s">
        <v>43</v>
      </c>
      <c r="D1095" s="10" t="s">
        <v>8227</v>
      </c>
      <c r="E1095" s="10" t="s">
        <v>66</v>
      </c>
      <c r="F1095" s="11">
        <v>1.0</v>
      </c>
      <c r="G1095" s="11">
        <v>120.0</v>
      </c>
      <c r="H1095" s="11"/>
      <c r="I1095" s="11">
        <v>-20.4</v>
      </c>
      <c r="J1095" s="11">
        <v>-19.95</v>
      </c>
      <c r="K1095" s="11"/>
      <c r="L1095" s="11">
        <v>86.85</v>
      </c>
      <c r="M1095" s="10" t="s">
        <v>46</v>
      </c>
      <c r="N1095" s="10" t="s">
        <v>50</v>
      </c>
      <c r="O1095" s="10" t="s">
        <v>85</v>
      </c>
      <c r="P1095" s="10" t="s">
        <v>86</v>
      </c>
      <c r="Q1095" s="10" t="s">
        <v>87</v>
      </c>
      <c r="R1095" s="10" t="s">
        <v>74</v>
      </c>
      <c r="S1095" s="11">
        <v>120.0</v>
      </c>
      <c r="T1095" s="11">
        <v>65.78</v>
      </c>
      <c r="U1095" s="11" t="s">
        <v>51</v>
      </c>
      <c r="V1095" s="10" t="s">
        <v>52</v>
      </c>
      <c r="W1095" s="10" t="s">
        <v>11222</v>
      </c>
      <c r="X1095" s="10" t="s">
        <v>11223</v>
      </c>
      <c r="Y1095" s="10" t="s">
        <v>11224</v>
      </c>
      <c r="Z1095" s="10" t="s">
        <v>50</v>
      </c>
      <c r="AA1095" s="10" t="s">
        <v>50</v>
      </c>
      <c r="AB1095" s="10" t="s">
        <v>11222</v>
      </c>
      <c r="AC1095" s="10" t="s">
        <v>11225</v>
      </c>
      <c r="AD1095" s="10" t="s">
        <v>11226</v>
      </c>
      <c r="AE1095" s="10" t="s">
        <v>11227</v>
      </c>
      <c r="AF1095" s="10" t="s">
        <v>151</v>
      </c>
      <c r="AG1095" s="10" t="s">
        <v>11228</v>
      </c>
      <c r="AH1095" s="10" t="s">
        <v>60</v>
      </c>
      <c r="AI1095" s="10" t="s">
        <v>61</v>
      </c>
      <c r="AJ1095" s="10" t="s">
        <v>8732</v>
      </c>
      <c r="AK1095" s="10" t="s">
        <v>11229</v>
      </c>
      <c r="AL1095" s="10" t="s">
        <v>64</v>
      </c>
      <c r="AM1095" s="10" t="s">
        <v>11230</v>
      </c>
      <c r="AN1095" s="10" t="s">
        <v>50</v>
      </c>
      <c r="AO1095" s="11" t="s">
        <v>50</v>
      </c>
      <c r="AP1095" s="10" t="s">
        <v>50</v>
      </c>
      <c r="AQ1095" s="10" t="s">
        <v>50</v>
      </c>
      <c r="AR1095" s="10" t="s">
        <v>50</v>
      </c>
      <c r="AS1095" s="10" t="s">
        <v>50</v>
      </c>
      <c r="AT1095" s="10" t="s">
        <v>50</v>
      </c>
      <c r="AU1095" s="10" t="s">
        <v>50</v>
      </c>
      <c r="AV1095" s="11"/>
      <c r="AW1095" s="10" t="s">
        <v>66</v>
      </c>
      <c r="AX1095" s="10"/>
      <c r="AY1095" s="10" t="s">
        <v>66</v>
      </c>
    </row>
    <row r="1096" ht="22.5" hidden="1" customHeight="1">
      <c r="A1096" s="9" t="s">
        <v>11231</v>
      </c>
      <c r="B1096" s="10" t="s">
        <v>11232</v>
      </c>
      <c r="C1096" s="10" t="s">
        <v>43</v>
      </c>
      <c r="D1096" s="10" t="s">
        <v>7750</v>
      </c>
      <c r="E1096" s="10" t="s">
        <v>66</v>
      </c>
      <c r="F1096" s="11">
        <v>1.0</v>
      </c>
      <c r="G1096" s="11">
        <v>79.2</v>
      </c>
      <c r="H1096" s="11"/>
      <c r="I1096" s="11">
        <v>-13.46</v>
      </c>
      <c r="J1096" s="11">
        <v>-20.45</v>
      </c>
      <c r="K1096" s="11"/>
      <c r="L1096" s="11">
        <v>45.29</v>
      </c>
      <c r="M1096" s="10" t="s">
        <v>46</v>
      </c>
      <c r="N1096" s="10" t="s">
        <v>45</v>
      </c>
      <c r="O1096" s="10" t="s">
        <v>412</v>
      </c>
      <c r="P1096" s="10" t="s">
        <v>413</v>
      </c>
      <c r="Q1096" s="10" t="s">
        <v>414</v>
      </c>
      <c r="R1096" s="10" t="s">
        <v>415</v>
      </c>
      <c r="S1096" s="11">
        <v>79.2</v>
      </c>
      <c r="T1096" s="11">
        <v>10.05</v>
      </c>
      <c r="U1096" s="11" t="s">
        <v>51</v>
      </c>
      <c r="V1096" s="10" t="s">
        <v>52</v>
      </c>
      <c r="W1096" s="10" t="s">
        <v>11233</v>
      </c>
      <c r="X1096" s="10" t="s">
        <v>11234</v>
      </c>
      <c r="Y1096" s="10" t="s">
        <v>11235</v>
      </c>
      <c r="Z1096" s="10" t="s">
        <v>50</v>
      </c>
      <c r="AA1096" s="10" t="s">
        <v>50</v>
      </c>
      <c r="AB1096" s="10" t="s">
        <v>11233</v>
      </c>
      <c r="AC1096" s="10" t="s">
        <v>11236</v>
      </c>
      <c r="AD1096" s="10" t="s">
        <v>11237</v>
      </c>
      <c r="AE1096" s="10" t="s">
        <v>5408</v>
      </c>
      <c r="AF1096" s="10" t="s">
        <v>58</v>
      </c>
      <c r="AG1096" s="10" t="s">
        <v>11238</v>
      </c>
      <c r="AH1096" s="10" t="s">
        <v>60</v>
      </c>
      <c r="AI1096" s="10" t="s">
        <v>61</v>
      </c>
      <c r="AJ1096" s="10" t="s">
        <v>8308</v>
      </c>
      <c r="AK1096" s="10" t="s">
        <v>11239</v>
      </c>
      <c r="AL1096" s="10" t="s">
        <v>64</v>
      </c>
      <c r="AM1096" s="10" t="s">
        <v>11240</v>
      </c>
      <c r="AN1096" s="10" t="s">
        <v>50</v>
      </c>
      <c r="AO1096" s="11" t="s">
        <v>50</v>
      </c>
      <c r="AP1096" s="10" t="s">
        <v>50</v>
      </c>
      <c r="AQ1096" s="10" t="s">
        <v>50</v>
      </c>
      <c r="AR1096" s="10" t="s">
        <v>50</v>
      </c>
      <c r="AS1096" s="10" t="s">
        <v>50</v>
      </c>
      <c r="AT1096" s="10" t="s">
        <v>50</v>
      </c>
      <c r="AU1096" s="10" t="s">
        <v>50</v>
      </c>
      <c r="AV1096" s="11"/>
      <c r="AW1096" s="10" t="s">
        <v>66</v>
      </c>
      <c r="AX1096" s="10"/>
      <c r="AY1096" s="10" t="s">
        <v>66</v>
      </c>
    </row>
    <row r="1097" ht="22.5" hidden="1" customHeight="1">
      <c r="A1097" s="9" t="s">
        <v>11241</v>
      </c>
      <c r="B1097" s="10" t="s">
        <v>11242</v>
      </c>
      <c r="C1097" s="10" t="s">
        <v>43</v>
      </c>
      <c r="D1097" s="10" t="s">
        <v>7693</v>
      </c>
      <c r="E1097" s="10" t="s">
        <v>66</v>
      </c>
      <c r="F1097" s="11">
        <v>1.0</v>
      </c>
      <c r="G1097" s="11">
        <v>79.0</v>
      </c>
      <c r="H1097" s="11"/>
      <c r="I1097" s="11">
        <v>-13.43</v>
      </c>
      <c r="J1097" s="11">
        <v>-20.45</v>
      </c>
      <c r="K1097" s="11"/>
      <c r="L1097" s="11">
        <v>45.12</v>
      </c>
      <c r="M1097" s="10" t="s">
        <v>46</v>
      </c>
      <c r="N1097" s="10" t="s">
        <v>50</v>
      </c>
      <c r="O1097" s="10" t="s">
        <v>461</v>
      </c>
      <c r="P1097" s="10" t="s">
        <v>462</v>
      </c>
      <c r="Q1097" s="10" t="s">
        <v>463</v>
      </c>
      <c r="R1097" s="10" t="s">
        <v>74</v>
      </c>
      <c r="S1097" s="11">
        <v>79.0</v>
      </c>
      <c r="T1097" s="11">
        <v>10.09</v>
      </c>
      <c r="U1097" s="11" t="s">
        <v>51</v>
      </c>
      <c r="V1097" s="10" t="s">
        <v>52</v>
      </c>
      <c r="W1097" s="10" t="s">
        <v>11243</v>
      </c>
      <c r="X1097" s="10" t="s">
        <v>11244</v>
      </c>
      <c r="Y1097" s="10" t="s">
        <v>11245</v>
      </c>
      <c r="Z1097" s="10" t="s">
        <v>50</v>
      </c>
      <c r="AA1097" s="10" t="s">
        <v>50</v>
      </c>
      <c r="AB1097" s="10" t="s">
        <v>11243</v>
      </c>
      <c r="AC1097" s="10" t="s">
        <v>11246</v>
      </c>
      <c r="AD1097" s="10" t="s">
        <v>11247</v>
      </c>
      <c r="AE1097" s="10" t="s">
        <v>1346</v>
      </c>
      <c r="AF1097" s="10" t="s">
        <v>1347</v>
      </c>
      <c r="AG1097" s="10" t="s">
        <v>11248</v>
      </c>
      <c r="AH1097" s="10" t="s">
        <v>60</v>
      </c>
      <c r="AI1097" s="10" t="s">
        <v>61</v>
      </c>
      <c r="AJ1097" s="10" t="s">
        <v>8369</v>
      </c>
      <c r="AK1097" s="10" t="s">
        <v>11249</v>
      </c>
      <c r="AL1097" s="10" t="s">
        <v>64</v>
      </c>
      <c r="AM1097" s="10" t="s">
        <v>11250</v>
      </c>
      <c r="AN1097" s="10" t="s">
        <v>50</v>
      </c>
      <c r="AO1097" s="11" t="s">
        <v>50</v>
      </c>
      <c r="AP1097" s="10" t="s">
        <v>50</v>
      </c>
      <c r="AQ1097" s="10" t="s">
        <v>50</v>
      </c>
      <c r="AR1097" s="10" t="s">
        <v>50</v>
      </c>
      <c r="AS1097" s="10" t="s">
        <v>50</v>
      </c>
      <c r="AT1097" s="10" t="s">
        <v>50</v>
      </c>
      <c r="AU1097" s="10" t="s">
        <v>50</v>
      </c>
      <c r="AV1097" s="11"/>
      <c r="AW1097" s="10" t="s">
        <v>66</v>
      </c>
      <c r="AX1097" s="10"/>
      <c r="AY1097" s="10" t="s">
        <v>66</v>
      </c>
    </row>
    <row r="1098" ht="22.5" hidden="1" customHeight="1">
      <c r="A1098" s="12" t="s">
        <v>11251</v>
      </c>
      <c r="B1098" s="13" t="s">
        <v>11252</v>
      </c>
      <c r="C1098" s="13" t="s">
        <v>747</v>
      </c>
      <c r="D1098" s="13" t="s">
        <v>50</v>
      </c>
      <c r="E1098" s="13" t="s">
        <v>50</v>
      </c>
      <c r="F1098" s="14"/>
      <c r="G1098" s="14">
        <v>158.2</v>
      </c>
      <c r="H1098" s="14"/>
      <c r="I1098" s="14">
        <v>-26.89</v>
      </c>
      <c r="J1098" s="14">
        <v>-40.9</v>
      </c>
      <c r="K1098" s="14"/>
      <c r="L1098" s="14">
        <v>90.41</v>
      </c>
      <c r="M1098" s="13" t="s">
        <v>46</v>
      </c>
      <c r="N1098" s="13" t="s">
        <v>50</v>
      </c>
      <c r="O1098" s="13" t="s">
        <v>50</v>
      </c>
      <c r="P1098" s="13" t="s">
        <v>50</v>
      </c>
      <c r="Q1098" s="13" t="s">
        <v>50</v>
      </c>
      <c r="R1098" s="13" t="s">
        <v>50</v>
      </c>
      <c r="S1098" s="14"/>
      <c r="T1098" s="14"/>
      <c r="U1098" s="14" t="s">
        <v>50</v>
      </c>
      <c r="V1098" s="13" t="s">
        <v>52</v>
      </c>
      <c r="W1098" s="13" t="s">
        <v>2293</v>
      </c>
      <c r="X1098" s="13" t="s">
        <v>2294</v>
      </c>
      <c r="Y1098" s="13" t="s">
        <v>2295</v>
      </c>
      <c r="Z1098" s="13" t="s">
        <v>50</v>
      </c>
      <c r="AA1098" s="13" t="s">
        <v>50</v>
      </c>
      <c r="AB1098" s="13" t="s">
        <v>2293</v>
      </c>
      <c r="AC1098" s="13" t="s">
        <v>2296</v>
      </c>
      <c r="AD1098" s="13" t="s">
        <v>2297</v>
      </c>
      <c r="AE1098" s="13" t="s">
        <v>2298</v>
      </c>
      <c r="AF1098" s="13" t="s">
        <v>185</v>
      </c>
      <c r="AG1098" s="13" t="s">
        <v>2299</v>
      </c>
      <c r="AH1098" s="13" t="s">
        <v>60</v>
      </c>
      <c r="AI1098" s="13" t="s">
        <v>61</v>
      </c>
      <c r="AJ1098" s="13" t="s">
        <v>8239</v>
      </c>
      <c r="AK1098" s="13" t="s">
        <v>11253</v>
      </c>
      <c r="AL1098" s="13" t="s">
        <v>64</v>
      </c>
      <c r="AM1098" s="13" t="s">
        <v>11254</v>
      </c>
      <c r="AN1098" s="13" t="s">
        <v>50</v>
      </c>
      <c r="AO1098" s="15" t="s">
        <v>50</v>
      </c>
      <c r="AP1098" s="13" t="s">
        <v>50</v>
      </c>
      <c r="AQ1098" s="13" t="s">
        <v>50</v>
      </c>
      <c r="AR1098" s="13" t="s">
        <v>50</v>
      </c>
      <c r="AS1098" s="13" t="s">
        <v>50</v>
      </c>
      <c r="AT1098" s="13" t="s">
        <v>50</v>
      </c>
      <c r="AU1098" s="13" t="s">
        <v>50</v>
      </c>
      <c r="AV1098" s="15"/>
      <c r="AW1098" s="13" t="s">
        <v>50</v>
      </c>
      <c r="AX1098" s="13"/>
      <c r="AY1098" s="13" t="s">
        <v>50</v>
      </c>
    </row>
    <row r="1099" ht="22.5" hidden="1" customHeight="1">
      <c r="A1099" s="16" t="s">
        <v>11255</v>
      </c>
      <c r="B1099" s="17" t="s">
        <v>11252</v>
      </c>
      <c r="C1099" s="17" t="s">
        <v>43</v>
      </c>
      <c r="D1099" s="17" t="s">
        <v>7518</v>
      </c>
      <c r="E1099" s="17" t="s">
        <v>45</v>
      </c>
      <c r="F1099" s="18">
        <v>1.0</v>
      </c>
      <c r="G1099" s="18"/>
      <c r="H1099" s="18"/>
      <c r="I1099" s="18"/>
      <c r="J1099" s="18"/>
      <c r="K1099" s="18"/>
      <c r="L1099" s="18"/>
      <c r="M1099" s="17" t="s">
        <v>50</v>
      </c>
      <c r="N1099" s="17" t="s">
        <v>50</v>
      </c>
      <c r="O1099" s="17" t="s">
        <v>160</v>
      </c>
      <c r="P1099" s="17" t="s">
        <v>161</v>
      </c>
      <c r="Q1099" s="17" t="s">
        <v>162</v>
      </c>
      <c r="R1099" s="17" t="s">
        <v>74</v>
      </c>
      <c r="S1099" s="18">
        <v>79.0</v>
      </c>
      <c r="T1099" s="18">
        <v>2.49</v>
      </c>
      <c r="U1099" s="18" t="s">
        <v>51</v>
      </c>
      <c r="V1099" s="17" t="s">
        <v>50</v>
      </c>
      <c r="W1099" s="17" t="s">
        <v>50</v>
      </c>
      <c r="X1099" s="17" t="s">
        <v>50</v>
      </c>
      <c r="Y1099" s="17" t="s">
        <v>50</v>
      </c>
      <c r="Z1099" s="17" t="s">
        <v>50</v>
      </c>
      <c r="AA1099" s="17" t="s">
        <v>50</v>
      </c>
      <c r="AB1099" s="17" t="s">
        <v>50</v>
      </c>
      <c r="AC1099" s="17" t="s">
        <v>50</v>
      </c>
      <c r="AD1099" s="17" t="s">
        <v>50</v>
      </c>
      <c r="AE1099" s="17" t="s">
        <v>50</v>
      </c>
      <c r="AF1099" s="17" t="s">
        <v>50</v>
      </c>
      <c r="AG1099" s="17" t="s">
        <v>50</v>
      </c>
      <c r="AH1099" s="17" t="s">
        <v>50</v>
      </c>
      <c r="AI1099" s="17" t="s">
        <v>50</v>
      </c>
      <c r="AJ1099" s="17" t="s">
        <v>50</v>
      </c>
      <c r="AK1099" s="17" t="s">
        <v>50</v>
      </c>
      <c r="AL1099" s="17" t="s">
        <v>50</v>
      </c>
      <c r="AM1099" s="17" t="s">
        <v>50</v>
      </c>
      <c r="AN1099" s="17" t="s">
        <v>50</v>
      </c>
      <c r="AO1099" s="18" t="s">
        <v>50</v>
      </c>
      <c r="AP1099" s="17" t="s">
        <v>50</v>
      </c>
      <c r="AQ1099" s="17" t="s">
        <v>50</v>
      </c>
      <c r="AR1099" s="17" t="s">
        <v>50</v>
      </c>
      <c r="AS1099" s="17" t="s">
        <v>50</v>
      </c>
      <c r="AT1099" s="17" t="s">
        <v>50</v>
      </c>
      <c r="AU1099" s="17" t="s">
        <v>50</v>
      </c>
      <c r="AV1099" s="18"/>
      <c r="AW1099" s="17" t="s">
        <v>66</v>
      </c>
      <c r="AX1099" s="17"/>
      <c r="AY1099" s="17" t="s">
        <v>66</v>
      </c>
    </row>
    <row r="1100" ht="22.5" hidden="1" customHeight="1">
      <c r="A1100" s="16" t="s">
        <v>11256</v>
      </c>
      <c r="B1100" s="17" t="s">
        <v>11252</v>
      </c>
      <c r="C1100" s="17" t="s">
        <v>43</v>
      </c>
      <c r="D1100" s="17" t="s">
        <v>7518</v>
      </c>
      <c r="E1100" s="17" t="s">
        <v>45</v>
      </c>
      <c r="F1100" s="18">
        <v>1.0</v>
      </c>
      <c r="G1100" s="18"/>
      <c r="H1100" s="18"/>
      <c r="I1100" s="18"/>
      <c r="J1100" s="18"/>
      <c r="K1100" s="18"/>
      <c r="L1100" s="18"/>
      <c r="M1100" s="17" t="s">
        <v>50</v>
      </c>
      <c r="N1100" s="17" t="s">
        <v>50</v>
      </c>
      <c r="O1100" s="17" t="s">
        <v>892</v>
      </c>
      <c r="P1100" s="17" t="s">
        <v>893</v>
      </c>
      <c r="Q1100" s="17" t="s">
        <v>894</v>
      </c>
      <c r="R1100" s="17" t="s">
        <v>74</v>
      </c>
      <c r="S1100" s="18">
        <v>79.2</v>
      </c>
      <c r="T1100" s="18">
        <v>2.97</v>
      </c>
      <c r="U1100" s="18" t="s">
        <v>51</v>
      </c>
      <c r="V1100" s="17" t="s">
        <v>50</v>
      </c>
      <c r="W1100" s="17" t="s">
        <v>50</v>
      </c>
      <c r="X1100" s="17" t="s">
        <v>50</v>
      </c>
      <c r="Y1100" s="17" t="s">
        <v>50</v>
      </c>
      <c r="Z1100" s="17" t="s">
        <v>50</v>
      </c>
      <c r="AA1100" s="17" t="s">
        <v>50</v>
      </c>
      <c r="AB1100" s="17" t="s">
        <v>50</v>
      </c>
      <c r="AC1100" s="17" t="s">
        <v>50</v>
      </c>
      <c r="AD1100" s="17" t="s">
        <v>50</v>
      </c>
      <c r="AE1100" s="17" t="s">
        <v>50</v>
      </c>
      <c r="AF1100" s="17" t="s">
        <v>50</v>
      </c>
      <c r="AG1100" s="17" t="s">
        <v>50</v>
      </c>
      <c r="AH1100" s="17" t="s">
        <v>50</v>
      </c>
      <c r="AI1100" s="17" t="s">
        <v>50</v>
      </c>
      <c r="AJ1100" s="17" t="s">
        <v>50</v>
      </c>
      <c r="AK1100" s="17" t="s">
        <v>50</v>
      </c>
      <c r="AL1100" s="17" t="s">
        <v>50</v>
      </c>
      <c r="AM1100" s="17" t="s">
        <v>50</v>
      </c>
      <c r="AN1100" s="17" t="s">
        <v>50</v>
      </c>
      <c r="AO1100" s="18" t="s">
        <v>50</v>
      </c>
      <c r="AP1100" s="17" t="s">
        <v>50</v>
      </c>
      <c r="AQ1100" s="17" t="s">
        <v>50</v>
      </c>
      <c r="AR1100" s="17" t="s">
        <v>50</v>
      </c>
      <c r="AS1100" s="17" t="s">
        <v>50</v>
      </c>
      <c r="AT1100" s="17" t="s">
        <v>50</v>
      </c>
      <c r="AU1100" s="17" t="s">
        <v>50</v>
      </c>
      <c r="AV1100" s="18"/>
      <c r="AW1100" s="17" t="s">
        <v>66</v>
      </c>
      <c r="AX1100" s="17"/>
      <c r="AY1100" s="17" t="s">
        <v>66</v>
      </c>
    </row>
    <row r="1101" ht="22.5" hidden="1" customHeight="1">
      <c r="A1101" s="9" t="s">
        <v>11257</v>
      </c>
      <c r="B1101" s="10" t="s">
        <v>11258</v>
      </c>
      <c r="C1101" s="10" t="s">
        <v>43</v>
      </c>
      <c r="D1101" s="10" t="s">
        <v>7518</v>
      </c>
      <c r="E1101" s="10" t="s">
        <v>66</v>
      </c>
      <c r="F1101" s="11">
        <v>1.0</v>
      </c>
      <c r="G1101" s="11">
        <v>80.3</v>
      </c>
      <c r="H1101" s="11"/>
      <c r="I1101" s="11">
        <v>-13.65</v>
      </c>
      <c r="J1101" s="11">
        <v>-20.45</v>
      </c>
      <c r="K1101" s="11"/>
      <c r="L1101" s="11">
        <v>46.2</v>
      </c>
      <c r="M1101" s="10" t="s">
        <v>46</v>
      </c>
      <c r="N1101" s="10" t="s">
        <v>50</v>
      </c>
      <c r="O1101" s="10" t="s">
        <v>127</v>
      </c>
      <c r="P1101" s="10" t="s">
        <v>128</v>
      </c>
      <c r="Q1101" s="10" t="s">
        <v>129</v>
      </c>
      <c r="R1101" s="10" t="s">
        <v>74</v>
      </c>
      <c r="S1101" s="11">
        <v>80.3</v>
      </c>
      <c r="T1101" s="11">
        <v>17.68</v>
      </c>
      <c r="U1101" s="11" t="s">
        <v>51</v>
      </c>
      <c r="V1101" s="10" t="s">
        <v>52</v>
      </c>
      <c r="W1101" s="10" t="s">
        <v>11259</v>
      </c>
      <c r="X1101" s="10" t="s">
        <v>11260</v>
      </c>
      <c r="Y1101" s="10" t="s">
        <v>11261</v>
      </c>
      <c r="Z1101" s="10" t="s">
        <v>50</v>
      </c>
      <c r="AA1101" s="10" t="s">
        <v>50</v>
      </c>
      <c r="AB1101" s="10" t="s">
        <v>11259</v>
      </c>
      <c r="AC1101" s="10" t="s">
        <v>11262</v>
      </c>
      <c r="AD1101" s="10" t="s">
        <v>11263</v>
      </c>
      <c r="AE1101" s="10" t="s">
        <v>11264</v>
      </c>
      <c r="AF1101" s="10" t="s">
        <v>284</v>
      </c>
      <c r="AG1101" s="10" t="s">
        <v>11265</v>
      </c>
      <c r="AH1101" s="10" t="s">
        <v>60</v>
      </c>
      <c r="AI1101" s="10" t="s">
        <v>61</v>
      </c>
      <c r="AJ1101" s="10" t="s">
        <v>8189</v>
      </c>
      <c r="AK1101" s="10" t="s">
        <v>11266</v>
      </c>
      <c r="AL1101" s="10" t="s">
        <v>64</v>
      </c>
      <c r="AM1101" s="10" t="s">
        <v>11267</v>
      </c>
      <c r="AN1101" s="10" t="s">
        <v>50</v>
      </c>
      <c r="AO1101" s="11" t="s">
        <v>50</v>
      </c>
      <c r="AP1101" s="10" t="s">
        <v>50</v>
      </c>
      <c r="AQ1101" s="10" t="s">
        <v>50</v>
      </c>
      <c r="AR1101" s="10" t="s">
        <v>50</v>
      </c>
      <c r="AS1101" s="10" t="s">
        <v>50</v>
      </c>
      <c r="AT1101" s="10" t="s">
        <v>50</v>
      </c>
      <c r="AU1101" s="10" t="s">
        <v>50</v>
      </c>
      <c r="AV1101" s="11"/>
      <c r="AW1101" s="10" t="s">
        <v>66</v>
      </c>
      <c r="AX1101" s="10"/>
      <c r="AY1101" s="10" t="s">
        <v>66</v>
      </c>
    </row>
    <row r="1102" ht="22.5" hidden="1" customHeight="1">
      <c r="A1102" s="9" t="s">
        <v>11268</v>
      </c>
      <c r="B1102" s="10" t="s">
        <v>11269</v>
      </c>
      <c r="C1102" s="10" t="s">
        <v>43</v>
      </c>
      <c r="D1102" s="10" t="s">
        <v>7750</v>
      </c>
      <c r="E1102" s="10" t="s">
        <v>45</v>
      </c>
      <c r="F1102" s="11">
        <v>1.0</v>
      </c>
      <c r="G1102" s="11">
        <v>43.7</v>
      </c>
      <c r="H1102" s="11">
        <v>14.15</v>
      </c>
      <c r="I1102" s="11">
        <v>-13.43</v>
      </c>
      <c r="J1102" s="11">
        <v>-14.15</v>
      </c>
      <c r="K1102" s="11"/>
      <c r="L1102" s="11">
        <v>32.89</v>
      </c>
      <c r="M1102" s="10" t="s">
        <v>46</v>
      </c>
      <c r="N1102" s="10" t="s">
        <v>50</v>
      </c>
      <c r="O1102" s="10" t="s">
        <v>176</v>
      </c>
      <c r="P1102" s="10" t="s">
        <v>177</v>
      </c>
      <c r="Q1102" s="10" t="s">
        <v>178</v>
      </c>
      <c r="R1102" s="10" t="s">
        <v>74</v>
      </c>
      <c r="S1102" s="11">
        <v>43.7</v>
      </c>
      <c r="T1102" s="11">
        <v>22.58</v>
      </c>
      <c r="U1102" s="11" t="s">
        <v>51</v>
      </c>
      <c r="V1102" s="10" t="s">
        <v>52</v>
      </c>
      <c r="W1102" s="10" t="s">
        <v>11270</v>
      </c>
      <c r="X1102" s="10" t="s">
        <v>11271</v>
      </c>
      <c r="Y1102" s="10" t="s">
        <v>11272</v>
      </c>
      <c r="Z1102" s="10" t="s">
        <v>50</v>
      </c>
      <c r="AA1102" s="10" t="s">
        <v>50</v>
      </c>
      <c r="AB1102" s="10" t="s">
        <v>11270</v>
      </c>
      <c r="AC1102" s="10" t="s">
        <v>11273</v>
      </c>
      <c r="AD1102" s="10" t="s">
        <v>11274</v>
      </c>
      <c r="AE1102" s="10" t="s">
        <v>11275</v>
      </c>
      <c r="AF1102" s="10" t="s">
        <v>58</v>
      </c>
      <c r="AG1102" s="10" t="s">
        <v>11276</v>
      </c>
      <c r="AH1102" s="10" t="s">
        <v>60</v>
      </c>
      <c r="AI1102" s="10" t="s">
        <v>61</v>
      </c>
      <c r="AJ1102" s="10" t="s">
        <v>8392</v>
      </c>
      <c r="AK1102" s="10" t="s">
        <v>11277</v>
      </c>
      <c r="AL1102" s="10" t="s">
        <v>64</v>
      </c>
      <c r="AM1102" s="10" t="s">
        <v>11278</v>
      </c>
      <c r="AN1102" s="10" t="s">
        <v>50</v>
      </c>
      <c r="AO1102" s="11" t="s">
        <v>50</v>
      </c>
      <c r="AP1102" s="10" t="s">
        <v>50</v>
      </c>
      <c r="AQ1102" s="10" t="s">
        <v>50</v>
      </c>
      <c r="AR1102" s="10" t="s">
        <v>50</v>
      </c>
      <c r="AS1102" s="10" t="s">
        <v>50</v>
      </c>
      <c r="AT1102" s="10" t="s">
        <v>50</v>
      </c>
      <c r="AU1102" s="10" t="s">
        <v>50</v>
      </c>
      <c r="AV1102" s="11"/>
      <c r="AW1102" s="10" t="s">
        <v>66</v>
      </c>
      <c r="AX1102" s="10"/>
      <c r="AY1102" s="10" t="s">
        <v>66</v>
      </c>
    </row>
    <row r="1103" ht="22.5" hidden="1" customHeight="1">
      <c r="A1103" s="9" t="s">
        <v>11279</v>
      </c>
      <c r="B1103" s="10" t="s">
        <v>11280</v>
      </c>
      <c r="C1103" s="10" t="s">
        <v>43</v>
      </c>
      <c r="D1103" s="10" t="s">
        <v>7518</v>
      </c>
      <c r="E1103" s="10" t="s">
        <v>66</v>
      </c>
      <c r="F1103" s="11">
        <v>1.0</v>
      </c>
      <c r="G1103" s="11">
        <v>120.0</v>
      </c>
      <c r="H1103" s="11"/>
      <c r="I1103" s="11">
        <v>-20.4</v>
      </c>
      <c r="J1103" s="11">
        <v>-19.95</v>
      </c>
      <c r="K1103" s="11"/>
      <c r="L1103" s="11">
        <v>86.85</v>
      </c>
      <c r="M1103" s="10" t="s">
        <v>46</v>
      </c>
      <c r="N1103" s="10" t="s">
        <v>45</v>
      </c>
      <c r="O1103" s="10" t="s">
        <v>85</v>
      </c>
      <c r="P1103" s="10" t="s">
        <v>86</v>
      </c>
      <c r="Q1103" s="10" t="s">
        <v>87</v>
      </c>
      <c r="R1103" s="10" t="s">
        <v>74</v>
      </c>
      <c r="S1103" s="11">
        <v>120.0</v>
      </c>
      <c r="T1103" s="11">
        <v>65.78</v>
      </c>
      <c r="U1103" s="11" t="s">
        <v>51</v>
      </c>
      <c r="V1103" s="10" t="s">
        <v>52</v>
      </c>
      <c r="W1103" s="10" t="s">
        <v>11281</v>
      </c>
      <c r="X1103" s="10" t="s">
        <v>11282</v>
      </c>
      <c r="Y1103" s="10" t="s">
        <v>11283</v>
      </c>
      <c r="Z1103" s="10" t="s">
        <v>50</v>
      </c>
      <c r="AA1103" s="10" t="s">
        <v>50</v>
      </c>
      <c r="AB1103" s="10" t="s">
        <v>11281</v>
      </c>
      <c r="AC1103" s="10" t="s">
        <v>11284</v>
      </c>
      <c r="AD1103" s="10" t="s">
        <v>11285</v>
      </c>
      <c r="AE1103" s="10" t="s">
        <v>11286</v>
      </c>
      <c r="AF1103" s="10" t="s">
        <v>284</v>
      </c>
      <c r="AG1103" s="10" t="s">
        <v>11287</v>
      </c>
      <c r="AH1103" s="10" t="s">
        <v>60</v>
      </c>
      <c r="AI1103" s="10" t="s">
        <v>61</v>
      </c>
      <c r="AJ1103" s="10" t="s">
        <v>8189</v>
      </c>
      <c r="AK1103" s="10" t="s">
        <v>11288</v>
      </c>
      <c r="AL1103" s="10" t="s">
        <v>64</v>
      </c>
      <c r="AM1103" s="10" t="s">
        <v>11289</v>
      </c>
      <c r="AN1103" s="10" t="s">
        <v>50</v>
      </c>
      <c r="AO1103" s="11" t="s">
        <v>50</v>
      </c>
      <c r="AP1103" s="10" t="s">
        <v>50</v>
      </c>
      <c r="AQ1103" s="10" t="s">
        <v>50</v>
      </c>
      <c r="AR1103" s="10" t="s">
        <v>50</v>
      </c>
      <c r="AS1103" s="10" t="s">
        <v>50</v>
      </c>
      <c r="AT1103" s="10" t="s">
        <v>50</v>
      </c>
      <c r="AU1103" s="10" t="s">
        <v>50</v>
      </c>
      <c r="AV1103" s="11"/>
      <c r="AW1103" s="10" t="s">
        <v>66</v>
      </c>
      <c r="AX1103" s="10"/>
      <c r="AY1103" s="10" t="s">
        <v>66</v>
      </c>
    </row>
    <row r="1104" ht="22.5" hidden="1" customHeight="1">
      <c r="A1104" s="9" t="s">
        <v>11290</v>
      </c>
      <c r="B1104" s="10" t="s">
        <v>11291</v>
      </c>
      <c r="C1104" s="10" t="s">
        <v>43</v>
      </c>
      <c r="D1104" s="10" t="s">
        <v>7750</v>
      </c>
      <c r="E1104" s="10" t="s">
        <v>66</v>
      </c>
      <c r="F1104" s="11">
        <v>1.0</v>
      </c>
      <c r="G1104" s="11">
        <v>120.0</v>
      </c>
      <c r="H1104" s="11"/>
      <c r="I1104" s="11">
        <v>-20.4</v>
      </c>
      <c r="J1104" s="11">
        <v>-19.95</v>
      </c>
      <c r="K1104" s="11"/>
      <c r="L1104" s="11">
        <v>86.85</v>
      </c>
      <c r="M1104" s="10" t="s">
        <v>46</v>
      </c>
      <c r="N1104" s="10" t="s">
        <v>50</v>
      </c>
      <c r="O1104" s="10" t="s">
        <v>85</v>
      </c>
      <c r="P1104" s="10" t="s">
        <v>86</v>
      </c>
      <c r="Q1104" s="10" t="s">
        <v>87</v>
      </c>
      <c r="R1104" s="10" t="s">
        <v>74</v>
      </c>
      <c r="S1104" s="11">
        <v>120.0</v>
      </c>
      <c r="T1104" s="11">
        <v>65.78</v>
      </c>
      <c r="U1104" s="11" t="s">
        <v>51</v>
      </c>
      <c r="V1104" s="10" t="s">
        <v>52</v>
      </c>
      <c r="W1104" s="10" t="s">
        <v>11292</v>
      </c>
      <c r="X1104" s="10" t="s">
        <v>11293</v>
      </c>
      <c r="Y1104" s="10" t="s">
        <v>11294</v>
      </c>
      <c r="Z1104" s="10" t="s">
        <v>50</v>
      </c>
      <c r="AA1104" s="10" t="s">
        <v>50</v>
      </c>
      <c r="AB1104" s="10" t="s">
        <v>11292</v>
      </c>
      <c r="AC1104" s="10" t="s">
        <v>11295</v>
      </c>
      <c r="AD1104" s="10" t="s">
        <v>11296</v>
      </c>
      <c r="AE1104" s="10" t="s">
        <v>11297</v>
      </c>
      <c r="AF1104" s="10" t="s">
        <v>323</v>
      </c>
      <c r="AG1104" s="10" t="s">
        <v>11298</v>
      </c>
      <c r="AH1104" s="10" t="s">
        <v>60</v>
      </c>
      <c r="AI1104" s="10" t="s">
        <v>61</v>
      </c>
      <c r="AJ1104" s="10" t="s">
        <v>11299</v>
      </c>
      <c r="AK1104" s="10" t="s">
        <v>11300</v>
      </c>
      <c r="AL1104" s="10" t="s">
        <v>64</v>
      </c>
      <c r="AM1104" s="10" t="s">
        <v>11301</v>
      </c>
      <c r="AN1104" s="10" t="s">
        <v>50</v>
      </c>
      <c r="AO1104" s="11" t="s">
        <v>50</v>
      </c>
      <c r="AP1104" s="10" t="s">
        <v>50</v>
      </c>
      <c r="AQ1104" s="10" t="s">
        <v>50</v>
      </c>
      <c r="AR1104" s="10" t="s">
        <v>50</v>
      </c>
      <c r="AS1104" s="10" t="s">
        <v>50</v>
      </c>
      <c r="AT1104" s="10" t="s">
        <v>50</v>
      </c>
      <c r="AU1104" s="10" t="s">
        <v>50</v>
      </c>
      <c r="AV1104" s="11"/>
      <c r="AW1104" s="10" t="s">
        <v>66</v>
      </c>
      <c r="AX1104" s="10"/>
      <c r="AY1104" s="10" t="s">
        <v>66</v>
      </c>
    </row>
    <row r="1105" ht="22.5" hidden="1" customHeight="1">
      <c r="A1105" s="9" t="s">
        <v>11302</v>
      </c>
      <c r="B1105" s="10" t="s">
        <v>11303</v>
      </c>
      <c r="C1105" s="10" t="s">
        <v>43</v>
      </c>
      <c r="D1105" s="10" t="s">
        <v>7750</v>
      </c>
      <c r="E1105" s="10" t="s">
        <v>66</v>
      </c>
      <c r="F1105" s="11">
        <v>1.0</v>
      </c>
      <c r="G1105" s="11">
        <v>92.15</v>
      </c>
      <c r="H1105" s="11"/>
      <c r="I1105" s="11">
        <v>-17.51</v>
      </c>
      <c r="J1105" s="11">
        <v>-20.45</v>
      </c>
      <c r="K1105" s="11"/>
      <c r="L1105" s="11">
        <v>59.72</v>
      </c>
      <c r="M1105" s="10" t="s">
        <v>46</v>
      </c>
      <c r="N1105" s="10" t="s">
        <v>45</v>
      </c>
      <c r="O1105" s="10" t="s">
        <v>586</v>
      </c>
      <c r="P1105" s="10" t="s">
        <v>587</v>
      </c>
      <c r="Q1105" s="10" t="s">
        <v>588</v>
      </c>
      <c r="R1105" s="10" t="s">
        <v>50</v>
      </c>
      <c r="S1105" s="11">
        <v>92.15</v>
      </c>
      <c r="T1105" s="11">
        <v>20.76</v>
      </c>
      <c r="U1105" s="11" t="s">
        <v>51</v>
      </c>
      <c r="V1105" s="10" t="s">
        <v>52</v>
      </c>
      <c r="W1105" s="10" t="s">
        <v>11304</v>
      </c>
      <c r="X1105" s="10" t="s">
        <v>11305</v>
      </c>
      <c r="Y1105" s="10" t="s">
        <v>11306</v>
      </c>
      <c r="Z1105" s="10" t="s">
        <v>50</v>
      </c>
      <c r="AA1105" s="10" t="s">
        <v>50</v>
      </c>
      <c r="AB1105" s="10" t="s">
        <v>11304</v>
      </c>
      <c r="AC1105" s="10" t="s">
        <v>11307</v>
      </c>
      <c r="AD1105" s="10" t="s">
        <v>11308</v>
      </c>
      <c r="AE1105" s="10" t="s">
        <v>833</v>
      </c>
      <c r="AF1105" s="10" t="s">
        <v>58</v>
      </c>
      <c r="AG1105" s="10" t="s">
        <v>11309</v>
      </c>
      <c r="AH1105" s="10" t="s">
        <v>60</v>
      </c>
      <c r="AI1105" s="10" t="s">
        <v>61</v>
      </c>
      <c r="AJ1105" s="10" t="s">
        <v>8308</v>
      </c>
      <c r="AK1105" s="10" t="s">
        <v>11310</v>
      </c>
      <c r="AL1105" s="10" t="s">
        <v>64</v>
      </c>
      <c r="AM1105" s="10" t="s">
        <v>11311</v>
      </c>
      <c r="AN1105" s="10" t="s">
        <v>50</v>
      </c>
      <c r="AO1105" s="11" t="s">
        <v>50</v>
      </c>
      <c r="AP1105" s="10" t="s">
        <v>50</v>
      </c>
      <c r="AQ1105" s="10" t="s">
        <v>50</v>
      </c>
      <c r="AR1105" s="10" t="s">
        <v>50</v>
      </c>
      <c r="AS1105" s="10" t="s">
        <v>50</v>
      </c>
      <c r="AT1105" s="10" t="s">
        <v>50</v>
      </c>
      <c r="AU1105" s="10" t="s">
        <v>50</v>
      </c>
      <c r="AV1105" s="11"/>
      <c r="AW1105" s="10" t="s">
        <v>66</v>
      </c>
      <c r="AX1105" s="10"/>
      <c r="AY1105" s="10" t="s">
        <v>66</v>
      </c>
    </row>
    <row r="1106" ht="22.5" hidden="1" customHeight="1">
      <c r="A1106" s="12" t="s">
        <v>11312</v>
      </c>
      <c r="B1106" s="13" t="s">
        <v>11303</v>
      </c>
      <c r="C1106" s="13" t="s">
        <v>747</v>
      </c>
      <c r="D1106" s="13" t="s">
        <v>50</v>
      </c>
      <c r="E1106" s="13" t="s">
        <v>50</v>
      </c>
      <c r="F1106" s="14"/>
      <c r="G1106" s="14">
        <v>81.7</v>
      </c>
      <c r="H1106" s="14"/>
      <c r="I1106" s="14">
        <v>-25.89</v>
      </c>
      <c r="J1106" s="14"/>
      <c r="K1106" s="14"/>
      <c r="L1106" s="14">
        <v>58.43</v>
      </c>
      <c r="M1106" s="13" t="s">
        <v>46</v>
      </c>
      <c r="N1106" s="13" t="s">
        <v>50</v>
      </c>
      <c r="O1106" s="13" t="s">
        <v>50</v>
      </c>
      <c r="P1106" s="13" t="s">
        <v>50</v>
      </c>
      <c r="Q1106" s="13" t="s">
        <v>50</v>
      </c>
      <c r="R1106" s="13" t="s">
        <v>50</v>
      </c>
      <c r="S1106" s="14"/>
      <c r="T1106" s="14"/>
      <c r="U1106" s="14" t="s">
        <v>50</v>
      </c>
      <c r="V1106" s="13" t="s">
        <v>52</v>
      </c>
      <c r="W1106" s="13" t="s">
        <v>11313</v>
      </c>
      <c r="X1106" s="13" t="s">
        <v>11314</v>
      </c>
      <c r="Y1106" s="13" t="s">
        <v>11315</v>
      </c>
      <c r="Z1106" s="13" t="s">
        <v>50</v>
      </c>
      <c r="AA1106" s="13" t="s">
        <v>50</v>
      </c>
      <c r="AB1106" s="13" t="s">
        <v>11313</v>
      </c>
      <c r="AC1106" s="13" t="s">
        <v>11316</v>
      </c>
      <c r="AD1106" s="13" t="s">
        <v>11317</v>
      </c>
      <c r="AE1106" s="13" t="s">
        <v>11318</v>
      </c>
      <c r="AF1106" s="13" t="s">
        <v>58</v>
      </c>
      <c r="AG1106" s="13" t="s">
        <v>11319</v>
      </c>
      <c r="AH1106" s="13" t="s">
        <v>60</v>
      </c>
      <c r="AI1106" s="13" t="s">
        <v>61</v>
      </c>
      <c r="AJ1106" s="13" t="s">
        <v>8392</v>
      </c>
      <c r="AK1106" s="13" t="s">
        <v>11320</v>
      </c>
      <c r="AL1106" s="13" t="s">
        <v>64</v>
      </c>
      <c r="AM1106" s="13" t="s">
        <v>11321</v>
      </c>
      <c r="AN1106" s="13" t="s">
        <v>50</v>
      </c>
      <c r="AO1106" s="15" t="s">
        <v>50</v>
      </c>
      <c r="AP1106" s="13" t="s">
        <v>50</v>
      </c>
      <c r="AQ1106" s="13" t="s">
        <v>50</v>
      </c>
      <c r="AR1106" s="13" t="s">
        <v>50</v>
      </c>
      <c r="AS1106" s="13" t="s">
        <v>50</v>
      </c>
      <c r="AT1106" s="13" t="s">
        <v>50</v>
      </c>
      <c r="AU1106" s="13" t="s">
        <v>50</v>
      </c>
      <c r="AV1106" s="15"/>
      <c r="AW1106" s="13" t="s">
        <v>50</v>
      </c>
      <c r="AX1106" s="13"/>
      <c r="AY1106" s="13" t="s">
        <v>50</v>
      </c>
    </row>
    <row r="1107" ht="22.5" hidden="1" customHeight="1">
      <c r="A1107" s="16" t="s">
        <v>11322</v>
      </c>
      <c r="B1107" s="17" t="s">
        <v>11303</v>
      </c>
      <c r="C1107" s="17" t="s">
        <v>43</v>
      </c>
      <c r="D1107" s="17" t="s">
        <v>7750</v>
      </c>
      <c r="E1107" s="17" t="s">
        <v>45</v>
      </c>
      <c r="F1107" s="18">
        <v>1.0</v>
      </c>
      <c r="G1107" s="18"/>
      <c r="H1107" s="18"/>
      <c r="I1107" s="18"/>
      <c r="J1107" s="18"/>
      <c r="K1107" s="18"/>
      <c r="L1107" s="18"/>
      <c r="M1107" s="17" t="s">
        <v>50</v>
      </c>
      <c r="N1107" s="17" t="s">
        <v>45</v>
      </c>
      <c r="O1107" s="17" t="s">
        <v>176</v>
      </c>
      <c r="P1107" s="17" t="s">
        <v>177</v>
      </c>
      <c r="Q1107" s="17" t="s">
        <v>178</v>
      </c>
      <c r="R1107" s="17" t="s">
        <v>74</v>
      </c>
      <c r="S1107" s="18">
        <v>43.7</v>
      </c>
      <c r="T1107" s="18">
        <v>22.58</v>
      </c>
      <c r="U1107" s="18" t="s">
        <v>51</v>
      </c>
      <c r="V1107" s="17" t="s">
        <v>50</v>
      </c>
      <c r="W1107" s="17" t="s">
        <v>50</v>
      </c>
      <c r="X1107" s="17" t="s">
        <v>50</v>
      </c>
      <c r="Y1107" s="17" t="s">
        <v>50</v>
      </c>
      <c r="Z1107" s="17" t="s">
        <v>50</v>
      </c>
      <c r="AA1107" s="17" t="s">
        <v>50</v>
      </c>
      <c r="AB1107" s="17" t="s">
        <v>50</v>
      </c>
      <c r="AC1107" s="17" t="s">
        <v>50</v>
      </c>
      <c r="AD1107" s="17" t="s">
        <v>50</v>
      </c>
      <c r="AE1107" s="17" t="s">
        <v>50</v>
      </c>
      <c r="AF1107" s="17" t="s">
        <v>50</v>
      </c>
      <c r="AG1107" s="17" t="s">
        <v>50</v>
      </c>
      <c r="AH1107" s="17" t="s">
        <v>50</v>
      </c>
      <c r="AI1107" s="17" t="s">
        <v>50</v>
      </c>
      <c r="AJ1107" s="17" t="s">
        <v>50</v>
      </c>
      <c r="AK1107" s="17" t="s">
        <v>50</v>
      </c>
      <c r="AL1107" s="17" t="s">
        <v>50</v>
      </c>
      <c r="AM1107" s="17" t="s">
        <v>50</v>
      </c>
      <c r="AN1107" s="17" t="s">
        <v>50</v>
      </c>
      <c r="AO1107" s="18" t="s">
        <v>50</v>
      </c>
      <c r="AP1107" s="17" t="s">
        <v>50</v>
      </c>
      <c r="AQ1107" s="17" t="s">
        <v>50</v>
      </c>
      <c r="AR1107" s="17" t="s">
        <v>50</v>
      </c>
      <c r="AS1107" s="17" t="s">
        <v>50</v>
      </c>
      <c r="AT1107" s="17" t="s">
        <v>50</v>
      </c>
      <c r="AU1107" s="17" t="s">
        <v>50</v>
      </c>
      <c r="AV1107" s="18"/>
      <c r="AW1107" s="17" t="s">
        <v>66</v>
      </c>
      <c r="AX1107" s="17"/>
      <c r="AY1107" s="17" t="s">
        <v>66</v>
      </c>
    </row>
    <row r="1108" ht="22.5" hidden="1" customHeight="1">
      <c r="A1108" s="16" t="s">
        <v>11323</v>
      </c>
      <c r="B1108" s="17" t="s">
        <v>11303</v>
      </c>
      <c r="C1108" s="17" t="s">
        <v>43</v>
      </c>
      <c r="D1108" s="17" t="s">
        <v>7750</v>
      </c>
      <c r="E1108" s="17" t="s">
        <v>45</v>
      </c>
      <c r="F1108" s="18">
        <v>1.0</v>
      </c>
      <c r="G1108" s="18"/>
      <c r="H1108" s="18"/>
      <c r="I1108" s="18"/>
      <c r="J1108" s="18"/>
      <c r="K1108" s="18"/>
      <c r="L1108" s="18"/>
      <c r="M1108" s="17" t="s">
        <v>50</v>
      </c>
      <c r="N1108" s="17" t="s">
        <v>45</v>
      </c>
      <c r="O1108" s="17" t="s">
        <v>11324</v>
      </c>
      <c r="P1108" s="17" t="s">
        <v>11325</v>
      </c>
      <c r="Q1108" s="17" t="s">
        <v>11326</v>
      </c>
      <c r="R1108" s="17" t="s">
        <v>74</v>
      </c>
      <c r="S1108" s="18">
        <v>38.0</v>
      </c>
      <c r="T1108" s="18">
        <v>4.99</v>
      </c>
      <c r="U1108" s="18" t="s">
        <v>51</v>
      </c>
      <c r="V1108" s="17" t="s">
        <v>50</v>
      </c>
      <c r="W1108" s="17" t="s">
        <v>50</v>
      </c>
      <c r="X1108" s="17" t="s">
        <v>50</v>
      </c>
      <c r="Y1108" s="17" t="s">
        <v>50</v>
      </c>
      <c r="Z1108" s="17" t="s">
        <v>50</v>
      </c>
      <c r="AA1108" s="17" t="s">
        <v>50</v>
      </c>
      <c r="AB1108" s="17" t="s">
        <v>50</v>
      </c>
      <c r="AC1108" s="17" t="s">
        <v>50</v>
      </c>
      <c r="AD1108" s="17" t="s">
        <v>50</v>
      </c>
      <c r="AE1108" s="17" t="s">
        <v>50</v>
      </c>
      <c r="AF1108" s="17" t="s">
        <v>50</v>
      </c>
      <c r="AG1108" s="17" t="s">
        <v>50</v>
      </c>
      <c r="AH1108" s="17" t="s">
        <v>50</v>
      </c>
      <c r="AI1108" s="17" t="s">
        <v>50</v>
      </c>
      <c r="AJ1108" s="17" t="s">
        <v>50</v>
      </c>
      <c r="AK1108" s="17" t="s">
        <v>50</v>
      </c>
      <c r="AL1108" s="17" t="s">
        <v>50</v>
      </c>
      <c r="AM1108" s="17" t="s">
        <v>50</v>
      </c>
      <c r="AN1108" s="17" t="s">
        <v>50</v>
      </c>
      <c r="AO1108" s="18" t="s">
        <v>50</v>
      </c>
      <c r="AP1108" s="17" t="s">
        <v>50</v>
      </c>
      <c r="AQ1108" s="17" t="s">
        <v>50</v>
      </c>
      <c r="AR1108" s="17" t="s">
        <v>50</v>
      </c>
      <c r="AS1108" s="17" t="s">
        <v>50</v>
      </c>
      <c r="AT1108" s="17" t="s">
        <v>50</v>
      </c>
      <c r="AU1108" s="17" t="s">
        <v>50</v>
      </c>
      <c r="AV1108" s="18"/>
      <c r="AW1108" s="17" t="s">
        <v>66</v>
      </c>
      <c r="AX1108" s="17"/>
      <c r="AY1108" s="17" t="s">
        <v>66</v>
      </c>
    </row>
    <row r="1109" ht="22.5" hidden="1" customHeight="1">
      <c r="A1109" s="9" t="s">
        <v>11327</v>
      </c>
      <c r="B1109" s="10" t="s">
        <v>11328</v>
      </c>
      <c r="C1109" s="10" t="s">
        <v>43</v>
      </c>
      <c r="D1109" s="10" t="s">
        <v>8227</v>
      </c>
      <c r="E1109" s="10" t="s">
        <v>45</v>
      </c>
      <c r="F1109" s="11">
        <v>3.0</v>
      </c>
      <c r="G1109" s="11">
        <v>131.1</v>
      </c>
      <c r="H1109" s="11"/>
      <c r="I1109" s="11">
        <v>-40.29</v>
      </c>
      <c r="J1109" s="11"/>
      <c r="K1109" s="11"/>
      <c r="L1109" s="11">
        <v>98.67</v>
      </c>
      <c r="M1109" s="10" t="s">
        <v>46</v>
      </c>
      <c r="N1109" s="10" t="s">
        <v>45</v>
      </c>
      <c r="O1109" s="10" t="s">
        <v>176</v>
      </c>
      <c r="P1109" s="10" t="s">
        <v>177</v>
      </c>
      <c r="Q1109" s="10" t="s">
        <v>178</v>
      </c>
      <c r="R1109" s="10" t="s">
        <v>74</v>
      </c>
      <c r="S1109" s="11">
        <v>43.7</v>
      </c>
      <c r="T1109" s="11">
        <f>3*22.58</f>
        <v>67.74</v>
      </c>
      <c r="U1109" s="11" t="s">
        <v>51</v>
      </c>
      <c r="V1109" s="10" t="s">
        <v>52</v>
      </c>
      <c r="W1109" s="10" t="s">
        <v>11329</v>
      </c>
      <c r="X1109" s="10" t="s">
        <v>11330</v>
      </c>
      <c r="Y1109" s="10" t="s">
        <v>11331</v>
      </c>
      <c r="Z1109" s="10" t="s">
        <v>50</v>
      </c>
      <c r="AA1109" s="10" t="s">
        <v>50</v>
      </c>
      <c r="AB1109" s="10" t="s">
        <v>11329</v>
      </c>
      <c r="AC1109" s="10" t="s">
        <v>11332</v>
      </c>
      <c r="AD1109" s="10" t="s">
        <v>11333</v>
      </c>
      <c r="AE1109" s="10" t="s">
        <v>322</v>
      </c>
      <c r="AF1109" s="10" t="s">
        <v>323</v>
      </c>
      <c r="AG1109" s="10" t="s">
        <v>11334</v>
      </c>
      <c r="AH1109" s="10" t="s">
        <v>60</v>
      </c>
      <c r="AI1109" s="10" t="s">
        <v>61</v>
      </c>
      <c r="AJ1109" s="10" t="s">
        <v>11335</v>
      </c>
      <c r="AK1109" s="10" t="s">
        <v>11336</v>
      </c>
      <c r="AL1109" s="10" t="s">
        <v>64</v>
      </c>
      <c r="AM1109" s="10" t="s">
        <v>11337</v>
      </c>
      <c r="AN1109" s="10" t="s">
        <v>50</v>
      </c>
      <c r="AO1109" s="11" t="s">
        <v>50</v>
      </c>
      <c r="AP1109" s="10" t="s">
        <v>50</v>
      </c>
      <c r="AQ1109" s="10" t="s">
        <v>50</v>
      </c>
      <c r="AR1109" s="10" t="s">
        <v>50</v>
      </c>
      <c r="AS1109" s="10" t="s">
        <v>50</v>
      </c>
      <c r="AT1109" s="10" t="s">
        <v>50</v>
      </c>
      <c r="AU1109" s="10" t="s">
        <v>50</v>
      </c>
      <c r="AV1109" s="11"/>
      <c r="AW1109" s="10" t="s">
        <v>66</v>
      </c>
      <c r="AX1109" s="10"/>
      <c r="AY1109" s="10" t="s">
        <v>66</v>
      </c>
    </row>
    <row r="1110" ht="22.5" hidden="1" customHeight="1">
      <c r="A1110" s="9" t="s">
        <v>11338</v>
      </c>
      <c r="B1110" s="10" t="s">
        <v>11339</v>
      </c>
      <c r="C1110" s="10" t="s">
        <v>43</v>
      </c>
      <c r="D1110" s="10" t="s">
        <v>7577</v>
      </c>
      <c r="E1110" s="10" t="s">
        <v>45</v>
      </c>
      <c r="F1110" s="11">
        <v>1.0</v>
      </c>
      <c r="G1110" s="11">
        <v>48.0</v>
      </c>
      <c r="H1110" s="11">
        <v>17.86</v>
      </c>
      <c r="I1110" s="11">
        <v>-14.16</v>
      </c>
      <c r="J1110" s="11">
        <v>-17.86</v>
      </c>
      <c r="K1110" s="11"/>
      <c r="L1110" s="11">
        <v>33.84</v>
      </c>
      <c r="M1110" s="10" t="s">
        <v>46</v>
      </c>
      <c r="N1110" s="10" t="s">
        <v>50</v>
      </c>
      <c r="O1110" s="10" t="s">
        <v>4556</v>
      </c>
      <c r="P1110" s="10" t="s">
        <v>4557</v>
      </c>
      <c r="Q1110" s="10" t="s">
        <v>4558</v>
      </c>
      <c r="R1110" s="10" t="s">
        <v>74</v>
      </c>
      <c r="S1110" s="11">
        <v>48.0</v>
      </c>
      <c r="T1110" s="11">
        <v>8.73</v>
      </c>
      <c r="U1110" s="11" t="s">
        <v>51</v>
      </c>
      <c r="V1110" s="10" t="s">
        <v>52</v>
      </c>
      <c r="W1110" s="10" t="s">
        <v>11340</v>
      </c>
      <c r="X1110" s="10" t="s">
        <v>11341</v>
      </c>
      <c r="Y1110" s="10" t="s">
        <v>11342</v>
      </c>
      <c r="Z1110" s="10" t="s">
        <v>50</v>
      </c>
      <c r="AA1110" s="10" t="s">
        <v>50</v>
      </c>
      <c r="AB1110" s="10" t="s">
        <v>11340</v>
      </c>
      <c r="AC1110" s="10" t="s">
        <v>11343</v>
      </c>
      <c r="AD1110" s="10" t="s">
        <v>11344</v>
      </c>
      <c r="AE1110" s="10" t="s">
        <v>11345</v>
      </c>
      <c r="AF1110" s="10" t="s">
        <v>284</v>
      </c>
      <c r="AG1110" s="10" t="s">
        <v>11346</v>
      </c>
      <c r="AH1110" s="10" t="s">
        <v>60</v>
      </c>
      <c r="AI1110" s="10" t="s">
        <v>61</v>
      </c>
      <c r="AJ1110" s="10" t="s">
        <v>11347</v>
      </c>
      <c r="AK1110" s="10" t="s">
        <v>11348</v>
      </c>
      <c r="AL1110" s="10" t="s">
        <v>64</v>
      </c>
      <c r="AM1110" s="10" t="s">
        <v>11349</v>
      </c>
      <c r="AN1110" s="10" t="s">
        <v>50</v>
      </c>
      <c r="AO1110" s="11" t="s">
        <v>50</v>
      </c>
      <c r="AP1110" s="10" t="s">
        <v>50</v>
      </c>
      <c r="AQ1110" s="10" t="s">
        <v>50</v>
      </c>
      <c r="AR1110" s="10" t="s">
        <v>50</v>
      </c>
      <c r="AS1110" s="10" t="s">
        <v>50</v>
      </c>
      <c r="AT1110" s="10" t="s">
        <v>50</v>
      </c>
      <c r="AU1110" s="10" t="s">
        <v>50</v>
      </c>
      <c r="AV1110" s="11"/>
      <c r="AW1110" s="10" t="s">
        <v>66</v>
      </c>
      <c r="AX1110" s="10"/>
      <c r="AY1110" s="10" t="s">
        <v>66</v>
      </c>
    </row>
    <row r="1111" ht="22.5" hidden="1" customHeight="1">
      <c r="A1111" s="9" t="s">
        <v>11350</v>
      </c>
      <c r="B1111" s="10" t="s">
        <v>11339</v>
      </c>
      <c r="C1111" s="10" t="s">
        <v>43</v>
      </c>
      <c r="D1111" s="10" t="s">
        <v>7750</v>
      </c>
      <c r="E1111" s="10" t="s">
        <v>66</v>
      </c>
      <c r="F1111" s="11">
        <v>1.0</v>
      </c>
      <c r="G1111" s="11">
        <v>43.7</v>
      </c>
      <c r="H1111" s="11">
        <v>11.11</v>
      </c>
      <c r="I1111" s="11">
        <v>-13.43</v>
      </c>
      <c r="J1111" s="11">
        <v>-11.11</v>
      </c>
      <c r="K1111" s="11"/>
      <c r="L1111" s="11">
        <v>32.89</v>
      </c>
      <c r="M1111" s="10" t="s">
        <v>46</v>
      </c>
      <c r="N1111" s="10" t="s">
        <v>50</v>
      </c>
      <c r="O1111" s="10" t="s">
        <v>176</v>
      </c>
      <c r="P1111" s="10" t="s">
        <v>177</v>
      </c>
      <c r="Q1111" s="10" t="s">
        <v>178</v>
      </c>
      <c r="R1111" s="10" t="s">
        <v>74</v>
      </c>
      <c r="S1111" s="11">
        <v>43.7</v>
      </c>
      <c r="T1111" s="11">
        <v>22.58</v>
      </c>
      <c r="U1111" s="11" t="s">
        <v>51</v>
      </c>
      <c r="V1111" s="10" t="s">
        <v>52</v>
      </c>
      <c r="W1111" s="10" t="s">
        <v>11351</v>
      </c>
      <c r="X1111" s="10" t="s">
        <v>11352</v>
      </c>
      <c r="Y1111" s="10" t="s">
        <v>11353</v>
      </c>
      <c r="Z1111" s="10" t="s">
        <v>50</v>
      </c>
      <c r="AA1111" s="10" t="s">
        <v>50</v>
      </c>
      <c r="AB1111" s="10" t="s">
        <v>11351</v>
      </c>
      <c r="AC1111" s="10" t="s">
        <v>11354</v>
      </c>
      <c r="AD1111" s="10" t="s">
        <v>11355</v>
      </c>
      <c r="AE1111" s="10" t="s">
        <v>235</v>
      </c>
      <c r="AF1111" s="10" t="s">
        <v>58</v>
      </c>
      <c r="AG1111" s="10" t="s">
        <v>11356</v>
      </c>
      <c r="AH1111" s="10" t="s">
        <v>60</v>
      </c>
      <c r="AI1111" s="10" t="s">
        <v>61</v>
      </c>
      <c r="AJ1111" s="10" t="s">
        <v>8308</v>
      </c>
      <c r="AK1111" s="10" t="s">
        <v>8286</v>
      </c>
      <c r="AL1111" s="10" t="s">
        <v>64</v>
      </c>
      <c r="AM1111" s="10" t="s">
        <v>11357</v>
      </c>
      <c r="AN1111" s="10" t="s">
        <v>50</v>
      </c>
      <c r="AO1111" s="11" t="s">
        <v>50</v>
      </c>
      <c r="AP1111" s="10" t="s">
        <v>50</v>
      </c>
      <c r="AQ1111" s="10" t="s">
        <v>50</v>
      </c>
      <c r="AR1111" s="10" t="s">
        <v>50</v>
      </c>
      <c r="AS1111" s="10" t="s">
        <v>50</v>
      </c>
      <c r="AT1111" s="10" t="s">
        <v>50</v>
      </c>
      <c r="AU1111" s="10" t="s">
        <v>50</v>
      </c>
      <c r="AV1111" s="11"/>
      <c r="AW1111" s="10" t="s">
        <v>66</v>
      </c>
      <c r="AX1111" s="10"/>
      <c r="AY1111" s="10" t="s">
        <v>66</v>
      </c>
    </row>
    <row r="1112" ht="22.5" hidden="1" customHeight="1">
      <c r="A1112" s="9" t="s">
        <v>11358</v>
      </c>
      <c r="B1112" s="10" t="s">
        <v>11359</v>
      </c>
      <c r="C1112" s="10" t="s">
        <v>43</v>
      </c>
      <c r="D1112" s="10" t="s">
        <v>8227</v>
      </c>
      <c r="E1112" s="10" t="s">
        <v>45</v>
      </c>
      <c r="F1112" s="11">
        <v>3.0</v>
      </c>
      <c r="G1112" s="11">
        <v>131.1</v>
      </c>
      <c r="H1112" s="11"/>
      <c r="I1112" s="11">
        <v>-40.29</v>
      </c>
      <c r="J1112" s="11"/>
      <c r="K1112" s="11"/>
      <c r="L1112" s="11">
        <v>98.67</v>
      </c>
      <c r="M1112" s="10" t="s">
        <v>46</v>
      </c>
      <c r="N1112" s="10" t="s">
        <v>45</v>
      </c>
      <c r="O1112" s="10" t="s">
        <v>176</v>
      </c>
      <c r="P1112" s="10" t="s">
        <v>177</v>
      </c>
      <c r="Q1112" s="10" t="s">
        <v>178</v>
      </c>
      <c r="R1112" s="10" t="s">
        <v>74</v>
      </c>
      <c r="S1112" s="11">
        <v>43.7</v>
      </c>
      <c r="T1112" s="11">
        <f>3*22.58</f>
        <v>67.74</v>
      </c>
      <c r="U1112" s="11" t="s">
        <v>51</v>
      </c>
      <c r="V1112" s="10" t="s">
        <v>52</v>
      </c>
      <c r="W1112" s="10" t="s">
        <v>11360</v>
      </c>
      <c r="X1112" s="10" t="s">
        <v>11361</v>
      </c>
      <c r="Y1112" s="10" t="s">
        <v>11362</v>
      </c>
      <c r="Z1112" s="10" t="s">
        <v>50</v>
      </c>
      <c r="AA1112" s="10" t="s">
        <v>50</v>
      </c>
      <c r="AB1112" s="10" t="s">
        <v>11360</v>
      </c>
      <c r="AC1112" s="10" t="s">
        <v>11363</v>
      </c>
      <c r="AD1112" s="10" t="s">
        <v>11364</v>
      </c>
      <c r="AE1112" s="10" t="s">
        <v>151</v>
      </c>
      <c r="AF1112" s="10" t="s">
        <v>151</v>
      </c>
      <c r="AG1112" s="10" t="s">
        <v>11365</v>
      </c>
      <c r="AH1112" s="10" t="s">
        <v>60</v>
      </c>
      <c r="AI1112" s="10" t="s">
        <v>61</v>
      </c>
      <c r="AJ1112" s="10" t="s">
        <v>11366</v>
      </c>
      <c r="AK1112" s="10" t="s">
        <v>11367</v>
      </c>
      <c r="AL1112" s="10" t="s">
        <v>64</v>
      </c>
      <c r="AM1112" s="10" t="s">
        <v>11368</v>
      </c>
      <c r="AN1112" s="10" t="s">
        <v>50</v>
      </c>
      <c r="AO1112" s="11" t="s">
        <v>50</v>
      </c>
      <c r="AP1112" s="10" t="s">
        <v>50</v>
      </c>
      <c r="AQ1112" s="10" t="s">
        <v>50</v>
      </c>
      <c r="AR1112" s="10" t="s">
        <v>50</v>
      </c>
      <c r="AS1112" s="10" t="s">
        <v>50</v>
      </c>
      <c r="AT1112" s="10" t="s">
        <v>50</v>
      </c>
      <c r="AU1112" s="10" t="s">
        <v>50</v>
      </c>
      <c r="AV1112" s="11"/>
      <c r="AW1112" s="10" t="s">
        <v>66</v>
      </c>
      <c r="AX1112" s="10"/>
      <c r="AY1112" s="10" t="s">
        <v>66</v>
      </c>
    </row>
    <row r="1113" ht="22.5" hidden="1" customHeight="1">
      <c r="A1113" s="9" t="s">
        <v>11369</v>
      </c>
      <c r="B1113" s="10" t="s">
        <v>11370</v>
      </c>
      <c r="C1113" s="10" t="s">
        <v>69</v>
      </c>
      <c r="D1113" s="10" t="s">
        <v>2283</v>
      </c>
      <c r="E1113" s="10" t="s">
        <v>66</v>
      </c>
      <c r="F1113" s="11">
        <v>1.0</v>
      </c>
      <c r="G1113" s="11">
        <v>43.7</v>
      </c>
      <c r="H1113" s="11">
        <v>14.63</v>
      </c>
      <c r="I1113" s="11">
        <v>-13.43</v>
      </c>
      <c r="J1113" s="11">
        <v>-14.63</v>
      </c>
      <c r="K1113" s="11">
        <v>-32.89</v>
      </c>
      <c r="L1113" s="11">
        <v>0.0</v>
      </c>
      <c r="M1113" s="10" t="s">
        <v>46</v>
      </c>
      <c r="N1113" s="10" t="s">
        <v>45</v>
      </c>
      <c r="O1113" s="10" t="s">
        <v>176</v>
      </c>
      <c r="P1113" s="10" t="s">
        <v>177</v>
      </c>
      <c r="Q1113" s="10" t="s">
        <v>178</v>
      </c>
      <c r="R1113" s="10" t="s">
        <v>74</v>
      </c>
      <c r="S1113" s="11">
        <v>43.7</v>
      </c>
      <c r="T1113" s="11"/>
      <c r="U1113" s="11" t="s">
        <v>51</v>
      </c>
      <c r="V1113" s="10" t="s">
        <v>75</v>
      </c>
      <c r="W1113" s="10" t="s">
        <v>11371</v>
      </c>
      <c r="X1113" s="10" t="s">
        <v>11372</v>
      </c>
      <c r="Y1113" s="10" t="s">
        <v>11373</v>
      </c>
      <c r="Z1113" s="10" t="s">
        <v>50</v>
      </c>
      <c r="AA1113" s="10" t="s">
        <v>50</v>
      </c>
      <c r="AB1113" s="10" t="s">
        <v>11371</v>
      </c>
      <c r="AC1113" s="10" t="s">
        <v>11374</v>
      </c>
      <c r="AD1113" s="10" t="s">
        <v>50</v>
      </c>
      <c r="AE1113" s="10" t="s">
        <v>1192</v>
      </c>
      <c r="AF1113" s="10" t="s">
        <v>58</v>
      </c>
      <c r="AG1113" s="10" t="s">
        <v>11375</v>
      </c>
      <c r="AH1113" s="10" t="s">
        <v>60</v>
      </c>
      <c r="AI1113" s="10" t="s">
        <v>61</v>
      </c>
      <c r="AJ1113" s="10" t="s">
        <v>50</v>
      </c>
      <c r="AK1113" s="10" t="s">
        <v>50</v>
      </c>
      <c r="AL1113" s="10" t="s">
        <v>64</v>
      </c>
      <c r="AM1113" s="10" t="s">
        <v>50</v>
      </c>
      <c r="AN1113" s="10" t="s">
        <v>50</v>
      </c>
      <c r="AO1113" s="11" t="s">
        <v>50</v>
      </c>
      <c r="AP1113" s="10" t="s">
        <v>50</v>
      </c>
      <c r="AQ1113" s="10" t="s">
        <v>50</v>
      </c>
      <c r="AR1113" s="10" t="s">
        <v>50</v>
      </c>
      <c r="AS1113" s="10" t="s">
        <v>50</v>
      </c>
      <c r="AT1113" s="10" t="s">
        <v>50</v>
      </c>
      <c r="AU1113" s="10" t="s">
        <v>50</v>
      </c>
      <c r="AV1113" s="11"/>
      <c r="AW1113" s="10" t="s">
        <v>66</v>
      </c>
      <c r="AX1113" s="10"/>
      <c r="AY1113" s="10" t="s">
        <v>66</v>
      </c>
    </row>
    <row r="1114" ht="22.5" hidden="1" customHeight="1">
      <c r="A1114" s="9" t="s">
        <v>11376</v>
      </c>
      <c r="B1114" s="10" t="s">
        <v>11377</v>
      </c>
      <c r="C1114" s="10" t="s">
        <v>43</v>
      </c>
      <c r="D1114" s="10" t="s">
        <v>7750</v>
      </c>
      <c r="E1114" s="10" t="s">
        <v>66</v>
      </c>
      <c r="F1114" s="11">
        <v>1.0</v>
      </c>
      <c r="G1114" s="11">
        <v>80.0</v>
      </c>
      <c r="H1114" s="11"/>
      <c r="I1114" s="11">
        <v>-13.6</v>
      </c>
      <c r="J1114" s="11">
        <v>-19.95</v>
      </c>
      <c r="K1114" s="11"/>
      <c r="L1114" s="11">
        <v>50.45</v>
      </c>
      <c r="M1114" s="10" t="s">
        <v>46</v>
      </c>
      <c r="N1114" s="10" t="s">
        <v>50</v>
      </c>
      <c r="O1114" s="10" t="s">
        <v>143</v>
      </c>
      <c r="P1114" s="10" t="s">
        <v>144</v>
      </c>
      <c r="Q1114" s="10" t="s">
        <v>145</v>
      </c>
      <c r="R1114" s="10" t="s">
        <v>74</v>
      </c>
      <c r="S1114" s="11">
        <v>80.0</v>
      </c>
      <c r="T1114" s="11">
        <v>33.38</v>
      </c>
      <c r="U1114" s="11" t="s">
        <v>51</v>
      </c>
      <c r="V1114" s="10" t="s">
        <v>52</v>
      </c>
      <c r="W1114" s="10" t="s">
        <v>11378</v>
      </c>
      <c r="X1114" s="10" t="s">
        <v>11379</v>
      </c>
      <c r="Y1114" s="10" t="s">
        <v>11380</v>
      </c>
      <c r="Z1114" s="10" t="s">
        <v>50</v>
      </c>
      <c r="AA1114" s="10" t="s">
        <v>50</v>
      </c>
      <c r="AB1114" s="10" t="s">
        <v>11378</v>
      </c>
      <c r="AC1114" s="10" t="s">
        <v>11381</v>
      </c>
      <c r="AD1114" s="10" t="s">
        <v>11382</v>
      </c>
      <c r="AE1114" s="10" t="s">
        <v>58</v>
      </c>
      <c r="AF1114" s="10" t="s">
        <v>58</v>
      </c>
      <c r="AG1114" s="10" t="s">
        <v>11383</v>
      </c>
      <c r="AH1114" s="10" t="s">
        <v>60</v>
      </c>
      <c r="AI1114" s="10" t="s">
        <v>61</v>
      </c>
      <c r="AJ1114" s="10" t="s">
        <v>8273</v>
      </c>
      <c r="AK1114" s="10" t="s">
        <v>11384</v>
      </c>
      <c r="AL1114" s="10" t="s">
        <v>64</v>
      </c>
      <c r="AM1114" s="10" t="s">
        <v>11385</v>
      </c>
      <c r="AN1114" s="10" t="s">
        <v>50</v>
      </c>
      <c r="AO1114" s="11" t="s">
        <v>50</v>
      </c>
      <c r="AP1114" s="10" t="s">
        <v>50</v>
      </c>
      <c r="AQ1114" s="10" t="s">
        <v>50</v>
      </c>
      <c r="AR1114" s="10" t="s">
        <v>50</v>
      </c>
      <c r="AS1114" s="10" t="s">
        <v>50</v>
      </c>
      <c r="AT1114" s="10" t="s">
        <v>50</v>
      </c>
      <c r="AU1114" s="10" t="s">
        <v>50</v>
      </c>
      <c r="AV1114" s="11"/>
      <c r="AW1114" s="10" t="s">
        <v>66</v>
      </c>
      <c r="AX1114" s="10"/>
      <c r="AY1114" s="10" t="s">
        <v>66</v>
      </c>
    </row>
    <row r="1115" ht="22.5" hidden="1" customHeight="1">
      <c r="A1115" s="9" t="s">
        <v>11386</v>
      </c>
      <c r="B1115" s="10" t="s">
        <v>11387</v>
      </c>
      <c r="C1115" s="10" t="s">
        <v>43</v>
      </c>
      <c r="D1115" s="10" t="s">
        <v>7693</v>
      </c>
      <c r="E1115" s="10" t="s">
        <v>45</v>
      </c>
      <c r="F1115" s="11">
        <v>2.0</v>
      </c>
      <c r="G1115" s="11">
        <v>158.0</v>
      </c>
      <c r="H1115" s="11"/>
      <c r="I1115" s="11">
        <v>-26.86</v>
      </c>
      <c r="J1115" s="11">
        <v>-40.9</v>
      </c>
      <c r="K1115" s="11"/>
      <c r="L1115" s="11">
        <v>90.24</v>
      </c>
      <c r="M1115" s="10" t="s">
        <v>46</v>
      </c>
      <c r="N1115" s="10" t="s">
        <v>50</v>
      </c>
      <c r="O1115" s="10" t="s">
        <v>160</v>
      </c>
      <c r="P1115" s="10" t="s">
        <v>161</v>
      </c>
      <c r="Q1115" s="10" t="s">
        <v>162</v>
      </c>
      <c r="R1115" s="10" t="s">
        <v>74</v>
      </c>
      <c r="S1115" s="11">
        <v>79.0</v>
      </c>
      <c r="T1115" s="18">
        <f>2*2.49</f>
        <v>4.98</v>
      </c>
      <c r="U1115" s="11" t="s">
        <v>51</v>
      </c>
      <c r="V1115" s="10" t="s">
        <v>52</v>
      </c>
      <c r="W1115" s="10" t="s">
        <v>11388</v>
      </c>
      <c r="X1115" s="10" t="s">
        <v>11389</v>
      </c>
      <c r="Y1115" s="10" t="s">
        <v>11390</v>
      </c>
      <c r="Z1115" s="10" t="s">
        <v>50</v>
      </c>
      <c r="AA1115" s="10" t="s">
        <v>50</v>
      </c>
      <c r="AB1115" s="10" t="s">
        <v>11388</v>
      </c>
      <c r="AC1115" s="10" t="s">
        <v>11391</v>
      </c>
      <c r="AD1115" s="10" t="s">
        <v>11392</v>
      </c>
      <c r="AE1115" s="10" t="s">
        <v>774</v>
      </c>
      <c r="AF1115" s="10" t="s">
        <v>775</v>
      </c>
      <c r="AG1115" s="10" t="s">
        <v>11393</v>
      </c>
      <c r="AH1115" s="10" t="s">
        <v>60</v>
      </c>
      <c r="AI1115" s="10" t="s">
        <v>61</v>
      </c>
      <c r="AJ1115" s="10" t="s">
        <v>11394</v>
      </c>
      <c r="AK1115" s="10" t="s">
        <v>11395</v>
      </c>
      <c r="AL1115" s="10" t="s">
        <v>64</v>
      </c>
      <c r="AM1115" s="10" t="s">
        <v>11396</v>
      </c>
      <c r="AN1115" s="10" t="s">
        <v>50</v>
      </c>
      <c r="AO1115" s="11" t="s">
        <v>50</v>
      </c>
      <c r="AP1115" s="10" t="s">
        <v>50</v>
      </c>
      <c r="AQ1115" s="10" t="s">
        <v>50</v>
      </c>
      <c r="AR1115" s="10" t="s">
        <v>50</v>
      </c>
      <c r="AS1115" s="10" t="s">
        <v>50</v>
      </c>
      <c r="AT1115" s="10" t="s">
        <v>50</v>
      </c>
      <c r="AU1115" s="10" t="s">
        <v>50</v>
      </c>
      <c r="AV1115" s="11"/>
      <c r="AW1115" s="10" t="s">
        <v>66</v>
      </c>
      <c r="AX1115" s="10"/>
      <c r="AY1115" s="10" t="s">
        <v>66</v>
      </c>
    </row>
    <row r="1116" ht="22.5" hidden="1" customHeight="1">
      <c r="A1116" s="9" t="s">
        <v>11397</v>
      </c>
      <c r="B1116" s="10" t="s">
        <v>11387</v>
      </c>
      <c r="C1116" s="10" t="s">
        <v>43</v>
      </c>
      <c r="D1116" s="10" t="s">
        <v>11161</v>
      </c>
      <c r="E1116" s="10" t="s">
        <v>66</v>
      </c>
      <c r="F1116" s="11">
        <v>1.0</v>
      </c>
      <c r="G1116" s="11">
        <v>79.35</v>
      </c>
      <c r="H1116" s="11"/>
      <c r="I1116" s="11">
        <v>-15.08</v>
      </c>
      <c r="J1116" s="11">
        <v>-19.95</v>
      </c>
      <c r="K1116" s="11"/>
      <c r="L1116" s="11">
        <v>44.32</v>
      </c>
      <c r="M1116" s="10" t="s">
        <v>46</v>
      </c>
      <c r="N1116" s="10" t="s">
        <v>45</v>
      </c>
      <c r="O1116" s="10" t="s">
        <v>47</v>
      </c>
      <c r="P1116" s="10" t="s">
        <v>48</v>
      </c>
      <c r="Q1116" s="10" t="s">
        <v>49</v>
      </c>
      <c r="R1116" s="10" t="s">
        <v>50</v>
      </c>
      <c r="S1116" s="11">
        <v>79.35</v>
      </c>
      <c r="T1116" s="11">
        <v>12.45</v>
      </c>
      <c r="U1116" s="11" t="s">
        <v>51</v>
      </c>
      <c r="V1116" s="10" t="s">
        <v>52</v>
      </c>
      <c r="W1116" s="10" t="s">
        <v>11398</v>
      </c>
      <c r="X1116" s="10" t="s">
        <v>11399</v>
      </c>
      <c r="Y1116" s="10" t="s">
        <v>11400</v>
      </c>
      <c r="Z1116" s="10" t="s">
        <v>50</v>
      </c>
      <c r="AA1116" s="10" t="s">
        <v>50</v>
      </c>
      <c r="AB1116" s="10" t="s">
        <v>11398</v>
      </c>
      <c r="AC1116" s="10" t="s">
        <v>11401</v>
      </c>
      <c r="AD1116" s="10" t="s">
        <v>11402</v>
      </c>
      <c r="AE1116" s="10" t="s">
        <v>5067</v>
      </c>
      <c r="AF1116" s="10" t="s">
        <v>58</v>
      </c>
      <c r="AG1116" s="10" t="s">
        <v>11403</v>
      </c>
      <c r="AH1116" s="10" t="s">
        <v>60</v>
      </c>
      <c r="AI1116" s="10" t="s">
        <v>61</v>
      </c>
      <c r="AJ1116" s="10" t="s">
        <v>11404</v>
      </c>
      <c r="AK1116" s="10" t="s">
        <v>11172</v>
      </c>
      <c r="AL1116" s="10" t="s">
        <v>64</v>
      </c>
      <c r="AM1116" s="10" t="s">
        <v>11405</v>
      </c>
      <c r="AN1116" s="10" t="s">
        <v>50</v>
      </c>
      <c r="AO1116" s="11" t="s">
        <v>50</v>
      </c>
      <c r="AP1116" s="10" t="s">
        <v>50</v>
      </c>
      <c r="AQ1116" s="10" t="s">
        <v>50</v>
      </c>
      <c r="AR1116" s="10" t="s">
        <v>50</v>
      </c>
      <c r="AS1116" s="10" t="s">
        <v>50</v>
      </c>
      <c r="AT1116" s="10" t="s">
        <v>50</v>
      </c>
      <c r="AU1116" s="10" t="s">
        <v>50</v>
      </c>
      <c r="AV1116" s="11"/>
      <c r="AW1116" s="10" t="s">
        <v>66</v>
      </c>
      <c r="AX1116" s="10"/>
      <c r="AY1116" s="10" t="s">
        <v>66</v>
      </c>
    </row>
    <row r="1117" ht="22.5" hidden="1" customHeight="1">
      <c r="A1117" s="9" t="s">
        <v>11406</v>
      </c>
      <c r="B1117" s="10" t="s">
        <v>11407</v>
      </c>
      <c r="C1117" s="10" t="s">
        <v>43</v>
      </c>
      <c r="D1117" s="10" t="s">
        <v>11161</v>
      </c>
      <c r="E1117" s="10" t="s">
        <v>66</v>
      </c>
      <c r="F1117" s="11">
        <v>1.0</v>
      </c>
      <c r="G1117" s="11">
        <v>80.0</v>
      </c>
      <c r="H1117" s="11"/>
      <c r="I1117" s="11">
        <v>-13.6</v>
      </c>
      <c r="J1117" s="11">
        <v>-19.95</v>
      </c>
      <c r="K1117" s="11"/>
      <c r="L1117" s="11">
        <v>50.45</v>
      </c>
      <c r="M1117" s="10" t="s">
        <v>46</v>
      </c>
      <c r="N1117" s="10" t="s">
        <v>45</v>
      </c>
      <c r="O1117" s="10" t="s">
        <v>143</v>
      </c>
      <c r="P1117" s="10" t="s">
        <v>144</v>
      </c>
      <c r="Q1117" s="10" t="s">
        <v>145</v>
      </c>
      <c r="R1117" s="10" t="s">
        <v>74</v>
      </c>
      <c r="S1117" s="11">
        <v>80.0</v>
      </c>
      <c r="T1117" s="11">
        <v>33.38</v>
      </c>
      <c r="U1117" s="11" t="s">
        <v>51</v>
      </c>
      <c r="V1117" s="10" t="s">
        <v>52</v>
      </c>
      <c r="W1117" s="10" t="s">
        <v>11408</v>
      </c>
      <c r="X1117" s="10" t="s">
        <v>11409</v>
      </c>
      <c r="Y1117" s="10" t="s">
        <v>11410</v>
      </c>
      <c r="Z1117" s="10" t="s">
        <v>50</v>
      </c>
      <c r="AA1117" s="10" t="s">
        <v>50</v>
      </c>
      <c r="AB1117" s="10" t="s">
        <v>11408</v>
      </c>
      <c r="AC1117" s="10" t="s">
        <v>11411</v>
      </c>
      <c r="AD1117" s="10" t="s">
        <v>11412</v>
      </c>
      <c r="AE1117" s="10" t="s">
        <v>11413</v>
      </c>
      <c r="AF1117" s="10" t="s">
        <v>323</v>
      </c>
      <c r="AG1117" s="10" t="s">
        <v>11414</v>
      </c>
      <c r="AH1117" s="10" t="s">
        <v>60</v>
      </c>
      <c r="AI1117" s="10" t="s">
        <v>61</v>
      </c>
      <c r="AJ1117" s="10" t="s">
        <v>11415</v>
      </c>
      <c r="AK1117" s="10" t="s">
        <v>11416</v>
      </c>
      <c r="AL1117" s="10" t="s">
        <v>64</v>
      </c>
      <c r="AM1117" s="10" t="s">
        <v>11417</v>
      </c>
      <c r="AN1117" s="10" t="s">
        <v>50</v>
      </c>
      <c r="AO1117" s="11" t="s">
        <v>50</v>
      </c>
      <c r="AP1117" s="10" t="s">
        <v>50</v>
      </c>
      <c r="AQ1117" s="10" t="s">
        <v>50</v>
      </c>
      <c r="AR1117" s="10" t="s">
        <v>50</v>
      </c>
      <c r="AS1117" s="10" t="s">
        <v>50</v>
      </c>
      <c r="AT1117" s="10" t="s">
        <v>50</v>
      </c>
      <c r="AU1117" s="10" t="s">
        <v>50</v>
      </c>
      <c r="AV1117" s="11"/>
      <c r="AW1117" s="10" t="s">
        <v>66</v>
      </c>
      <c r="AX1117" s="10"/>
      <c r="AY1117" s="10" t="s">
        <v>66</v>
      </c>
    </row>
    <row r="1118" ht="22.5" hidden="1" customHeight="1">
      <c r="A1118" s="9" t="s">
        <v>11418</v>
      </c>
      <c r="B1118" s="10" t="s">
        <v>11419</v>
      </c>
      <c r="C1118" s="10" t="s">
        <v>43</v>
      </c>
      <c r="D1118" s="10" t="s">
        <v>11161</v>
      </c>
      <c r="E1118" s="10" t="s">
        <v>66</v>
      </c>
      <c r="F1118" s="11">
        <v>1.0</v>
      </c>
      <c r="G1118" s="11">
        <v>80.0</v>
      </c>
      <c r="H1118" s="11"/>
      <c r="I1118" s="11">
        <v>-13.6</v>
      </c>
      <c r="J1118" s="11">
        <v>-19.95</v>
      </c>
      <c r="K1118" s="11"/>
      <c r="L1118" s="11">
        <v>50.45</v>
      </c>
      <c r="M1118" s="10" t="s">
        <v>46</v>
      </c>
      <c r="N1118" s="10" t="s">
        <v>45</v>
      </c>
      <c r="O1118" s="10" t="s">
        <v>143</v>
      </c>
      <c r="P1118" s="10" t="s">
        <v>144</v>
      </c>
      <c r="Q1118" s="10" t="s">
        <v>145</v>
      </c>
      <c r="R1118" s="10" t="s">
        <v>74</v>
      </c>
      <c r="S1118" s="11">
        <v>80.0</v>
      </c>
      <c r="T1118" s="11">
        <v>33.38</v>
      </c>
      <c r="U1118" s="11" t="s">
        <v>51</v>
      </c>
      <c r="V1118" s="10" t="s">
        <v>52</v>
      </c>
      <c r="W1118" s="10" t="s">
        <v>11420</v>
      </c>
      <c r="X1118" s="10" t="s">
        <v>11421</v>
      </c>
      <c r="Y1118" s="10" t="s">
        <v>11422</v>
      </c>
      <c r="Z1118" s="10" t="s">
        <v>50</v>
      </c>
      <c r="AA1118" s="10" t="s">
        <v>50</v>
      </c>
      <c r="AB1118" s="10" t="s">
        <v>11420</v>
      </c>
      <c r="AC1118" s="10" t="s">
        <v>11423</v>
      </c>
      <c r="AD1118" s="10" t="s">
        <v>11424</v>
      </c>
      <c r="AE1118" s="10" t="s">
        <v>11425</v>
      </c>
      <c r="AF1118" s="10" t="s">
        <v>136</v>
      </c>
      <c r="AG1118" s="10" t="s">
        <v>11426</v>
      </c>
      <c r="AH1118" s="10" t="s">
        <v>60</v>
      </c>
      <c r="AI1118" s="10" t="s">
        <v>61</v>
      </c>
      <c r="AJ1118" s="10" t="s">
        <v>11427</v>
      </c>
      <c r="AK1118" s="10" t="s">
        <v>11428</v>
      </c>
      <c r="AL1118" s="10" t="s">
        <v>64</v>
      </c>
      <c r="AM1118" s="10" t="s">
        <v>11429</v>
      </c>
      <c r="AN1118" s="10" t="s">
        <v>50</v>
      </c>
      <c r="AO1118" s="11" t="s">
        <v>50</v>
      </c>
      <c r="AP1118" s="10" t="s">
        <v>50</v>
      </c>
      <c r="AQ1118" s="10" t="s">
        <v>50</v>
      </c>
      <c r="AR1118" s="10" t="s">
        <v>50</v>
      </c>
      <c r="AS1118" s="10" t="s">
        <v>50</v>
      </c>
      <c r="AT1118" s="10" t="s">
        <v>50</v>
      </c>
      <c r="AU1118" s="10" t="s">
        <v>50</v>
      </c>
      <c r="AV1118" s="11"/>
      <c r="AW1118" s="10" t="s">
        <v>66</v>
      </c>
      <c r="AX1118" s="10"/>
      <c r="AY1118" s="10" t="s">
        <v>66</v>
      </c>
    </row>
    <row r="1119" ht="22.5" hidden="1" customHeight="1">
      <c r="A1119" s="9" t="s">
        <v>11430</v>
      </c>
      <c r="B1119" s="10" t="s">
        <v>11431</v>
      </c>
      <c r="C1119" s="10" t="s">
        <v>43</v>
      </c>
      <c r="D1119" s="10" t="s">
        <v>9839</v>
      </c>
      <c r="E1119" s="10" t="s">
        <v>66</v>
      </c>
      <c r="F1119" s="11">
        <v>1.0</v>
      </c>
      <c r="G1119" s="11">
        <v>120.0</v>
      </c>
      <c r="H1119" s="11"/>
      <c r="I1119" s="11">
        <v>-20.4</v>
      </c>
      <c r="J1119" s="11">
        <v>-19.95</v>
      </c>
      <c r="K1119" s="11"/>
      <c r="L1119" s="11">
        <v>86.85</v>
      </c>
      <c r="M1119" s="10" t="s">
        <v>46</v>
      </c>
      <c r="N1119" s="10" t="s">
        <v>50</v>
      </c>
      <c r="O1119" s="10" t="s">
        <v>85</v>
      </c>
      <c r="P1119" s="10" t="s">
        <v>86</v>
      </c>
      <c r="Q1119" s="10" t="s">
        <v>87</v>
      </c>
      <c r="R1119" s="10" t="s">
        <v>74</v>
      </c>
      <c r="S1119" s="11">
        <v>120.0</v>
      </c>
      <c r="T1119" s="11">
        <v>65.78</v>
      </c>
      <c r="U1119" s="11" t="s">
        <v>51</v>
      </c>
      <c r="V1119" s="10" t="s">
        <v>52</v>
      </c>
      <c r="W1119" s="10" t="s">
        <v>11432</v>
      </c>
      <c r="X1119" s="10" t="s">
        <v>11433</v>
      </c>
      <c r="Y1119" s="10" t="s">
        <v>11434</v>
      </c>
      <c r="Z1119" s="10" t="s">
        <v>50</v>
      </c>
      <c r="AA1119" s="10" t="s">
        <v>50</v>
      </c>
      <c r="AB1119" s="10" t="s">
        <v>11432</v>
      </c>
      <c r="AC1119" s="10" t="s">
        <v>11435</v>
      </c>
      <c r="AD1119" s="10" t="s">
        <v>11436</v>
      </c>
      <c r="AE1119" s="10" t="s">
        <v>322</v>
      </c>
      <c r="AF1119" s="10" t="s">
        <v>323</v>
      </c>
      <c r="AG1119" s="10" t="s">
        <v>11437</v>
      </c>
      <c r="AH1119" s="10" t="s">
        <v>60</v>
      </c>
      <c r="AI1119" s="10" t="s">
        <v>61</v>
      </c>
      <c r="AJ1119" s="10" t="s">
        <v>11415</v>
      </c>
      <c r="AK1119" s="10" t="s">
        <v>11438</v>
      </c>
      <c r="AL1119" s="10" t="s">
        <v>64</v>
      </c>
      <c r="AM1119" s="10" t="s">
        <v>11439</v>
      </c>
      <c r="AN1119" s="10" t="s">
        <v>50</v>
      </c>
      <c r="AO1119" s="11" t="s">
        <v>50</v>
      </c>
      <c r="AP1119" s="10" t="s">
        <v>50</v>
      </c>
      <c r="AQ1119" s="10" t="s">
        <v>50</v>
      </c>
      <c r="AR1119" s="10" t="s">
        <v>50</v>
      </c>
      <c r="AS1119" s="10" t="s">
        <v>50</v>
      </c>
      <c r="AT1119" s="10" t="s">
        <v>50</v>
      </c>
      <c r="AU1119" s="10" t="s">
        <v>50</v>
      </c>
      <c r="AV1119" s="11"/>
      <c r="AW1119" s="10" t="s">
        <v>66</v>
      </c>
      <c r="AX1119" s="10"/>
      <c r="AY1119" s="10" t="s">
        <v>66</v>
      </c>
    </row>
    <row r="1120" ht="22.5" hidden="1" customHeight="1">
      <c r="A1120" s="9" t="s">
        <v>11440</v>
      </c>
      <c r="B1120" s="10" t="s">
        <v>11441</v>
      </c>
      <c r="C1120" s="10" t="s">
        <v>43</v>
      </c>
      <c r="D1120" s="10" t="s">
        <v>10258</v>
      </c>
      <c r="E1120" s="10" t="s">
        <v>66</v>
      </c>
      <c r="F1120" s="11">
        <v>1.0</v>
      </c>
      <c r="G1120" s="11">
        <v>80.0</v>
      </c>
      <c r="H1120" s="11"/>
      <c r="I1120" s="11">
        <v>-13.6</v>
      </c>
      <c r="J1120" s="11">
        <v>-19.95</v>
      </c>
      <c r="K1120" s="11"/>
      <c r="L1120" s="11">
        <v>50.45</v>
      </c>
      <c r="M1120" s="10" t="s">
        <v>46</v>
      </c>
      <c r="N1120" s="10" t="s">
        <v>45</v>
      </c>
      <c r="O1120" s="10" t="s">
        <v>143</v>
      </c>
      <c r="P1120" s="10" t="s">
        <v>144</v>
      </c>
      <c r="Q1120" s="10" t="s">
        <v>145</v>
      </c>
      <c r="R1120" s="10" t="s">
        <v>74</v>
      </c>
      <c r="S1120" s="11">
        <v>80.0</v>
      </c>
      <c r="T1120" s="11">
        <v>33.38</v>
      </c>
      <c r="U1120" s="11" t="s">
        <v>51</v>
      </c>
      <c r="V1120" s="10" t="s">
        <v>52</v>
      </c>
      <c r="W1120" s="10" t="s">
        <v>11442</v>
      </c>
      <c r="X1120" s="10" t="s">
        <v>11443</v>
      </c>
      <c r="Y1120" s="10" t="s">
        <v>11444</v>
      </c>
      <c r="Z1120" s="10" t="s">
        <v>50</v>
      </c>
      <c r="AA1120" s="10" t="s">
        <v>50</v>
      </c>
      <c r="AB1120" s="10" t="s">
        <v>11442</v>
      </c>
      <c r="AC1120" s="10" t="s">
        <v>11445</v>
      </c>
      <c r="AD1120" s="10" t="s">
        <v>11446</v>
      </c>
      <c r="AE1120" s="10" t="s">
        <v>1089</v>
      </c>
      <c r="AF1120" s="10" t="s">
        <v>284</v>
      </c>
      <c r="AG1120" s="10" t="s">
        <v>11447</v>
      </c>
      <c r="AH1120" s="10" t="s">
        <v>60</v>
      </c>
      <c r="AI1120" s="10" t="s">
        <v>61</v>
      </c>
      <c r="AJ1120" s="10" t="s">
        <v>11205</v>
      </c>
      <c r="AK1120" s="10" t="s">
        <v>11448</v>
      </c>
      <c r="AL1120" s="10" t="s">
        <v>64</v>
      </c>
      <c r="AM1120" s="10" t="s">
        <v>11449</v>
      </c>
      <c r="AN1120" s="10" t="s">
        <v>50</v>
      </c>
      <c r="AO1120" s="11" t="s">
        <v>50</v>
      </c>
      <c r="AP1120" s="10" t="s">
        <v>50</v>
      </c>
      <c r="AQ1120" s="10" t="s">
        <v>50</v>
      </c>
      <c r="AR1120" s="10" t="s">
        <v>50</v>
      </c>
      <c r="AS1120" s="10" t="s">
        <v>50</v>
      </c>
      <c r="AT1120" s="10" t="s">
        <v>50</v>
      </c>
      <c r="AU1120" s="10" t="s">
        <v>50</v>
      </c>
      <c r="AV1120" s="11"/>
      <c r="AW1120" s="10" t="s">
        <v>66</v>
      </c>
      <c r="AX1120" s="10"/>
      <c r="AY1120" s="10" t="s">
        <v>66</v>
      </c>
    </row>
    <row r="1121" ht="22.5" hidden="1" customHeight="1">
      <c r="A1121" s="9" t="s">
        <v>11450</v>
      </c>
      <c r="B1121" s="10" t="s">
        <v>11451</v>
      </c>
      <c r="C1121" s="10" t="s">
        <v>43</v>
      </c>
      <c r="D1121" s="10" t="s">
        <v>11161</v>
      </c>
      <c r="E1121" s="10" t="s">
        <v>66</v>
      </c>
      <c r="F1121" s="11">
        <v>1.0</v>
      </c>
      <c r="G1121" s="11">
        <v>120.0</v>
      </c>
      <c r="H1121" s="11"/>
      <c r="I1121" s="11">
        <v>-20.4</v>
      </c>
      <c r="J1121" s="11">
        <v>-19.95</v>
      </c>
      <c r="K1121" s="11"/>
      <c r="L1121" s="11">
        <v>86.85</v>
      </c>
      <c r="M1121" s="10" t="s">
        <v>46</v>
      </c>
      <c r="N1121" s="10" t="s">
        <v>45</v>
      </c>
      <c r="O1121" s="10" t="s">
        <v>85</v>
      </c>
      <c r="P1121" s="10" t="s">
        <v>86</v>
      </c>
      <c r="Q1121" s="10" t="s">
        <v>87</v>
      </c>
      <c r="R1121" s="10" t="s">
        <v>74</v>
      </c>
      <c r="S1121" s="11">
        <v>120.0</v>
      </c>
      <c r="T1121" s="11">
        <v>65.78</v>
      </c>
      <c r="U1121" s="11" t="s">
        <v>51</v>
      </c>
      <c r="V1121" s="10" t="s">
        <v>52</v>
      </c>
      <c r="W1121" s="10" t="s">
        <v>11452</v>
      </c>
      <c r="X1121" s="10" t="s">
        <v>11453</v>
      </c>
      <c r="Y1121" s="10" t="s">
        <v>11454</v>
      </c>
      <c r="Z1121" s="10" t="s">
        <v>50</v>
      </c>
      <c r="AA1121" s="10" t="s">
        <v>50</v>
      </c>
      <c r="AB1121" s="10" t="s">
        <v>11452</v>
      </c>
      <c r="AC1121" s="10" t="s">
        <v>11455</v>
      </c>
      <c r="AD1121" s="10" t="s">
        <v>11456</v>
      </c>
      <c r="AE1121" s="10" t="s">
        <v>235</v>
      </c>
      <c r="AF1121" s="10" t="s">
        <v>58</v>
      </c>
      <c r="AG1121" s="10" t="s">
        <v>11457</v>
      </c>
      <c r="AH1121" s="10" t="s">
        <v>60</v>
      </c>
      <c r="AI1121" s="10" t="s">
        <v>61</v>
      </c>
      <c r="AJ1121" s="10" t="s">
        <v>11458</v>
      </c>
      <c r="AK1121" s="10" t="s">
        <v>11459</v>
      </c>
      <c r="AL1121" s="10" t="s">
        <v>64</v>
      </c>
      <c r="AM1121" s="10" t="s">
        <v>11460</v>
      </c>
      <c r="AN1121" s="10" t="s">
        <v>50</v>
      </c>
      <c r="AO1121" s="11" t="s">
        <v>50</v>
      </c>
      <c r="AP1121" s="10" t="s">
        <v>50</v>
      </c>
      <c r="AQ1121" s="10" t="s">
        <v>50</v>
      </c>
      <c r="AR1121" s="10" t="s">
        <v>50</v>
      </c>
      <c r="AS1121" s="10" t="s">
        <v>50</v>
      </c>
      <c r="AT1121" s="10" t="s">
        <v>50</v>
      </c>
      <c r="AU1121" s="10" t="s">
        <v>50</v>
      </c>
      <c r="AV1121" s="11"/>
      <c r="AW1121" s="10" t="s">
        <v>66</v>
      </c>
      <c r="AX1121" s="10"/>
      <c r="AY1121" s="10" t="s">
        <v>66</v>
      </c>
    </row>
    <row r="1122" ht="22.5" hidden="1" customHeight="1">
      <c r="A1122" s="9" t="s">
        <v>11461</v>
      </c>
      <c r="B1122" s="10" t="s">
        <v>11462</v>
      </c>
      <c r="C1122" s="10" t="s">
        <v>43</v>
      </c>
      <c r="D1122" s="10" t="s">
        <v>10258</v>
      </c>
      <c r="E1122" s="10" t="s">
        <v>66</v>
      </c>
      <c r="F1122" s="11">
        <v>1.0</v>
      </c>
      <c r="G1122" s="11">
        <v>79.2</v>
      </c>
      <c r="H1122" s="11"/>
      <c r="I1122" s="11">
        <v>-13.46</v>
      </c>
      <c r="J1122" s="11">
        <v>-20.45</v>
      </c>
      <c r="K1122" s="11"/>
      <c r="L1122" s="11">
        <v>45.29</v>
      </c>
      <c r="M1122" s="10" t="s">
        <v>46</v>
      </c>
      <c r="N1122" s="10" t="s">
        <v>45</v>
      </c>
      <c r="O1122" s="10" t="s">
        <v>892</v>
      </c>
      <c r="P1122" s="10" t="s">
        <v>893</v>
      </c>
      <c r="Q1122" s="10" t="s">
        <v>894</v>
      </c>
      <c r="R1122" s="10" t="s">
        <v>74</v>
      </c>
      <c r="S1122" s="11">
        <v>79.2</v>
      </c>
      <c r="T1122" s="11">
        <v>2.97</v>
      </c>
      <c r="U1122" s="11" t="s">
        <v>51</v>
      </c>
      <c r="V1122" s="10" t="s">
        <v>52</v>
      </c>
      <c r="W1122" s="10" t="s">
        <v>11463</v>
      </c>
      <c r="X1122" s="10" t="s">
        <v>11464</v>
      </c>
      <c r="Y1122" s="10" t="s">
        <v>11465</v>
      </c>
      <c r="Z1122" s="10" t="s">
        <v>50</v>
      </c>
      <c r="AA1122" s="10" t="s">
        <v>50</v>
      </c>
      <c r="AB1122" s="10" t="s">
        <v>11463</v>
      </c>
      <c r="AC1122" s="10" t="s">
        <v>11466</v>
      </c>
      <c r="AD1122" s="10" t="s">
        <v>11467</v>
      </c>
      <c r="AE1122" s="10" t="s">
        <v>774</v>
      </c>
      <c r="AF1122" s="10" t="s">
        <v>775</v>
      </c>
      <c r="AG1122" s="10" t="s">
        <v>11468</v>
      </c>
      <c r="AH1122" s="10" t="s">
        <v>60</v>
      </c>
      <c r="AI1122" s="10" t="s">
        <v>61</v>
      </c>
      <c r="AJ1122" s="10" t="s">
        <v>11469</v>
      </c>
      <c r="AK1122" s="10" t="s">
        <v>11470</v>
      </c>
      <c r="AL1122" s="10" t="s">
        <v>64</v>
      </c>
      <c r="AM1122" s="10" t="s">
        <v>11471</v>
      </c>
      <c r="AN1122" s="10" t="s">
        <v>50</v>
      </c>
      <c r="AO1122" s="11" t="s">
        <v>50</v>
      </c>
      <c r="AP1122" s="10" t="s">
        <v>50</v>
      </c>
      <c r="AQ1122" s="10" t="s">
        <v>50</v>
      </c>
      <c r="AR1122" s="10" t="s">
        <v>50</v>
      </c>
      <c r="AS1122" s="10" t="s">
        <v>50</v>
      </c>
      <c r="AT1122" s="10" t="s">
        <v>50</v>
      </c>
      <c r="AU1122" s="10" t="s">
        <v>50</v>
      </c>
      <c r="AV1122" s="11"/>
      <c r="AW1122" s="10" t="s">
        <v>66</v>
      </c>
      <c r="AX1122" s="10"/>
      <c r="AY1122" s="10" t="s">
        <v>66</v>
      </c>
    </row>
    <row r="1123" ht="22.5" hidden="1" customHeight="1">
      <c r="A1123" s="9" t="s">
        <v>11472</v>
      </c>
      <c r="B1123" s="10" t="s">
        <v>11473</v>
      </c>
      <c r="C1123" s="10" t="s">
        <v>43</v>
      </c>
      <c r="D1123" s="10" t="s">
        <v>6539</v>
      </c>
      <c r="E1123" s="10" t="s">
        <v>66</v>
      </c>
      <c r="F1123" s="11">
        <v>1.0</v>
      </c>
      <c r="G1123" s="11">
        <v>80.0</v>
      </c>
      <c r="H1123" s="11">
        <v>42.75</v>
      </c>
      <c r="I1123" s="11">
        <v>-13.6</v>
      </c>
      <c r="J1123" s="11">
        <v>-62.7</v>
      </c>
      <c r="K1123" s="11"/>
      <c r="L1123" s="11">
        <v>50.45</v>
      </c>
      <c r="M1123" s="10" t="s">
        <v>46</v>
      </c>
      <c r="N1123" s="10" t="s">
        <v>50</v>
      </c>
      <c r="O1123" s="10" t="s">
        <v>143</v>
      </c>
      <c r="P1123" s="10" t="s">
        <v>144</v>
      </c>
      <c r="Q1123" s="10" t="s">
        <v>145</v>
      </c>
      <c r="R1123" s="10" t="s">
        <v>74</v>
      </c>
      <c r="S1123" s="11">
        <v>80.0</v>
      </c>
      <c r="T1123" s="11">
        <v>33.38</v>
      </c>
      <c r="U1123" s="11" t="s">
        <v>51</v>
      </c>
      <c r="V1123" s="10" t="s">
        <v>52</v>
      </c>
      <c r="W1123" s="10" t="s">
        <v>11474</v>
      </c>
      <c r="X1123" s="10" t="s">
        <v>11475</v>
      </c>
      <c r="Y1123" s="10" t="s">
        <v>11476</v>
      </c>
      <c r="Z1123" s="10" t="s">
        <v>50</v>
      </c>
      <c r="AA1123" s="10" t="s">
        <v>50</v>
      </c>
      <c r="AB1123" s="10" t="s">
        <v>11474</v>
      </c>
      <c r="AC1123" s="10" t="s">
        <v>11477</v>
      </c>
      <c r="AD1123" s="10" t="s">
        <v>11478</v>
      </c>
      <c r="AE1123" s="10" t="s">
        <v>11479</v>
      </c>
      <c r="AF1123" s="10" t="s">
        <v>1593</v>
      </c>
      <c r="AG1123" s="10" t="s">
        <v>11480</v>
      </c>
      <c r="AH1123" s="10" t="s">
        <v>60</v>
      </c>
      <c r="AI1123" s="10" t="s">
        <v>61</v>
      </c>
      <c r="AJ1123" s="10" t="s">
        <v>11404</v>
      </c>
      <c r="AK1123" s="10" t="s">
        <v>11481</v>
      </c>
      <c r="AL1123" s="10" t="s">
        <v>1025</v>
      </c>
      <c r="AM1123" s="10" t="s">
        <v>11482</v>
      </c>
      <c r="AN1123" s="10" t="s">
        <v>11483</v>
      </c>
      <c r="AO1123" s="11" t="s">
        <v>50</v>
      </c>
      <c r="AP1123" s="10" t="s">
        <v>50</v>
      </c>
      <c r="AQ1123" s="10" t="s">
        <v>50</v>
      </c>
      <c r="AR1123" s="10" t="s">
        <v>50</v>
      </c>
      <c r="AS1123" s="10" t="s">
        <v>50</v>
      </c>
      <c r="AT1123" s="10" t="s">
        <v>50</v>
      </c>
      <c r="AU1123" s="10" t="s">
        <v>50</v>
      </c>
      <c r="AV1123" s="11"/>
      <c r="AW1123" s="10" t="s">
        <v>66</v>
      </c>
      <c r="AX1123" s="10"/>
      <c r="AY1123" s="10" t="s">
        <v>66</v>
      </c>
    </row>
    <row r="1124" ht="22.5" hidden="1" customHeight="1">
      <c r="A1124" s="9" t="s">
        <v>11484</v>
      </c>
      <c r="B1124" s="10" t="s">
        <v>11473</v>
      </c>
      <c r="C1124" s="10" t="s">
        <v>69</v>
      </c>
      <c r="D1124" s="10" t="s">
        <v>11485</v>
      </c>
      <c r="E1124" s="10" t="s">
        <v>66</v>
      </c>
      <c r="F1124" s="11">
        <v>1.0</v>
      </c>
      <c r="G1124" s="11">
        <v>87.2</v>
      </c>
      <c r="H1124" s="11"/>
      <c r="I1124" s="11">
        <v>-16.57</v>
      </c>
      <c r="J1124" s="11">
        <v>-19.95</v>
      </c>
      <c r="K1124" s="11">
        <v>-55.04</v>
      </c>
      <c r="L1124" s="11">
        <v>0.0</v>
      </c>
      <c r="M1124" s="10" t="s">
        <v>46</v>
      </c>
      <c r="N1124" s="10" t="s">
        <v>50</v>
      </c>
      <c r="O1124" s="10" t="s">
        <v>11486</v>
      </c>
      <c r="P1124" s="10" t="s">
        <v>11487</v>
      </c>
      <c r="Q1124" s="10" t="s">
        <v>11488</v>
      </c>
      <c r="R1124" s="10" t="s">
        <v>50</v>
      </c>
      <c r="S1124" s="11">
        <v>87.2</v>
      </c>
      <c r="T1124" s="11"/>
      <c r="U1124" s="11" t="s">
        <v>51</v>
      </c>
      <c r="V1124" s="10" t="s">
        <v>2284</v>
      </c>
      <c r="W1124" s="10" t="s">
        <v>11489</v>
      </c>
      <c r="X1124" s="10" t="s">
        <v>11490</v>
      </c>
      <c r="Y1124" s="10" t="s">
        <v>11491</v>
      </c>
      <c r="Z1124" s="10" t="s">
        <v>50</v>
      </c>
      <c r="AA1124" s="10" t="s">
        <v>50</v>
      </c>
      <c r="AB1124" s="10" t="s">
        <v>11489</v>
      </c>
      <c r="AC1124" s="10" t="s">
        <v>11492</v>
      </c>
      <c r="AD1124" s="10" t="s">
        <v>50</v>
      </c>
      <c r="AE1124" s="10" t="s">
        <v>151</v>
      </c>
      <c r="AF1124" s="10" t="s">
        <v>151</v>
      </c>
      <c r="AG1124" s="10" t="s">
        <v>11493</v>
      </c>
      <c r="AH1124" s="10" t="s">
        <v>60</v>
      </c>
      <c r="AI1124" s="10" t="s">
        <v>61</v>
      </c>
      <c r="AJ1124" s="10" t="s">
        <v>50</v>
      </c>
      <c r="AK1124" s="10" t="s">
        <v>50</v>
      </c>
      <c r="AL1124" s="10" t="s">
        <v>64</v>
      </c>
      <c r="AM1124" s="10" t="s">
        <v>11494</v>
      </c>
      <c r="AN1124" s="10" t="s">
        <v>50</v>
      </c>
      <c r="AO1124" s="11" t="s">
        <v>50</v>
      </c>
      <c r="AP1124" s="10" t="s">
        <v>50</v>
      </c>
      <c r="AQ1124" s="10" t="s">
        <v>50</v>
      </c>
      <c r="AR1124" s="10" t="s">
        <v>50</v>
      </c>
      <c r="AS1124" s="10" t="s">
        <v>50</v>
      </c>
      <c r="AT1124" s="10" t="s">
        <v>50</v>
      </c>
      <c r="AU1124" s="10" t="s">
        <v>50</v>
      </c>
      <c r="AV1124" s="11"/>
      <c r="AW1124" s="10" t="s">
        <v>66</v>
      </c>
      <c r="AX1124" s="10"/>
      <c r="AY1124" s="10" t="s">
        <v>66</v>
      </c>
    </row>
    <row r="1125" ht="22.5" hidden="1" customHeight="1">
      <c r="A1125" s="9" t="s">
        <v>11495</v>
      </c>
      <c r="B1125" s="10" t="s">
        <v>11496</v>
      </c>
      <c r="C1125" s="10" t="s">
        <v>43</v>
      </c>
      <c r="D1125" s="10" t="s">
        <v>11161</v>
      </c>
      <c r="E1125" s="10" t="s">
        <v>66</v>
      </c>
      <c r="F1125" s="11">
        <v>1.0</v>
      </c>
      <c r="G1125" s="11">
        <v>80.0</v>
      </c>
      <c r="H1125" s="11"/>
      <c r="I1125" s="11">
        <v>-13.6</v>
      </c>
      <c r="J1125" s="11">
        <v>-19.95</v>
      </c>
      <c r="K1125" s="11"/>
      <c r="L1125" s="11">
        <v>50.45</v>
      </c>
      <c r="M1125" s="10" t="s">
        <v>46</v>
      </c>
      <c r="N1125" s="10" t="s">
        <v>45</v>
      </c>
      <c r="O1125" s="10" t="s">
        <v>143</v>
      </c>
      <c r="P1125" s="10" t="s">
        <v>144</v>
      </c>
      <c r="Q1125" s="10" t="s">
        <v>145</v>
      </c>
      <c r="R1125" s="10" t="s">
        <v>74</v>
      </c>
      <c r="S1125" s="11">
        <v>80.0</v>
      </c>
      <c r="T1125" s="11">
        <v>33.38</v>
      </c>
      <c r="U1125" s="11" t="s">
        <v>51</v>
      </c>
      <c r="V1125" s="10" t="s">
        <v>52</v>
      </c>
      <c r="W1125" s="10" t="s">
        <v>11497</v>
      </c>
      <c r="X1125" s="10" t="s">
        <v>11498</v>
      </c>
      <c r="Y1125" s="10" t="s">
        <v>11499</v>
      </c>
      <c r="Z1125" s="10" t="s">
        <v>50</v>
      </c>
      <c r="AA1125" s="10" t="s">
        <v>50</v>
      </c>
      <c r="AB1125" s="10" t="s">
        <v>11497</v>
      </c>
      <c r="AC1125" s="10" t="s">
        <v>11500</v>
      </c>
      <c r="AD1125" s="10" t="s">
        <v>11501</v>
      </c>
      <c r="AE1125" s="10" t="s">
        <v>11502</v>
      </c>
      <c r="AF1125" s="10" t="s">
        <v>58</v>
      </c>
      <c r="AG1125" s="10" t="s">
        <v>11503</v>
      </c>
      <c r="AH1125" s="10" t="s">
        <v>60</v>
      </c>
      <c r="AI1125" s="10" t="s">
        <v>61</v>
      </c>
      <c r="AJ1125" s="10" t="s">
        <v>11458</v>
      </c>
      <c r="AK1125" s="10" t="s">
        <v>11504</v>
      </c>
      <c r="AL1125" s="10" t="s">
        <v>64</v>
      </c>
      <c r="AM1125" s="10" t="s">
        <v>11505</v>
      </c>
      <c r="AN1125" s="10" t="s">
        <v>50</v>
      </c>
      <c r="AO1125" s="11" t="s">
        <v>50</v>
      </c>
      <c r="AP1125" s="10" t="s">
        <v>50</v>
      </c>
      <c r="AQ1125" s="10" t="s">
        <v>50</v>
      </c>
      <c r="AR1125" s="10" t="s">
        <v>50</v>
      </c>
      <c r="AS1125" s="10" t="s">
        <v>50</v>
      </c>
      <c r="AT1125" s="10" t="s">
        <v>50</v>
      </c>
      <c r="AU1125" s="10" t="s">
        <v>50</v>
      </c>
      <c r="AV1125" s="11"/>
      <c r="AW1125" s="10" t="s">
        <v>66</v>
      </c>
      <c r="AX1125" s="10"/>
      <c r="AY1125" s="10" t="s">
        <v>66</v>
      </c>
    </row>
    <row r="1126" ht="22.5" hidden="1" customHeight="1">
      <c r="A1126" s="12" t="s">
        <v>11506</v>
      </c>
      <c r="B1126" s="13" t="s">
        <v>11507</v>
      </c>
      <c r="C1126" s="13" t="s">
        <v>747</v>
      </c>
      <c r="D1126" s="13" t="s">
        <v>50</v>
      </c>
      <c r="E1126" s="13" t="s">
        <v>50</v>
      </c>
      <c r="F1126" s="14"/>
      <c r="G1126" s="14">
        <v>90.25</v>
      </c>
      <c r="H1126" s="14">
        <v>6.08</v>
      </c>
      <c r="I1126" s="14">
        <v>-27.34</v>
      </c>
      <c r="J1126" s="14">
        <v>-6.08</v>
      </c>
      <c r="K1126" s="14"/>
      <c r="L1126" s="14">
        <v>68.32</v>
      </c>
      <c r="M1126" s="13" t="s">
        <v>46</v>
      </c>
      <c r="N1126" s="13" t="s">
        <v>50</v>
      </c>
      <c r="O1126" s="13" t="s">
        <v>50</v>
      </c>
      <c r="P1126" s="13" t="s">
        <v>50</v>
      </c>
      <c r="Q1126" s="13" t="s">
        <v>50</v>
      </c>
      <c r="R1126" s="13" t="s">
        <v>50</v>
      </c>
      <c r="S1126" s="14"/>
      <c r="T1126" s="14"/>
      <c r="U1126" s="14" t="s">
        <v>50</v>
      </c>
      <c r="V1126" s="13" t="s">
        <v>52</v>
      </c>
      <c r="W1126" s="13" t="s">
        <v>11508</v>
      </c>
      <c r="X1126" s="13" t="s">
        <v>11509</v>
      </c>
      <c r="Y1126" s="13" t="s">
        <v>11510</v>
      </c>
      <c r="Z1126" s="13" t="s">
        <v>50</v>
      </c>
      <c r="AA1126" s="13" t="s">
        <v>50</v>
      </c>
      <c r="AB1126" s="13" t="s">
        <v>11508</v>
      </c>
      <c r="AC1126" s="13" t="s">
        <v>11511</v>
      </c>
      <c r="AD1126" s="13" t="s">
        <v>11512</v>
      </c>
      <c r="AE1126" s="13" t="s">
        <v>617</v>
      </c>
      <c r="AF1126" s="13" t="s">
        <v>119</v>
      </c>
      <c r="AG1126" s="13" t="s">
        <v>11513</v>
      </c>
      <c r="AH1126" s="13" t="s">
        <v>60</v>
      </c>
      <c r="AI1126" s="13" t="s">
        <v>61</v>
      </c>
      <c r="AJ1126" s="13" t="s">
        <v>11205</v>
      </c>
      <c r="AK1126" s="13" t="s">
        <v>11514</v>
      </c>
      <c r="AL1126" s="13" t="s">
        <v>64</v>
      </c>
      <c r="AM1126" s="13" t="s">
        <v>11515</v>
      </c>
      <c r="AN1126" s="13" t="s">
        <v>50</v>
      </c>
      <c r="AO1126" s="15" t="s">
        <v>50</v>
      </c>
      <c r="AP1126" s="13" t="s">
        <v>50</v>
      </c>
      <c r="AQ1126" s="13" t="s">
        <v>50</v>
      </c>
      <c r="AR1126" s="13" t="s">
        <v>50</v>
      </c>
      <c r="AS1126" s="13" t="s">
        <v>50</v>
      </c>
      <c r="AT1126" s="13" t="s">
        <v>50</v>
      </c>
      <c r="AU1126" s="13" t="s">
        <v>50</v>
      </c>
      <c r="AV1126" s="15"/>
      <c r="AW1126" s="13" t="s">
        <v>50</v>
      </c>
      <c r="AX1126" s="13"/>
      <c r="AY1126" s="13" t="s">
        <v>50</v>
      </c>
    </row>
    <row r="1127" ht="22.5" hidden="1" customHeight="1">
      <c r="A1127" s="16" t="s">
        <v>11516</v>
      </c>
      <c r="B1127" s="17" t="s">
        <v>11507</v>
      </c>
      <c r="C1127" s="17" t="s">
        <v>43</v>
      </c>
      <c r="D1127" s="17" t="s">
        <v>8227</v>
      </c>
      <c r="E1127" s="17" t="s">
        <v>45</v>
      </c>
      <c r="F1127" s="18">
        <v>1.0</v>
      </c>
      <c r="G1127" s="18"/>
      <c r="H1127" s="18"/>
      <c r="I1127" s="18"/>
      <c r="J1127" s="18"/>
      <c r="K1127" s="18"/>
      <c r="L1127" s="18"/>
      <c r="M1127" s="17" t="s">
        <v>50</v>
      </c>
      <c r="N1127" s="17" t="s">
        <v>50</v>
      </c>
      <c r="O1127" s="17" t="s">
        <v>176</v>
      </c>
      <c r="P1127" s="17" t="s">
        <v>177</v>
      </c>
      <c r="Q1127" s="17" t="s">
        <v>178</v>
      </c>
      <c r="R1127" s="17" t="s">
        <v>74</v>
      </c>
      <c r="S1127" s="18">
        <v>43.7</v>
      </c>
      <c r="T1127" s="18">
        <v>22.58</v>
      </c>
      <c r="U1127" s="18" t="s">
        <v>51</v>
      </c>
      <c r="V1127" s="17" t="s">
        <v>50</v>
      </c>
      <c r="W1127" s="17" t="s">
        <v>50</v>
      </c>
      <c r="X1127" s="17" t="s">
        <v>50</v>
      </c>
      <c r="Y1127" s="17" t="s">
        <v>50</v>
      </c>
      <c r="Z1127" s="17" t="s">
        <v>50</v>
      </c>
      <c r="AA1127" s="17" t="s">
        <v>50</v>
      </c>
      <c r="AB1127" s="17" t="s">
        <v>50</v>
      </c>
      <c r="AC1127" s="17" t="s">
        <v>50</v>
      </c>
      <c r="AD1127" s="17" t="s">
        <v>50</v>
      </c>
      <c r="AE1127" s="17" t="s">
        <v>50</v>
      </c>
      <c r="AF1127" s="17" t="s">
        <v>50</v>
      </c>
      <c r="AG1127" s="17" t="s">
        <v>50</v>
      </c>
      <c r="AH1127" s="17" t="s">
        <v>50</v>
      </c>
      <c r="AI1127" s="17" t="s">
        <v>50</v>
      </c>
      <c r="AJ1127" s="17" t="s">
        <v>50</v>
      </c>
      <c r="AK1127" s="17" t="s">
        <v>50</v>
      </c>
      <c r="AL1127" s="17" t="s">
        <v>50</v>
      </c>
      <c r="AM1127" s="17" t="s">
        <v>50</v>
      </c>
      <c r="AN1127" s="17" t="s">
        <v>50</v>
      </c>
      <c r="AO1127" s="18" t="s">
        <v>50</v>
      </c>
      <c r="AP1127" s="17" t="s">
        <v>50</v>
      </c>
      <c r="AQ1127" s="17" t="s">
        <v>50</v>
      </c>
      <c r="AR1127" s="17" t="s">
        <v>50</v>
      </c>
      <c r="AS1127" s="17" t="s">
        <v>50</v>
      </c>
      <c r="AT1127" s="17" t="s">
        <v>50</v>
      </c>
      <c r="AU1127" s="17" t="s">
        <v>50</v>
      </c>
      <c r="AV1127" s="18"/>
      <c r="AW1127" s="17" t="s">
        <v>66</v>
      </c>
      <c r="AX1127" s="17"/>
      <c r="AY1127" s="17" t="s">
        <v>66</v>
      </c>
    </row>
    <row r="1128" ht="22.5" hidden="1" customHeight="1">
      <c r="A1128" s="16" t="s">
        <v>11517</v>
      </c>
      <c r="B1128" s="17" t="s">
        <v>11507</v>
      </c>
      <c r="C1128" s="17" t="s">
        <v>43</v>
      </c>
      <c r="D1128" s="17" t="s">
        <v>8227</v>
      </c>
      <c r="E1128" s="17" t="s">
        <v>45</v>
      </c>
      <c r="F1128" s="18">
        <v>1.0</v>
      </c>
      <c r="G1128" s="18"/>
      <c r="H1128" s="18"/>
      <c r="I1128" s="18"/>
      <c r="J1128" s="18"/>
      <c r="K1128" s="18"/>
      <c r="L1128" s="18"/>
      <c r="M1128" s="17" t="s">
        <v>50</v>
      </c>
      <c r="N1128" s="17" t="s">
        <v>50</v>
      </c>
      <c r="O1128" s="17" t="s">
        <v>888</v>
      </c>
      <c r="P1128" s="17" t="s">
        <v>889</v>
      </c>
      <c r="Q1128" s="17" t="s">
        <v>890</v>
      </c>
      <c r="R1128" s="17" t="s">
        <v>74</v>
      </c>
      <c r="S1128" s="18">
        <v>46.55</v>
      </c>
      <c r="T1128" s="18">
        <v>16.46</v>
      </c>
      <c r="U1128" s="18" t="s">
        <v>51</v>
      </c>
      <c r="V1128" s="17" t="s">
        <v>50</v>
      </c>
      <c r="W1128" s="17" t="s">
        <v>50</v>
      </c>
      <c r="X1128" s="17" t="s">
        <v>50</v>
      </c>
      <c r="Y1128" s="17" t="s">
        <v>50</v>
      </c>
      <c r="Z1128" s="17" t="s">
        <v>50</v>
      </c>
      <c r="AA1128" s="17" t="s">
        <v>50</v>
      </c>
      <c r="AB1128" s="17" t="s">
        <v>50</v>
      </c>
      <c r="AC1128" s="17" t="s">
        <v>50</v>
      </c>
      <c r="AD1128" s="17" t="s">
        <v>50</v>
      </c>
      <c r="AE1128" s="17" t="s">
        <v>50</v>
      </c>
      <c r="AF1128" s="17" t="s">
        <v>50</v>
      </c>
      <c r="AG1128" s="17" t="s">
        <v>50</v>
      </c>
      <c r="AH1128" s="17" t="s">
        <v>50</v>
      </c>
      <c r="AI1128" s="17" t="s">
        <v>50</v>
      </c>
      <c r="AJ1128" s="17" t="s">
        <v>50</v>
      </c>
      <c r="AK1128" s="17" t="s">
        <v>50</v>
      </c>
      <c r="AL1128" s="17" t="s">
        <v>50</v>
      </c>
      <c r="AM1128" s="17" t="s">
        <v>50</v>
      </c>
      <c r="AN1128" s="17" t="s">
        <v>50</v>
      </c>
      <c r="AO1128" s="18" t="s">
        <v>50</v>
      </c>
      <c r="AP1128" s="17" t="s">
        <v>50</v>
      </c>
      <c r="AQ1128" s="17" t="s">
        <v>50</v>
      </c>
      <c r="AR1128" s="17" t="s">
        <v>50</v>
      </c>
      <c r="AS1128" s="17" t="s">
        <v>50</v>
      </c>
      <c r="AT1128" s="17" t="s">
        <v>50</v>
      </c>
      <c r="AU1128" s="17" t="s">
        <v>50</v>
      </c>
      <c r="AV1128" s="18"/>
      <c r="AW1128" s="17" t="s">
        <v>66</v>
      </c>
      <c r="AX1128" s="17"/>
      <c r="AY1128" s="17" t="s">
        <v>66</v>
      </c>
    </row>
    <row r="1129" ht="22.5" hidden="1" customHeight="1">
      <c r="A1129" s="9" t="s">
        <v>11518</v>
      </c>
      <c r="B1129" s="10" t="s">
        <v>11507</v>
      </c>
      <c r="C1129" s="10" t="s">
        <v>43</v>
      </c>
      <c r="D1129" s="10" t="s">
        <v>11519</v>
      </c>
      <c r="E1129" s="10" t="s">
        <v>45</v>
      </c>
      <c r="F1129" s="11">
        <v>1.0</v>
      </c>
      <c r="G1129" s="11">
        <v>80.6</v>
      </c>
      <c r="H1129" s="11">
        <v>19.6</v>
      </c>
      <c r="I1129" s="11">
        <v>-13.7</v>
      </c>
      <c r="J1129" s="11">
        <v>-40.05</v>
      </c>
      <c r="K1129" s="11"/>
      <c r="L1129" s="11">
        <v>46.45</v>
      </c>
      <c r="M1129" s="10" t="s">
        <v>46</v>
      </c>
      <c r="N1129" s="10" t="s">
        <v>45</v>
      </c>
      <c r="O1129" s="10" t="s">
        <v>265</v>
      </c>
      <c r="P1129" s="10" t="s">
        <v>266</v>
      </c>
      <c r="Q1129" s="10" t="s">
        <v>267</v>
      </c>
      <c r="R1129" s="10" t="s">
        <v>74</v>
      </c>
      <c r="S1129" s="11">
        <v>80.6</v>
      </c>
      <c r="T1129" s="11">
        <v>26.22</v>
      </c>
      <c r="U1129" s="11" t="s">
        <v>51</v>
      </c>
      <c r="V1129" s="10" t="s">
        <v>52</v>
      </c>
      <c r="W1129" s="10" t="s">
        <v>11520</v>
      </c>
      <c r="X1129" s="10" t="s">
        <v>11521</v>
      </c>
      <c r="Y1129" s="10" t="s">
        <v>11522</v>
      </c>
      <c r="Z1129" s="10" t="s">
        <v>50</v>
      </c>
      <c r="AA1129" s="10" t="s">
        <v>50</v>
      </c>
      <c r="AB1129" s="10" t="s">
        <v>11520</v>
      </c>
      <c r="AC1129" s="10" t="s">
        <v>11523</v>
      </c>
      <c r="AD1129" s="10" t="s">
        <v>11524</v>
      </c>
      <c r="AE1129" s="10" t="s">
        <v>11525</v>
      </c>
      <c r="AF1129" s="10" t="s">
        <v>799</v>
      </c>
      <c r="AG1129" s="10" t="s">
        <v>11526</v>
      </c>
      <c r="AH1129" s="10" t="s">
        <v>60</v>
      </c>
      <c r="AI1129" s="10" t="s">
        <v>61</v>
      </c>
      <c r="AJ1129" s="10" t="s">
        <v>11183</v>
      </c>
      <c r="AK1129" s="10" t="s">
        <v>11527</v>
      </c>
      <c r="AL1129" s="10" t="s">
        <v>64</v>
      </c>
      <c r="AM1129" s="10" t="s">
        <v>11528</v>
      </c>
      <c r="AN1129" s="10" t="s">
        <v>50</v>
      </c>
      <c r="AO1129" s="11" t="s">
        <v>50</v>
      </c>
      <c r="AP1129" s="10" t="s">
        <v>50</v>
      </c>
      <c r="AQ1129" s="10" t="s">
        <v>50</v>
      </c>
      <c r="AR1129" s="10" t="s">
        <v>50</v>
      </c>
      <c r="AS1129" s="10" t="s">
        <v>50</v>
      </c>
      <c r="AT1129" s="10" t="s">
        <v>50</v>
      </c>
      <c r="AU1129" s="10" t="s">
        <v>50</v>
      </c>
      <c r="AV1129" s="11"/>
      <c r="AW1129" s="10" t="s">
        <v>66</v>
      </c>
      <c r="AX1129" s="10"/>
      <c r="AY1129" s="10" t="s">
        <v>66</v>
      </c>
    </row>
    <row r="1130" ht="22.5" hidden="1" customHeight="1">
      <c r="A1130" s="9" t="s">
        <v>11529</v>
      </c>
      <c r="B1130" s="10" t="s">
        <v>11507</v>
      </c>
      <c r="C1130" s="10" t="s">
        <v>43</v>
      </c>
      <c r="D1130" s="10" t="s">
        <v>7750</v>
      </c>
      <c r="E1130" s="10" t="s">
        <v>66</v>
      </c>
      <c r="F1130" s="11">
        <v>1.0</v>
      </c>
      <c r="G1130" s="11">
        <v>120.0</v>
      </c>
      <c r="H1130" s="11"/>
      <c r="I1130" s="11">
        <v>-20.4</v>
      </c>
      <c r="J1130" s="11">
        <v>-19.95</v>
      </c>
      <c r="K1130" s="11"/>
      <c r="L1130" s="11">
        <v>86.85</v>
      </c>
      <c r="M1130" s="10" t="s">
        <v>46</v>
      </c>
      <c r="N1130" s="10" t="s">
        <v>50</v>
      </c>
      <c r="O1130" s="10" t="s">
        <v>85</v>
      </c>
      <c r="P1130" s="10" t="s">
        <v>86</v>
      </c>
      <c r="Q1130" s="10" t="s">
        <v>87</v>
      </c>
      <c r="R1130" s="10" t="s">
        <v>74</v>
      </c>
      <c r="S1130" s="11">
        <v>120.0</v>
      </c>
      <c r="T1130" s="11">
        <v>65.78</v>
      </c>
      <c r="U1130" s="11" t="s">
        <v>51</v>
      </c>
      <c r="V1130" s="10" t="s">
        <v>52</v>
      </c>
      <c r="W1130" s="10" t="s">
        <v>11530</v>
      </c>
      <c r="X1130" s="10" t="s">
        <v>11531</v>
      </c>
      <c r="Y1130" s="10" t="s">
        <v>11532</v>
      </c>
      <c r="Z1130" s="10" t="s">
        <v>50</v>
      </c>
      <c r="AA1130" s="10" t="s">
        <v>50</v>
      </c>
      <c r="AB1130" s="10" t="s">
        <v>11530</v>
      </c>
      <c r="AC1130" s="10" t="s">
        <v>11533</v>
      </c>
      <c r="AD1130" s="10" t="s">
        <v>11534</v>
      </c>
      <c r="AE1130" s="10" t="s">
        <v>11535</v>
      </c>
      <c r="AF1130" s="10" t="s">
        <v>214</v>
      </c>
      <c r="AG1130" s="10" t="s">
        <v>11536</v>
      </c>
      <c r="AH1130" s="10" t="s">
        <v>60</v>
      </c>
      <c r="AI1130" s="10" t="s">
        <v>61</v>
      </c>
      <c r="AJ1130" s="10" t="s">
        <v>11205</v>
      </c>
      <c r="AK1130" s="10" t="s">
        <v>11537</v>
      </c>
      <c r="AL1130" s="10" t="s">
        <v>64</v>
      </c>
      <c r="AM1130" s="10" t="s">
        <v>11538</v>
      </c>
      <c r="AN1130" s="10" t="s">
        <v>50</v>
      </c>
      <c r="AO1130" s="11" t="s">
        <v>50</v>
      </c>
      <c r="AP1130" s="10" t="s">
        <v>50</v>
      </c>
      <c r="AQ1130" s="10" t="s">
        <v>50</v>
      </c>
      <c r="AR1130" s="10" t="s">
        <v>50</v>
      </c>
      <c r="AS1130" s="10" t="s">
        <v>50</v>
      </c>
      <c r="AT1130" s="10" t="s">
        <v>50</v>
      </c>
      <c r="AU1130" s="10" t="s">
        <v>50</v>
      </c>
      <c r="AV1130" s="11"/>
      <c r="AW1130" s="10" t="s">
        <v>66</v>
      </c>
      <c r="AX1130" s="10"/>
      <c r="AY1130" s="10" t="s">
        <v>66</v>
      </c>
    </row>
    <row r="1131" ht="22.5" hidden="1" customHeight="1">
      <c r="A1131" s="9" t="s">
        <v>11539</v>
      </c>
      <c r="B1131" s="10" t="s">
        <v>11540</v>
      </c>
      <c r="C1131" s="10" t="s">
        <v>43</v>
      </c>
      <c r="D1131" s="10" t="s">
        <v>10258</v>
      </c>
      <c r="E1131" s="10" t="s">
        <v>66</v>
      </c>
      <c r="F1131" s="11">
        <v>1.0</v>
      </c>
      <c r="G1131" s="11">
        <v>88.4</v>
      </c>
      <c r="H1131" s="11"/>
      <c r="I1131" s="11">
        <v>-15.03</v>
      </c>
      <c r="J1131" s="11">
        <v>-19.95</v>
      </c>
      <c r="K1131" s="11"/>
      <c r="L1131" s="11">
        <v>53.42</v>
      </c>
      <c r="M1131" s="10" t="s">
        <v>46</v>
      </c>
      <c r="N1131" s="10" t="s">
        <v>45</v>
      </c>
      <c r="O1131" s="10" t="s">
        <v>314</v>
      </c>
      <c r="P1131" s="10" t="s">
        <v>315</v>
      </c>
      <c r="Q1131" s="10" t="s">
        <v>316</v>
      </c>
      <c r="R1131" s="10" t="s">
        <v>74</v>
      </c>
      <c r="S1131" s="11">
        <v>88.4</v>
      </c>
      <c r="T1131" s="11">
        <v>6.66</v>
      </c>
      <c r="U1131" s="11" t="s">
        <v>51</v>
      </c>
      <c r="V1131" s="10" t="s">
        <v>52</v>
      </c>
      <c r="W1131" s="10" t="s">
        <v>11541</v>
      </c>
      <c r="X1131" s="10" t="s">
        <v>11542</v>
      </c>
      <c r="Y1131" s="10" t="s">
        <v>11543</v>
      </c>
      <c r="Z1131" s="10" t="s">
        <v>50</v>
      </c>
      <c r="AA1131" s="10" t="s">
        <v>50</v>
      </c>
      <c r="AB1131" s="10" t="s">
        <v>11541</v>
      </c>
      <c r="AC1131" s="10" t="s">
        <v>11544</v>
      </c>
      <c r="AD1131" s="10" t="s">
        <v>11545</v>
      </c>
      <c r="AE1131" s="10" t="s">
        <v>11546</v>
      </c>
      <c r="AF1131" s="10" t="s">
        <v>214</v>
      </c>
      <c r="AG1131" s="10" t="s">
        <v>11547</v>
      </c>
      <c r="AH1131" s="10" t="s">
        <v>60</v>
      </c>
      <c r="AI1131" s="10" t="s">
        <v>61</v>
      </c>
      <c r="AJ1131" s="10" t="s">
        <v>11205</v>
      </c>
      <c r="AK1131" s="10" t="s">
        <v>11548</v>
      </c>
      <c r="AL1131" s="10" t="s">
        <v>64</v>
      </c>
      <c r="AM1131" s="10" t="s">
        <v>11549</v>
      </c>
      <c r="AN1131" s="10" t="s">
        <v>50</v>
      </c>
      <c r="AO1131" s="11" t="s">
        <v>50</v>
      </c>
      <c r="AP1131" s="10" t="s">
        <v>50</v>
      </c>
      <c r="AQ1131" s="10" t="s">
        <v>50</v>
      </c>
      <c r="AR1131" s="10" t="s">
        <v>50</v>
      </c>
      <c r="AS1131" s="10" t="s">
        <v>50</v>
      </c>
      <c r="AT1131" s="10" t="s">
        <v>50</v>
      </c>
      <c r="AU1131" s="10" t="s">
        <v>50</v>
      </c>
      <c r="AV1131" s="11"/>
      <c r="AW1131" s="10" t="s">
        <v>66</v>
      </c>
      <c r="AX1131" s="10"/>
      <c r="AY1131" s="10" t="s">
        <v>66</v>
      </c>
    </row>
    <row r="1132" ht="22.5" hidden="1" customHeight="1">
      <c r="A1132" s="9" t="s">
        <v>11550</v>
      </c>
      <c r="B1132" s="10" t="s">
        <v>11551</v>
      </c>
      <c r="C1132" s="10" t="s">
        <v>43</v>
      </c>
      <c r="D1132" s="10" t="s">
        <v>9839</v>
      </c>
      <c r="E1132" s="10" t="s">
        <v>66</v>
      </c>
      <c r="F1132" s="11">
        <v>1.0</v>
      </c>
      <c r="G1132" s="11">
        <v>80.0</v>
      </c>
      <c r="H1132" s="11"/>
      <c r="I1132" s="11">
        <v>-13.6</v>
      </c>
      <c r="J1132" s="11">
        <v>-19.95</v>
      </c>
      <c r="K1132" s="11"/>
      <c r="L1132" s="11">
        <v>50.45</v>
      </c>
      <c r="M1132" s="10" t="s">
        <v>46</v>
      </c>
      <c r="N1132" s="10" t="s">
        <v>45</v>
      </c>
      <c r="O1132" s="10" t="s">
        <v>143</v>
      </c>
      <c r="P1132" s="10" t="s">
        <v>144</v>
      </c>
      <c r="Q1132" s="10" t="s">
        <v>145</v>
      </c>
      <c r="R1132" s="10" t="s">
        <v>74</v>
      </c>
      <c r="S1132" s="11">
        <v>80.0</v>
      </c>
      <c r="T1132" s="11">
        <v>33.38</v>
      </c>
      <c r="U1132" s="11" t="s">
        <v>51</v>
      </c>
      <c r="V1132" s="10" t="s">
        <v>52</v>
      </c>
      <c r="W1132" s="10" t="s">
        <v>11552</v>
      </c>
      <c r="X1132" s="10" t="s">
        <v>11553</v>
      </c>
      <c r="Y1132" s="10" t="s">
        <v>11554</v>
      </c>
      <c r="Z1132" s="10" t="s">
        <v>50</v>
      </c>
      <c r="AA1132" s="10" t="s">
        <v>50</v>
      </c>
      <c r="AB1132" s="10" t="s">
        <v>11552</v>
      </c>
      <c r="AC1132" s="10" t="s">
        <v>11555</v>
      </c>
      <c r="AD1132" s="10" t="s">
        <v>11556</v>
      </c>
      <c r="AE1132" s="10" t="s">
        <v>481</v>
      </c>
      <c r="AF1132" s="10" t="s">
        <v>136</v>
      </c>
      <c r="AG1132" s="10" t="s">
        <v>11557</v>
      </c>
      <c r="AH1132" s="10" t="s">
        <v>60</v>
      </c>
      <c r="AI1132" s="10" t="s">
        <v>61</v>
      </c>
      <c r="AJ1132" s="10" t="s">
        <v>11558</v>
      </c>
      <c r="AK1132" s="10" t="s">
        <v>11559</v>
      </c>
      <c r="AL1132" s="10" t="s">
        <v>64</v>
      </c>
      <c r="AM1132" s="10" t="s">
        <v>11560</v>
      </c>
      <c r="AN1132" s="10" t="s">
        <v>50</v>
      </c>
      <c r="AO1132" s="11" t="s">
        <v>50</v>
      </c>
      <c r="AP1132" s="10" t="s">
        <v>50</v>
      </c>
      <c r="AQ1132" s="10" t="s">
        <v>50</v>
      </c>
      <c r="AR1132" s="10" t="s">
        <v>50</v>
      </c>
      <c r="AS1132" s="10" t="s">
        <v>50</v>
      </c>
      <c r="AT1132" s="10" t="s">
        <v>50</v>
      </c>
      <c r="AU1132" s="10" t="s">
        <v>50</v>
      </c>
      <c r="AV1132" s="11"/>
      <c r="AW1132" s="10" t="s">
        <v>66</v>
      </c>
      <c r="AX1132" s="10"/>
      <c r="AY1132" s="10" t="s">
        <v>66</v>
      </c>
    </row>
    <row r="1133" ht="22.5" hidden="1" customHeight="1">
      <c r="A1133" s="9" t="s">
        <v>11561</v>
      </c>
      <c r="B1133" s="10" t="s">
        <v>11562</v>
      </c>
      <c r="C1133" s="10" t="s">
        <v>43</v>
      </c>
      <c r="D1133" s="10" t="s">
        <v>8227</v>
      </c>
      <c r="E1133" s="10" t="s">
        <v>66</v>
      </c>
      <c r="F1133" s="11">
        <v>1.0</v>
      </c>
      <c r="G1133" s="11">
        <v>79.35</v>
      </c>
      <c r="H1133" s="11">
        <v>16.7</v>
      </c>
      <c r="I1133" s="11">
        <v>-15.08</v>
      </c>
      <c r="J1133" s="11">
        <v>-36.65</v>
      </c>
      <c r="K1133" s="11"/>
      <c r="L1133" s="11">
        <v>44.32</v>
      </c>
      <c r="M1133" s="10" t="s">
        <v>46</v>
      </c>
      <c r="N1133" s="10" t="s">
        <v>45</v>
      </c>
      <c r="O1133" s="10" t="s">
        <v>47</v>
      </c>
      <c r="P1133" s="10" t="s">
        <v>48</v>
      </c>
      <c r="Q1133" s="10" t="s">
        <v>49</v>
      </c>
      <c r="R1133" s="10" t="s">
        <v>50</v>
      </c>
      <c r="S1133" s="11">
        <v>79.35</v>
      </c>
      <c r="T1133" s="11">
        <v>12.45</v>
      </c>
      <c r="U1133" s="11" t="s">
        <v>51</v>
      </c>
      <c r="V1133" s="10" t="s">
        <v>52</v>
      </c>
      <c r="W1133" s="10" t="s">
        <v>11563</v>
      </c>
      <c r="X1133" s="10" t="s">
        <v>11564</v>
      </c>
      <c r="Y1133" s="10" t="s">
        <v>11565</v>
      </c>
      <c r="Z1133" s="10" t="s">
        <v>50</v>
      </c>
      <c r="AA1133" s="10" t="s">
        <v>50</v>
      </c>
      <c r="AB1133" s="10" t="s">
        <v>11563</v>
      </c>
      <c r="AC1133" s="10" t="s">
        <v>11566</v>
      </c>
      <c r="AD1133" s="10" t="s">
        <v>11567</v>
      </c>
      <c r="AE1133" s="10" t="s">
        <v>4547</v>
      </c>
      <c r="AF1133" s="10" t="s">
        <v>2648</v>
      </c>
      <c r="AG1133" s="10" t="s">
        <v>11568</v>
      </c>
      <c r="AH1133" s="10" t="s">
        <v>60</v>
      </c>
      <c r="AI1133" s="10" t="s">
        <v>61</v>
      </c>
      <c r="AJ1133" s="10" t="s">
        <v>11469</v>
      </c>
      <c r="AK1133" s="10" t="s">
        <v>11569</v>
      </c>
      <c r="AL1133" s="10" t="s">
        <v>64</v>
      </c>
      <c r="AM1133" s="10" t="s">
        <v>11570</v>
      </c>
      <c r="AN1133" s="10" t="s">
        <v>50</v>
      </c>
      <c r="AO1133" s="11" t="s">
        <v>50</v>
      </c>
      <c r="AP1133" s="10" t="s">
        <v>50</v>
      </c>
      <c r="AQ1133" s="10" t="s">
        <v>50</v>
      </c>
      <c r="AR1133" s="10" t="s">
        <v>50</v>
      </c>
      <c r="AS1133" s="10" t="s">
        <v>50</v>
      </c>
      <c r="AT1133" s="10" t="s">
        <v>50</v>
      </c>
      <c r="AU1133" s="10" t="s">
        <v>50</v>
      </c>
      <c r="AV1133" s="11"/>
      <c r="AW1133" s="10" t="s">
        <v>66</v>
      </c>
      <c r="AX1133" s="10"/>
      <c r="AY1133" s="10" t="s">
        <v>66</v>
      </c>
    </row>
    <row r="1134" ht="22.5" hidden="1" customHeight="1">
      <c r="A1134" s="12" t="s">
        <v>11571</v>
      </c>
      <c r="B1134" s="13" t="s">
        <v>11572</v>
      </c>
      <c r="C1134" s="13" t="s">
        <v>747</v>
      </c>
      <c r="D1134" s="13" t="s">
        <v>50</v>
      </c>
      <c r="E1134" s="13" t="s">
        <v>50</v>
      </c>
      <c r="F1134" s="14"/>
      <c r="G1134" s="14">
        <v>159.5</v>
      </c>
      <c r="H1134" s="14"/>
      <c r="I1134" s="14">
        <v>-27.11</v>
      </c>
      <c r="J1134" s="14">
        <v>-40.9</v>
      </c>
      <c r="K1134" s="14"/>
      <c r="L1134" s="14">
        <v>91.49</v>
      </c>
      <c r="M1134" s="13" t="s">
        <v>46</v>
      </c>
      <c r="N1134" s="13" t="s">
        <v>50</v>
      </c>
      <c r="O1134" s="13" t="s">
        <v>50</v>
      </c>
      <c r="P1134" s="13" t="s">
        <v>50</v>
      </c>
      <c r="Q1134" s="13" t="s">
        <v>50</v>
      </c>
      <c r="R1134" s="13" t="s">
        <v>50</v>
      </c>
      <c r="S1134" s="14"/>
      <c r="T1134" s="14"/>
      <c r="U1134" s="14" t="s">
        <v>50</v>
      </c>
      <c r="V1134" s="13" t="s">
        <v>52</v>
      </c>
      <c r="W1134" s="13" t="s">
        <v>11573</v>
      </c>
      <c r="X1134" s="13" t="s">
        <v>11574</v>
      </c>
      <c r="Y1134" s="13" t="s">
        <v>11575</v>
      </c>
      <c r="Z1134" s="13" t="s">
        <v>50</v>
      </c>
      <c r="AA1134" s="13" t="s">
        <v>50</v>
      </c>
      <c r="AB1134" s="13" t="s">
        <v>11573</v>
      </c>
      <c r="AC1134" s="13" t="s">
        <v>11576</v>
      </c>
      <c r="AD1134" s="13" t="s">
        <v>11577</v>
      </c>
      <c r="AE1134" s="13" t="s">
        <v>11578</v>
      </c>
      <c r="AF1134" s="13" t="s">
        <v>323</v>
      </c>
      <c r="AG1134" s="13" t="s">
        <v>11579</v>
      </c>
      <c r="AH1134" s="13" t="s">
        <v>60</v>
      </c>
      <c r="AI1134" s="13" t="s">
        <v>61</v>
      </c>
      <c r="AJ1134" s="13" t="s">
        <v>11580</v>
      </c>
      <c r="AK1134" s="13" t="s">
        <v>11581</v>
      </c>
      <c r="AL1134" s="13" t="s">
        <v>64</v>
      </c>
      <c r="AM1134" s="13" t="s">
        <v>11582</v>
      </c>
      <c r="AN1134" s="13" t="s">
        <v>50</v>
      </c>
      <c r="AO1134" s="15" t="s">
        <v>50</v>
      </c>
      <c r="AP1134" s="13" t="s">
        <v>50</v>
      </c>
      <c r="AQ1134" s="13" t="s">
        <v>50</v>
      </c>
      <c r="AR1134" s="13" t="s">
        <v>50</v>
      </c>
      <c r="AS1134" s="13" t="s">
        <v>50</v>
      </c>
      <c r="AT1134" s="13" t="s">
        <v>50</v>
      </c>
      <c r="AU1134" s="13" t="s">
        <v>50</v>
      </c>
      <c r="AV1134" s="15"/>
      <c r="AW1134" s="13" t="s">
        <v>50</v>
      </c>
      <c r="AX1134" s="13"/>
      <c r="AY1134" s="13" t="s">
        <v>50</v>
      </c>
    </row>
    <row r="1135" ht="22.5" hidden="1" customHeight="1">
      <c r="A1135" s="16" t="s">
        <v>11583</v>
      </c>
      <c r="B1135" s="17" t="s">
        <v>11572</v>
      </c>
      <c r="C1135" s="17" t="s">
        <v>43</v>
      </c>
      <c r="D1135" s="17" t="s">
        <v>10258</v>
      </c>
      <c r="E1135" s="17" t="s">
        <v>45</v>
      </c>
      <c r="F1135" s="18">
        <v>1.0</v>
      </c>
      <c r="G1135" s="18"/>
      <c r="H1135" s="18"/>
      <c r="I1135" s="18"/>
      <c r="J1135" s="18"/>
      <c r="K1135" s="18"/>
      <c r="L1135" s="18"/>
      <c r="M1135" s="17" t="s">
        <v>50</v>
      </c>
      <c r="N1135" s="17" t="s">
        <v>45</v>
      </c>
      <c r="O1135" s="17" t="s">
        <v>127</v>
      </c>
      <c r="P1135" s="17" t="s">
        <v>128</v>
      </c>
      <c r="Q1135" s="17" t="s">
        <v>129</v>
      </c>
      <c r="R1135" s="17" t="s">
        <v>74</v>
      </c>
      <c r="S1135" s="18">
        <v>80.3</v>
      </c>
      <c r="T1135" s="18">
        <v>17.68</v>
      </c>
      <c r="U1135" s="18" t="s">
        <v>51</v>
      </c>
      <c r="V1135" s="17" t="s">
        <v>50</v>
      </c>
      <c r="W1135" s="17" t="s">
        <v>50</v>
      </c>
      <c r="X1135" s="17" t="s">
        <v>50</v>
      </c>
      <c r="Y1135" s="17" t="s">
        <v>50</v>
      </c>
      <c r="Z1135" s="17" t="s">
        <v>50</v>
      </c>
      <c r="AA1135" s="17" t="s">
        <v>50</v>
      </c>
      <c r="AB1135" s="17" t="s">
        <v>50</v>
      </c>
      <c r="AC1135" s="17" t="s">
        <v>50</v>
      </c>
      <c r="AD1135" s="17" t="s">
        <v>50</v>
      </c>
      <c r="AE1135" s="17" t="s">
        <v>50</v>
      </c>
      <c r="AF1135" s="17" t="s">
        <v>50</v>
      </c>
      <c r="AG1135" s="17" t="s">
        <v>50</v>
      </c>
      <c r="AH1135" s="17" t="s">
        <v>50</v>
      </c>
      <c r="AI1135" s="17" t="s">
        <v>50</v>
      </c>
      <c r="AJ1135" s="17" t="s">
        <v>50</v>
      </c>
      <c r="AK1135" s="17" t="s">
        <v>50</v>
      </c>
      <c r="AL1135" s="17" t="s">
        <v>50</v>
      </c>
      <c r="AM1135" s="17" t="s">
        <v>50</v>
      </c>
      <c r="AN1135" s="17" t="s">
        <v>50</v>
      </c>
      <c r="AO1135" s="18" t="s">
        <v>50</v>
      </c>
      <c r="AP1135" s="17" t="s">
        <v>50</v>
      </c>
      <c r="AQ1135" s="17" t="s">
        <v>50</v>
      </c>
      <c r="AR1135" s="17" t="s">
        <v>50</v>
      </c>
      <c r="AS1135" s="17" t="s">
        <v>50</v>
      </c>
      <c r="AT1135" s="17" t="s">
        <v>50</v>
      </c>
      <c r="AU1135" s="17" t="s">
        <v>50</v>
      </c>
      <c r="AV1135" s="18"/>
      <c r="AW1135" s="17" t="s">
        <v>66</v>
      </c>
      <c r="AX1135" s="17"/>
      <c r="AY1135" s="17" t="s">
        <v>66</v>
      </c>
    </row>
    <row r="1136" ht="22.5" hidden="1" customHeight="1">
      <c r="A1136" s="16" t="s">
        <v>11584</v>
      </c>
      <c r="B1136" s="17" t="s">
        <v>11572</v>
      </c>
      <c r="C1136" s="17" t="s">
        <v>43</v>
      </c>
      <c r="D1136" s="17" t="s">
        <v>10258</v>
      </c>
      <c r="E1136" s="17" t="s">
        <v>45</v>
      </c>
      <c r="F1136" s="18">
        <v>1.0</v>
      </c>
      <c r="G1136" s="18"/>
      <c r="H1136" s="18"/>
      <c r="I1136" s="18"/>
      <c r="J1136" s="18"/>
      <c r="K1136" s="18"/>
      <c r="L1136" s="18"/>
      <c r="M1136" s="17" t="s">
        <v>50</v>
      </c>
      <c r="N1136" s="17" t="s">
        <v>45</v>
      </c>
      <c r="O1136" s="17" t="s">
        <v>892</v>
      </c>
      <c r="P1136" s="17" t="s">
        <v>893</v>
      </c>
      <c r="Q1136" s="17" t="s">
        <v>894</v>
      </c>
      <c r="R1136" s="17" t="s">
        <v>74</v>
      </c>
      <c r="S1136" s="18">
        <v>79.2</v>
      </c>
      <c r="T1136" s="18">
        <v>2.97</v>
      </c>
      <c r="U1136" s="18" t="s">
        <v>51</v>
      </c>
      <c r="V1136" s="17" t="s">
        <v>50</v>
      </c>
      <c r="W1136" s="17" t="s">
        <v>50</v>
      </c>
      <c r="X1136" s="17" t="s">
        <v>50</v>
      </c>
      <c r="Y1136" s="17" t="s">
        <v>50</v>
      </c>
      <c r="Z1136" s="17" t="s">
        <v>50</v>
      </c>
      <c r="AA1136" s="17" t="s">
        <v>50</v>
      </c>
      <c r="AB1136" s="17" t="s">
        <v>50</v>
      </c>
      <c r="AC1136" s="17" t="s">
        <v>50</v>
      </c>
      <c r="AD1136" s="17" t="s">
        <v>50</v>
      </c>
      <c r="AE1136" s="17" t="s">
        <v>50</v>
      </c>
      <c r="AF1136" s="17" t="s">
        <v>50</v>
      </c>
      <c r="AG1136" s="17" t="s">
        <v>50</v>
      </c>
      <c r="AH1136" s="17" t="s">
        <v>50</v>
      </c>
      <c r="AI1136" s="17" t="s">
        <v>50</v>
      </c>
      <c r="AJ1136" s="17" t="s">
        <v>50</v>
      </c>
      <c r="AK1136" s="17" t="s">
        <v>50</v>
      </c>
      <c r="AL1136" s="17" t="s">
        <v>50</v>
      </c>
      <c r="AM1136" s="17" t="s">
        <v>50</v>
      </c>
      <c r="AN1136" s="17" t="s">
        <v>50</v>
      </c>
      <c r="AO1136" s="18" t="s">
        <v>50</v>
      </c>
      <c r="AP1136" s="17" t="s">
        <v>50</v>
      </c>
      <c r="AQ1136" s="17" t="s">
        <v>50</v>
      </c>
      <c r="AR1136" s="17" t="s">
        <v>50</v>
      </c>
      <c r="AS1136" s="17" t="s">
        <v>50</v>
      </c>
      <c r="AT1136" s="17" t="s">
        <v>50</v>
      </c>
      <c r="AU1136" s="17" t="s">
        <v>50</v>
      </c>
      <c r="AV1136" s="18"/>
      <c r="AW1136" s="17" t="s">
        <v>66</v>
      </c>
      <c r="AX1136" s="17"/>
      <c r="AY1136" s="17" t="s">
        <v>66</v>
      </c>
    </row>
    <row r="1137" ht="22.5" hidden="1" customHeight="1">
      <c r="A1137" s="9" t="s">
        <v>11585</v>
      </c>
      <c r="B1137" s="10" t="s">
        <v>11586</v>
      </c>
      <c r="C1137" s="10" t="s">
        <v>43</v>
      </c>
      <c r="D1137" s="10" t="s">
        <v>10258</v>
      </c>
      <c r="E1137" s="10" t="s">
        <v>66</v>
      </c>
      <c r="F1137" s="11">
        <v>1.0</v>
      </c>
      <c r="G1137" s="11">
        <v>80.0</v>
      </c>
      <c r="H1137" s="11"/>
      <c r="I1137" s="11">
        <v>-13.6</v>
      </c>
      <c r="J1137" s="11">
        <v>-19.95</v>
      </c>
      <c r="K1137" s="11"/>
      <c r="L1137" s="11">
        <v>50.45</v>
      </c>
      <c r="M1137" s="10" t="s">
        <v>46</v>
      </c>
      <c r="N1137" s="10" t="s">
        <v>50</v>
      </c>
      <c r="O1137" s="10" t="s">
        <v>143</v>
      </c>
      <c r="P1137" s="10" t="s">
        <v>144</v>
      </c>
      <c r="Q1137" s="10" t="s">
        <v>145</v>
      </c>
      <c r="R1137" s="10" t="s">
        <v>74</v>
      </c>
      <c r="S1137" s="11">
        <v>80.0</v>
      </c>
      <c r="T1137" s="11">
        <v>33.38</v>
      </c>
      <c r="U1137" s="11" t="s">
        <v>51</v>
      </c>
      <c r="V1137" s="10" t="s">
        <v>52</v>
      </c>
      <c r="W1137" s="10" t="s">
        <v>11587</v>
      </c>
      <c r="X1137" s="10" t="s">
        <v>11588</v>
      </c>
      <c r="Y1137" s="10" t="s">
        <v>11589</v>
      </c>
      <c r="Z1137" s="10" t="s">
        <v>50</v>
      </c>
      <c r="AA1137" s="10" t="s">
        <v>50</v>
      </c>
      <c r="AB1137" s="10" t="s">
        <v>11587</v>
      </c>
      <c r="AC1137" s="10" t="s">
        <v>11590</v>
      </c>
      <c r="AD1137" s="10" t="s">
        <v>11591</v>
      </c>
      <c r="AE1137" s="10" t="s">
        <v>11592</v>
      </c>
      <c r="AF1137" s="10" t="s">
        <v>185</v>
      </c>
      <c r="AG1137" s="10" t="s">
        <v>11593</v>
      </c>
      <c r="AH1137" s="10" t="s">
        <v>60</v>
      </c>
      <c r="AI1137" s="10" t="s">
        <v>61</v>
      </c>
      <c r="AJ1137" s="10" t="s">
        <v>11183</v>
      </c>
      <c r="AK1137" s="10" t="s">
        <v>11594</v>
      </c>
      <c r="AL1137" s="10" t="s">
        <v>64</v>
      </c>
      <c r="AM1137" s="10" t="s">
        <v>11595</v>
      </c>
      <c r="AN1137" s="10" t="s">
        <v>50</v>
      </c>
      <c r="AO1137" s="11" t="s">
        <v>50</v>
      </c>
      <c r="AP1137" s="10" t="s">
        <v>50</v>
      </c>
      <c r="AQ1137" s="10" t="s">
        <v>50</v>
      </c>
      <c r="AR1137" s="10" t="s">
        <v>50</v>
      </c>
      <c r="AS1137" s="10" t="s">
        <v>50</v>
      </c>
      <c r="AT1137" s="10" t="s">
        <v>50</v>
      </c>
      <c r="AU1137" s="10" t="s">
        <v>50</v>
      </c>
      <c r="AV1137" s="11"/>
      <c r="AW1137" s="10" t="s">
        <v>66</v>
      </c>
      <c r="AX1137" s="10"/>
      <c r="AY1137" s="10" t="s">
        <v>66</v>
      </c>
    </row>
    <row r="1138" ht="22.5" hidden="1" customHeight="1">
      <c r="A1138" s="9" t="s">
        <v>11596</v>
      </c>
      <c r="B1138" s="10" t="s">
        <v>11597</v>
      </c>
      <c r="C1138" s="10" t="s">
        <v>43</v>
      </c>
      <c r="D1138" s="10" t="s">
        <v>8227</v>
      </c>
      <c r="E1138" s="10" t="s">
        <v>66</v>
      </c>
      <c r="F1138" s="11">
        <v>1.0</v>
      </c>
      <c r="G1138" s="11">
        <v>120.0</v>
      </c>
      <c r="H1138" s="11">
        <v>7.55</v>
      </c>
      <c r="I1138" s="11">
        <v>-20.4</v>
      </c>
      <c r="J1138" s="11">
        <v>-27.5</v>
      </c>
      <c r="K1138" s="11"/>
      <c r="L1138" s="11">
        <v>86.85</v>
      </c>
      <c r="M1138" s="10" t="s">
        <v>46</v>
      </c>
      <c r="N1138" s="10" t="s">
        <v>45</v>
      </c>
      <c r="O1138" s="10" t="s">
        <v>85</v>
      </c>
      <c r="P1138" s="10" t="s">
        <v>86</v>
      </c>
      <c r="Q1138" s="10" t="s">
        <v>87</v>
      </c>
      <c r="R1138" s="10" t="s">
        <v>74</v>
      </c>
      <c r="S1138" s="11">
        <v>120.0</v>
      </c>
      <c r="T1138" s="11">
        <v>65.78</v>
      </c>
      <c r="U1138" s="11" t="s">
        <v>51</v>
      </c>
      <c r="V1138" s="10" t="s">
        <v>52</v>
      </c>
      <c r="W1138" s="10" t="s">
        <v>11598</v>
      </c>
      <c r="X1138" s="10" t="s">
        <v>11599</v>
      </c>
      <c r="Y1138" s="10" t="s">
        <v>11600</v>
      </c>
      <c r="Z1138" s="10" t="s">
        <v>50</v>
      </c>
      <c r="AA1138" s="10" t="s">
        <v>50</v>
      </c>
      <c r="AB1138" s="10" t="s">
        <v>11598</v>
      </c>
      <c r="AC1138" s="10" t="s">
        <v>11601</v>
      </c>
      <c r="AD1138" s="10" t="s">
        <v>11602</v>
      </c>
      <c r="AE1138" s="10" t="s">
        <v>6569</v>
      </c>
      <c r="AF1138" s="10" t="s">
        <v>1417</v>
      </c>
      <c r="AG1138" s="10" t="s">
        <v>11603</v>
      </c>
      <c r="AH1138" s="10" t="s">
        <v>60</v>
      </c>
      <c r="AI1138" s="10" t="s">
        <v>61</v>
      </c>
      <c r="AJ1138" s="10" t="s">
        <v>11458</v>
      </c>
      <c r="AK1138" s="10" t="s">
        <v>11604</v>
      </c>
      <c r="AL1138" s="10" t="s">
        <v>64</v>
      </c>
      <c r="AM1138" s="10" t="s">
        <v>11605</v>
      </c>
      <c r="AN1138" s="10" t="s">
        <v>50</v>
      </c>
      <c r="AO1138" s="11" t="s">
        <v>50</v>
      </c>
      <c r="AP1138" s="10" t="s">
        <v>50</v>
      </c>
      <c r="AQ1138" s="10" t="s">
        <v>50</v>
      </c>
      <c r="AR1138" s="10" t="s">
        <v>50</v>
      </c>
      <c r="AS1138" s="10" t="s">
        <v>50</v>
      </c>
      <c r="AT1138" s="10" t="s">
        <v>50</v>
      </c>
      <c r="AU1138" s="10" t="s">
        <v>50</v>
      </c>
      <c r="AV1138" s="11"/>
      <c r="AW1138" s="10" t="s">
        <v>66</v>
      </c>
      <c r="AX1138" s="10"/>
      <c r="AY1138" s="10" t="s">
        <v>66</v>
      </c>
    </row>
    <row r="1139" ht="22.5" hidden="1" customHeight="1">
      <c r="A1139" s="9" t="s">
        <v>11606</v>
      </c>
      <c r="B1139" s="10" t="s">
        <v>11607</v>
      </c>
      <c r="C1139" s="10" t="s">
        <v>43</v>
      </c>
      <c r="D1139" s="10" t="s">
        <v>11161</v>
      </c>
      <c r="E1139" s="10" t="s">
        <v>66</v>
      </c>
      <c r="F1139" s="11">
        <v>1.0</v>
      </c>
      <c r="G1139" s="11">
        <v>120.0</v>
      </c>
      <c r="H1139" s="11"/>
      <c r="I1139" s="11">
        <v>-20.4</v>
      </c>
      <c r="J1139" s="11">
        <v>-19.95</v>
      </c>
      <c r="K1139" s="11"/>
      <c r="L1139" s="11">
        <v>86.85</v>
      </c>
      <c r="M1139" s="10" t="s">
        <v>46</v>
      </c>
      <c r="N1139" s="10" t="s">
        <v>45</v>
      </c>
      <c r="O1139" s="10" t="s">
        <v>85</v>
      </c>
      <c r="P1139" s="10" t="s">
        <v>86</v>
      </c>
      <c r="Q1139" s="10" t="s">
        <v>87</v>
      </c>
      <c r="R1139" s="10" t="s">
        <v>74</v>
      </c>
      <c r="S1139" s="11">
        <v>120.0</v>
      </c>
      <c r="T1139" s="11">
        <v>65.78</v>
      </c>
      <c r="U1139" s="11" t="s">
        <v>51</v>
      </c>
      <c r="V1139" s="10" t="s">
        <v>52</v>
      </c>
      <c r="W1139" s="10" t="s">
        <v>11608</v>
      </c>
      <c r="X1139" s="10" t="s">
        <v>11609</v>
      </c>
      <c r="Y1139" s="10" t="s">
        <v>11610</v>
      </c>
      <c r="Z1139" s="10" t="s">
        <v>50</v>
      </c>
      <c r="AA1139" s="10" t="s">
        <v>50</v>
      </c>
      <c r="AB1139" s="10" t="s">
        <v>11608</v>
      </c>
      <c r="AC1139" s="10" t="s">
        <v>11611</v>
      </c>
      <c r="AD1139" s="10" t="s">
        <v>11612</v>
      </c>
      <c r="AE1139" s="10" t="s">
        <v>11613</v>
      </c>
      <c r="AF1139" s="10" t="s">
        <v>775</v>
      </c>
      <c r="AG1139" s="10" t="s">
        <v>11614</v>
      </c>
      <c r="AH1139" s="10" t="s">
        <v>60</v>
      </c>
      <c r="AI1139" s="10" t="s">
        <v>61</v>
      </c>
      <c r="AJ1139" s="10" t="s">
        <v>11183</v>
      </c>
      <c r="AK1139" s="10" t="s">
        <v>11615</v>
      </c>
      <c r="AL1139" s="10" t="s">
        <v>64</v>
      </c>
      <c r="AM1139" s="10" t="s">
        <v>11616</v>
      </c>
      <c r="AN1139" s="10" t="s">
        <v>50</v>
      </c>
      <c r="AO1139" s="11" t="s">
        <v>50</v>
      </c>
      <c r="AP1139" s="10" t="s">
        <v>50</v>
      </c>
      <c r="AQ1139" s="10" t="s">
        <v>50</v>
      </c>
      <c r="AR1139" s="10" t="s">
        <v>50</v>
      </c>
      <c r="AS1139" s="10" t="s">
        <v>50</v>
      </c>
      <c r="AT1139" s="10" t="s">
        <v>50</v>
      </c>
      <c r="AU1139" s="10" t="s">
        <v>50</v>
      </c>
      <c r="AV1139" s="11"/>
      <c r="AW1139" s="10" t="s">
        <v>66</v>
      </c>
      <c r="AX1139" s="10"/>
      <c r="AY1139" s="10" t="s">
        <v>66</v>
      </c>
    </row>
    <row r="1140" ht="22.5" hidden="1" customHeight="1">
      <c r="A1140" s="9" t="s">
        <v>11617</v>
      </c>
      <c r="B1140" s="10" t="s">
        <v>11618</v>
      </c>
      <c r="C1140" s="10" t="s">
        <v>43</v>
      </c>
      <c r="D1140" s="10" t="s">
        <v>9839</v>
      </c>
      <c r="E1140" s="10" t="s">
        <v>45</v>
      </c>
      <c r="F1140" s="11">
        <v>1.0</v>
      </c>
      <c r="G1140" s="11">
        <v>80.3</v>
      </c>
      <c r="H1140" s="11"/>
      <c r="I1140" s="11">
        <v>-13.65</v>
      </c>
      <c r="J1140" s="11">
        <v>-20.45</v>
      </c>
      <c r="K1140" s="11"/>
      <c r="L1140" s="11">
        <v>46.2</v>
      </c>
      <c r="M1140" s="10" t="s">
        <v>46</v>
      </c>
      <c r="N1140" s="10" t="s">
        <v>45</v>
      </c>
      <c r="O1140" s="10" t="s">
        <v>127</v>
      </c>
      <c r="P1140" s="10" t="s">
        <v>128</v>
      </c>
      <c r="Q1140" s="10" t="s">
        <v>129</v>
      </c>
      <c r="R1140" s="10" t="s">
        <v>74</v>
      </c>
      <c r="S1140" s="11">
        <v>80.3</v>
      </c>
      <c r="T1140" s="11">
        <v>17.68</v>
      </c>
      <c r="U1140" s="11" t="s">
        <v>51</v>
      </c>
      <c r="V1140" s="10" t="s">
        <v>52</v>
      </c>
      <c r="W1140" s="10" t="s">
        <v>11619</v>
      </c>
      <c r="X1140" s="10" t="s">
        <v>11620</v>
      </c>
      <c r="Y1140" s="10" t="s">
        <v>11621</v>
      </c>
      <c r="Z1140" s="10" t="s">
        <v>50</v>
      </c>
      <c r="AA1140" s="10" t="s">
        <v>50</v>
      </c>
      <c r="AB1140" s="10" t="s">
        <v>11619</v>
      </c>
      <c r="AC1140" s="10" t="s">
        <v>11622</v>
      </c>
      <c r="AD1140" s="10" t="s">
        <v>11623</v>
      </c>
      <c r="AE1140" s="10" t="s">
        <v>7997</v>
      </c>
      <c r="AF1140" s="10" t="s">
        <v>151</v>
      </c>
      <c r="AG1140" s="10" t="s">
        <v>11624</v>
      </c>
      <c r="AH1140" s="10" t="s">
        <v>60</v>
      </c>
      <c r="AI1140" s="10" t="s">
        <v>61</v>
      </c>
      <c r="AJ1140" s="10" t="s">
        <v>11625</v>
      </c>
      <c r="AK1140" s="10" t="s">
        <v>11626</v>
      </c>
      <c r="AL1140" s="10" t="s">
        <v>64</v>
      </c>
      <c r="AM1140" s="10" t="s">
        <v>11627</v>
      </c>
      <c r="AN1140" s="10" t="s">
        <v>50</v>
      </c>
      <c r="AO1140" s="11" t="s">
        <v>50</v>
      </c>
      <c r="AP1140" s="10" t="s">
        <v>50</v>
      </c>
      <c r="AQ1140" s="10" t="s">
        <v>50</v>
      </c>
      <c r="AR1140" s="10" t="s">
        <v>50</v>
      </c>
      <c r="AS1140" s="10" t="s">
        <v>50</v>
      </c>
      <c r="AT1140" s="10" t="s">
        <v>50</v>
      </c>
      <c r="AU1140" s="10" t="s">
        <v>50</v>
      </c>
      <c r="AV1140" s="11"/>
      <c r="AW1140" s="10" t="s">
        <v>66</v>
      </c>
      <c r="AX1140" s="10"/>
      <c r="AY1140" s="10" t="s">
        <v>66</v>
      </c>
    </row>
    <row r="1141" ht="22.5" hidden="1" customHeight="1">
      <c r="A1141" s="9" t="s">
        <v>11628</v>
      </c>
      <c r="B1141" s="10" t="s">
        <v>11629</v>
      </c>
      <c r="C1141" s="10" t="s">
        <v>43</v>
      </c>
      <c r="D1141" s="10" t="s">
        <v>8227</v>
      </c>
      <c r="E1141" s="10" t="s">
        <v>66</v>
      </c>
      <c r="F1141" s="11">
        <v>1.0</v>
      </c>
      <c r="G1141" s="11">
        <v>80.3</v>
      </c>
      <c r="H1141" s="11"/>
      <c r="I1141" s="11">
        <v>-13.65</v>
      </c>
      <c r="J1141" s="11">
        <v>-20.45</v>
      </c>
      <c r="K1141" s="11"/>
      <c r="L1141" s="11">
        <v>46.2</v>
      </c>
      <c r="M1141" s="10" t="s">
        <v>46</v>
      </c>
      <c r="N1141" s="10" t="s">
        <v>50</v>
      </c>
      <c r="O1141" s="10" t="s">
        <v>127</v>
      </c>
      <c r="P1141" s="10" t="s">
        <v>128</v>
      </c>
      <c r="Q1141" s="10" t="s">
        <v>129</v>
      </c>
      <c r="R1141" s="10" t="s">
        <v>74</v>
      </c>
      <c r="S1141" s="11">
        <v>80.3</v>
      </c>
      <c r="T1141" s="11">
        <v>17.68</v>
      </c>
      <c r="U1141" s="11" t="s">
        <v>51</v>
      </c>
      <c r="V1141" s="10" t="s">
        <v>52</v>
      </c>
      <c r="W1141" s="10" t="s">
        <v>11630</v>
      </c>
      <c r="X1141" s="10" t="s">
        <v>11631</v>
      </c>
      <c r="Y1141" s="10" t="s">
        <v>11632</v>
      </c>
      <c r="Z1141" s="10" t="s">
        <v>50</v>
      </c>
      <c r="AA1141" s="10" t="s">
        <v>50</v>
      </c>
      <c r="AB1141" s="10" t="s">
        <v>11630</v>
      </c>
      <c r="AC1141" s="10" t="s">
        <v>11633</v>
      </c>
      <c r="AD1141" s="10" t="s">
        <v>11634</v>
      </c>
      <c r="AE1141" s="10" t="s">
        <v>58</v>
      </c>
      <c r="AF1141" s="10" t="s">
        <v>58</v>
      </c>
      <c r="AG1141" s="10" t="s">
        <v>11635</v>
      </c>
      <c r="AH1141" s="10" t="s">
        <v>60</v>
      </c>
      <c r="AI1141" s="10" t="s">
        <v>61</v>
      </c>
      <c r="AJ1141" s="10" t="s">
        <v>11636</v>
      </c>
      <c r="AK1141" s="10" t="s">
        <v>11637</v>
      </c>
      <c r="AL1141" s="10" t="s">
        <v>64</v>
      </c>
      <c r="AM1141" s="10" t="s">
        <v>11638</v>
      </c>
      <c r="AN1141" s="10" t="s">
        <v>50</v>
      </c>
      <c r="AO1141" s="11" t="s">
        <v>50</v>
      </c>
      <c r="AP1141" s="10" t="s">
        <v>50</v>
      </c>
      <c r="AQ1141" s="10" t="s">
        <v>50</v>
      </c>
      <c r="AR1141" s="10" t="s">
        <v>50</v>
      </c>
      <c r="AS1141" s="10" t="s">
        <v>50</v>
      </c>
      <c r="AT1141" s="10" t="s">
        <v>50</v>
      </c>
      <c r="AU1141" s="10" t="s">
        <v>50</v>
      </c>
      <c r="AV1141" s="11"/>
      <c r="AW1141" s="10" t="s">
        <v>66</v>
      </c>
      <c r="AX1141" s="10"/>
      <c r="AY1141" s="10" t="s">
        <v>66</v>
      </c>
    </row>
    <row r="1142" ht="22.5" hidden="1" customHeight="1">
      <c r="A1142" s="9" t="s">
        <v>11639</v>
      </c>
      <c r="B1142" s="10" t="s">
        <v>11640</v>
      </c>
      <c r="C1142" s="10" t="s">
        <v>43</v>
      </c>
      <c r="D1142" s="10" t="s">
        <v>11161</v>
      </c>
      <c r="E1142" s="10" t="s">
        <v>45</v>
      </c>
      <c r="F1142" s="11">
        <v>1.0</v>
      </c>
      <c r="G1142" s="11">
        <v>80.0</v>
      </c>
      <c r="H1142" s="11"/>
      <c r="I1142" s="11">
        <v>-13.6</v>
      </c>
      <c r="J1142" s="11">
        <v>-19.95</v>
      </c>
      <c r="K1142" s="11"/>
      <c r="L1142" s="11">
        <v>50.45</v>
      </c>
      <c r="M1142" s="10" t="s">
        <v>46</v>
      </c>
      <c r="N1142" s="10" t="s">
        <v>45</v>
      </c>
      <c r="O1142" s="10" t="s">
        <v>143</v>
      </c>
      <c r="P1142" s="10" t="s">
        <v>144</v>
      </c>
      <c r="Q1142" s="10" t="s">
        <v>145</v>
      </c>
      <c r="R1142" s="10" t="s">
        <v>74</v>
      </c>
      <c r="S1142" s="11">
        <v>80.0</v>
      </c>
      <c r="T1142" s="11">
        <v>33.38</v>
      </c>
      <c r="U1142" s="11" t="s">
        <v>51</v>
      </c>
      <c r="V1142" s="10" t="s">
        <v>52</v>
      </c>
      <c r="W1142" s="10" t="s">
        <v>11641</v>
      </c>
      <c r="X1142" s="10" t="s">
        <v>11642</v>
      </c>
      <c r="Y1142" s="10" t="s">
        <v>11643</v>
      </c>
      <c r="Z1142" s="10" t="s">
        <v>50</v>
      </c>
      <c r="AA1142" s="10" t="s">
        <v>50</v>
      </c>
      <c r="AB1142" s="10" t="s">
        <v>11641</v>
      </c>
      <c r="AC1142" s="10" t="s">
        <v>11644</v>
      </c>
      <c r="AD1142" s="10" t="s">
        <v>11645</v>
      </c>
      <c r="AE1142" s="10" t="s">
        <v>11646</v>
      </c>
      <c r="AF1142" s="10" t="s">
        <v>58</v>
      </c>
      <c r="AG1142" s="10" t="s">
        <v>11647</v>
      </c>
      <c r="AH1142" s="10" t="s">
        <v>60</v>
      </c>
      <c r="AI1142" s="10" t="s">
        <v>61</v>
      </c>
      <c r="AJ1142" s="10" t="s">
        <v>11458</v>
      </c>
      <c r="AK1142" s="10" t="s">
        <v>11648</v>
      </c>
      <c r="AL1142" s="10" t="s">
        <v>64</v>
      </c>
      <c r="AM1142" s="10" t="s">
        <v>11649</v>
      </c>
      <c r="AN1142" s="10" t="s">
        <v>50</v>
      </c>
      <c r="AO1142" s="11" t="s">
        <v>50</v>
      </c>
      <c r="AP1142" s="10" t="s">
        <v>50</v>
      </c>
      <c r="AQ1142" s="10" t="s">
        <v>50</v>
      </c>
      <c r="AR1142" s="10" t="s">
        <v>50</v>
      </c>
      <c r="AS1142" s="10" t="s">
        <v>50</v>
      </c>
      <c r="AT1142" s="10" t="s">
        <v>50</v>
      </c>
      <c r="AU1142" s="10" t="s">
        <v>50</v>
      </c>
      <c r="AV1142" s="11"/>
      <c r="AW1142" s="10" t="s">
        <v>66</v>
      </c>
      <c r="AX1142" s="10"/>
      <c r="AY1142" s="10" t="s">
        <v>66</v>
      </c>
    </row>
    <row r="1143" ht="22.5" hidden="1" customHeight="1">
      <c r="A1143" s="9" t="s">
        <v>11650</v>
      </c>
      <c r="B1143" s="10" t="s">
        <v>11651</v>
      </c>
      <c r="C1143" s="10" t="s">
        <v>43</v>
      </c>
      <c r="D1143" s="10" t="s">
        <v>11161</v>
      </c>
      <c r="E1143" s="10" t="s">
        <v>45</v>
      </c>
      <c r="F1143" s="11">
        <v>1.0</v>
      </c>
      <c r="G1143" s="11">
        <v>79.2</v>
      </c>
      <c r="H1143" s="11"/>
      <c r="I1143" s="11">
        <v>-13.46</v>
      </c>
      <c r="J1143" s="11">
        <v>-20.45</v>
      </c>
      <c r="K1143" s="11"/>
      <c r="L1143" s="11">
        <v>45.29</v>
      </c>
      <c r="M1143" s="10" t="s">
        <v>46</v>
      </c>
      <c r="N1143" s="10" t="s">
        <v>50</v>
      </c>
      <c r="O1143" s="10" t="s">
        <v>892</v>
      </c>
      <c r="P1143" s="10" t="s">
        <v>893</v>
      </c>
      <c r="Q1143" s="10" t="s">
        <v>894</v>
      </c>
      <c r="R1143" s="10" t="s">
        <v>74</v>
      </c>
      <c r="S1143" s="11">
        <v>79.2</v>
      </c>
      <c r="T1143" s="11">
        <v>2.97</v>
      </c>
      <c r="U1143" s="11" t="s">
        <v>51</v>
      </c>
      <c r="V1143" s="10" t="s">
        <v>52</v>
      </c>
      <c r="W1143" s="10" t="s">
        <v>11652</v>
      </c>
      <c r="X1143" s="10" t="s">
        <v>11653</v>
      </c>
      <c r="Y1143" s="10" t="s">
        <v>11654</v>
      </c>
      <c r="Z1143" s="10" t="s">
        <v>50</v>
      </c>
      <c r="AA1143" s="10" t="s">
        <v>50</v>
      </c>
      <c r="AB1143" s="10" t="s">
        <v>11652</v>
      </c>
      <c r="AC1143" s="10" t="s">
        <v>11655</v>
      </c>
      <c r="AD1143" s="10" t="s">
        <v>11656</v>
      </c>
      <c r="AE1143" s="10" t="s">
        <v>1629</v>
      </c>
      <c r="AF1143" s="10" t="s">
        <v>58</v>
      </c>
      <c r="AG1143" s="10" t="s">
        <v>11657</v>
      </c>
      <c r="AH1143" s="10" t="s">
        <v>60</v>
      </c>
      <c r="AI1143" s="10" t="s">
        <v>61</v>
      </c>
      <c r="AJ1143" s="10" t="s">
        <v>11458</v>
      </c>
      <c r="AK1143" s="10" t="s">
        <v>11658</v>
      </c>
      <c r="AL1143" s="10" t="s">
        <v>64</v>
      </c>
      <c r="AM1143" s="10" t="s">
        <v>11659</v>
      </c>
      <c r="AN1143" s="10" t="s">
        <v>50</v>
      </c>
      <c r="AO1143" s="11" t="s">
        <v>50</v>
      </c>
      <c r="AP1143" s="10" t="s">
        <v>50</v>
      </c>
      <c r="AQ1143" s="10" t="s">
        <v>50</v>
      </c>
      <c r="AR1143" s="10" t="s">
        <v>50</v>
      </c>
      <c r="AS1143" s="10" t="s">
        <v>50</v>
      </c>
      <c r="AT1143" s="10" t="s">
        <v>50</v>
      </c>
      <c r="AU1143" s="10" t="s">
        <v>50</v>
      </c>
      <c r="AV1143" s="11"/>
      <c r="AW1143" s="10" t="s">
        <v>66</v>
      </c>
      <c r="AX1143" s="10"/>
      <c r="AY1143" s="10" t="s">
        <v>66</v>
      </c>
    </row>
    <row r="1144" ht="22.5" hidden="1" customHeight="1">
      <c r="A1144" s="9" t="s">
        <v>11660</v>
      </c>
      <c r="B1144" s="10" t="s">
        <v>11661</v>
      </c>
      <c r="C1144" s="10" t="s">
        <v>43</v>
      </c>
      <c r="D1144" s="10" t="s">
        <v>10258</v>
      </c>
      <c r="E1144" s="10" t="s">
        <v>45</v>
      </c>
      <c r="F1144" s="11">
        <v>2.0</v>
      </c>
      <c r="G1144" s="11">
        <v>87.4</v>
      </c>
      <c r="H1144" s="11">
        <v>6.41</v>
      </c>
      <c r="I1144" s="11">
        <v>-26.86</v>
      </c>
      <c r="J1144" s="11">
        <v>-6.41</v>
      </c>
      <c r="K1144" s="11"/>
      <c r="L1144" s="11">
        <v>65.78</v>
      </c>
      <c r="M1144" s="10" t="s">
        <v>46</v>
      </c>
      <c r="N1144" s="10" t="s">
        <v>50</v>
      </c>
      <c r="O1144" s="10" t="s">
        <v>176</v>
      </c>
      <c r="P1144" s="10" t="s">
        <v>177</v>
      </c>
      <c r="Q1144" s="10" t="s">
        <v>178</v>
      </c>
      <c r="R1144" s="10" t="s">
        <v>74</v>
      </c>
      <c r="S1144" s="11">
        <v>43.7</v>
      </c>
      <c r="T1144" s="11">
        <f>2*22.58</f>
        <v>45.16</v>
      </c>
      <c r="U1144" s="11" t="s">
        <v>51</v>
      </c>
      <c r="V1144" s="10" t="s">
        <v>52</v>
      </c>
      <c r="W1144" s="10" t="s">
        <v>11662</v>
      </c>
      <c r="X1144" s="10" t="s">
        <v>11663</v>
      </c>
      <c r="Y1144" s="10" t="s">
        <v>11664</v>
      </c>
      <c r="Z1144" s="10" t="s">
        <v>50</v>
      </c>
      <c r="AA1144" s="10" t="s">
        <v>50</v>
      </c>
      <c r="AB1144" s="10" t="s">
        <v>11662</v>
      </c>
      <c r="AC1144" s="10" t="s">
        <v>11665</v>
      </c>
      <c r="AD1144" s="10" t="s">
        <v>11666</v>
      </c>
      <c r="AE1144" s="10" t="s">
        <v>11667</v>
      </c>
      <c r="AF1144" s="10" t="s">
        <v>323</v>
      </c>
      <c r="AG1144" s="10" t="s">
        <v>11668</v>
      </c>
      <c r="AH1144" s="10" t="s">
        <v>60</v>
      </c>
      <c r="AI1144" s="10" t="s">
        <v>61</v>
      </c>
      <c r="AJ1144" s="10" t="s">
        <v>11580</v>
      </c>
      <c r="AK1144" s="10" t="s">
        <v>10267</v>
      </c>
      <c r="AL1144" s="10" t="s">
        <v>64</v>
      </c>
      <c r="AM1144" s="10" t="s">
        <v>11669</v>
      </c>
      <c r="AN1144" s="10" t="s">
        <v>50</v>
      </c>
      <c r="AO1144" s="11" t="s">
        <v>50</v>
      </c>
      <c r="AP1144" s="10" t="s">
        <v>50</v>
      </c>
      <c r="AQ1144" s="10" t="s">
        <v>50</v>
      </c>
      <c r="AR1144" s="10" t="s">
        <v>50</v>
      </c>
      <c r="AS1144" s="10" t="s">
        <v>50</v>
      </c>
      <c r="AT1144" s="10" t="s">
        <v>50</v>
      </c>
      <c r="AU1144" s="10" t="s">
        <v>50</v>
      </c>
      <c r="AV1144" s="11"/>
      <c r="AW1144" s="10" t="s">
        <v>66</v>
      </c>
      <c r="AX1144" s="10"/>
      <c r="AY1144" s="10" t="s">
        <v>66</v>
      </c>
    </row>
    <row r="1145" ht="22.5" hidden="1" customHeight="1">
      <c r="A1145" s="9" t="s">
        <v>11670</v>
      </c>
      <c r="B1145" s="10" t="s">
        <v>11671</v>
      </c>
      <c r="C1145" s="10" t="s">
        <v>43</v>
      </c>
      <c r="D1145" s="10" t="s">
        <v>11161</v>
      </c>
      <c r="E1145" s="10" t="s">
        <v>66</v>
      </c>
      <c r="F1145" s="11">
        <v>1.0</v>
      </c>
      <c r="G1145" s="11">
        <v>43.7</v>
      </c>
      <c r="H1145" s="11">
        <v>11.11</v>
      </c>
      <c r="I1145" s="11">
        <v>-13.43</v>
      </c>
      <c r="J1145" s="11">
        <v>-11.11</v>
      </c>
      <c r="K1145" s="11"/>
      <c r="L1145" s="11">
        <v>32.89</v>
      </c>
      <c r="M1145" s="10" t="s">
        <v>46</v>
      </c>
      <c r="N1145" s="10" t="s">
        <v>50</v>
      </c>
      <c r="O1145" s="10" t="s">
        <v>176</v>
      </c>
      <c r="P1145" s="10" t="s">
        <v>177</v>
      </c>
      <c r="Q1145" s="10" t="s">
        <v>178</v>
      </c>
      <c r="R1145" s="10" t="s">
        <v>74</v>
      </c>
      <c r="S1145" s="11">
        <v>43.7</v>
      </c>
      <c r="T1145" s="11">
        <v>22.58</v>
      </c>
      <c r="U1145" s="11" t="s">
        <v>51</v>
      </c>
      <c r="V1145" s="10" t="s">
        <v>52</v>
      </c>
      <c r="W1145" s="10" t="s">
        <v>11672</v>
      </c>
      <c r="X1145" s="10" t="s">
        <v>11673</v>
      </c>
      <c r="Y1145" s="10" t="s">
        <v>11674</v>
      </c>
      <c r="Z1145" s="10" t="s">
        <v>50</v>
      </c>
      <c r="AA1145" s="10" t="s">
        <v>50</v>
      </c>
      <c r="AB1145" s="10" t="s">
        <v>11672</v>
      </c>
      <c r="AC1145" s="10" t="s">
        <v>11675</v>
      </c>
      <c r="AD1145" s="10" t="s">
        <v>11676</v>
      </c>
      <c r="AE1145" s="10" t="s">
        <v>11677</v>
      </c>
      <c r="AF1145" s="10" t="s">
        <v>58</v>
      </c>
      <c r="AG1145" s="10" t="s">
        <v>11678</v>
      </c>
      <c r="AH1145" s="10" t="s">
        <v>60</v>
      </c>
      <c r="AI1145" s="10" t="s">
        <v>61</v>
      </c>
      <c r="AJ1145" s="10" t="s">
        <v>11404</v>
      </c>
      <c r="AK1145" s="10" t="s">
        <v>11679</v>
      </c>
      <c r="AL1145" s="10" t="s">
        <v>64</v>
      </c>
      <c r="AM1145" s="10" t="s">
        <v>11680</v>
      </c>
      <c r="AN1145" s="10" t="s">
        <v>50</v>
      </c>
      <c r="AO1145" s="11" t="s">
        <v>50</v>
      </c>
      <c r="AP1145" s="10" t="s">
        <v>50</v>
      </c>
      <c r="AQ1145" s="10" t="s">
        <v>50</v>
      </c>
      <c r="AR1145" s="10" t="s">
        <v>50</v>
      </c>
      <c r="AS1145" s="10" t="s">
        <v>50</v>
      </c>
      <c r="AT1145" s="10" t="s">
        <v>50</v>
      </c>
      <c r="AU1145" s="10" t="s">
        <v>50</v>
      </c>
      <c r="AV1145" s="11"/>
      <c r="AW1145" s="10" t="s">
        <v>66</v>
      </c>
      <c r="AX1145" s="10"/>
      <c r="AY1145" s="10" t="s">
        <v>66</v>
      </c>
    </row>
    <row r="1146" ht="22.5" hidden="1" customHeight="1">
      <c r="A1146" s="9" t="s">
        <v>11681</v>
      </c>
      <c r="B1146" s="10" t="s">
        <v>11682</v>
      </c>
      <c r="C1146" s="10" t="s">
        <v>43</v>
      </c>
      <c r="D1146" s="10" t="s">
        <v>10258</v>
      </c>
      <c r="E1146" s="10" t="s">
        <v>66</v>
      </c>
      <c r="F1146" s="11">
        <v>1.0</v>
      </c>
      <c r="G1146" s="11">
        <v>79.0</v>
      </c>
      <c r="H1146" s="11"/>
      <c r="I1146" s="11">
        <v>-13.43</v>
      </c>
      <c r="J1146" s="11">
        <v>-22.95</v>
      </c>
      <c r="K1146" s="11"/>
      <c r="L1146" s="11">
        <v>42.62</v>
      </c>
      <c r="M1146" s="10" t="s">
        <v>46</v>
      </c>
      <c r="N1146" s="10" t="s">
        <v>45</v>
      </c>
      <c r="O1146" s="10" t="s">
        <v>11683</v>
      </c>
      <c r="P1146" s="10" t="s">
        <v>11684</v>
      </c>
      <c r="Q1146" s="10" t="s">
        <v>11685</v>
      </c>
      <c r="R1146" s="10" t="s">
        <v>74</v>
      </c>
      <c r="S1146" s="11">
        <v>79.0</v>
      </c>
      <c r="T1146" s="11">
        <v>13.62</v>
      </c>
      <c r="U1146" s="11" t="s">
        <v>51</v>
      </c>
      <c r="V1146" s="10" t="s">
        <v>52</v>
      </c>
      <c r="W1146" s="10" t="s">
        <v>11686</v>
      </c>
      <c r="X1146" s="10" t="s">
        <v>11687</v>
      </c>
      <c r="Y1146" s="10" t="s">
        <v>11688</v>
      </c>
      <c r="Z1146" s="10" t="s">
        <v>50</v>
      </c>
      <c r="AA1146" s="10" t="s">
        <v>50</v>
      </c>
      <c r="AB1146" s="10" t="s">
        <v>11686</v>
      </c>
      <c r="AC1146" s="10" t="s">
        <v>11689</v>
      </c>
      <c r="AD1146" s="10" t="s">
        <v>11690</v>
      </c>
      <c r="AE1146" s="10" t="s">
        <v>11691</v>
      </c>
      <c r="AF1146" s="10" t="s">
        <v>284</v>
      </c>
      <c r="AG1146" s="10" t="s">
        <v>11692</v>
      </c>
      <c r="AH1146" s="10" t="s">
        <v>60</v>
      </c>
      <c r="AI1146" s="10" t="s">
        <v>61</v>
      </c>
      <c r="AJ1146" s="10" t="s">
        <v>11205</v>
      </c>
      <c r="AK1146" s="10" t="s">
        <v>11693</v>
      </c>
      <c r="AL1146" s="10" t="s">
        <v>64</v>
      </c>
      <c r="AM1146" s="10" t="s">
        <v>11694</v>
      </c>
      <c r="AN1146" s="10" t="s">
        <v>50</v>
      </c>
      <c r="AO1146" s="11" t="s">
        <v>50</v>
      </c>
      <c r="AP1146" s="10" t="s">
        <v>50</v>
      </c>
      <c r="AQ1146" s="10" t="s">
        <v>50</v>
      </c>
      <c r="AR1146" s="10" t="s">
        <v>50</v>
      </c>
      <c r="AS1146" s="10" t="s">
        <v>50</v>
      </c>
      <c r="AT1146" s="10" t="s">
        <v>50</v>
      </c>
      <c r="AU1146" s="10" t="s">
        <v>50</v>
      </c>
      <c r="AV1146" s="11"/>
      <c r="AW1146" s="10" t="s">
        <v>66</v>
      </c>
      <c r="AX1146" s="10"/>
      <c r="AY1146" s="10" t="s">
        <v>66</v>
      </c>
    </row>
    <row r="1147" ht="22.5" hidden="1" customHeight="1">
      <c r="A1147" s="9" t="s">
        <v>11695</v>
      </c>
      <c r="B1147" s="10" t="s">
        <v>11696</v>
      </c>
      <c r="C1147" s="10" t="s">
        <v>43</v>
      </c>
      <c r="D1147" s="10" t="s">
        <v>10258</v>
      </c>
      <c r="E1147" s="10" t="s">
        <v>66</v>
      </c>
      <c r="F1147" s="11">
        <v>1.0</v>
      </c>
      <c r="G1147" s="11">
        <v>120.0</v>
      </c>
      <c r="H1147" s="11"/>
      <c r="I1147" s="11">
        <v>-20.4</v>
      </c>
      <c r="J1147" s="11">
        <v>-19.95</v>
      </c>
      <c r="K1147" s="11"/>
      <c r="L1147" s="11">
        <v>86.85</v>
      </c>
      <c r="M1147" s="10" t="s">
        <v>46</v>
      </c>
      <c r="N1147" s="10" t="s">
        <v>50</v>
      </c>
      <c r="O1147" s="10" t="s">
        <v>85</v>
      </c>
      <c r="P1147" s="10" t="s">
        <v>86</v>
      </c>
      <c r="Q1147" s="10" t="s">
        <v>87</v>
      </c>
      <c r="R1147" s="10" t="s">
        <v>74</v>
      </c>
      <c r="S1147" s="11">
        <v>120.0</v>
      </c>
      <c r="T1147" s="11">
        <v>65.78</v>
      </c>
      <c r="U1147" s="11" t="s">
        <v>51</v>
      </c>
      <c r="V1147" s="10" t="s">
        <v>52</v>
      </c>
      <c r="W1147" s="10" t="s">
        <v>11697</v>
      </c>
      <c r="X1147" s="10" t="s">
        <v>11698</v>
      </c>
      <c r="Y1147" s="10" t="s">
        <v>11699</v>
      </c>
      <c r="Z1147" s="10" t="s">
        <v>50</v>
      </c>
      <c r="AA1147" s="10" t="s">
        <v>50</v>
      </c>
      <c r="AB1147" s="10" t="s">
        <v>11697</v>
      </c>
      <c r="AC1147" s="10" t="s">
        <v>11700</v>
      </c>
      <c r="AD1147" s="10" t="s">
        <v>11701</v>
      </c>
      <c r="AE1147" s="10" t="s">
        <v>11702</v>
      </c>
      <c r="AF1147" s="10" t="s">
        <v>185</v>
      </c>
      <c r="AG1147" s="10" t="s">
        <v>11703</v>
      </c>
      <c r="AH1147" s="10" t="s">
        <v>60</v>
      </c>
      <c r="AI1147" s="10" t="s">
        <v>61</v>
      </c>
      <c r="AJ1147" s="10" t="s">
        <v>11458</v>
      </c>
      <c r="AK1147" s="10" t="s">
        <v>11704</v>
      </c>
      <c r="AL1147" s="10" t="s">
        <v>64</v>
      </c>
      <c r="AM1147" s="10" t="s">
        <v>11705</v>
      </c>
      <c r="AN1147" s="10" t="s">
        <v>50</v>
      </c>
      <c r="AO1147" s="11" t="s">
        <v>50</v>
      </c>
      <c r="AP1147" s="10" t="s">
        <v>50</v>
      </c>
      <c r="AQ1147" s="10" t="s">
        <v>50</v>
      </c>
      <c r="AR1147" s="10" t="s">
        <v>50</v>
      </c>
      <c r="AS1147" s="10" t="s">
        <v>50</v>
      </c>
      <c r="AT1147" s="10" t="s">
        <v>50</v>
      </c>
      <c r="AU1147" s="10" t="s">
        <v>50</v>
      </c>
      <c r="AV1147" s="11"/>
      <c r="AW1147" s="10" t="s">
        <v>66</v>
      </c>
      <c r="AX1147" s="10"/>
      <c r="AY1147" s="10" t="s">
        <v>66</v>
      </c>
    </row>
    <row r="1148" ht="22.5" hidden="1" customHeight="1">
      <c r="A1148" s="9" t="s">
        <v>11706</v>
      </c>
      <c r="B1148" s="10" t="s">
        <v>11707</v>
      </c>
      <c r="C1148" s="10" t="s">
        <v>43</v>
      </c>
      <c r="D1148" s="10" t="s">
        <v>10258</v>
      </c>
      <c r="E1148" s="10" t="s">
        <v>66</v>
      </c>
      <c r="F1148" s="11">
        <v>1.0</v>
      </c>
      <c r="G1148" s="11">
        <v>79.35</v>
      </c>
      <c r="H1148" s="11"/>
      <c r="I1148" s="11">
        <v>-15.08</v>
      </c>
      <c r="J1148" s="11">
        <v>-19.95</v>
      </c>
      <c r="K1148" s="11"/>
      <c r="L1148" s="11">
        <v>44.32</v>
      </c>
      <c r="M1148" s="10" t="s">
        <v>46</v>
      </c>
      <c r="N1148" s="10" t="s">
        <v>45</v>
      </c>
      <c r="O1148" s="10" t="s">
        <v>47</v>
      </c>
      <c r="P1148" s="10" t="s">
        <v>48</v>
      </c>
      <c r="Q1148" s="10" t="s">
        <v>49</v>
      </c>
      <c r="R1148" s="10" t="s">
        <v>50</v>
      </c>
      <c r="S1148" s="11">
        <v>79.35</v>
      </c>
      <c r="T1148" s="11">
        <v>12.45</v>
      </c>
      <c r="U1148" s="11" t="s">
        <v>51</v>
      </c>
      <c r="V1148" s="10" t="s">
        <v>52</v>
      </c>
      <c r="W1148" s="10" t="s">
        <v>11708</v>
      </c>
      <c r="X1148" s="10" t="s">
        <v>11709</v>
      </c>
      <c r="Y1148" s="10" t="s">
        <v>11710</v>
      </c>
      <c r="Z1148" s="10" t="s">
        <v>50</v>
      </c>
      <c r="AA1148" s="10" t="s">
        <v>50</v>
      </c>
      <c r="AB1148" s="10" t="s">
        <v>11708</v>
      </c>
      <c r="AC1148" s="10" t="s">
        <v>11711</v>
      </c>
      <c r="AD1148" s="10" t="s">
        <v>11712</v>
      </c>
      <c r="AE1148" s="10" t="s">
        <v>1346</v>
      </c>
      <c r="AF1148" s="10" t="s">
        <v>1347</v>
      </c>
      <c r="AG1148" s="10" t="s">
        <v>11713</v>
      </c>
      <c r="AH1148" s="10" t="s">
        <v>60</v>
      </c>
      <c r="AI1148" s="10" t="s">
        <v>61</v>
      </c>
      <c r="AJ1148" s="10" t="s">
        <v>11469</v>
      </c>
      <c r="AK1148" s="10" t="s">
        <v>11714</v>
      </c>
      <c r="AL1148" s="10" t="s">
        <v>64</v>
      </c>
      <c r="AM1148" s="10" t="s">
        <v>11715</v>
      </c>
      <c r="AN1148" s="10" t="s">
        <v>50</v>
      </c>
      <c r="AO1148" s="11" t="s">
        <v>50</v>
      </c>
      <c r="AP1148" s="10" t="s">
        <v>50</v>
      </c>
      <c r="AQ1148" s="10" t="s">
        <v>50</v>
      </c>
      <c r="AR1148" s="10" t="s">
        <v>50</v>
      </c>
      <c r="AS1148" s="10" t="s">
        <v>50</v>
      </c>
      <c r="AT1148" s="10" t="s">
        <v>50</v>
      </c>
      <c r="AU1148" s="10" t="s">
        <v>50</v>
      </c>
      <c r="AV1148" s="11"/>
      <c r="AW1148" s="10" t="s">
        <v>66</v>
      </c>
      <c r="AX1148" s="10"/>
      <c r="AY1148" s="10" t="s">
        <v>66</v>
      </c>
    </row>
    <row r="1149" ht="22.5" hidden="1" customHeight="1">
      <c r="A1149" s="12" t="s">
        <v>11716</v>
      </c>
      <c r="B1149" s="13" t="s">
        <v>11717</v>
      </c>
      <c r="C1149" s="13" t="s">
        <v>747</v>
      </c>
      <c r="D1149" s="13" t="s">
        <v>50</v>
      </c>
      <c r="E1149" s="13" t="s">
        <v>50</v>
      </c>
      <c r="F1149" s="14"/>
      <c r="G1149" s="14">
        <v>160.25</v>
      </c>
      <c r="H1149" s="14"/>
      <c r="I1149" s="14">
        <v>-27.24</v>
      </c>
      <c r="J1149" s="14">
        <v>-39.9</v>
      </c>
      <c r="K1149" s="14"/>
      <c r="L1149" s="14">
        <v>93.11</v>
      </c>
      <c r="M1149" s="13" t="s">
        <v>46</v>
      </c>
      <c r="N1149" s="13" t="s">
        <v>50</v>
      </c>
      <c r="O1149" s="13" t="s">
        <v>50</v>
      </c>
      <c r="P1149" s="13" t="s">
        <v>50</v>
      </c>
      <c r="Q1149" s="13" t="s">
        <v>50</v>
      </c>
      <c r="R1149" s="13" t="s">
        <v>50</v>
      </c>
      <c r="S1149" s="14"/>
      <c r="T1149" s="14"/>
      <c r="U1149" s="14" t="s">
        <v>50</v>
      </c>
      <c r="V1149" s="13" t="s">
        <v>52</v>
      </c>
      <c r="W1149" s="13" t="s">
        <v>11718</v>
      </c>
      <c r="X1149" s="13" t="s">
        <v>11719</v>
      </c>
      <c r="Y1149" s="13" t="s">
        <v>11720</v>
      </c>
      <c r="Z1149" s="13" t="s">
        <v>50</v>
      </c>
      <c r="AA1149" s="13" t="s">
        <v>50</v>
      </c>
      <c r="AB1149" s="13" t="s">
        <v>11718</v>
      </c>
      <c r="AC1149" s="13" t="s">
        <v>11721</v>
      </c>
      <c r="AD1149" s="13" t="s">
        <v>11722</v>
      </c>
      <c r="AE1149" s="13" t="s">
        <v>7470</v>
      </c>
      <c r="AF1149" s="13" t="s">
        <v>151</v>
      </c>
      <c r="AG1149" s="13" t="s">
        <v>11723</v>
      </c>
      <c r="AH1149" s="13" t="s">
        <v>60</v>
      </c>
      <c r="AI1149" s="13" t="s">
        <v>61</v>
      </c>
      <c r="AJ1149" s="13" t="s">
        <v>11724</v>
      </c>
      <c r="AK1149" s="13" t="s">
        <v>11725</v>
      </c>
      <c r="AL1149" s="13" t="s">
        <v>64</v>
      </c>
      <c r="AM1149" s="13" t="s">
        <v>11726</v>
      </c>
      <c r="AN1149" s="13" t="s">
        <v>50</v>
      </c>
      <c r="AO1149" s="15" t="s">
        <v>50</v>
      </c>
      <c r="AP1149" s="13" t="s">
        <v>50</v>
      </c>
      <c r="AQ1149" s="13" t="s">
        <v>50</v>
      </c>
      <c r="AR1149" s="13" t="s">
        <v>50</v>
      </c>
      <c r="AS1149" s="13" t="s">
        <v>50</v>
      </c>
      <c r="AT1149" s="13" t="s">
        <v>50</v>
      </c>
      <c r="AU1149" s="13" t="s">
        <v>50</v>
      </c>
      <c r="AV1149" s="15"/>
      <c r="AW1149" s="13" t="s">
        <v>50</v>
      </c>
      <c r="AX1149" s="13"/>
      <c r="AY1149" s="13" t="s">
        <v>50</v>
      </c>
    </row>
    <row r="1150" ht="22.5" hidden="1" customHeight="1">
      <c r="A1150" s="16" t="s">
        <v>11727</v>
      </c>
      <c r="B1150" s="17" t="s">
        <v>11717</v>
      </c>
      <c r="C1150" s="17" t="s">
        <v>43</v>
      </c>
      <c r="D1150" s="17" t="s">
        <v>9839</v>
      </c>
      <c r="E1150" s="17" t="s">
        <v>45</v>
      </c>
      <c r="F1150" s="18">
        <v>1.0</v>
      </c>
      <c r="G1150" s="18"/>
      <c r="H1150" s="18"/>
      <c r="I1150" s="18"/>
      <c r="J1150" s="18"/>
      <c r="K1150" s="18"/>
      <c r="L1150" s="18"/>
      <c r="M1150" s="17" t="s">
        <v>50</v>
      </c>
      <c r="N1150" s="17" t="s">
        <v>45</v>
      </c>
      <c r="O1150" s="17" t="s">
        <v>11728</v>
      </c>
      <c r="P1150" s="17" t="s">
        <v>11729</v>
      </c>
      <c r="Q1150" s="17" t="s">
        <v>11730</v>
      </c>
      <c r="R1150" s="17" t="s">
        <v>74</v>
      </c>
      <c r="S1150" s="18">
        <v>79.0</v>
      </c>
      <c r="T1150" s="18">
        <v>7.11</v>
      </c>
      <c r="U1150" s="18" t="s">
        <v>51</v>
      </c>
      <c r="V1150" s="17" t="s">
        <v>50</v>
      </c>
      <c r="W1150" s="17" t="s">
        <v>50</v>
      </c>
      <c r="X1150" s="17" t="s">
        <v>50</v>
      </c>
      <c r="Y1150" s="17" t="s">
        <v>50</v>
      </c>
      <c r="Z1150" s="17" t="s">
        <v>50</v>
      </c>
      <c r="AA1150" s="17" t="s">
        <v>50</v>
      </c>
      <c r="AB1150" s="17" t="s">
        <v>50</v>
      </c>
      <c r="AC1150" s="17" t="s">
        <v>50</v>
      </c>
      <c r="AD1150" s="17" t="s">
        <v>50</v>
      </c>
      <c r="AE1150" s="17" t="s">
        <v>50</v>
      </c>
      <c r="AF1150" s="17" t="s">
        <v>50</v>
      </c>
      <c r="AG1150" s="17" t="s">
        <v>50</v>
      </c>
      <c r="AH1150" s="17" t="s">
        <v>50</v>
      </c>
      <c r="AI1150" s="17" t="s">
        <v>50</v>
      </c>
      <c r="AJ1150" s="17" t="s">
        <v>50</v>
      </c>
      <c r="AK1150" s="17" t="s">
        <v>50</v>
      </c>
      <c r="AL1150" s="17" t="s">
        <v>50</v>
      </c>
      <c r="AM1150" s="17" t="s">
        <v>50</v>
      </c>
      <c r="AN1150" s="17" t="s">
        <v>50</v>
      </c>
      <c r="AO1150" s="18" t="s">
        <v>50</v>
      </c>
      <c r="AP1150" s="17" t="s">
        <v>50</v>
      </c>
      <c r="AQ1150" s="17" t="s">
        <v>50</v>
      </c>
      <c r="AR1150" s="17" t="s">
        <v>50</v>
      </c>
      <c r="AS1150" s="17" t="s">
        <v>50</v>
      </c>
      <c r="AT1150" s="17" t="s">
        <v>50</v>
      </c>
      <c r="AU1150" s="17" t="s">
        <v>50</v>
      </c>
      <c r="AV1150" s="18"/>
      <c r="AW1150" s="17" t="s">
        <v>66</v>
      </c>
      <c r="AX1150" s="17"/>
      <c r="AY1150" s="17" t="s">
        <v>66</v>
      </c>
    </row>
    <row r="1151" ht="22.5" hidden="1" customHeight="1">
      <c r="A1151" s="16" t="s">
        <v>11731</v>
      </c>
      <c r="B1151" s="17" t="s">
        <v>11717</v>
      </c>
      <c r="C1151" s="17" t="s">
        <v>43</v>
      </c>
      <c r="D1151" s="17" t="s">
        <v>9839</v>
      </c>
      <c r="E1151" s="17" t="s">
        <v>45</v>
      </c>
      <c r="F1151" s="18">
        <v>1.0</v>
      </c>
      <c r="G1151" s="18"/>
      <c r="H1151" s="18"/>
      <c r="I1151" s="18"/>
      <c r="J1151" s="18"/>
      <c r="K1151" s="18"/>
      <c r="L1151" s="18"/>
      <c r="M1151" s="17" t="s">
        <v>50</v>
      </c>
      <c r="N1151" s="17" t="s">
        <v>45</v>
      </c>
      <c r="O1151" s="17" t="s">
        <v>920</v>
      </c>
      <c r="P1151" s="17" t="s">
        <v>921</v>
      </c>
      <c r="Q1151" s="17" t="s">
        <v>922</v>
      </c>
      <c r="R1151" s="17" t="s">
        <v>74</v>
      </c>
      <c r="S1151" s="18">
        <v>81.25</v>
      </c>
      <c r="T1151" s="18">
        <v>26.22</v>
      </c>
      <c r="U1151" s="18" t="s">
        <v>51</v>
      </c>
      <c r="V1151" s="17" t="s">
        <v>50</v>
      </c>
      <c r="W1151" s="17" t="s">
        <v>50</v>
      </c>
      <c r="X1151" s="17" t="s">
        <v>50</v>
      </c>
      <c r="Y1151" s="17" t="s">
        <v>50</v>
      </c>
      <c r="Z1151" s="17" t="s">
        <v>50</v>
      </c>
      <c r="AA1151" s="17" t="s">
        <v>50</v>
      </c>
      <c r="AB1151" s="17" t="s">
        <v>50</v>
      </c>
      <c r="AC1151" s="17" t="s">
        <v>50</v>
      </c>
      <c r="AD1151" s="17" t="s">
        <v>50</v>
      </c>
      <c r="AE1151" s="17" t="s">
        <v>50</v>
      </c>
      <c r="AF1151" s="17" t="s">
        <v>50</v>
      </c>
      <c r="AG1151" s="17" t="s">
        <v>50</v>
      </c>
      <c r="AH1151" s="17" t="s">
        <v>50</v>
      </c>
      <c r="AI1151" s="17" t="s">
        <v>50</v>
      </c>
      <c r="AJ1151" s="17" t="s">
        <v>50</v>
      </c>
      <c r="AK1151" s="17" t="s">
        <v>50</v>
      </c>
      <c r="AL1151" s="17" t="s">
        <v>50</v>
      </c>
      <c r="AM1151" s="17" t="s">
        <v>50</v>
      </c>
      <c r="AN1151" s="17" t="s">
        <v>50</v>
      </c>
      <c r="AO1151" s="18" t="s">
        <v>50</v>
      </c>
      <c r="AP1151" s="17" t="s">
        <v>50</v>
      </c>
      <c r="AQ1151" s="17" t="s">
        <v>50</v>
      </c>
      <c r="AR1151" s="17" t="s">
        <v>50</v>
      </c>
      <c r="AS1151" s="17" t="s">
        <v>50</v>
      </c>
      <c r="AT1151" s="17" t="s">
        <v>50</v>
      </c>
      <c r="AU1151" s="17" t="s">
        <v>50</v>
      </c>
      <c r="AV1151" s="18"/>
      <c r="AW1151" s="17" t="s">
        <v>66</v>
      </c>
      <c r="AX1151" s="17"/>
      <c r="AY1151" s="17" t="s">
        <v>66</v>
      </c>
    </row>
    <row r="1152" ht="22.5" hidden="1" customHeight="1">
      <c r="A1152" s="9" t="s">
        <v>11732</v>
      </c>
      <c r="B1152" s="10" t="s">
        <v>11733</v>
      </c>
      <c r="C1152" s="10" t="s">
        <v>43</v>
      </c>
      <c r="D1152" s="10" t="s">
        <v>11161</v>
      </c>
      <c r="E1152" s="10" t="s">
        <v>45</v>
      </c>
      <c r="F1152" s="11">
        <v>3.0</v>
      </c>
      <c r="G1152" s="11">
        <v>241.8</v>
      </c>
      <c r="H1152" s="11"/>
      <c r="I1152" s="11">
        <v>-41.1</v>
      </c>
      <c r="J1152" s="11">
        <v>-61.35</v>
      </c>
      <c r="K1152" s="11"/>
      <c r="L1152" s="11">
        <v>139.35</v>
      </c>
      <c r="M1152" s="10" t="s">
        <v>46</v>
      </c>
      <c r="N1152" s="10" t="s">
        <v>45</v>
      </c>
      <c r="O1152" s="10" t="s">
        <v>265</v>
      </c>
      <c r="P1152" s="10" t="s">
        <v>266</v>
      </c>
      <c r="Q1152" s="10" t="s">
        <v>267</v>
      </c>
      <c r="R1152" s="10" t="s">
        <v>74</v>
      </c>
      <c r="S1152" s="11">
        <v>80.6</v>
      </c>
      <c r="T1152" s="11">
        <v>26.22</v>
      </c>
      <c r="U1152" s="11" t="s">
        <v>51</v>
      </c>
      <c r="V1152" s="10" t="s">
        <v>52</v>
      </c>
      <c r="W1152" s="10" t="s">
        <v>11734</v>
      </c>
      <c r="X1152" s="10" t="s">
        <v>11735</v>
      </c>
      <c r="Y1152" s="10" t="s">
        <v>11736</v>
      </c>
      <c r="Z1152" s="10" t="s">
        <v>50</v>
      </c>
      <c r="AA1152" s="10" t="s">
        <v>50</v>
      </c>
      <c r="AB1152" s="10" t="s">
        <v>11734</v>
      </c>
      <c r="AC1152" s="10" t="s">
        <v>11737</v>
      </c>
      <c r="AD1152" s="10" t="s">
        <v>11738</v>
      </c>
      <c r="AE1152" s="10" t="s">
        <v>1346</v>
      </c>
      <c r="AF1152" s="10" t="s">
        <v>1347</v>
      </c>
      <c r="AG1152" s="10" t="s">
        <v>11739</v>
      </c>
      <c r="AH1152" s="10" t="s">
        <v>60</v>
      </c>
      <c r="AI1152" s="10" t="s">
        <v>61</v>
      </c>
      <c r="AJ1152" s="10" t="s">
        <v>11183</v>
      </c>
      <c r="AK1152" s="10" t="s">
        <v>11740</v>
      </c>
      <c r="AL1152" s="10" t="s">
        <v>64</v>
      </c>
      <c r="AM1152" s="10" t="s">
        <v>11741</v>
      </c>
      <c r="AN1152" s="10" t="s">
        <v>50</v>
      </c>
      <c r="AO1152" s="11" t="s">
        <v>50</v>
      </c>
      <c r="AP1152" s="10" t="s">
        <v>50</v>
      </c>
      <c r="AQ1152" s="10" t="s">
        <v>50</v>
      </c>
      <c r="AR1152" s="10" t="s">
        <v>50</v>
      </c>
      <c r="AS1152" s="10" t="s">
        <v>50</v>
      </c>
      <c r="AT1152" s="10" t="s">
        <v>50</v>
      </c>
      <c r="AU1152" s="10" t="s">
        <v>50</v>
      </c>
      <c r="AV1152" s="11"/>
      <c r="AW1152" s="10" t="s">
        <v>66</v>
      </c>
      <c r="AX1152" s="10"/>
      <c r="AY1152" s="10" t="s">
        <v>66</v>
      </c>
    </row>
    <row r="1153" ht="22.5" hidden="1" customHeight="1">
      <c r="A1153" s="9" t="s">
        <v>11742</v>
      </c>
      <c r="B1153" s="10" t="s">
        <v>11743</v>
      </c>
      <c r="C1153" s="10" t="s">
        <v>43</v>
      </c>
      <c r="D1153" s="10" t="s">
        <v>10258</v>
      </c>
      <c r="E1153" s="10" t="s">
        <v>66</v>
      </c>
      <c r="F1153" s="11">
        <v>1.0</v>
      </c>
      <c r="G1153" s="11">
        <v>80.6</v>
      </c>
      <c r="H1153" s="11"/>
      <c r="I1153" s="11">
        <v>-13.7</v>
      </c>
      <c r="J1153" s="11">
        <v>-20.45</v>
      </c>
      <c r="K1153" s="11"/>
      <c r="L1153" s="11">
        <v>46.45</v>
      </c>
      <c r="M1153" s="10" t="s">
        <v>46</v>
      </c>
      <c r="N1153" s="10" t="s">
        <v>50</v>
      </c>
      <c r="O1153" s="10" t="s">
        <v>265</v>
      </c>
      <c r="P1153" s="10" t="s">
        <v>266</v>
      </c>
      <c r="Q1153" s="10" t="s">
        <v>267</v>
      </c>
      <c r="R1153" s="10" t="s">
        <v>74</v>
      </c>
      <c r="S1153" s="11">
        <v>80.6</v>
      </c>
      <c r="T1153" s="11">
        <v>26.22</v>
      </c>
      <c r="U1153" s="11" t="s">
        <v>51</v>
      </c>
      <c r="V1153" s="10" t="s">
        <v>52</v>
      </c>
      <c r="W1153" s="10" t="s">
        <v>11744</v>
      </c>
      <c r="X1153" s="10" t="s">
        <v>11745</v>
      </c>
      <c r="Y1153" s="10" t="s">
        <v>11746</v>
      </c>
      <c r="Z1153" s="10" t="s">
        <v>50</v>
      </c>
      <c r="AA1153" s="10" t="s">
        <v>50</v>
      </c>
      <c r="AB1153" s="10" t="s">
        <v>11744</v>
      </c>
      <c r="AC1153" s="10" t="s">
        <v>11747</v>
      </c>
      <c r="AD1153" s="10" t="s">
        <v>11748</v>
      </c>
      <c r="AE1153" s="10" t="s">
        <v>4621</v>
      </c>
      <c r="AF1153" s="10" t="s">
        <v>214</v>
      </c>
      <c r="AG1153" s="10" t="s">
        <v>11749</v>
      </c>
      <c r="AH1153" s="10" t="s">
        <v>60</v>
      </c>
      <c r="AI1153" s="10" t="s">
        <v>61</v>
      </c>
      <c r="AJ1153" s="10" t="s">
        <v>11205</v>
      </c>
      <c r="AK1153" s="10" t="s">
        <v>11750</v>
      </c>
      <c r="AL1153" s="10" t="s">
        <v>64</v>
      </c>
      <c r="AM1153" s="10" t="s">
        <v>11751</v>
      </c>
      <c r="AN1153" s="10" t="s">
        <v>50</v>
      </c>
      <c r="AO1153" s="11" t="s">
        <v>50</v>
      </c>
      <c r="AP1153" s="10" t="s">
        <v>50</v>
      </c>
      <c r="AQ1153" s="10" t="s">
        <v>50</v>
      </c>
      <c r="AR1153" s="10" t="s">
        <v>50</v>
      </c>
      <c r="AS1153" s="10" t="s">
        <v>50</v>
      </c>
      <c r="AT1153" s="10" t="s">
        <v>50</v>
      </c>
      <c r="AU1153" s="10" t="s">
        <v>50</v>
      </c>
      <c r="AV1153" s="11"/>
      <c r="AW1153" s="10" t="s">
        <v>66</v>
      </c>
      <c r="AX1153" s="10"/>
      <c r="AY1153" s="10" t="s">
        <v>66</v>
      </c>
    </row>
    <row r="1154" ht="22.5" hidden="1" customHeight="1">
      <c r="A1154" s="9" t="s">
        <v>11752</v>
      </c>
      <c r="B1154" s="10" t="s">
        <v>11753</v>
      </c>
      <c r="C1154" s="10" t="s">
        <v>43</v>
      </c>
      <c r="D1154" s="10" t="s">
        <v>11161</v>
      </c>
      <c r="E1154" s="10" t="s">
        <v>66</v>
      </c>
      <c r="F1154" s="11">
        <v>1.0</v>
      </c>
      <c r="G1154" s="11">
        <v>43.7</v>
      </c>
      <c r="H1154" s="11">
        <v>14.63</v>
      </c>
      <c r="I1154" s="11">
        <v>-13.43</v>
      </c>
      <c r="J1154" s="11">
        <v>-14.63</v>
      </c>
      <c r="K1154" s="11"/>
      <c r="L1154" s="11">
        <v>32.89</v>
      </c>
      <c r="M1154" s="10" t="s">
        <v>46</v>
      </c>
      <c r="N1154" s="10" t="s">
        <v>50</v>
      </c>
      <c r="O1154" s="10" t="s">
        <v>176</v>
      </c>
      <c r="P1154" s="10" t="s">
        <v>177</v>
      </c>
      <c r="Q1154" s="10" t="s">
        <v>178</v>
      </c>
      <c r="R1154" s="10" t="s">
        <v>74</v>
      </c>
      <c r="S1154" s="11">
        <v>43.7</v>
      </c>
      <c r="T1154" s="11">
        <v>22.58</v>
      </c>
      <c r="U1154" s="11" t="s">
        <v>51</v>
      </c>
      <c r="V1154" s="10" t="s">
        <v>52</v>
      </c>
      <c r="W1154" s="10" t="s">
        <v>11754</v>
      </c>
      <c r="X1154" s="10" t="s">
        <v>11755</v>
      </c>
      <c r="Y1154" s="10" t="s">
        <v>11756</v>
      </c>
      <c r="Z1154" s="10" t="s">
        <v>50</v>
      </c>
      <c r="AA1154" s="10" t="s">
        <v>50</v>
      </c>
      <c r="AB1154" s="10" t="s">
        <v>11754</v>
      </c>
      <c r="AC1154" s="10" t="s">
        <v>11757</v>
      </c>
      <c r="AD1154" s="10" t="s">
        <v>11758</v>
      </c>
      <c r="AE1154" s="10" t="s">
        <v>7803</v>
      </c>
      <c r="AF1154" s="10" t="s">
        <v>58</v>
      </c>
      <c r="AG1154" s="10" t="s">
        <v>11759</v>
      </c>
      <c r="AH1154" s="10" t="s">
        <v>60</v>
      </c>
      <c r="AI1154" s="10" t="s">
        <v>61</v>
      </c>
      <c r="AJ1154" s="10" t="s">
        <v>11458</v>
      </c>
      <c r="AK1154" s="10" t="s">
        <v>11760</v>
      </c>
      <c r="AL1154" s="10" t="s">
        <v>64</v>
      </c>
      <c r="AM1154" s="10" t="s">
        <v>11761</v>
      </c>
      <c r="AN1154" s="10" t="s">
        <v>50</v>
      </c>
      <c r="AO1154" s="11" t="s">
        <v>50</v>
      </c>
      <c r="AP1154" s="10" t="s">
        <v>50</v>
      </c>
      <c r="AQ1154" s="10" t="s">
        <v>50</v>
      </c>
      <c r="AR1154" s="10" t="s">
        <v>50</v>
      </c>
      <c r="AS1154" s="10" t="s">
        <v>50</v>
      </c>
      <c r="AT1154" s="10" t="s">
        <v>50</v>
      </c>
      <c r="AU1154" s="10" t="s">
        <v>50</v>
      </c>
      <c r="AV1154" s="11"/>
      <c r="AW1154" s="10" t="s">
        <v>66</v>
      </c>
      <c r="AX1154" s="10"/>
      <c r="AY1154" s="10" t="s">
        <v>66</v>
      </c>
    </row>
    <row r="1155" ht="22.5" hidden="1" customHeight="1">
      <c r="A1155" s="9" t="s">
        <v>11762</v>
      </c>
      <c r="B1155" s="10" t="s">
        <v>11763</v>
      </c>
      <c r="C1155" s="10" t="s">
        <v>43</v>
      </c>
      <c r="D1155" s="10" t="s">
        <v>10258</v>
      </c>
      <c r="E1155" s="10" t="s">
        <v>45</v>
      </c>
      <c r="F1155" s="11">
        <v>2.0</v>
      </c>
      <c r="G1155" s="11">
        <v>160.0</v>
      </c>
      <c r="H1155" s="11"/>
      <c r="I1155" s="11">
        <v>-27.2</v>
      </c>
      <c r="J1155" s="11">
        <v>-39.9</v>
      </c>
      <c r="K1155" s="11"/>
      <c r="L1155" s="11">
        <v>100.9</v>
      </c>
      <c r="M1155" s="10" t="s">
        <v>46</v>
      </c>
      <c r="N1155" s="10" t="s">
        <v>50</v>
      </c>
      <c r="O1155" s="10" t="s">
        <v>143</v>
      </c>
      <c r="P1155" s="10" t="s">
        <v>144</v>
      </c>
      <c r="Q1155" s="10" t="s">
        <v>145</v>
      </c>
      <c r="R1155" s="10" t="s">
        <v>74</v>
      </c>
      <c r="S1155" s="11">
        <v>80.0</v>
      </c>
      <c r="T1155" s="11">
        <v>33.38</v>
      </c>
      <c r="U1155" s="11" t="s">
        <v>51</v>
      </c>
      <c r="V1155" s="10" t="s">
        <v>52</v>
      </c>
      <c r="W1155" s="10" t="s">
        <v>11764</v>
      </c>
      <c r="X1155" s="10" t="s">
        <v>11765</v>
      </c>
      <c r="Y1155" s="10" t="s">
        <v>11766</v>
      </c>
      <c r="Z1155" s="10" t="s">
        <v>50</v>
      </c>
      <c r="AA1155" s="10" t="s">
        <v>50</v>
      </c>
      <c r="AB1155" s="10" t="s">
        <v>11764</v>
      </c>
      <c r="AC1155" s="10" t="s">
        <v>11767</v>
      </c>
      <c r="AD1155" s="10" t="s">
        <v>11768</v>
      </c>
      <c r="AE1155" s="10" t="s">
        <v>10264</v>
      </c>
      <c r="AF1155" s="10" t="s">
        <v>214</v>
      </c>
      <c r="AG1155" s="10" t="s">
        <v>11769</v>
      </c>
      <c r="AH1155" s="10" t="s">
        <v>60</v>
      </c>
      <c r="AI1155" s="10" t="s">
        <v>61</v>
      </c>
      <c r="AJ1155" s="10" t="s">
        <v>10266</v>
      </c>
      <c r="AK1155" s="10" t="s">
        <v>11770</v>
      </c>
      <c r="AL1155" s="10" t="s">
        <v>64</v>
      </c>
      <c r="AM1155" s="10" t="s">
        <v>11771</v>
      </c>
      <c r="AN1155" s="10" t="s">
        <v>50</v>
      </c>
      <c r="AO1155" s="11" t="s">
        <v>50</v>
      </c>
      <c r="AP1155" s="10" t="s">
        <v>50</v>
      </c>
      <c r="AQ1155" s="10" t="s">
        <v>50</v>
      </c>
      <c r="AR1155" s="10" t="s">
        <v>50</v>
      </c>
      <c r="AS1155" s="10" t="s">
        <v>50</v>
      </c>
      <c r="AT1155" s="10" t="s">
        <v>50</v>
      </c>
      <c r="AU1155" s="10" t="s">
        <v>50</v>
      </c>
      <c r="AV1155" s="11"/>
      <c r="AW1155" s="10" t="s">
        <v>66</v>
      </c>
      <c r="AX1155" s="10"/>
      <c r="AY1155" s="10" t="s">
        <v>66</v>
      </c>
    </row>
    <row r="1156" ht="22.5" hidden="1" customHeight="1">
      <c r="A1156" s="9" t="s">
        <v>11772</v>
      </c>
      <c r="B1156" s="10" t="s">
        <v>11773</v>
      </c>
      <c r="C1156" s="10" t="s">
        <v>43</v>
      </c>
      <c r="D1156" s="10" t="s">
        <v>8227</v>
      </c>
      <c r="E1156" s="10" t="s">
        <v>66</v>
      </c>
      <c r="F1156" s="11">
        <v>1.0</v>
      </c>
      <c r="G1156" s="11">
        <v>88.0</v>
      </c>
      <c r="H1156" s="11"/>
      <c r="I1156" s="11">
        <v>-14.96</v>
      </c>
      <c r="J1156" s="11">
        <v>-21.45</v>
      </c>
      <c r="K1156" s="11"/>
      <c r="L1156" s="11">
        <v>55.99</v>
      </c>
      <c r="M1156" s="10" t="s">
        <v>46</v>
      </c>
      <c r="N1156" s="10" t="s">
        <v>45</v>
      </c>
      <c r="O1156" s="10" t="s">
        <v>5739</v>
      </c>
      <c r="P1156" s="10" t="s">
        <v>5740</v>
      </c>
      <c r="Q1156" s="10" t="s">
        <v>5741</v>
      </c>
      <c r="R1156" s="10" t="s">
        <v>74</v>
      </c>
      <c r="S1156" s="11">
        <v>88.0</v>
      </c>
      <c r="T1156" s="11">
        <v>3.96</v>
      </c>
      <c r="U1156" s="11" t="s">
        <v>51</v>
      </c>
      <c r="V1156" s="10" t="s">
        <v>52</v>
      </c>
      <c r="W1156" s="10" t="s">
        <v>11774</v>
      </c>
      <c r="X1156" s="10" t="s">
        <v>11775</v>
      </c>
      <c r="Y1156" s="10" t="s">
        <v>11776</v>
      </c>
      <c r="Z1156" s="10" t="s">
        <v>50</v>
      </c>
      <c r="AA1156" s="10" t="s">
        <v>50</v>
      </c>
      <c r="AB1156" s="10" t="s">
        <v>11774</v>
      </c>
      <c r="AC1156" s="10" t="s">
        <v>11777</v>
      </c>
      <c r="AD1156" s="10" t="s">
        <v>11778</v>
      </c>
      <c r="AE1156" s="10" t="s">
        <v>11779</v>
      </c>
      <c r="AF1156" s="10" t="s">
        <v>58</v>
      </c>
      <c r="AG1156" s="10" t="s">
        <v>11780</v>
      </c>
      <c r="AH1156" s="10" t="s">
        <v>60</v>
      </c>
      <c r="AI1156" s="10" t="s">
        <v>61</v>
      </c>
      <c r="AJ1156" s="10" t="s">
        <v>11636</v>
      </c>
      <c r="AK1156" s="10" t="s">
        <v>11781</v>
      </c>
      <c r="AL1156" s="10" t="s">
        <v>64</v>
      </c>
      <c r="AM1156" s="10" t="s">
        <v>11782</v>
      </c>
      <c r="AN1156" s="10" t="s">
        <v>50</v>
      </c>
      <c r="AO1156" s="11" t="s">
        <v>50</v>
      </c>
      <c r="AP1156" s="10" t="s">
        <v>50</v>
      </c>
      <c r="AQ1156" s="10" t="s">
        <v>50</v>
      </c>
      <c r="AR1156" s="10" t="s">
        <v>50</v>
      </c>
      <c r="AS1156" s="10" t="s">
        <v>50</v>
      </c>
      <c r="AT1156" s="10" t="s">
        <v>50</v>
      </c>
      <c r="AU1156" s="10" t="s">
        <v>50</v>
      </c>
      <c r="AV1156" s="11"/>
      <c r="AW1156" s="10" t="s">
        <v>66</v>
      </c>
      <c r="AX1156" s="10"/>
      <c r="AY1156" s="10" t="s">
        <v>66</v>
      </c>
    </row>
    <row r="1157" ht="22.5" hidden="1" customHeight="1">
      <c r="A1157" s="9" t="s">
        <v>11783</v>
      </c>
      <c r="B1157" s="10" t="s">
        <v>11784</v>
      </c>
      <c r="C1157" s="10" t="s">
        <v>43</v>
      </c>
      <c r="D1157" s="10" t="s">
        <v>10258</v>
      </c>
      <c r="E1157" s="10" t="s">
        <v>66</v>
      </c>
      <c r="F1157" s="11">
        <v>1.0</v>
      </c>
      <c r="G1157" s="11">
        <v>80.0</v>
      </c>
      <c r="H1157" s="11"/>
      <c r="I1157" s="11">
        <v>-13.6</v>
      </c>
      <c r="J1157" s="11">
        <v>-19.95</v>
      </c>
      <c r="K1157" s="11"/>
      <c r="L1157" s="11">
        <v>50.45</v>
      </c>
      <c r="M1157" s="10" t="s">
        <v>46</v>
      </c>
      <c r="N1157" s="10" t="s">
        <v>50</v>
      </c>
      <c r="O1157" s="10" t="s">
        <v>143</v>
      </c>
      <c r="P1157" s="10" t="s">
        <v>144</v>
      </c>
      <c r="Q1157" s="10" t="s">
        <v>145</v>
      </c>
      <c r="R1157" s="10" t="s">
        <v>74</v>
      </c>
      <c r="S1157" s="11">
        <v>80.0</v>
      </c>
      <c r="T1157" s="11">
        <v>33.38</v>
      </c>
      <c r="U1157" s="11" t="s">
        <v>51</v>
      </c>
      <c r="V1157" s="10" t="s">
        <v>52</v>
      </c>
      <c r="W1157" s="10" t="s">
        <v>11785</v>
      </c>
      <c r="X1157" s="10" t="s">
        <v>11786</v>
      </c>
      <c r="Y1157" s="10" t="s">
        <v>11787</v>
      </c>
      <c r="Z1157" s="10" t="s">
        <v>50</v>
      </c>
      <c r="AA1157" s="10" t="s">
        <v>50</v>
      </c>
      <c r="AB1157" s="10" t="s">
        <v>11785</v>
      </c>
      <c r="AC1157" s="10" t="s">
        <v>11788</v>
      </c>
      <c r="AD1157" s="10" t="s">
        <v>11789</v>
      </c>
      <c r="AE1157" s="10" t="s">
        <v>283</v>
      </c>
      <c r="AF1157" s="10" t="s">
        <v>284</v>
      </c>
      <c r="AG1157" s="10" t="s">
        <v>11790</v>
      </c>
      <c r="AH1157" s="10" t="s">
        <v>60</v>
      </c>
      <c r="AI1157" s="10" t="s">
        <v>61</v>
      </c>
      <c r="AJ1157" s="10" t="s">
        <v>11205</v>
      </c>
      <c r="AK1157" s="10" t="s">
        <v>11791</v>
      </c>
      <c r="AL1157" s="10" t="s">
        <v>64</v>
      </c>
      <c r="AM1157" s="10" t="s">
        <v>11792</v>
      </c>
      <c r="AN1157" s="10" t="s">
        <v>50</v>
      </c>
      <c r="AO1157" s="11" t="s">
        <v>50</v>
      </c>
      <c r="AP1157" s="10" t="s">
        <v>50</v>
      </c>
      <c r="AQ1157" s="10" t="s">
        <v>50</v>
      </c>
      <c r="AR1157" s="10" t="s">
        <v>50</v>
      </c>
      <c r="AS1157" s="10" t="s">
        <v>50</v>
      </c>
      <c r="AT1157" s="10" t="s">
        <v>50</v>
      </c>
      <c r="AU1157" s="10" t="s">
        <v>50</v>
      </c>
      <c r="AV1157" s="11"/>
      <c r="AW1157" s="10" t="s">
        <v>66</v>
      </c>
      <c r="AX1157" s="10"/>
      <c r="AY1157" s="10" t="s">
        <v>66</v>
      </c>
    </row>
    <row r="1158" ht="22.5" hidden="1" customHeight="1">
      <c r="A1158" s="9" t="s">
        <v>11793</v>
      </c>
      <c r="B1158" s="10" t="s">
        <v>11794</v>
      </c>
      <c r="C1158" s="10" t="s">
        <v>43</v>
      </c>
      <c r="D1158" s="10" t="s">
        <v>8227</v>
      </c>
      <c r="E1158" s="10" t="s">
        <v>66</v>
      </c>
      <c r="F1158" s="11">
        <v>1.0</v>
      </c>
      <c r="G1158" s="11">
        <v>35.15</v>
      </c>
      <c r="H1158" s="11">
        <v>51.2</v>
      </c>
      <c r="I1158" s="11">
        <v>-11.98</v>
      </c>
      <c r="J1158" s="11">
        <v>-51.2</v>
      </c>
      <c r="K1158" s="11"/>
      <c r="L1158" s="11">
        <v>25.28</v>
      </c>
      <c r="M1158" s="10" t="s">
        <v>46</v>
      </c>
      <c r="N1158" s="10" t="s">
        <v>50</v>
      </c>
      <c r="O1158" s="10" t="s">
        <v>2926</v>
      </c>
      <c r="P1158" s="10" t="s">
        <v>2927</v>
      </c>
      <c r="Q1158" s="10" t="s">
        <v>2928</v>
      </c>
      <c r="R1158" s="10" t="s">
        <v>74</v>
      </c>
      <c r="S1158" s="11">
        <v>35.15</v>
      </c>
      <c r="T1158" s="11">
        <v>2.49</v>
      </c>
      <c r="U1158" s="11" t="s">
        <v>51</v>
      </c>
      <c r="V1158" s="10" t="s">
        <v>52</v>
      </c>
      <c r="W1158" s="10" t="s">
        <v>11795</v>
      </c>
      <c r="X1158" s="10" t="s">
        <v>11796</v>
      </c>
      <c r="Y1158" s="10" t="s">
        <v>11797</v>
      </c>
      <c r="Z1158" s="10" t="s">
        <v>50</v>
      </c>
      <c r="AA1158" s="10" t="s">
        <v>50</v>
      </c>
      <c r="AB1158" s="10" t="s">
        <v>11795</v>
      </c>
      <c r="AC1158" s="10" t="s">
        <v>11798</v>
      </c>
      <c r="AD1158" s="10" t="s">
        <v>11799</v>
      </c>
      <c r="AE1158" s="10" t="s">
        <v>6084</v>
      </c>
      <c r="AF1158" s="10" t="s">
        <v>2648</v>
      </c>
      <c r="AG1158" s="10" t="s">
        <v>11800</v>
      </c>
      <c r="AH1158" s="10" t="s">
        <v>60</v>
      </c>
      <c r="AI1158" s="10" t="s">
        <v>61</v>
      </c>
      <c r="AJ1158" s="10" t="s">
        <v>11469</v>
      </c>
      <c r="AK1158" s="10" t="s">
        <v>11801</v>
      </c>
      <c r="AL1158" s="10" t="s">
        <v>64</v>
      </c>
      <c r="AM1158" s="10" t="s">
        <v>11802</v>
      </c>
      <c r="AN1158" s="10" t="s">
        <v>50</v>
      </c>
      <c r="AO1158" s="11" t="s">
        <v>50</v>
      </c>
      <c r="AP1158" s="10" t="s">
        <v>50</v>
      </c>
      <c r="AQ1158" s="10" t="s">
        <v>50</v>
      </c>
      <c r="AR1158" s="10" t="s">
        <v>50</v>
      </c>
      <c r="AS1158" s="10" t="s">
        <v>50</v>
      </c>
      <c r="AT1158" s="10" t="s">
        <v>50</v>
      </c>
      <c r="AU1158" s="10" t="s">
        <v>50</v>
      </c>
      <c r="AV1158" s="11"/>
      <c r="AW1158" s="10" t="s">
        <v>66</v>
      </c>
      <c r="AX1158" s="10"/>
      <c r="AY1158" s="10" t="s">
        <v>66</v>
      </c>
    </row>
    <row r="1159" ht="22.5" hidden="1" customHeight="1">
      <c r="A1159" s="9" t="s">
        <v>11803</v>
      </c>
      <c r="B1159" s="10" t="s">
        <v>11804</v>
      </c>
      <c r="C1159" s="10" t="s">
        <v>43</v>
      </c>
      <c r="D1159" s="10" t="s">
        <v>10258</v>
      </c>
      <c r="E1159" s="10" t="s">
        <v>66</v>
      </c>
      <c r="F1159" s="11">
        <v>1.0</v>
      </c>
      <c r="G1159" s="11">
        <v>80.0</v>
      </c>
      <c r="H1159" s="11"/>
      <c r="I1159" s="11">
        <v>-13.6</v>
      </c>
      <c r="J1159" s="11">
        <v>-19.95</v>
      </c>
      <c r="K1159" s="11"/>
      <c r="L1159" s="11">
        <v>50.45</v>
      </c>
      <c r="M1159" s="10" t="s">
        <v>46</v>
      </c>
      <c r="N1159" s="10" t="s">
        <v>50</v>
      </c>
      <c r="O1159" s="10" t="s">
        <v>143</v>
      </c>
      <c r="P1159" s="10" t="s">
        <v>144</v>
      </c>
      <c r="Q1159" s="10" t="s">
        <v>145</v>
      </c>
      <c r="R1159" s="10" t="s">
        <v>74</v>
      </c>
      <c r="S1159" s="11">
        <v>80.0</v>
      </c>
      <c r="T1159" s="11">
        <v>33.38</v>
      </c>
      <c r="U1159" s="11" t="s">
        <v>51</v>
      </c>
      <c r="V1159" s="10" t="s">
        <v>52</v>
      </c>
      <c r="W1159" s="10" t="s">
        <v>11805</v>
      </c>
      <c r="X1159" s="10" t="s">
        <v>11806</v>
      </c>
      <c r="Y1159" s="10" t="s">
        <v>11807</v>
      </c>
      <c r="Z1159" s="10" t="s">
        <v>50</v>
      </c>
      <c r="AA1159" s="10" t="s">
        <v>50</v>
      </c>
      <c r="AB1159" s="10" t="s">
        <v>11805</v>
      </c>
      <c r="AC1159" s="10" t="s">
        <v>11808</v>
      </c>
      <c r="AD1159" s="10" t="s">
        <v>11809</v>
      </c>
      <c r="AE1159" s="10" t="s">
        <v>322</v>
      </c>
      <c r="AF1159" s="10" t="s">
        <v>323</v>
      </c>
      <c r="AG1159" s="10" t="s">
        <v>11810</v>
      </c>
      <c r="AH1159" s="10" t="s">
        <v>60</v>
      </c>
      <c r="AI1159" s="10" t="s">
        <v>61</v>
      </c>
      <c r="AJ1159" s="10" t="s">
        <v>11811</v>
      </c>
      <c r="AK1159" s="10" t="s">
        <v>11812</v>
      </c>
      <c r="AL1159" s="10" t="s">
        <v>64</v>
      </c>
      <c r="AM1159" s="10" t="s">
        <v>11813</v>
      </c>
      <c r="AN1159" s="10" t="s">
        <v>50</v>
      </c>
      <c r="AO1159" s="11" t="s">
        <v>50</v>
      </c>
      <c r="AP1159" s="10" t="s">
        <v>50</v>
      </c>
      <c r="AQ1159" s="10" t="s">
        <v>50</v>
      </c>
      <c r="AR1159" s="10" t="s">
        <v>50</v>
      </c>
      <c r="AS1159" s="10" t="s">
        <v>50</v>
      </c>
      <c r="AT1159" s="10" t="s">
        <v>50</v>
      </c>
      <c r="AU1159" s="10" t="s">
        <v>50</v>
      </c>
      <c r="AV1159" s="11"/>
      <c r="AW1159" s="10" t="s">
        <v>66</v>
      </c>
      <c r="AX1159" s="10"/>
      <c r="AY1159" s="10" t="s">
        <v>66</v>
      </c>
    </row>
    <row r="1160" ht="22.5" hidden="1" customHeight="1">
      <c r="A1160" s="9" t="s">
        <v>11814</v>
      </c>
      <c r="B1160" s="10" t="s">
        <v>11815</v>
      </c>
      <c r="C1160" s="10" t="s">
        <v>43</v>
      </c>
      <c r="D1160" s="10" t="s">
        <v>11161</v>
      </c>
      <c r="E1160" s="10" t="s">
        <v>66</v>
      </c>
      <c r="F1160" s="11">
        <v>1.0</v>
      </c>
      <c r="G1160" s="11">
        <v>43.7</v>
      </c>
      <c r="H1160" s="11">
        <v>14.63</v>
      </c>
      <c r="I1160" s="11">
        <v>-13.43</v>
      </c>
      <c r="J1160" s="11">
        <v>-14.63</v>
      </c>
      <c r="K1160" s="11"/>
      <c r="L1160" s="11">
        <v>32.89</v>
      </c>
      <c r="M1160" s="10" t="s">
        <v>46</v>
      </c>
      <c r="N1160" s="10" t="s">
        <v>50</v>
      </c>
      <c r="O1160" s="10" t="s">
        <v>176</v>
      </c>
      <c r="P1160" s="10" t="s">
        <v>177</v>
      </c>
      <c r="Q1160" s="10" t="s">
        <v>178</v>
      </c>
      <c r="R1160" s="10" t="s">
        <v>74</v>
      </c>
      <c r="S1160" s="11">
        <v>43.7</v>
      </c>
      <c r="T1160" s="11">
        <v>22.58</v>
      </c>
      <c r="U1160" s="11" t="s">
        <v>51</v>
      </c>
      <c r="V1160" s="10" t="s">
        <v>52</v>
      </c>
      <c r="W1160" s="10" t="s">
        <v>11816</v>
      </c>
      <c r="X1160" s="10" t="s">
        <v>11817</v>
      </c>
      <c r="Y1160" s="10" t="s">
        <v>11818</v>
      </c>
      <c r="Z1160" s="10" t="s">
        <v>50</v>
      </c>
      <c r="AA1160" s="10" t="s">
        <v>50</v>
      </c>
      <c r="AB1160" s="10" t="s">
        <v>11816</v>
      </c>
      <c r="AC1160" s="10" t="s">
        <v>11819</v>
      </c>
      <c r="AD1160" s="10" t="s">
        <v>11820</v>
      </c>
      <c r="AE1160" s="10" t="s">
        <v>3830</v>
      </c>
      <c r="AF1160" s="10" t="s">
        <v>58</v>
      </c>
      <c r="AG1160" s="10" t="s">
        <v>11821</v>
      </c>
      <c r="AH1160" s="10" t="s">
        <v>60</v>
      </c>
      <c r="AI1160" s="10" t="s">
        <v>61</v>
      </c>
      <c r="AJ1160" s="10" t="s">
        <v>11458</v>
      </c>
      <c r="AK1160" s="10" t="s">
        <v>11822</v>
      </c>
      <c r="AL1160" s="10" t="s">
        <v>64</v>
      </c>
      <c r="AM1160" s="10" t="s">
        <v>11823</v>
      </c>
      <c r="AN1160" s="10" t="s">
        <v>50</v>
      </c>
      <c r="AO1160" s="11" t="s">
        <v>50</v>
      </c>
      <c r="AP1160" s="10" t="s">
        <v>50</v>
      </c>
      <c r="AQ1160" s="10" t="s">
        <v>50</v>
      </c>
      <c r="AR1160" s="10" t="s">
        <v>50</v>
      </c>
      <c r="AS1160" s="10" t="s">
        <v>50</v>
      </c>
      <c r="AT1160" s="10" t="s">
        <v>50</v>
      </c>
      <c r="AU1160" s="10" t="s">
        <v>50</v>
      </c>
      <c r="AV1160" s="11"/>
      <c r="AW1160" s="10" t="s">
        <v>66</v>
      </c>
      <c r="AX1160" s="10"/>
      <c r="AY1160" s="10" t="s">
        <v>66</v>
      </c>
    </row>
    <row r="1161" ht="22.5" hidden="1" customHeight="1">
      <c r="A1161" s="9" t="s">
        <v>11824</v>
      </c>
      <c r="B1161" s="10" t="s">
        <v>11825</v>
      </c>
      <c r="C1161" s="10" t="s">
        <v>43</v>
      </c>
      <c r="D1161" s="10" t="s">
        <v>11161</v>
      </c>
      <c r="E1161" s="10" t="s">
        <v>66</v>
      </c>
      <c r="F1161" s="11">
        <v>1.0</v>
      </c>
      <c r="G1161" s="11">
        <v>79.2</v>
      </c>
      <c r="H1161" s="11">
        <v>11.31</v>
      </c>
      <c r="I1161" s="11">
        <v>-13.46</v>
      </c>
      <c r="J1161" s="11">
        <v>-31.76</v>
      </c>
      <c r="K1161" s="11"/>
      <c r="L1161" s="11">
        <v>45.29</v>
      </c>
      <c r="M1161" s="10" t="s">
        <v>46</v>
      </c>
      <c r="N1161" s="10" t="s">
        <v>45</v>
      </c>
      <c r="O1161" s="10" t="s">
        <v>412</v>
      </c>
      <c r="P1161" s="10" t="s">
        <v>413</v>
      </c>
      <c r="Q1161" s="10" t="s">
        <v>414</v>
      </c>
      <c r="R1161" s="10" t="s">
        <v>415</v>
      </c>
      <c r="S1161" s="11">
        <v>79.2</v>
      </c>
      <c r="T1161" s="11">
        <v>10.05</v>
      </c>
      <c r="U1161" s="11" t="s">
        <v>51</v>
      </c>
      <c r="V1161" s="10" t="s">
        <v>52</v>
      </c>
      <c r="W1161" s="10" t="s">
        <v>11826</v>
      </c>
      <c r="X1161" s="10" t="s">
        <v>11827</v>
      </c>
      <c r="Y1161" s="10" t="s">
        <v>11828</v>
      </c>
      <c r="Z1161" s="10" t="s">
        <v>50</v>
      </c>
      <c r="AA1161" s="10" t="s">
        <v>50</v>
      </c>
      <c r="AB1161" s="10" t="s">
        <v>11826</v>
      </c>
      <c r="AC1161" s="10" t="s">
        <v>11829</v>
      </c>
      <c r="AD1161" s="10" t="s">
        <v>11830</v>
      </c>
      <c r="AE1161" s="10" t="s">
        <v>11613</v>
      </c>
      <c r="AF1161" s="10" t="s">
        <v>775</v>
      </c>
      <c r="AG1161" s="10" t="s">
        <v>11614</v>
      </c>
      <c r="AH1161" s="10" t="s">
        <v>60</v>
      </c>
      <c r="AI1161" s="10" t="s">
        <v>61</v>
      </c>
      <c r="AJ1161" s="10" t="s">
        <v>11183</v>
      </c>
      <c r="AK1161" s="10" t="s">
        <v>11831</v>
      </c>
      <c r="AL1161" s="10" t="s">
        <v>64</v>
      </c>
      <c r="AM1161" s="10" t="s">
        <v>11832</v>
      </c>
      <c r="AN1161" s="10" t="s">
        <v>50</v>
      </c>
      <c r="AO1161" s="11" t="s">
        <v>50</v>
      </c>
      <c r="AP1161" s="10" t="s">
        <v>50</v>
      </c>
      <c r="AQ1161" s="10" t="s">
        <v>50</v>
      </c>
      <c r="AR1161" s="10" t="s">
        <v>50</v>
      </c>
      <c r="AS1161" s="10" t="s">
        <v>50</v>
      </c>
      <c r="AT1161" s="10" t="s">
        <v>50</v>
      </c>
      <c r="AU1161" s="10" t="s">
        <v>50</v>
      </c>
      <c r="AV1161" s="11"/>
      <c r="AW1161" s="10" t="s">
        <v>66</v>
      </c>
      <c r="AX1161" s="10"/>
      <c r="AY1161" s="10" t="s">
        <v>66</v>
      </c>
    </row>
    <row r="1162" ht="22.5" hidden="1" customHeight="1">
      <c r="A1162" s="9" t="s">
        <v>11833</v>
      </c>
      <c r="B1162" s="10" t="s">
        <v>11834</v>
      </c>
      <c r="C1162" s="10" t="s">
        <v>43</v>
      </c>
      <c r="D1162" s="10" t="s">
        <v>11161</v>
      </c>
      <c r="E1162" s="10" t="s">
        <v>66</v>
      </c>
      <c r="F1162" s="11">
        <v>1.0</v>
      </c>
      <c r="G1162" s="11">
        <v>120.0</v>
      </c>
      <c r="H1162" s="11"/>
      <c r="I1162" s="11">
        <v>-20.4</v>
      </c>
      <c r="J1162" s="11">
        <v>-19.95</v>
      </c>
      <c r="K1162" s="11"/>
      <c r="L1162" s="11">
        <v>86.85</v>
      </c>
      <c r="M1162" s="10" t="s">
        <v>46</v>
      </c>
      <c r="N1162" s="10" t="s">
        <v>45</v>
      </c>
      <c r="O1162" s="10" t="s">
        <v>85</v>
      </c>
      <c r="P1162" s="10" t="s">
        <v>86</v>
      </c>
      <c r="Q1162" s="10" t="s">
        <v>87</v>
      </c>
      <c r="R1162" s="10" t="s">
        <v>74</v>
      </c>
      <c r="S1162" s="11">
        <v>120.0</v>
      </c>
      <c r="T1162" s="11">
        <v>65.78</v>
      </c>
      <c r="U1162" s="11" t="s">
        <v>51</v>
      </c>
      <c r="V1162" s="10" t="s">
        <v>52</v>
      </c>
      <c r="W1162" s="10" t="s">
        <v>11835</v>
      </c>
      <c r="X1162" s="10" t="s">
        <v>11836</v>
      </c>
      <c r="Y1162" s="10" t="s">
        <v>11837</v>
      </c>
      <c r="Z1162" s="10" t="s">
        <v>50</v>
      </c>
      <c r="AA1162" s="10" t="s">
        <v>50</v>
      </c>
      <c r="AB1162" s="10" t="s">
        <v>11835</v>
      </c>
      <c r="AC1162" s="10" t="s">
        <v>11838</v>
      </c>
      <c r="AD1162" s="10" t="s">
        <v>11839</v>
      </c>
      <c r="AE1162" s="10" t="s">
        <v>11840</v>
      </c>
      <c r="AF1162" s="10" t="s">
        <v>58</v>
      </c>
      <c r="AG1162" s="10" t="s">
        <v>11841</v>
      </c>
      <c r="AH1162" s="10" t="s">
        <v>60</v>
      </c>
      <c r="AI1162" s="10" t="s">
        <v>61</v>
      </c>
      <c r="AJ1162" s="10" t="s">
        <v>11458</v>
      </c>
      <c r="AK1162" s="10" t="s">
        <v>11842</v>
      </c>
      <c r="AL1162" s="10" t="s">
        <v>64</v>
      </c>
      <c r="AM1162" s="10" t="s">
        <v>11843</v>
      </c>
      <c r="AN1162" s="10" t="s">
        <v>50</v>
      </c>
      <c r="AO1162" s="11" t="s">
        <v>50</v>
      </c>
      <c r="AP1162" s="10" t="s">
        <v>50</v>
      </c>
      <c r="AQ1162" s="10" t="s">
        <v>50</v>
      </c>
      <c r="AR1162" s="10" t="s">
        <v>50</v>
      </c>
      <c r="AS1162" s="10" t="s">
        <v>50</v>
      </c>
      <c r="AT1162" s="10" t="s">
        <v>50</v>
      </c>
      <c r="AU1162" s="10" t="s">
        <v>50</v>
      </c>
      <c r="AV1162" s="11"/>
      <c r="AW1162" s="10" t="s">
        <v>66</v>
      </c>
      <c r="AX1162" s="10"/>
      <c r="AY1162" s="10" t="s">
        <v>66</v>
      </c>
    </row>
    <row r="1163" ht="22.5" hidden="1" customHeight="1">
      <c r="A1163" s="9" t="s">
        <v>11844</v>
      </c>
      <c r="B1163" s="10" t="s">
        <v>11845</v>
      </c>
      <c r="C1163" s="10" t="s">
        <v>43</v>
      </c>
      <c r="D1163" s="10" t="s">
        <v>8227</v>
      </c>
      <c r="E1163" s="10" t="s">
        <v>45</v>
      </c>
      <c r="F1163" s="11">
        <v>1.0</v>
      </c>
      <c r="G1163" s="11">
        <v>79.2</v>
      </c>
      <c r="H1163" s="11"/>
      <c r="I1163" s="11">
        <v>-13.46</v>
      </c>
      <c r="J1163" s="11">
        <v>-20.45</v>
      </c>
      <c r="K1163" s="11"/>
      <c r="L1163" s="11">
        <v>45.29</v>
      </c>
      <c r="M1163" s="10" t="s">
        <v>46</v>
      </c>
      <c r="N1163" s="10" t="s">
        <v>45</v>
      </c>
      <c r="O1163" s="10" t="s">
        <v>892</v>
      </c>
      <c r="P1163" s="10" t="s">
        <v>893</v>
      </c>
      <c r="Q1163" s="10" t="s">
        <v>894</v>
      </c>
      <c r="R1163" s="10" t="s">
        <v>74</v>
      </c>
      <c r="S1163" s="11">
        <v>79.2</v>
      </c>
      <c r="T1163" s="11">
        <v>2.97</v>
      </c>
      <c r="U1163" s="11" t="s">
        <v>51</v>
      </c>
      <c r="V1163" s="10" t="s">
        <v>52</v>
      </c>
      <c r="W1163" s="10" t="s">
        <v>11846</v>
      </c>
      <c r="X1163" s="10" t="s">
        <v>11847</v>
      </c>
      <c r="Y1163" s="10" t="s">
        <v>11848</v>
      </c>
      <c r="Z1163" s="10" t="s">
        <v>50</v>
      </c>
      <c r="AA1163" s="10" t="s">
        <v>50</v>
      </c>
      <c r="AB1163" s="10" t="s">
        <v>11846</v>
      </c>
      <c r="AC1163" s="10" t="s">
        <v>11849</v>
      </c>
      <c r="AD1163" s="10" t="s">
        <v>11850</v>
      </c>
      <c r="AE1163" s="10" t="s">
        <v>58</v>
      </c>
      <c r="AF1163" s="10" t="s">
        <v>58</v>
      </c>
      <c r="AG1163" s="10" t="s">
        <v>11851</v>
      </c>
      <c r="AH1163" s="10" t="s">
        <v>60</v>
      </c>
      <c r="AI1163" s="10" t="s">
        <v>61</v>
      </c>
      <c r="AJ1163" s="10" t="s">
        <v>11458</v>
      </c>
      <c r="AK1163" s="10" t="s">
        <v>11852</v>
      </c>
      <c r="AL1163" s="10" t="s">
        <v>64</v>
      </c>
      <c r="AM1163" s="10" t="s">
        <v>11853</v>
      </c>
      <c r="AN1163" s="10" t="s">
        <v>50</v>
      </c>
      <c r="AO1163" s="11" t="s">
        <v>50</v>
      </c>
      <c r="AP1163" s="10" t="s">
        <v>50</v>
      </c>
      <c r="AQ1163" s="10" t="s">
        <v>50</v>
      </c>
      <c r="AR1163" s="10" t="s">
        <v>50</v>
      </c>
      <c r="AS1163" s="10" t="s">
        <v>50</v>
      </c>
      <c r="AT1163" s="10" t="s">
        <v>50</v>
      </c>
      <c r="AU1163" s="10" t="s">
        <v>50</v>
      </c>
      <c r="AV1163" s="11"/>
      <c r="AW1163" s="10" t="s">
        <v>66</v>
      </c>
      <c r="AX1163" s="10"/>
      <c r="AY1163" s="10" t="s">
        <v>66</v>
      </c>
    </row>
    <row r="1164" ht="22.5" hidden="1" customHeight="1">
      <c r="A1164" s="9" t="s">
        <v>11854</v>
      </c>
      <c r="B1164" s="10" t="s">
        <v>11855</v>
      </c>
      <c r="C1164" s="10" t="s">
        <v>43</v>
      </c>
      <c r="D1164" s="10" t="s">
        <v>8227</v>
      </c>
      <c r="E1164" s="10" t="s">
        <v>66</v>
      </c>
      <c r="F1164" s="11">
        <v>1.0</v>
      </c>
      <c r="G1164" s="11">
        <v>120.0</v>
      </c>
      <c r="H1164" s="11"/>
      <c r="I1164" s="11">
        <v>-20.4</v>
      </c>
      <c r="J1164" s="11">
        <v>-19.95</v>
      </c>
      <c r="K1164" s="11"/>
      <c r="L1164" s="11">
        <v>86.85</v>
      </c>
      <c r="M1164" s="10" t="s">
        <v>46</v>
      </c>
      <c r="N1164" s="10" t="s">
        <v>45</v>
      </c>
      <c r="O1164" s="10" t="s">
        <v>85</v>
      </c>
      <c r="P1164" s="10" t="s">
        <v>86</v>
      </c>
      <c r="Q1164" s="10" t="s">
        <v>87</v>
      </c>
      <c r="R1164" s="10" t="s">
        <v>74</v>
      </c>
      <c r="S1164" s="11">
        <v>120.0</v>
      </c>
      <c r="T1164" s="11">
        <v>65.78</v>
      </c>
      <c r="U1164" s="11" t="s">
        <v>51</v>
      </c>
      <c r="V1164" s="10" t="s">
        <v>52</v>
      </c>
      <c r="W1164" s="10" t="s">
        <v>11856</v>
      </c>
      <c r="X1164" s="10" t="s">
        <v>11857</v>
      </c>
      <c r="Y1164" s="10" t="s">
        <v>11858</v>
      </c>
      <c r="Z1164" s="10" t="s">
        <v>50</v>
      </c>
      <c r="AA1164" s="10" t="s">
        <v>50</v>
      </c>
      <c r="AB1164" s="10" t="s">
        <v>11856</v>
      </c>
      <c r="AC1164" s="10" t="s">
        <v>11859</v>
      </c>
      <c r="AD1164" s="10" t="s">
        <v>11860</v>
      </c>
      <c r="AE1164" s="10" t="s">
        <v>9348</v>
      </c>
      <c r="AF1164" s="10" t="s">
        <v>119</v>
      </c>
      <c r="AG1164" s="10" t="s">
        <v>11861</v>
      </c>
      <c r="AH1164" s="10" t="s">
        <v>60</v>
      </c>
      <c r="AI1164" s="10" t="s">
        <v>61</v>
      </c>
      <c r="AJ1164" s="10" t="s">
        <v>11205</v>
      </c>
      <c r="AK1164" s="10" t="s">
        <v>11862</v>
      </c>
      <c r="AL1164" s="10" t="s">
        <v>64</v>
      </c>
      <c r="AM1164" s="10" t="s">
        <v>11863</v>
      </c>
      <c r="AN1164" s="10" t="s">
        <v>50</v>
      </c>
      <c r="AO1164" s="11" t="s">
        <v>50</v>
      </c>
      <c r="AP1164" s="10" t="s">
        <v>50</v>
      </c>
      <c r="AQ1164" s="10" t="s">
        <v>50</v>
      </c>
      <c r="AR1164" s="10" t="s">
        <v>50</v>
      </c>
      <c r="AS1164" s="10" t="s">
        <v>50</v>
      </c>
      <c r="AT1164" s="10" t="s">
        <v>50</v>
      </c>
      <c r="AU1164" s="10" t="s">
        <v>50</v>
      </c>
      <c r="AV1164" s="11"/>
      <c r="AW1164" s="10" t="s">
        <v>66</v>
      </c>
      <c r="AX1164" s="10"/>
      <c r="AY1164" s="10" t="s">
        <v>66</v>
      </c>
    </row>
    <row r="1165" ht="22.5" hidden="1" customHeight="1">
      <c r="A1165" s="9" t="s">
        <v>11864</v>
      </c>
      <c r="B1165" s="10" t="s">
        <v>11865</v>
      </c>
      <c r="C1165" s="10" t="s">
        <v>43</v>
      </c>
      <c r="D1165" s="10" t="s">
        <v>11161</v>
      </c>
      <c r="E1165" s="10" t="s">
        <v>66</v>
      </c>
      <c r="F1165" s="11">
        <v>1.0</v>
      </c>
      <c r="G1165" s="11">
        <v>105.0</v>
      </c>
      <c r="H1165" s="11"/>
      <c r="I1165" s="11">
        <v>-19.95</v>
      </c>
      <c r="J1165" s="11">
        <v>-19.95</v>
      </c>
      <c r="K1165" s="11"/>
      <c r="L1165" s="11">
        <v>65.1</v>
      </c>
      <c r="M1165" s="10" t="s">
        <v>46</v>
      </c>
      <c r="N1165" s="10" t="s">
        <v>50</v>
      </c>
      <c r="O1165" s="10" t="s">
        <v>100</v>
      </c>
      <c r="P1165" s="10" t="s">
        <v>101</v>
      </c>
      <c r="Q1165" s="10" t="s">
        <v>102</v>
      </c>
      <c r="R1165" s="10" t="s">
        <v>50</v>
      </c>
      <c r="S1165" s="11">
        <v>105.0</v>
      </c>
      <c r="T1165" s="11">
        <v>38.61</v>
      </c>
      <c r="U1165" s="11" t="s">
        <v>51</v>
      </c>
      <c r="V1165" s="10" t="s">
        <v>52</v>
      </c>
      <c r="W1165" s="10" t="s">
        <v>11866</v>
      </c>
      <c r="X1165" s="10" t="s">
        <v>11867</v>
      </c>
      <c r="Y1165" s="10" t="s">
        <v>11868</v>
      </c>
      <c r="Z1165" s="10" t="s">
        <v>50</v>
      </c>
      <c r="AA1165" s="10" t="s">
        <v>50</v>
      </c>
      <c r="AB1165" s="10" t="s">
        <v>11866</v>
      </c>
      <c r="AC1165" s="10" t="s">
        <v>11869</v>
      </c>
      <c r="AD1165" s="10" t="s">
        <v>11870</v>
      </c>
      <c r="AE1165" s="10" t="s">
        <v>58</v>
      </c>
      <c r="AF1165" s="10" t="s">
        <v>58</v>
      </c>
      <c r="AG1165" s="10" t="s">
        <v>11871</v>
      </c>
      <c r="AH1165" s="10" t="s">
        <v>60</v>
      </c>
      <c r="AI1165" s="10" t="s">
        <v>61</v>
      </c>
      <c r="AJ1165" s="10" t="s">
        <v>11458</v>
      </c>
      <c r="AK1165" s="10" t="s">
        <v>11872</v>
      </c>
      <c r="AL1165" s="10" t="s">
        <v>64</v>
      </c>
      <c r="AM1165" s="10" t="s">
        <v>11873</v>
      </c>
      <c r="AN1165" s="10" t="s">
        <v>50</v>
      </c>
      <c r="AO1165" s="11" t="s">
        <v>50</v>
      </c>
      <c r="AP1165" s="10" t="s">
        <v>50</v>
      </c>
      <c r="AQ1165" s="10" t="s">
        <v>50</v>
      </c>
      <c r="AR1165" s="10" t="s">
        <v>50</v>
      </c>
      <c r="AS1165" s="10" t="s">
        <v>50</v>
      </c>
      <c r="AT1165" s="10" t="s">
        <v>50</v>
      </c>
      <c r="AU1165" s="10" t="s">
        <v>50</v>
      </c>
      <c r="AV1165" s="11"/>
      <c r="AW1165" s="10" t="s">
        <v>66</v>
      </c>
      <c r="AX1165" s="10"/>
      <c r="AY1165" s="10" t="s">
        <v>66</v>
      </c>
    </row>
    <row r="1166" ht="22.5" hidden="1" customHeight="1">
      <c r="A1166" s="9" t="s">
        <v>11874</v>
      </c>
      <c r="B1166" s="10" t="s">
        <v>11875</v>
      </c>
      <c r="C1166" s="10" t="s">
        <v>43</v>
      </c>
      <c r="D1166" s="10" t="s">
        <v>7750</v>
      </c>
      <c r="E1166" s="10" t="s">
        <v>66</v>
      </c>
      <c r="F1166" s="11">
        <v>1.0</v>
      </c>
      <c r="G1166" s="11">
        <v>80.0</v>
      </c>
      <c r="H1166" s="11"/>
      <c r="I1166" s="11">
        <v>-13.6</v>
      </c>
      <c r="J1166" s="11">
        <v>-19.95</v>
      </c>
      <c r="K1166" s="11"/>
      <c r="L1166" s="11">
        <v>50.45</v>
      </c>
      <c r="M1166" s="10" t="s">
        <v>46</v>
      </c>
      <c r="N1166" s="10" t="s">
        <v>50</v>
      </c>
      <c r="O1166" s="10" t="s">
        <v>143</v>
      </c>
      <c r="P1166" s="10" t="s">
        <v>144</v>
      </c>
      <c r="Q1166" s="10" t="s">
        <v>145</v>
      </c>
      <c r="R1166" s="10" t="s">
        <v>74</v>
      </c>
      <c r="S1166" s="11">
        <v>80.0</v>
      </c>
      <c r="T1166" s="11">
        <v>33.38</v>
      </c>
      <c r="U1166" s="11" t="s">
        <v>51</v>
      </c>
      <c r="V1166" s="10" t="s">
        <v>52</v>
      </c>
      <c r="W1166" s="10" t="s">
        <v>11876</v>
      </c>
      <c r="X1166" s="10" t="s">
        <v>11877</v>
      </c>
      <c r="Y1166" s="10" t="s">
        <v>11878</v>
      </c>
      <c r="Z1166" s="10" t="s">
        <v>50</v>
      </c>
      <c r="AA1166" s="10" t="s">
        <v>50</v>
      </c>
      <c r="AB1166" s="10" t="s">
        <v>11876</v>
      </c>
      <c r="AC1166" s="10" t="s">
        <v>11879</v>
      </c>
      <c r="AD1166" s="10" t="s">
        <v>11880</v>
      </c>
      <c r="AE1166" s="10" t="s">
        <v>2042</v>
      </c>
      <c r="AF1166" s="10" t="s">
        <v>119</v>
      </c>
      <c r="AG1166" s="10" t="s">
        <v>7439</v>
      </c>
      <c r="AH1166" s="10" t="s">
        <v>60</v>
      </c>
      <c r="AI1166" s="10" t="s">
        <v>61</v>
      </c>
      <c r="AJ1166" s="10" t="s">
        <v>11205</v>
      </c>
      <c r="AK1166" s="10" t="s">
        <v>11881</v>
      </c>
      <c r="AL1166" s="10" t="s">
        <v>64</v>
      </c>
      <c r="AM1166" s="10" t="s">
        <v>11882</v>
      </c>
      <c r="AN1166" s="10" t="s">
        <v>50</v>
      </c>
      <c r="AO1166" s="11" t="s">
        <v>50</v>
      </c>
      <c r="AP1166" s="10" t="s">
        <v>50</v>
      </c>
      <c r="AQ1166" s="10" t="s">
        <v>50</v>
      </c>
      <c r="AR1166" s="10" t="s">
        <v>50</v>
      </c>
      <c r="AS1166" s="10" t="s">
        <v>50</v>
      </c>
      <c r="AT1166" s="10" t="s">
        <v>50</v>
      </c>
      <c r="AU1166" s="10" t="s">
        <v>50</v>
      </c>
      <c r="AV1166" s="11"/>
      <c r="AW1166" s="10" t="s">
        <v>66</v>
      </c>
      <c r="AX1166" s="10"/>
      <c r="AY1166" s="10" t="s">
        <v>66</v>
      </c>
    </row>
    <row r="1167" ht="22.5" hidden="1" customHeight="1">
      <c r="A1167" s="9" t="s">
        <v>11883</v>
      </c>
      <c r="B1167" s="10" t="s">
        <v>11884</v>
      </c>
      <c r="C1167" s="10" t="s">
        <v>43</v>
      </c>
      <c r="D1167" s="10" t="s">
        <v>9839</v>
      </c>
      <c r="E1167" s="10" t="s">
        <v>66</v>
      </c>
      <c r="F1167" s="11">
        <v>1.0</v>
      </c>
      <c r="G1167" s="11">
        <v>80.0</v>
      </c>
      <c r="H1167" s="11"/>
      <c r="I1167" s="11">
        <v>-13.6</v>
      </c>
      <c r="J1167" s="11">
        <v>-19.95</v>
      </c>
      <c r="K1167" s="11"/>
      <c r="L1167" s="11">
        <v>50.45</v>
      </c>
      <c r="M1167" s="10" t="s">
        <v>46</v>
      </c>
      <c r="N1167" s="10" t="s">
        <v>45</v>
      </c>
      <c r="O1167" s="10" t="s">
        <v>143</v>
      </c>
      <c r="P1167" s="10" t="s">
        <v>144</v>
      </c>
      <c r="Q1167" s="10" t="s">
        <v>145</v>
      </c>
      <c r="R1167" s="10" t="s">
        <v>74</v>
      </c>
      <c r="S1167" s="11">
        <v>80.0</v>
      </c>
      <c r="T1167" s="11">
        <v>33.38</v>
      </c>
      <c r="U1167" s="11" t="s">
        <v>51</v>
      </c>
      <c r="V1167" s="10" t="s">
        <v>52</v>
      </c>
      <c r="W1167" s="10" t="s">
        <v>11885</v>
      </c>
      <c r="X1167" s="10" t="s">
        <v>11886</v>
      </c>
      <c r="Y1167" s="10" t="s">
        <v>11887</v>
      </c>
      <c r="Z1167" s="10" t="s">
        <v>50</v>
      </c>
      <c r="AA1167" s="10" t="s">
        <v>50</v>
      </c>
      <c r="AB1167" s="10" t="s">
        <v>11885</v>
      </c>
      <c r="AC1167" s="10" t="s">
        <v>11888</v>
      </c>
      <c r="AD1167" s="10" t="s">
        <v>11889</v>
      </c>
      <c r="AE1167" s="10" t="s">
        <v>308</v>
      </c>
      <c r="AF1167" s="10" t="s">
        <v>136</v>
      </c>
      <c r="AG1167" s="10" t="s">
        <v>11890</v>
      </c>
      <c r="AH1167" s="10" t="s">
        <v>60</v>
      </c>
      <c r="AI1167" s="10" t="s">
        <v>61</v>
      </c>
      <c r="AJ1167" s="10" t="s">
        <v>11558</v>
      </c>
      <c r="AK1167" s="10" t="s">
        <v>11891</v>
      </c>
      <c r="AL1167" s="10" t="s">
        <v>64</v>
      </c>
      <c r="AM1167" s="10" t="s">
        <v>11892</v>
      </c>
      <c r="AN1167" s="10" t="s">
        <v>50</v>
      </c>
      <c r="AO1167" s="11" t="s">
        <v>50</v>
      </c>
      <c r="AP1167" s="10" t="s">
        <v>50</v>
      </c>
      <c r="AQ1167" s="10" t="s">
        <v>50</v>
      </c>
      <c r="AR1167" s="10" t="s">
        <v>50</v>
      </c>
      <c r="AS1167" s="10" t="s">
        <v>50</v>
      </c>
      <c r="AT1167" s="10" t="s">
        <v>50</v>
      </c>
      <c r="AU1167" s="10" t="s">
        <v>50</v>
      </c>
      <c r="AV1167" s="11"/>
      <c r="AW1167" s="10" t="s">
        <v>66</v>
      </c>
      <c r="AX1167" s="10"/>
      <c r="AY1167" s="10" t="s">
        <v>66</v>
      </c>
    </row>
    <row r="1168" ht="22.5" hidden="1" customHeight="1">
      <c r="A1168" s="9" t="s">
        <v>11893</v>
      </c>
      <c r="B1168" s="10" t="s">
        <v>11894</v>
      </c>
      <c r="C1168" s="10" t="s">
        <v>43</v>
      </c>
      <c r="D1168" s="10" t="s">
        <v>8227</v>
      </c>
      <c r="E1168" s="10" t="s">
        <v>66</v>
      </c>
      <c r="F1168" s="11">
        <v>1.0</v>
      </c>
      <c r="G1168" s="11">
        <v>90.0</v>
      </c>
      <c r="H1168" s="11"/>
      <c r="I1168" s="11">
        <v>-15.3</v>
      </c>
      <c r="J1168" s="11">
        <v>-20.45</v>
      </c>
      <c r="K1168" s="11"/>
      <c r="L1168" s="11">
        <v>59.65</v>
      </c>
      <c r="M1168" s="10" t="s">
        <v>46</v>
      </c>
      <c r="N1168" s="10" t="s">
        <v>50</v>
      </c>
      <c r="O1168" s="10" t="s">
        <v>5094</v>
      </c>
      <c r="P1168" s="10" t="s">
        <v>5095</v>
      </c>
      <c r="Q1168" s="10" t="s">
        <v>5096</v>
      </c>
      <c r="R1168" s="10" t="s">
        <v>74</v>
      </c>
      <c r="S1168" s="11">
        <v>90.0</v>
      </c>
      <c r="T1168" s="11">
        <v>39.99</v>
      </c>
      <c r="U1168" s="11" t="s">
        <v>51</v>
      </c>
      <c r="V1168" s="10" t="s">
        <v>52</v>
      </c>
      <c r="W1168" s="10" t="s">
        <v>11895</v>
      </c>
      <c r="X1168" s="10" t="s">
        <v>11896</v>
      </c>
      <c r="Y1168" s="10" t="s">
        <v>11897</v>
      </c>
      <c r="Z1168" s="10" t="s">
        <v>50</v>
      </c>
      <c r="AA1168" s="10" t="s">
        <v>50</v>
      </c>
      <c r="AB1168" s="10" t="s">
        <v>11895</v>
      </c>
      <c r="AC1168" s="10" t="s">
        <v>11898</v>
      </c>
      <c r="AD1168" s="10" t="s">
        <v>11899</v>
      </c>
      <c r="AE1168" s="10" t="s">
        <v>11900</v>
      </c>
      <c r="AF1168" s="10" t="s">
        <v>58</v>
      </c>
      <c r="AG1168" s="10" t="s">
        <v>11901</v>
      </c>
      <c r="AH1168" s="10" t="s">
        <v>60</v>
      </c>
      <c r="AI1168" s="10" t="s">
        <v>61</v>
      </c>
      <c r="AJ1168" s="10" t="s">
        <v>11636</v>
      </c>
      <c r="AK1168" s="10" t="s">
        <v>11902</v>
      </c>
      <c r="AL1168" s="10" t="s">
        <v>64</v>
      </c>
      <c r="AM1168" s="10" t="s">
        <v>11903</v>
      </c>
      <c r="AN1168" s="10" t="s">
        <v>50</v>
      </c>
      <c r="AO1168" s="11" t="s">
        <v>50</v>
      </c>
      <c r="AP1168" s="10" t="s">
        <v>50</v>
      </c>
      <c r="AQ1168" s="10" t="s">
        <v>50</v>
      </c>
      <c r="AR1168" s="10" t="s">
        <v>50</v>
      </c>
      <c r="AS1168" s="10" t="s">
        <v>50</v>
      </c>
      <c r="AT1168" s="10" t="s">
        <v>50</v>
      </c>
      <c r="AU1168" s="10" t="s">
        <v>50</v>
      </c>
      <c r="AV1168" s="11"/>
      <c r="AW1168" s="10" t="s">
        <v>66</v>
      </c>
      <c r="AX1168" s="10"/>
      <c r="AY1168" s="10" t="s">
        <v>66</v>
      </c>
    </row>
    <row r="1169" ht="22.5" hidden="1" customHeight="1">
      <c r="A1169" s="12" t="s">
        <v>11904</v>
      </c>
      <c r="B1169" s="13" t="s">
        <v>11905</v>
      </c>
      <c r="C1169" s="13" t="s">
        <v>1976</v>
      </c>
      <c r="D1169" s="13" t="s">
        <v>50</v>
      </c>
      <c r="E1169" s="13" t="s">
        <v>50</v>
      </c>
      <c r="F1169" s="14"/>
      <c r="G1169" s="14">
        <v>238.8</v>
      </c>
      <c r="H1169" s="14"/>
      <c r="I1169" s="14">
        <v>-40.59</v>
      </c>
      <c r="J1169" s="14">
        <v>-61.35</v>
      </c>
      <c r="K1169" s="14"/>
      <c r="L1169" s="14">
        <v>136.86</v>
      </c>
      <c r="M1169" s="13" t="s">
        <v>46</v>
      </c>
      <c r="N1169" s="13" t="s">
        <v>50</v>
      </c>
      <c r="O1169" s="13" t="s">
        <v>50</v>
      </c>
      <c r="P1169" s="13" t="s">
        <v>50</v>
      </c>
      <c r="Q1169" s="13" t="s">
        <v>50</v>
      </c>
      <c r="R1169" s="13" t="s">
        <v>50</v>
      </c>
      <c r="S1169" s="14"/>
      <c r="T1169" s="14"/>
      <c r="U1169" s="14" t="s">
        <v>50</v>
      </c>
      <c r="V1169" s="13" t="s">
        <v>52</v>
      </c>
      <c r="W1169" s="13" t="s">
        <v>11906</v>
      </c>
      <c r="X1169" s="13" t="s">
        <v>11907</v>
      </c>
      <c r="Y1169" s="13" t="s">
        <v>11908</v>
      </c>
      <c r="Z1169" s="13" t="s">
        <v>50</v>
      </c>
      <c r="AA1169" s="13" t="s">
        <v>50</v>
      </c>
      <c r="AB1169" s="13" t="s">
        <v>11906</v>
      </c>
      <c r="AC1169" s="13" t="s">
        <v>11909</v>
      </c>
      <c r="AD1169" s="13" t="s">
        <v>11910</v>
      </c>
      <c r="AE1169" s="13" t="s">
        <v>151</v>
      </c>
      <c r="AF1169" s="13" t="s">
        <v>151</v>
      </c>
      <c r="AG1169" s="13" t="s">
        <v>11911</v>
      </c>
      <c r="AH1169" s="13" t="s">
        <v>60</v>
      </c>
      <c r="AI1169" s="13" t="s">
        <v>61</v>
      </c>
      <c r="AJ1169" s="13" t="s">
        <v>11912</v>
      </c>
      <c r="AK1169" s="13" t="s">
        <v>11913</v>
      </c>
      <c r="AL1169" s="13" t="s">
        <v>64</v>
      </c>
      <c r="AM1169" s="13" t="s">
        <v>11914</v>
      </c>
      <c r="AN1169" s="13" t="s">
        <v>50</v>
      </c>
      <c r="AO1169" s="15" t="s">
        <v>50</v>
      </c>
      <c r="AP1169" s="13" t="s">
        <v>50</v>
      </c>
      <c r="AQ1169" s="13" t="s">
        <v>50</v>
      </c>
      <c r="AR1169" s="13" t="s">
        <v>50</v>
      </c>
      <c r="AS1169" s="13" t="s">
        <v>50</v>
      </c>
      <c r="AT1169" s="13" t="s">
        <v>50</v>
      </c>
      <c r="AU1169" s="13" t="s">
        <v>50</v>
      </c>
      <c r="AV1169" s="15"/>
      <c r="AW1169" s="13" t="s">
        <v>50</v>
      </c>
      <c r="AX1169" s="13"/>
      <c r="AY1169" s="13" t="s">
        <v>50</v>
      </c>
    </row>
    <row r="1170" ht="22.5" hidden="1" customHeight="1">
      <c r="A1170" s="16" t="s">
        <v>11915</v>
      </c>
      <c r="B1170" s="17" t="s">
        <v>11905</v>
      </c>
      <c r="C1170" s="17" t="s">
        <v>43</v>
      </c>
      <c r="D1170" s="17" t="s">
        <v>9839</v>
      </c>
      <c r="E1170" s="17" t="s">
        <v>45</v>
      </c>
      <c r="F1170" s="18">
        <v>1.0</v>
      </c>
      <c r="G1170" s="18"/>
      <c r="H1170" s="18"/>
      <c r="I1170" s="18"/>
      <c r="J1170" s="18"/>
      <c r="K1170" s="18"/>
      <c r="L1170" s="18"/>
      <c r="M1170" s="17" t="s">
        <v>50</v>
      </c>
      <c r="N1170" s="17" t="s">
        <v>45</v>
      </c>
      <c r="O1170" s="17" t="s">
        <v>412</v>
      </c>
      <c r="P1170" s="17" t="s">
        <v>413</v>
      </c>
      <c r="Q1170" s="17" t="s">
        <v>414</v>
      </c>
      <c r="R1170" s="17" t="s">
        <v>415</v>
      </c>
      <c r="S1170" s="18">
        <v>79.2</v>
      </c>
      <c r="T1170" s="18">
        <v>10.05</v>
      </c>
      <c r="U1170" s="18" t="s">
        <v>51</v>
      </c>
      <c r="V1170" s="17" t="s">
        <v>50</v>
      </c>
      <c r="W1170" s="17" t="s">
        <v>50</v>
      </c>
      <c r="X1170" s="17" t="s">
        <v>50</v>
      </c>
      <c r="Y1170" s="17" t="s">
        <v>50</v>
      </c>
      <c r="Z1170" s="17" t="s">
        <v>50</v>
      </c>
      <c r="AA1170" s="17" t="s">
        <v>50</v>
      </c>
      <c r="AB1170" s="17" t="s">
        <v>50</v>
      </c>
      <c r="AC1170" s="17" t="s">
        <v>50</v>
      </c>
      <c r="AD1170" s="17" t="s">
        <v>50</v>
      </c>
      <c r="AE1170" s="17" t="s">
        <v>50</v>
      </c>
      <c r="AF1170" s="17" t="s">
        <v>50</v>
      </c>
      <c r="AG1170" s="17" t="s">
        <v>50</v>
      </c>
      <c r="AH1170" s="17" t="s">
        <v>50</v>
      </c>
      <c r="AI1170" s="17" t="s">
        <v>50</v>
      </c>
      <c r="AJ1170" s="17" t="s">
        <v>50</v>
      </c>
      <c r="AK1170" s="17" t="s">
        <v>50</v>
      </c>
      <c r="AL1170" s="17" t="s">
        <v>50</v>
      </c>
      <c r="AM1170" s="17" t="s">
        <v>50</v>
      </c>
      <c r="AN1170" s="17" t="s">
        <v>50</v>
      </c>
      <c r="AO1170" s="18" t="s">
        <v>50</v>
      </c>
      <c r="AP1170" s="17" t="s">
        <v>50</v>
      </c>
      <c r="AQ1170" s="17" t="s">
        <v>50</v>
      </c>
      <c r="AR1170" s="17" t="s">
        <v>50</v>
      </c>
      <c r="AS1170" s="17" t="s">
        <v>50</v>
      </c>
      <c r="AT1170" s="17" t="s">
        <v>50</v>
      </c>
      <c r="AU1170" s="17" t="s">
        <v>50</v>
      </c>
      <c r="AV1170" s="18"/>
      <c r="AW1170" s="17" t="s">
        <v>66</v>
      </c>
      <c r="AX1170" s="17"/>
      <c r="AY1170" s="17" t="s">
        <v>66</v>
      </c>
    </row>
    <row r="1171" ht="22.5" hidden="1" customHeight="1">
      <c r="A1171" s="16" t="s">
        <v>11916</v>
      </c>
      <c r="B1171" s="17" t="s">
        <v>11905</v>
      </c>
      <c r="C1171" s="17" t="s">
        <v>43</v>
      </c>
      <c r="D1171" s="17" t="s">
        <v>9839</v>
      </c>
      <c r="E1171" s="17" t="s">
        <v>45</v>
      </c>
      <c r="F1171" s="18">
        <v>1.0</v>
      </c>
      <c r="G1171" s="18"/>
      <c r="H1171" s="18"/>
      <c r="I1171" s="18"/>
      <c r="J1171" s="18"/>
      <c r="K1171" s="18"/>
      <c r="L1171" s="18"/>
      <c r="M1171" s="17" t="s">
        <v>50</v>
      </c>
      <c r="N1171" s="17" t="s">
        <v>45</v>
      </c>
      <c r="O1171" s="17" t="s">
        <v>160</v>
      </c>
      <c r="P1171" s="17" t="s">
        <v>161</v>
      </c>
      <c r="Q1171" s="17" t="s">
        <v>162</v>
      </c>
      <c r="R1171" s="17" t="s">
        <v>74</v>
      </c>
      <c r="S1171" s="18">
        <v>79.0</v>
      </c>
      <c r="T1171" s="18">
        <v>2.49</v>
      </c>
      <c r="U1171" s="18" t="s">
        <v>51</v>
      </c>
      <c r="V1171" s="17" t="s">
        <v>50</v>
      </c>
      <c r="W1171" s="17" t="s">
        <v>50</v>
      </c>
      <c r="X1171" s="17" t="s">
        <v>50</v>
      </c>
      <c r="Y1171" s="17" t="s">
        <v>50</v>
      </c>
      <c r="Z1171" s="17" t="s">
        <v>50</v>
      </c>
      <c r="AA1171" s="17" t="s">
        <v>50</v>
      </c>
      <c r="AB1171" s="17" t="s">
        <v>50</v>
      </c>
      <c r="AC1171" s="17" t="s">
        <v>50</v>
      </c>
      <c r="AD1171" s="17" t="s">
        <v>50</v>
      </c>
      <c r="AE1171" s="17" t="s">
        <v>50</v>
      </c>
      <c r="AF1171" s="17" t="s">
        <v>50</v>
      </c>
      <c r="AG1171" s="17" t="s">
        <v>50</v>
      </c>
      <c r="AH1171" s="17" t="s">
        <v>50</v>
      </c>
      <c r="AI1171" s="17" t="s">
        <v>50</v>
      </c>
      <c r="AJ1171" s="17" t="s">
        <v>50</v>
      </c>
      <c r="AK1171" s="17" t="s">
        <v>50</v>
      </c>
      <c r="AL1171" s="17" t="s">
        <v>50</v>
      </c>
      <c r="AM1171" s="17" t="s">
        <v>50</v>
      </c>
      <c r="AN1171" s="17" t="s">
        <v>50</v>
      </c>
      <c r="AO1171" s="18" t="s">
        <v>50</v>
      </c>
      <c r="AP1171" s="17" t="s">
        <v>50</v>
      </c>
      <c r="AQ1171" s="17" t="s">
        <v>50</v>
      </c>
      <c r="AR1171" s="17" t="s">
        <v>50</v>
      </c>
      <c r="AS1171" s="17" t="s">
        <v>50</v>
      </c>
      <c r="AT1171" s="17" t="s">
        <v>50</v>
      </c>
      <c r="AU1171" s="17" t="s">
        <v>50</v>
      </c>
      <c r="AV1171" s="18"/>
      <c r="AW1171" s="17" t="s">
        <v>66</v>
      </c>
      <c r="AX1171" s="17"/>
      <c r="AY1171" s="17" t="s">
        <v>66</v>
      </c>
    </row>
    <row r="1172" ht="22.5" hidden="1" customHeight="1">
      <c r="A1172" s="16" t="s">
        <v>11917</v>
      </c>
      <c r="B1172" s="17" t="s">
        <v>11905</v>
      </c>
      <c r="C1172" s="17" t="s">
        <v>43</v>
      </c>
      <c r="D1172" s="17" t="s">
        <v>9839</v>
      </c>
      <c r="E1172" s="17" t="s">
        <v>45</v>
      </c>
      <c r="F1172" s="18">
        <v>1.0</v>
      </c>
      <c r="G1172" s="18"/>
      <c r="H1172" s="18"/>
      <c r="I1172" s="18"/>
      <c r="J1172" s="18"/>
      <c r="K1172" s="18"/>
      <c r="L1172" s="18"/>
      <c r="M1172" s="17" t="s">
        <v>50</v>
      </c>
      <c r="N1172" s="17" t="s">
        <v>45</v>
      </c>
      <c r="O1172" s="17" t="s">
        <v>265</v>
      </c>
      <c r="P1172" s="17" t="s">
        <v>266</v>
      </c>
      <c r="Q1172" s="17" t="s">
        <v>267</v>
      </c>
      <c r="R1172" s="17" t="s">
        <v>74</v>
      </c>
      <c r="S1172" s="18">
        <v>80.6</v>
      </c>
      <c r="T1172" s="18">
        <v>26.22</v>
      </c>
      <c r="U1172" s="18" t="s">
        <v>51</v>
      </c>
      <c r="V1172" s="17" t="s">
        <v>50</v>
      </c>
      <c r="W1172" s="17" t="s">
        <v>50</v>
      </c>
      <c r="X1172" s="17" t="s">
        <v>50</v>
      </c>
      <c r="Y1172" s="17" t="s">
        <v>50</v>
      </c>
      <c r="Z1172" s="17" t="s">
        <v>50</v>
      </c>
      <c r="AA1172" s="17" t="s">
        <v>50</v>
      </c>
      <c r="AB1172" s="17" t="s">
        <v>50</v>
      </c>
      <c r="AC1172" s="17" t="s">
        <v>50</v>
      </c>
      <c r="AD1172" s="17" t="s">
        <v>50</v>
      </c>
      <c r="AE1172" s="17" t="s">
        <v>50</v>
      </c>
      <c r="AF1172" s="17" t="s">
        <v>50</v>
      </c>
      <c r="AG1172" s="17" t="s">
        <v>50</v>
      </c>
      <c r="AH1172" s="17" t="s">
        <v>50</v>
      </c>
      <c r="AI1172" s="17" t="s">
        <v>50</v>
      </c>
      <c r="AJ1172" s="17" t="s">
        <v>50</v>
      </c>
      <c r="AK1172" s="17" t="s">
        <v>50</v>
      </c>
      <c r="AL1172" s="17" t="s">
        <v>50</v>
      </c>
      <c r="AM1172" s="17" t="s">
        <v>50</v>
      </c>
      <c r="AN1172" s="17" t="s">
        <v>50</v>
      </c>
      <c r="AO1172" s="18" t="s">
        <v>50</v>
      </c>
      <c r="AP1172" s="17" t="s">
        <v>50</v>
      </c>
      <c r="AQ1172" s="17" t="s">
        <v>50</v>
      </c>
      <c r="AR1172" s="17" t="s">
        <v>50</v>
      </c>
      <c r="AS1172" s="17" t="s">
        <v>50</v>
      </c>
      <c r="AT1172" s="17" t="s">
        <v>50</v>
      </c>
      <c r="AU1172" s="17" t="s">
        <v>50</v>
      </c>
      <c r="AV1172" s="18"/>
      <c r="AW1172" s="17" t="s">
        <v>66</v>
      </c>
      <c r="AX1172" s="17"/>
      <c r="AY1172" s="17" t="s">
        <v>66</v>
      </c>
    </row>
    <row r="1173" ht="22.5" hidden="1" customHeight="1">
      <c r="A1173" s="9" t="s">
        <v>11918</v>
      </c>
      <c r="B1173" s="10" t="s">
        <v>11919</v>
      </c>
      <c r="C1173" s="10" t="s">
        <v>43</v>
      </c>
      <c r="D1173" s="10" t="s">
        <v>11161</v>
      </c>
      <c r="E1173" s="10" t="s">
        <v>66</v>
      </c>
      <c r="F1173" s="11">
        <v>1.0</v>
      </c>
      <c r="G1173" s="11">
        <v>80.0</v>
      </c>
      <c r="H1173" s="11">
        <v>10.75</v>
      </c>
      <c r="I1173" s="11">
        <v>-13.6</v>
      </c>
      <c r="J1173" s="11">
        <v>-30.7</v>
      </c>
      <c r="K1173" s="11"/>
      <c r="L1173" s="11">
        <v>50.45</v>
      </c>
      <c r="M1173" s="10" t="s">
        <v>46</v>
      </c>
      <c r="N1173" s="10" t="s">
        <v>45</v>
      </c>
      <c r="O1173" s="10" t="s">
        <v>143</v>
      </c>
      <c r="P1173" s="10" t="s">
        <v>144</v>
      </c>
      <c r="Q1173" s="10" t="s">
        <v>145</v>
      </c>
      <c r="R1173" s="10" t="s">
        <v>74</v>
      </c>
      <c r="S1173" s="11">
        <v>80.0</v>
      </c>
      <c r="T1173" s="11">
        <v>33.38</v>
      </c>
      <c r="U1173" s="11" t="s">
        <v>51</v>
      </c>
      <c r="V1173" s="10" t="s">
        <v>52</v>
      </c>
      <c r="W1173" s="10" t="s">
        <v>11920</v>
      </c>
      <c r="X1173" s="10" t="s">
        <v>11921</v>
      </c>
      <c r="Y1173" s="10" t="s">
        <v>11922</v>
      </c>
      <c r="Z1173" s="10" t="s">
        <v>50</v>
      </c>
      <c r="AA1173" s="10" t="s">
        <v>50</v>
      </c>
      <c r="AB1173" s="10" t="s">
        <v>11920</v>
      </c>
      <c r="AC1173" s="10" t="s">
        <v>11923</v>
      </c>
      <c r="AD1173" s="10" t="s">
        <v>11924</v>
      </c>
      <c r="AE1173" s="10" t="s">
        <v>1021</v>
      </c>
      <c r="AF1173" s="10" t="s">
        <v>799</v>
      </c>
      <c r="AG1173" s="10" t="s">
        <v>11925</v>
      </c>
      <c r="AH1173" s="10" t="s">
        <v>60</v>
      </c>
      <c r="AI1173" s="10" t="s">
        <v>61</v>
      </c>
      <c r="AJ1173" s="10" t="s">
        <v>11183</v>
      </c>
      <c r="AK1173" s="10" t="s">
        <v>11926</v>
      </c>
      <c r="AL1173" s="10" t="s">
        <v>64</v>
      </c>
      <c r="AM1173" s="10" t="s">
        <v>11927</v>
      </c>
      <c r="AN1173" s="10" t="s">
        <v>50</v>
      </c>
      <c r="AO1173" s="11" t="s">
        <v>50</v>
      </c>
      <c r="AP1173" s="10" t="s">
        <v>50</v>
      </c>
      <c r="AQ1173" s="10" t="s">
        <v>50</v>
      </c>
      <c r="AR1173" s="10" t="s">
        <v>50</v>
      </c>
      <c r="AS1173" s="10" t="s">
        <v>50</v>
      </c>
      <c r="AT1173" s="10" t="s">
        <v>50</v>
      </c>
      <c r="AU1173" s="10" t="s">
        <v>50</v>
      </c>
      <c r="AV1173" s="11"/>
      <c r="AW1173" s="10" t="s">
        <v>66</v>
      </c>
      <c r="AX1173" s="10"/>
      <c r="AY1173" s="10" t="s">
        <v>66</v>
      </c>
    </row>
    <row r="1174" ht="22.5" hidden="1" customHeight="1">
      <c r="A1174" s="9" t="s">
        <v>11928</v>
      </c>
      <c r="B1174" s="10" t="s">
        <v>11929</v>
      </c>
      <c r="C1174" s="10" t="s">
        <v>43</v>
      </c>
      <c r="D1174" s="10" t="s">
        <v>11161</v>
      </c>
      <c r="E1174" s="10" t="s">
        <v>45</v>
      </c>
      <c r="F1174" s="11">
        <v>1.0</v>
      </c>
      <c r="G1174" s="11">
        <v>79.0</v>
      </c>
      <c r="H1174" s="11"/>
      <c r="I1174" s="11">
        <v>-13.43</v>
      </c>
      <c r="J1174" s="11">
        <v>-20.45</v>
      </c>
      <c r="K1174" s="11"/>
      <c r="L1174" s="11">
        <v>45.12</v>
      </c>
      <c r="M1174" s="10" t="s">
        <v>46</v>
      </c>
      <c r="N1174" s="10" t="s">
        <v>50</v>
      </c>
      <c r="O1174" s="10" t="s">
        <v>160</v>
      </c>
      <c r="P1174" s="10" t="s">
        <v>161</v>
      </c>
      <c r="Q1174" s="10" t="s">
        <v>162</v>
      </c>
      <c r="R1174" s="10" t="s">
        <v>74</v>
      </c>
      <c r="S1174" s="11">
        <v>79.0</v>
      </c>
      <c r="T1174" s="11">
        <v>2.49</v>
      </c>
      <c r="U1174" s="11" t="s">
        <v>51</v>
      </c>
      <c r="V1174" s="10" t="s">
        <v>52</v>
      </c>
      <c r="W1174" s="10" t="s">
        <v>11930</v>
      </c>
      <c r="X1174" s="10" t="s">
        <v>11931</v>
      </c>
      <c r="Y1174" s="10" t="s">
        <v>11932</v>
      </c>
      <c r="Z1174" s="10" t="s">
        <v>50</v>
      </c>
      <c r="AA1174" s="10" t="s">
        <v>50</v>
      </c>
      <c r="AB1174" s="10" t="s">
        <v>11930</v>
      </c>
      <c r="AC1174" s="10" t="s">
        <v>11933</v>
      </c>
      <c r="AD1174" s="10" t="s">
        <v>11934</v>
      </c>
      <c r="AE1174" s="10" t="s">
        <v>58</v>
      </c>
      <c r="AF1174" s="10" t="s">
        <v>58</v>
      </c>
      <c r="AG1174" s="10" t="s">
        <v>11935</v>
      </c>
      <c r="AH1174" s="10" t="s">
        <v>60</v>
      </c>
      <c r="AI1174" s="10" t="s">
        <v>61</v>
      </c>
      <c r="AJ1174" s="10" t="s">
        <v>11404</v>
      </c>
      <c r="AK1174" s="10" t="s">
        <v>11936</v>
      </c>
      <c r="AL1174" s="10" t="s">
        <v>64</v>
      </c>
      <c r="AM1174" s="10" t="s">
        <v>11937</v>
      </c>
      <c r="AN1174" s="10" t="s">
        <v>50</v>
      </c>
      <c r="AO1174" s="11" t="s">
        <v>50</v>
      </c>
      <c r="AP1174" s="10" t="s">
        <v>50</v>
      </c>
      <c r="AQ1174" s="10" t="s">
        <v>50</v>
      </c>
      <c r="AR1174" s="10" t="s">
        <v>50</v>
      </c>
      <c r="AS1174" s="10" t="s">
        <v>50</v>
      </c>
      <c r="AT1174" s="10" t="s">
        <v>50</v>
      </c>
      <c r="AU1174" s="10" t="s">
        <v>50</v>
      </c>
      <c r="AV1174" s="11"/>
      <c r="AW1174" s="10" t="s">
        <v>66</v>
      </c>
      <c r="AX1174" s="10"/>
      <c r="AY1174" s="10" t="s">
        <v>66</v>
      </c>
    </row>
    <row r="1175" ht="22.5" hidden="1" customHeight="1">
      <c r="A1175" s="9" t="s">
        <v>11938</v>
      </c>
      <c r="B1175" s="10" t="s">
        <v>11939</v>
      </c>
      <c r="C1175" s="10" t="s">
        <v>43</v>
      </c>
      <c r="D1175" s="10" t="s">
        <v>9839</v>
      </c>
      <c r="E1175" s="10" t="s">
        <v>45</v>
      </c>
      <c r="F1175" s="11">
        <v>1.0</v>
      </c>
      <c r="G1175" s="11">
        <v>79.35</v>
      </c>
      <c r="H1175" s="11"/>
      <c r="I1175" s="11">
        <v>-15.08</v>
      </c>
      <c r="J1175" s="11">
        <v>-19.95</v>
      </c>
      <c r="K1175" s="11"/>
      <c r="L1175" s="11">
        <v>44.32</v>
      </c>
      <c r="M1175" s="10" t="s">
        <v>46</v>
      </c>
      <c r="N1175" s="10" t="s">
        <v>50</v>
      </c>
      <c r="O1175" s="10" t="s">
        <v>47</v>
      </c>
      <c r="P1175" s="10" t="s">
        <v>48</v>
      </c>
      <c r="Q1175" s="10" t="s">
        <v>49</v>
      </c>
      <c r="R1175" s="10" t="s">
        <v>50</v>
      </c>
      <c r="S1175" s="11">
        <v>79.35</v>
      </c>
      <c r="T1175" s="11">
        <v>12.45</v>
      </c>
      <c r="U1175" s="11" t="s">
        <v>51</v>
      </c>
      <c r="V1175" s="10" t="s">
        <v>52</v>
      </c>
      <c r="W1175" s="10" t="s">
        <v>11940</v>
      </c>
      <c r="X1175" s="10" t="s">
        <v>11941</v>
      </c>
      <c r="Y1175" s="10" t="s">
        <v>11942</v>
      </c>
      <c r="Z1175" s="10" t="s">
        <v>50</v>
      </c>
      <c r="AA1175" s="10" t="s">
        <v>50</v>
      </c>
      <c r="AB1175" s="10" t="s">
        <v>11940</v>
      </c>
      <c r="AC1175" s="10" t="s">
        <v>11943</v>
      </c>
      <c r="AD1175" s="10" t="s">
        <v>11944</v>
      </c>
      <c r="AE1175" s="10" t="s">
        <v>11945</v>
      </c>
      <c r="AF1175" s="10" t="s">
        <v>151</v>
      </c>
      <c r="AG1175" s="10" t="s">
        <v>11946</v>
      </c>
      <c r="AH1175" s="10" t="s">
        <v>60</v>
      </c>
      <c r="AI1175" s="10" t="s">
        <v>61</v>
      </c>
      <c r="AJ1175" s="10" t="s">
        <v>11558</v>
      </c>
      <c r="AK1175" s="10" t="s">
        <v>11947</v>
      </c>
      <c r="AL1175" s="10" t="s">
        <v>64</v>
      </c>
      <c r="AM1175" s="10" t="s">
        <v>11948</v>
      </c>
      <c r="AN1175" s="10" t="s">
        <v>50</v>
      </c>
      <c r="AO1175" s="11" t="s">
        <v>50</v>
      </c>
      <c r="AP1175" s="10" t="s">
        <v>50</v>
      </c>
      <c r="AQ1175" s="10" t="s">
        <v>50</v>
      </c>
      <c r="AR1175" s="10" t="s">
        <v>50</v>
      </c>
      <c r="AS1175" s="10" t="s">
        <v>50</v>
      </c>
      <c r="AT1175" s="10" t="s">
        <v>50</v>
      </c>
      <c r="AU1175" s="10" t="s">
        <v>50</v>
      </c>
      <c r="AV1175" s="11"/>
      <c r="AW1175" s="10" t="s">
        <v>66</v>
      </c>
      <c r="AX1175" s="10"/>
      <c r="AY1175" s="10" t="s">
        <v>66</v>
      </c>
    </row>
    <row r="1176" ht="22.5" hidden="1" customHeight="1">
      <c r="A1176" s="9" t="s">
        <v>11949</v>
      </c>
      <c r="B1176" s="10" t="s">
        <v>11950</v>
      </c>
      <c r="C1176" s="10" t="s">
        <v>43</v>
      </c>
      <c r="D1176" s="10" t="s">
        <v>10258</v>
      </c>
      <c r="E1176" s="10" t="s">
        <v>45</v>
      </c>
      <c r="F1176" s="11">
        <v>2.0</v>
      </c>
      <c r="G1176" s="11">
        <v>70.3</v>
      </c>
      <c r="H1176" s="11">
        <v>18.81</v>
      </c>
      <c r="I1176" s="11">
        <v>-23.96</v>
      </c>
      <c r="J1176" s="11">
        <v>-18.81</v>
      </c>
      <c r="K1176" s="11"/>
      <c r="L1176" s="11">
        <v>50.56</v>
      </c>
      <c r="M1176" s="10" t="s">
        <v>46</v>
      </c>
      <c r="N1176" s="10" t="s">
        <v>50</v>
      </c>
      <c r="O1176" s="10" t="s">
        <v>2926</v>
      </c>
      <c r="P1176" s="10" t="s">
        <v>2927</v>
      </c>
      <c r="Q1176" s="10" t="s">
        <v>2928</v>
      </c>
      <c r="R1176" s="10" t="s">
        <v>74</v>
      </c>
      <c r="S1176" s="11">
        <v>35.15</v>
      </c>
      <c r="T1176" s="18">
        <f>2*2.49</f>
        <v>4.98</v>
      </c>
      <c r="U1176" s="11" t="s">
        <v>51</v>
      </c>
      <c r="V1176" s="10" t="s">
        <v>52</v>
      </c>
      <c r="W1176" s="10" t="s">
        <v>11951</v>
      </c>
      <c r="X1176" s="10" t="s">
        <v>11952</v>
      </c>
      <c r="Y1176" s="10" t="s">
        <v>11953</v>
      </c>
      <c r="Z1176" s="10" t="s">
        <v>50</v>
      </c>
      <c r="AA1176" s="10" t="s">
        <v>50</v>
      </c>
      <c r="AB1176" s="10" t="s">
        <v>11951</v>
      </c>
      <c r="AC1176" s="10" t="s">
        <v>11954</v>
      </c>
      <c r="AD1176" s="10" t="s">
        <v>11955</v>
      </c>
      <c r="AE1176" s="10" t="s">
        <v>11956</v>
      </c>
      <c r="AF1176" s="10" t="s">
        <v>185</v>
      </c>
      <c r="AG1176" s="10" t="s">
        <v>11957</v>
      </c>
      <c r="AH1176" s="10" t="s">
        <v>60</v>
      </c>
      <c r="AI1176" s="10" t="s">
        <v>61</v>
      </c>
      <c r="AJ1176" s="10" t="s">
        <v>11458</v>
      </c>
      <c r="AK1176" s="10" t="s">
        <v>11958</v>
      </c>
      <c r="AL1176" s="10" t="s">
        <v>64</v>
      </c>
      <c r="AM1176" s="10" t="s">
        <v>11959</v>
      </c>
      <c r="AN1176" s="10" t="s">
        <v>50</v>
      </c>
      <c r="AO1176" s="11" t="s">
        <v>50</v>
      </c>
      <c r="AP1176" s="10" t="s">
        <v>50</v>
      </c>
      <c r="AQ1176" s="10" t="s">
        <v>50</v>
      </c>
      <c r="AR1176" s="10" t="s">
        <v>50</v>
      </c>
      <c r="AS1176" s="10" t="s">
        <v>50</v>
      </c>
      <c r="AT1176" s="10" t="s">
        <v>50</v>
      </c>
      <c r="AU1176" s="10" t="s">
        <v>50</v>
      </c>
      <c r="AV1176" s="11"/>
      <c r="AW1176" s="10" t="s">
        <v>66</v>
      </c>
      <c r="AX1176" s="10"/>
      <c r="AY1176" s="10" t="s">
        <v>66</v>
      </c>
    </row>
    <row r="1177" ht="22.5" hidden="1" customHeight="1">
      <c r="A1177" s="9" t="s">
        <v>11960</v>
      </c>
      <c r="B1177" s="10" t="s">
        <v>11961</v>
      </c>
      <c r="C1177" s="10" t="s">
        <v>43</v>
      </c>
      <c r="D1177" s="10" t="s">
        <v>7750</v>
      </c>
      <c r="E1177" s="10" t="s">
        <v>45</v>
      </c>
      <c r="F1177" s="11">
        <v>1.0</v>
      </c>
      <c r="G1177" s="11">
        <v>36.8</v>
      </c>
      <c r="H1177" s="11">
        <v>40.85</v>
      </c>
      <c r="I1177" s="11">
        <v>-12.26</v>
      </c>
      <c r="J1177" s="11">
        <v>-40.85</v>
      </c>
      <c r="K1177" s="11"/>
      <c r="L1177" s="11">
        <v>26.38</v>
      </c>
      <c r="M1177" s="10" t="s">
        <v>46</v>
      </c>
      <c r="N1177" s="10" t="s">
        <v>45</v>
      </c>
      <c r="O1177" s="10" t="s">
        <v>71</v>
      </c>
      <c r="P1177" s="10" t="s">
        <v>72</v>
      </c>
      <c r="Q1177" s="10" t="s">
        <v>73</v>
      </c>
      <c r="R1177" s="10" t="s">
        <v>74</v>
      </c>
      <c r="S1177" s="11">
        <v>36.8</v>
      </c>
      <c r="T1177" s="11">
        <v>4.58</v>
      </c>
      <c r="U1177" s="11" t="s">
        <v>51</v>
      </c>
      <c r="V1177" s="10" t="s">
        <v>52</v>
      </c>
      <c r="W1177" s="10" t="s">
        <v>11962</v>
      </c>
      <c r="X1177" s="10" t="s">
        <v>11963</v>
      </c>
      <c r="Y1177" s="10" t="s">
        <v>11964</v>
      </c>
      <c r="Z1177" s="10" t="s">
        <v>50</v>
      </c>
      <c r="AA1177" s="10" t="s">
        <v>50</v>
      </c>
      <c r="AB1177" s="10" t="s">
        <v>11962</v>
      </c>
      <c r="AC1177" s="10" t="s">
        <v>11965</v>
      </c>
      <c r="AD1177" s="10" t="s">
        <v>11966</v>
      </c>
      <c r="AE1177" s="10" t="s">
        <v>11967</v>
      </c>
      <c r="AF1177" s="10" t="s">
        <v>169</v>
      </c>
      <c r="AG1177" s="10" t="s">
        <v>11968</v>
      </c>
      <c r="AH1177" s="10" t="s">
        <v>60</v>
      </c>
      <c r="AI1177" s="10" t="s">
        <v>61</v>
      </c>
      <c r="AJ1177" s="10" t="s">
        <v>11469</v>
      </c>
      <c r="AK1177" s="10" t="s">
        <v>11969</v>
      </c>
      <c r="AL1177" s="10" t="s">
        <v>64</v>
      </c>
      <c r="AM1177" s="10" t="s">
        <v>11970</v>
      </c>
      <c r="AN1177" s="10" t="s">
        <v>50</v>
      </c>
      <c r="AO1177" s="11" t="s">
        <v>50</v>
      </c>
      <c r="AP1177" s="10" t="s">
        <v>50</v>
      </c>
      <c r="AQ1177" s="10" t="s">
        <v>50</v>
      </c>
      <c r="AR1177" s="10" t="s">
        <v>50</v>
      </c>
      <c r="AS1177" s="10" t="s">
        <v>50</v>
      </c>
      <c r="AT1177" s="10" t="s">
        <v>50</v>
      </c>
      <c r="AU1177" s="10" t="s">
        <v>50</v>
      </c>
      <c r="AV1177" s="11"/>
      <c r="AW1177" s="10" t="s">
        <v>66</v>
      </c>
      <c r="AX1177" s="10"/>
      <c r="AY1177" s="10" t="s">
        <v>66</v>
      </c>
    </row>
    <row r="1178" ht="22.5" hidden="1" customHeight="1">
      <c r="A1178" s="9" t="s">
        <v>11971</v>
      </c>
      <c r="B1178" s="10" t="s">
        <v>11961</v>
      </c>
      <c r="C1178" s="10" t="s">
        <v>43</v>
      </c>
      <c r="D1178" s="10" t="s">
        <v>11161</v>
      </c>
      <c r="E1178" s="10" t="s">
        <v>45</v>
      </c>
      <c r="F1178" s="11">
        <v>1.0</v>
      </c>
      <c r="G1178" s="11">
        <v>79.2</v>
      </c>
      <c r="H1178" s="11"/>
      <c r="I1178" s="11">
        <v>-13.46</v>
      </c>
      <c r="J1178" s="11">
        <v>-20.45</v>
      </c>
      <c r="K1178" s="11"/>
      <c r="L1178" s="11">
        <v>45.29</v>
      </c>
      <c r="M1178" s="10" t="s">
        <v>46</v>
      </c>
      <c r="N1178" s="10" t="s">
        <v>45</v>
      </c>
      <c r="O1178" s="10" t="s">
        <v>892</v>
      </c>
      <c r="P1178" s="10" t="s">
        <v>893</v>
      </c>
      <c r="Q1178" s="10" t="s">
        <v>894</v>
      </c>
      <c r="R1178" s="10" t="s">
        <v>74</v>
      </c>
      <c r="S1178" s="11">
        <v>79.2</v>
      </c>
      <c r="T1178" s="11">
        <v>2.97</v>
      </c>
      <c r="U1178" s="11" t="s">
        <v>51</v>
      </c>
      <c r="V1178" s="10" t="s">
        <v>52</v>
      </c>
      <c r="W1178" s="10" t="s">
        <v>11972</v>
      </c>
      <c r="X1178" s="10" t="s">
        <v>11973</v>
      </c>
      <c r="Y1178" s="10" t="s">
        <v>11974</v>
      </c>
      <c r="Z1178" s="10" t="s">
        <v>50</v>
      </c>
      <c r="AA1178" s="10" t="s">
        <v>50</v>
      </c>
      <c r="AB1178" s="10" t="s">
        <v>11972</v>
      </c>
      <c r="AC1178" s="10" t="s">
        <v>11975</v>
      </c>
      <c r="AD1178" s="10" t="s">
        <v>11976</v>
      </c>
      <c r="AE1178" s="10" t="s">
        <v>857</v>
      </c>
      <c r="AF1178" s="10" t="s">
        <v>58</v>
      </c>
      <c r="AG1178" s="10" t="s">
        <v>11977</v>
      </c>
      <c r="AH1178" s="10" t="s">
        <v>60</v>
      </c>
      <c r="AI1178" s="10" t="s">
        <v>61</v>
      </c>
      <c r="AJ1178" s="10" t="s">
        <v>11458</v>
      </c>
      <c r="AK1178" s="10" t="s">
        <v>11978</v>
      </c>
      <c r="AL1178" s="10" t="s">
        <v>64</v>
      </c>
      <c r="AM1178" s="10" t="s">
        <v>11979</v>
      </c>
      <c r="AN1178" s="10" t="s">
        <v>50</v>
      </c>
      <c r="AO1178" s="11" t="s">
        <v>50</v>
      </c>
      <c r="AP1178" s="10" t="s">
        <v>50</v>
      </c>
      <c r="AQ1178" s="10" t="s">
        <v>50</v>
      </c>
      <c r="AR1178" s="10" t="s">
        <v>50</v>
      </c>
      <c r="AS1178" s="10" t="s">
        <v>50</v>
      </c>
      <c r="AT1178" s="10" t="s">
        <v>50</v>
      </c>
      <c r="AU1178" s="10" t="s">
        <v>50</v>
      </c>
      <c r="AV1178" s="11"/>
      <c r="AW1178" s="10" t="s">
        <v>66</v>
      </c>
      <c r="AX1178" s="10"/>
      <c r="AY1178" s="10" t="s">
        <v>66</v>
      </c>
    </row>
    <row r="1179" ht="22.5" hidden="1" customHeight="1">
      <c r="A1179" s="9" t="s">
        <v>11980</v>
      </c>
      <c r="B1179" s="10" t="s">
        <v>11981</v>
      </c>
      <c r="C1179" s="10" t="s">
        <v>11982</v>
      </c>
      <c r="D1179" s="10" t="s">
        <v>11983</v>
      </c>
      <c r="E1179" s="10" t="s">
        <v>66</v>
      </c>
      <c r="F1179" s="11">
        <v>1.0</v>
      </c>
      <c r="G1179" s="11">
        <v>120.0</v>
      </c>
      <c r="H1179" s="11"/>
      <c r="I1179" s="11">
        <v>-20.4</v>
      </c>
      <c r="J1179" s="11">
        <v>-19.95</v>
      </c>
      <c r="K1179" s="11"/>
      <c r="L1179" s="11">
        <v>86.85</v>
      </c>
      <c r="M1179" s="10" t="s">
        <v>46</v>
      </c>
      <c r="N1179" s="10" t="s">
        <v>45</v>
      </c>
      <c r="O1179" s="10" t="s">
        <v>85</v>
      </c>
      <c r="P1179" s="10" t="s">
        <v>86</v>
      </c>
      <c r="Q1179" s="10" t="s">
        <v>87</v>
      </c>
      <c r="R1179" s="10" t="s">
        <v>74</v>
      </c>
      <c r="S1179" s="11">
        <v>120.0</v>
      </c>
      <c r="T1179" s="11">
        <v>65.78</v>
      </c>
      <c r="U1179" s="11" t="s">
        <v>51</v>
      </c>
      <c r="V1179" s="10" t="s">
        <v>52</v>
      </c>
      <c r="W1179" s="10" t="s">
        <v>11984</v>
      </c>
      <c r="X1179" s="10" t="s">
        <v>11985</v>
      </c>
      <c r="Y1179" s="10" t="s">
        <v>11986</v>
      </c>
      <c r="Z1179" s="10" t="s">
        <v>50</v>
      </c>
      <c r="AA1179" s="10" t="s">
        <v>50</v>
      </c>
      <c r="AB1179" s="10" t="s">
        <v>11984</v>
      </c>
      <c r="AC1179" s="10" t="s">
        <v>11987</v>
      </c>
      <c r="AD1179" s="10" t="s">
        <v>11988</v>
      </c>
      <c r="AE1179" s="10" t="s">
        <v>11989</v>
      </c>
      <c r="AF1179" s="10" t="s">
        <v>284</v>
      </c>
      <c r="AG1179" s="10" t="s">
        <v>11990</v>
      </c>
      <c r="AH1179" s="10" t="s">
        <v>60</v>
      </c>
      <c r="AI1179" s="10" t="s">
        <v>61</v>
      </c>
      <c r="AJ1179" s="10" t="s">
        <v>11205</v>
      </c>
      <c r="AK1179" s="10" t="s">
        <v>11991</v>
      </c>
      <c r="AL1179" s="10" t="s">
        <v>64</v>
      </c>
      <c r="AM1179" s="10" t="s">
        <v>11992</v>
      </c>
      <c r="AN1179" s="10" t="s">
        <v>50</v>
      </c>
      <c r="AO1179" s="11" t="s">
        <v>50</v>
      </c>
      <c r="AP1179" s="10" t="s">
        <v>50</v>
      </c>
      <c r="AQ1179" s="10" t="s">
        <v>50</v>
      </c>
      <c r="AR1179" s="10" t="s">
        <v>50</v>
      </c>
      <c r="AS1179" s="10" t="s">
        <v>50</v>
      </c>
      <c r="AT1179" s="10" t="s">
        <v>50</v>
      </c>
      <c r="AU1179" s="10" t="s">
        <v>50</v>
      </c>
      <c r="AV1179" s="11"/>
      <c r="AW1179" s="9" t="s">
        <v>45</v>
      </c>
      <c r="AX1179" s="10"/>
      <c r="AY1179" s="10" t="s">
        <v>66</v>
      </c>
    </row>
    <row r="1180" ht="22.5" hidden="1" customHeight="1">
      <c r="A1180" s="9" t="s">
        <v>11993</v>
      </c>
      <c r="B1180" s="10" t="s">
        <v>11994</v>
      </c>
      <c r="C1180" s="10" t="s">
        <v>3175</v>
      </c>
      <c r="D1180" s="10" t="s">
        <v>3176</v>
      </c>
      <c r="E1180" s="10" t="s">
        <v>66</v>
      </c>
      <c r="F1180" s="11">
        <v>1.0</v>
      </c>
      <c r="G1180" s="11">
        <v>80.0</v>
      </c>
      <c r="H1180" s="11"/>
      <c r="I1180" s="11">
        <v>-13.6</v>
      </c>
      <c r="J1180" s="11">
        <v>-19.95</v>
      </c>
      <c r="K1180" s="11"/>
      <c r="L1180" s="11">
        <v>50.45</v>
      </c>
      <c r="M1180" s="10" t="s">
        <v>46</v>
      </c>
      <c r="N1180" s="10" t="s">
        <v>45</v>
      </c>
      <c r="O1180" s="10" t="s">
        <v>143</v>
      </c>
      <c r="P1180" s="10" t="s">
        <v>144</v>
      </c>
      <c r="Q1180" s="10" t="s">
        <v>145</v>
      </c>
      <c r="R1180" s="10" t="s">
        <v>74</v>
      </c>
      <c r="S1180" s="11">
        <v>80.0</v>
      </c>
      <c r="T1180" s="11">
        <v>33.38</v>
      </c>
      <c r="U1180" s="11" t="s">
        <v>51</v>
      </c>
      <c r="V1180" s="10" t="s">
        <v>52</v>
      </c>
      <c r="W1180" s="10" t="s">
        <v>11995</v>
      </c>
      <c r="X1180" s="10" t="s">
        <v>11996</v>
      </c>
      <c r="Y1180" s="10" t="s">
        <v>11997</v>
      </c>
      <c r="Z1180" s="10" t="s">
        <v>50</v>
      </c>
      <c r="AA1180" s="10" t="s">
        <v>50</v>
      </c>
      <c r="AB1180" s="10" t="s">
        <v>11995</v>
      </c>
      <c r="AC1180" s="10" t="s">
        <v>11998</v>
      </c>
      <c r="AD1180" s="10" t="s">
        <v>50</v>
      </c>
      <c r="AE1180" s="10" t="s">
        <v>1245</v>
      </c>
      <c r="AF1180" s="10" t="s">
        <v>185</v>
      </c>
      <c r="AG1180" s="10" t="s">
        <v>11999</v>
      </c>
      <c r="AH1180" s="10" t="s">
        <v>60</v>
      </c>
      <c r="AI1180" s="10" t="s">
        <v>61</v>
      </c>
      <c r="AJ1180" s="10" t="s">
        <v>11458</v>
      </c>
      <c r="AK1180" s="10" t="s">
        <v>50</v>
      </c>
      <c r="AL1180" s="10" t="s">
        <v>64</v>
      </c>
      <c r="AM1180" s="10" t="s">
        <v>12000</v>
      </c>
      <c r="AN1180" s="10" t="s">
        <v>50</v>
      </c>
      <c r="AO1180" s="11" t="s">
        <v>50</v>
      </c>
      <c r="AP1180" s="10" t="s">
        <v>50</v>
      </c>
      <c r="AQ1180" s="10" t="s">
        <v>50</v>
      </c>
      <c r="AR1180" s="10" t="s">
        <v>50</v>
      </c>
      <c r="AS1180" s="10" t="s">
        <v>50</v>
      </c>
      <c r="AT1180" s="10" t="s">
        <v>50</v>
      </c>
      <c r="AU1180" s="10" t="s">
        <v>50</v>
      </c>
      <c r="AV1180" s="11"/>
      <c r="AW1180" s="10" t="s">
        <v>66</v>
      </c>
      <c r="AX1180" s="10"/>
      <c r="AY1180" s="10" t="s">
        <v>66</v>
      </c>
    </row>
    <row r="1181" ht="22.5" hidden="1" customHeight="1">
      <c r="A1181" s="9" t="s">
        <v>12001</v>
      </c>
      <c r="B1181" s="10" t="s">
        <v>12002</v>
      </c>
      <c r="C1181" s="10" t="s">
        <v>69</v>
      </c>
      <c r="D1181" s="10" t="s">
        <v>70</v>
      </c>
      <c r="E1181" s="10" t="s">
        <v>45</v>
      </c>
      <c r="F1181" s="11">
        <v>2.0</v>
      </c>
      <c r="G1181" s="11">
        <v>70.3</v>
      </c>
      <c r="H1181" s="11">
        <v>18.81</v>
      </c>
      <c r="I1181" s="11">
        <v>-23.96</v>
      </c>
      <c r="J1181" s="11">
        <v>-18.81</v>
      </c>
      <c r="K1181" s="11">
        <v>-50.56</v>
      </c>
      <c r="L1181" s="11">
        <v>0.0</v>
      </c>
      <c r="M1181" s="10" t="s">
        <v>46</v>
      </c>
      <c r="N1181" s="10" t="s">
        <v>50</v>
      </c>
      <c r="O1181" s="10" t="s">
        <v>2926</v>
      </c>
      <c r="P1181" s="10" t="s">
        <v>2927</v>
      </c>
      <c r="Q1181" s="10" t="s">
        <v>2928</v>
      </c>
      <c r="R1181" s="10" t="s">
        <v>74</v>
      </c>
      <c r="S1181" s="11">
        <v>35.15</v>
      </c>
      <c r="T1181" s="18"/>
      <c r="U1181" s="11" t="s">
        <v>51</v>
      </c>
      <c r="V1181" s="10" t="s">
        <v>75</v>
      </c>
      <c r="W1181" s="10" t="s">
        <v>11951</v>
      </c>
      <c r="X1181" s="10" t="s">
        <v>11952</v>
      </c>
      <c r="Y1181" s="10" t="s">
        <v>12003</v>
      </c>
      <c r="Z1181" s="10" t="s">
        <v>50</v>
      </c>
      <c r="AA1181" s="10" t="s">
        <v>50</v>
      </c>
      <c r="AB1181" s="10" t="s">
        <v>11951</v>
      </c>
      <c r="AC1181" s="10" t="s">
        <v>11954</v>
      </c>
      <c r="AD1181" s="10" t="s">
        <v>50</v>
      </c>
      <c r="AE1181" s="10" t="s">
        <v>11956</v>
      </c>
      <c r="AF1181" s="10" t="s">
        <v>185</v>
      </c>
      <c r="AG1181" s="10" t="s">
        <v>11957</v>
      </c>
      <c r="AH1181" s="10" t="s">
        <v>60</v>
      </c>
      <c r="AI1181" s="10" t="s">
        <v>61</v>
      </c>
      <c r="AJ1181" s="10" t="s">
        <v>50</v>
      </c>
      <c r="AK1181" s="10" t="s">
        <v>50</v>
      </c>
      <c r="AL1181" s="10" t="s">
        <v>64</v>
      </c>
      <c r="AM1181" s="10" t="s">
        <v>50</v>
      </c>
      <c r="AN1181" s="10" t="s">
        <v>50</v>
      </c>
      <c r="AO1181" s="11" t="s">
        <v>50</v>
      </c>
      <c r="AP1181" s="10" t="s">
        <v>50</v>
      </c>
      <c r="AQ1181" s="10" t="s">
        <v>50</v>
      </c>
      <c r="AR1181" s="10" t="s">
        <v>50</v>
      </c>
      <c r="AS1181" s="10" t="s">
        <v>50</v>
      </c>
      <c r="AT1181" s="10" t="s">
        <v>50</v>
      </c>
      <c r="AU1181" s="10" t="s">
        <v>50</v>
      </c>
      <c r="AV1181" s="11"/>
      <c r="AW1181" s="10" t="s">
        <v>66</v>
      </c>
      <c r="AX1181" s="10"/>
      <c r="AY1181" s="10" t="s">
        <v>66</v>
      </c>
    </row>
    <row r="1182" ht="22.5" hidden="1" customHeight="1">
      <c r="A1182" s="9" t="s">
        <v>12004</v>
      </c>
      <c r="B1182" s="10" t="s">
        <v>12005</v>
      </c>
      <c r="C1182" s="10" t="s">
        <v>43</v>
      </c>
      <c r="D1182" s="10" t="s">
        <v>11519</v>
      </c>
      <c r="E1182" s="10" t="s">
        <v>66</v>
      </c>
      <c r="F1182" s="11">
        <v>1.0</v>
      </c>
      <c r="G1182" s="11">
        <v>90.0</v>
      </c>
      <c r="H1182" s="11"/>
      <c r="I1182" s="11">
        <v>-15.3</v>
      </c>
      <c r="J1182" s="11">
        <v>-20.45</v>
      </c>
      <c r="K1182" s="11"/>
      <c r="L1182" s="11">
        <v>59.65</v>
      </c>
      <c r="M1182" s="10" t="s">
        <v>46</v>
      </c>
      <c r="N1182" s="10" t="s">
        <v>45</v>
      </c>
      <c r="O1182" s="10" t="s">
        <v>5094</v>
      </c>
      <c r="P1182" s="10" t="s">
        <v>5095</v>
      </c>
      <c r="Q1182" s="10" t="s">
        <v>5096</v>
      </c>
      <c r="R1182" s="10" t="s">
        <v>74</v>
      </c>
      <c r="S1182" s="11">
        <v>90.0</v>
      </c>
      <c r="T1182" s="11">
        <v>39.99</v>
      </c>
      <c r="U1182" s="11" t="s">
        <v>51</v>
      </c>
      <c r="V1182" s="10" t="s">
        <v>52</v>
      </c>
      <c r="W1182" s="10" t="s">
        <v>12006</v>
      </c>
      <c r="X1182" s="10" t="s">
        <v>12007</v>
      </c>
      <c r="Y1182" s="10" t="s">
        <v>12008</v>
      </c>
      <c r="Z1182" s="10" t="s">
        <v>50</v>
      </c>
      <c r="AA1182" s="10" t="s">
        <v>50</v>
      </c>
      <c r="AB1182" s="10" t="s">
        <v>12006</v>
      </c>
      <c r="AC1182" s="10" t="s">
        <v>12009</v>
      </c>
      <c r="AD1182" s="10" t="s">
        <v>12010</v>
      </c>
      <c r="AE1182" s="10" t="s">
        <v>12011</v>
      </c>
      <c r="AF1182" s="10" t="s">
        <v>284</v>
      </c>
      <c r="AG1182" s="10" t="s">
        <v>12012</v>
      </c>
      <c r="AH1182" s="10" t="s">
        <v>60</v>
      </c>
      <c r="AI1182" s="10" t="s">
        <v>61</v>
      </c>
      <c r="AJ1182" s="10" t="s">
        <v>11205</v>
      </c>
      <c r="AK1182" s="10" t="s">
        <v>12013</v>
      </c>
      <c r="AL1182" s="10" t="s">
        <v>64</v>
      </c>
      <c r="AM1182" s="10" t="s">
        <v>12014</v>
      </c>
      <c r="AN1182" s="10" t="s">
        <v>50</v>
      </c>
      <c r="AO1182" s="11" t="s">
        <v>50</v>
      </c>
      <c r="AP1182" s="10" t="s">
        <v>50</v>
      </c>
      <c r="AQ1182" s="10" t="s">
        <v>50</v>
      </c>
      <c r="AR1182" s="10" t="s">
        <v>50</v>
      </c>
      <c r="AS1182" s="10" t="s">
        <v>50</v>
      </c>
      <c r="AT1182" s="10" t="s">
        <v>50</v>
      </c>
      <c r="AU1182" s="10" t="s">
        <v>50</v>
      </c>
      <c r="AV1182" s="11"/>
      <c r="AW1182" s="10" t="s">
        <v>66</v>
      </c>
      <c r="AX1182" s="10"/>
      <c r="AY1182" s="10" t="s">
        <v>66</v>
      </c>
    </row>
    <row r="1183" ht="22.5" hidden="1" customHeight="1">
      <c r="A1183" s="9" t="s">
        <v>12015</v>
      </c>
      <c r="B1183" s="10" t="s">
        <v>12016</v>
      </c>
      <c r="C1183" s="10" t="s">
        <v>43</v>
      </c>
      <c r="D1183" s="10" t="s">
        <v>9839</v>
      </c>
      <c r="E1183" s="10" t="s">
        <v>66</v>
      </c>
      <c r="F1183" s="11">
        <v>1.0</v>
      </c>
      <c r="G1183" s="11">
        <v>120.0</v>
      </c>
      <c r="H1183" s="11"/>
      <c r="I1183" s="11">
        <v>-20.4</v>
      </c>
      <c r="J1183" s="11">
        <v>-19.95</v>
      </c>
      <c r="K1183" s="11"/>
      <c r="L1183" s="11">
        <v>86.85</v>
      </c>
      <c r="M1183" s="10" t="s">
        <v>46</v>
      </c>
      <c r="N1183" s="10" t="s">
        <v>50</v>
      </c>
      <c r="O1183" s="10" t="s">
        <v>85</v>
      </c>
      <c r="P1183" s="10" t="s">
        <v>86</v>
      </c>
      <c r="Q1183" s="10" t="s">
        <v>87</v>
      </c>
      <c r="R1183" s="10" t="s">
        <v>74</v>
      </c>
      <c r="S1183" s="11">
        <v>120.0</v>
      </c>
      <c r="T1183" s="11">
        <v>65.78</v>
      </c>
      <c r="U1183" s="11" t="s">
        <v>51</v>
      </c>
      <c r="V1183" s="10" t="s">
        <v>52</v>
      </c>
      <c r="W1183" s="10" t="s">
        <v>12017</v>
      </c>
      <c r="X1183" s="10" t="s">
        <v>12018</v>
      </c>
      <c r="Y1183" s="10" t="s">
        <v>12019</v>
      </c>
      <c r="Z1183" s="10" t="s">
        <v>50</v>
      </c>
      <c r="AA1183" s="10" t="s">
        <v>50</v>
      </c>
      <c r="AB1183" s="10" t="s">
        <v>12017</v>
      </c>
      <c r="AC1183" s="10" t="s">
        <v>12020</v>
      </c>
      <c r="AD1183" s="10" t="s">
        <v>12021</v>
      </c>
      <c r="AE1183" s="10" t="s">
        <v>12022</v>
      </c>
      <c r="AF1183" s="10" t="s">
        <v>323</v>
      </c>
      <c r="AG1183" s="10" t="s">
        <v>12023</v>
      </c>
      <c r="AH1183" s="10" t="s">
        <v>60</v>
      </c>
      <c r="AI1183" s="10" t="s">
        <v>61</v>
      </c>
      <c r="AJ1183" s="10" t="s">
        <v>12024</v>
      </c>
      <c r="AK1183" s="10" t="s">
        <v>12025</v>
      </c>
      <c r="AL1183" s="10" t="s">
        <v>64</v>
      </c>
      <c r="AM1183" s="10" t="s">
        <v>12026</v>
      </c>
      <c r="AN1183" s="10" t="s">
        <v>50</v>
      </c>
      <c r="AO1183" s="11" t="s">
        <v>50</v>
      </c>
      <c r="AP1183" s="10" t="s">
        <v>50</v>
      </c>
      <c r="AQ1183" s="10" t="s">
        <v>50</v>
      </c>
      <c r="AR1183" s="10" t="s">
        <v>50</v>
      </c>
      <c r="AS1183" s="10" t="s">
        <v>50</v>
      </c>
      <c r="AT1183" s="10" t="s">
        <v>50</v>
      </c>
      <c r="AU1183" s="10" t="s">
        <v>50</v>
      </c>
      <c r="AV1183" s="11"/>
      <c r="AW1183" s="10" t="s">
        <v>66</v>
      </c>
      <c r="AX1183" s="10"/>
      <c r="AY1183" s="10" t="s">
        <v>66</v>
      </c>
    </row>
    <row r="1184" ht="22.5" hidden="1" customHeight="1">
      <c r="A1184" s="9" t="s">
        <v>12027</v>
      </c>
      <c r="B1184" s="10" t="s">
        <v>12028</v>
      </c>
      <c r="C1184" s="10" t="s">
        <v>43</v>
      </c>
      <c r="D1184" s="10" t="s">
        <v>8227</v>
      </c>
      <c r="E1184" s="10" t="s">
        <v>66</v>
      </c>
      <c r="F1184" s="11">
        <v>1.0</v>
      </c>
      <c r="G1184" s="11">
        <v>43.7</v>
      </c>
      <c r="H1184" s="11">
        <v>17.86</v>
      </c>
      <c r="I1184" s="11">
        <v>-13.43</v>
      </c>
      <c r="J1184" s="11">
        <v>-17.86</v>
      </c>
      <c r="K1184" s="11"/>
      <c r="L1184" s="11">
        <v>32.89</v>
      </c>
      <c r="M1184" s="10" t="s">
        <v>46</v>
      </c>
      <c r="N1184" s="10" t="s">
        <v>50</v>
      </c>
      <c r="O1184" s="10" t="s">
        <v>176</v>
      </c>
      <c r="P1184" s="10" t="s">
        <v>177</v>
      </c>
      <c r="Q1184" s="10" t="s">
        <v>178</v>
      </c>
      <c r="R1184" s="10" t="s">
        <v>74</v>
      </c>
      <c r="S1184" s="11">
        <v>43.7</v>
      </c>
      <c r="T1184" s="11">
        <v>22.58</v>
      </c>
      <c r="U1184" s="11" t="s">
        <v>51</v>
      </c>
      <c r="V1184" s="10" t="s">
        <v>52</v>
      </c>
      <c r="W1184" s="10" t="s">
        <v>12029</v>
      </c>
      <c r="X1184" s="10" t="s">
        <v>12030</v>
      </c>
      <c r="Y1184" s="10" t="s">
        <v>12031</v>
      </c>
      <c r="Z1184" s="10" t="s">
        <v>50</v>
      </c>
      <c r="AA1184" s="10" t="s">
        <v>50</v>
      </c>
      <c r="AB1184" s="10" t="s">
        <v>12029</v>
      </c>
      <c r="AC1184" s="10" t="s">
        <v>12032</v>
      </c>
      <c r="AD1184" s="10" t="s">
        <v>12033</v>
      </c>
      <c r="AE1184" s="10" t="s">
        <v>12034</v>
      </c>
      <c r="AF1184" s="10" t="s">
        <v>284</v>
      </c>
      <c r="AG1184" s="10" t="s">
        <v>12035</v>
      </c>
      <c r="AH1184" s="10" t="s">
        <v>60</v>
      </c>
      <c r="AI1184" s="10" t="s">
        <v>61</v>
      </c>
      <c r="AJ1184" s="10" t="s">
        <v>11205</v>
      </c>
      <c r="AK1184" s="10" t="s">
        <v>12036</v>
      </c>
      <c r="AL1184" s="10" t="s">
        <v>64</v>
      </c>
      <c r="AM1184" s="10" t="s">
        <v>12037</v>
      </c>
      <c r="AN1184" s="10" t="s">
        <v>50</v>
      </c>
      <c r="AO1184" s="11" t="s">
        <v>50</v>
      </c>
      <c r="AP1184" s="10" t="s">
        <v>50</v>
      </c>
      <c r="AQ1184" s="10" t="s">
        <v>50</v>
      </c>
      <c r="AR1184" s="10" t="s">
        <v>50</v>
      </c>
      <c r="AS1184" s="10" t="s">
        <v>50</v>
      </c>
      <c r="AT1184" s="10" t="s">
        <v>50</v>
      </c>
      <c r="AU1184" s="10" t="s">
        <v>50</v>
      </c>
      <c r="AV1184" s="11"/>
      <c r="AW1184" s="10" t="s">
        <v>66</v>
      </c>
      <c r="AX1184" s="10"/>
      <c r="AY1184" s="10" t="s">
        <v>66</v>
      </c>
    </row>
    <row r="1185" ht="22.5" hidden="1" customHeight="1">
      <c r="A1185" s="12" t="s">
        <v>12038</v>
      </c>
      <c r="B1185" s="13" t="s">
        <v>12039</v>
      </c>
      <c r="C1185" s="13" t="s">
        <v>1976</v>
      </c>
      <c r="D1185" s="13" t="s">
        <v>50</v>
      </c>
      <c r="E1185" s="13" t="s">
        <v>50</v>
      </c>
      <c r="F1185" s="14"/>
      <c r="G1185" s="14">
        <v>293.7</v>
      </c>
      <c r="H1185" s="14"/>
      <c r="I1185" s="14">
        <v>-61.92</v>
      </c>
      <c r="J1185" s="14">
        <v>-40.4</v>
      </c>
      <c r="K1185" s="14"/>
      <c r="L1185" s="14">
        <v>204.16</v>
      </c>
      <c r="M1185" s="13" t="s">
        <v>46</v>
      </c>
      <c r="N1185" s="13" t="s">
        <v>50</v>
      </c>
      <c r="O1185" s="13" t="s">
        <v>50</v>
      </c>
      <c r="P1185" s="13" t="s">
        <v>50</v>
      </c>
      <c r="Q1185" s="13" t="s">
        <v>50</v>
      </c>
      <c r="R1185" s="13" t="s">
        <v>50</v>
      </c>
      <c r="S1185" s="14"/>
      <c r="T1185" s="14"/>
      <c r="U1185" s="14" t="s">
        <v>50</v>
      </c>
      <c r="V1185" s="13" t="s">
        <v>52</v>
      </c>
      <c r="W1185" s="13" t="s">
        <v>12040</v>
      </c>
      <c r="X1185" s="13" t="s">
        <v>12041</v>
      </c>
      <c r="Y1185" s="13" t="s">
        <v>12042</v>
      </c>
      <c r="Z1185" s="13" t="s">
        <v>50</v>
      </c>
      <c r="AA1185" s="13" t="s">
        <v>50</v>
      </c>
      <c r="AB1185" s="13" t="s">
        <v>12040</v>
      </c>
      <c r="AC1185" s="13" t="s">
        <v>12043</v>
      </c>
      <c r="AD1185" s="13" t="s">
        <v>12044</v>
      </c>
      <c r="AE1185" s="13" t="s">
        <v>12045</v>
      </c>
      <c r="AF1185" s="13" t="s">
        <v>2648</v>
      </c>
      <c r="AG1185" s="13" t="s">
        <v>12046</v>
      </c>
      <c r="AH1185" s="13" t="s">
        <v>60</v>
      </c>
      <c r="AI1185" s="13" t="s">
        <v>61</v>
      </c>
      <c r="AJ1185" s="13" t="s">
        <v>12047</v>
      </c>
      <c r="AK1185" s="13" t="s">
        <v>12048</v>
      </c>
      <c r="AL1185" s="13" t="s">
        <v>2138</v>
      </c>
      <c r="AM1185" s="13" t="s">
        <v>12049</v>
      </c>
      <c r="AN1185" s="13" t="s">
        <v>12050</v>
      </c>
      <c r="AO1185" s="15" t="s">
        <v>50</v>
      </c>
      <c r="AP1185" s="13" t="s">
        <v>50</v>
      </c>
      <c r="AQ1185" s="13" t="s">
        <v>50</v>
      </c>
      <c r="AR1185" s="13" t="s">
        <v>50</v>
      </c>
      <c r="AS1185" s="13" t="s">
        <v>50</v>
      </c>
      <c r="AT1185" s="13" t="s">
        <v>50</v>
      </c>
      <c r="AU1185" s="13" t="s">
        <v>50</v>
      </c>
      <c r="AV1185" s="15"/>
      <c r="AW1185" s="13" t="s">
        <v>50</v>
      </c>
      <c r="AX1185" s="13"/>
      <c r="AY1185" s="13" t="s">
        <v>50</v>
      </c>
    </row>
    <row r="1186" ht="22.5" hidden="1" customHeight="1">
      <c r="A1186" s="16" t="s">
        <v>12051</v>
      </c>
      <c r="B1186" s="17" t="s">
        <v>12039</v>
      </c>
      <c r="C1186" s="17" t="s">
        <v>43</v>
      </c>
      <c r="D1186" s="17" t="s">
        <v>290</v>
      </c>
      <c r="E1186" s="17" t="s">
        <v>45</v>
      </c>
      <c r="F1186" s="18">
        <v>1.0</v>
      </c>
      <c r="G1186" s="18"/>
      <c r="H1186" s="18"/>
      <c r="I1186" s="18"/>
      <c r="J1186" s="18"/>
      <c r="K1186" s="18"/>
      <c r="L1186" s="18"/>
      <c r="M1186" s="17" t="s">
        <v>50</v>
      </c>
      <c r="N1186" s="17" t="s">
        <v>45</v>
      </c>
      <c r="O1186" s="17" t="s">
        <v>85</v>
      </c>
      <c r="P1186" s="17" t="s">
        <v>86</v>
      </c>
      <c r="Q1186" s="17" t="s">
        <v>87</v>
      </c>
      <c r="R1186" s="17" t="s">
        <v>74</v>
      </c>
      <c r="S1186" s="18">
        <v>120.0</v>
      </c>
      <c r="T1186" s="18">
        <v>65.78</v>
      </c>
      <c r="U1186" s="18" t="s">
        <v>51</v>
      </c>
      <c r="V1186" s="17" t="s">
        <v>50</v>
      </c>
      <c r="W1186" s="17" t="s">
        <v>50</v>
      </c>
      <c r="X1186" s="17" t="s">
        <v>50</v>
      </c>
      <c r="Y1186" s="17" t="s">
        <v>50</v>
      </c>
      <c r="Z1186" s="17" t="s">
        <v>50</v>
      </c>
      <c r="AA1186" s="17" t="s">
        <v>50</v>
      </c>
      <c r="AB1186" s="17" t="s">
        <v>50</v>
      </c>
      <c r="AC1186" s="17" t="s">
        <v>50</v>
      </c>
      <c r="AD1186" s="17" t="s">
        <v>50</v>
      </c>
      <c r="AE1186" s="17" t="s">
        <v>50</v>
      </c>
      <c r="AF1186" s="17" t="s">
        <v>50</v>
      </c>
      <c r="AG1186" s="17" t="s">
        <v>50</v>
      </c>
      <c r="AH1186" s="17" t="s">
        <v>50</v>
      </c>
      <c r="AI1186" s="17" t="s">
        <v>50</v>
      </c>
      <c r="AJ1186" s="17" t="s">
        <v>50</v>
      </c>
      <c r="AK1186" s="17" t="s">
        <v>50</v>
      </c>
      <c r="AL1186" s="17" t="s">
        <v>50</v>
      </c>
      <c r="AM1186" s="17" t="s">
        <v>50</v>
      </c>
      <c r="AN1186" s="17" t="s">
        <v>50</v>
      </c>
      <c r="AO1186" s="18" t="s">
        <v>50</v>
      </c>
      <c r="AP1186" s="17" t="s">
        <v>50</v>
      </c>
      <c r="AQ1186" s="17" t="s">
        <v>50</v>
      </c>
      <c r="AR1186" s="17" t="s">
        <v>50</v>
      </c>
      <c r="AS1186" s="17" t="s">
        <v>50</v>
      </c>
      <c r="AT1186" s="17" t="s">
        <v>50</v>
      </c>
      <c r="AU1186" s="17" t="s">
        <v>50</v>
      </c>
      <c r="AV1186" s="18"/>
      <c r="AW1186" s="17" t="s">
        <v>66</v>
      </c>
      <c r="AX1186" s="17"/>
      <c r="AY1186" s="17" t="s">
        <v>66</v>
      </c>
    </row>
    <row r="1187" ht="22.5" hidden="1" customHeight="1">
      <c r="A1187" s="16" t="s">
        <v>12052</v>
      </c>
      <c r="B1187" s="17" t="s">
        <v>12053</v>
      </c>
      <c r="C1187" s="17" t="s">
        <v>43</v>
      </c>
      <c r="D1187" s="17" t="s">
        <v>290</v>
      </c>
      <c r="E1187" s="17" t="s">
        <v>45</v>
      </c>
      <c r="F1187" s="18">
        <v>2.0</v>
      </c>
      <c r="G1187" s="18"/>
      <c r="H1187" s="18"/>
      <c r="I1187" s="18"/>
      <c r="J1187" s="18"/>
      <c r="K1187" s="18"/>
      <c r="L1187" s="18"/>
      <c r="M1187" s="17" t="s">
        <v>50</v>
      </c>
      <c r="N1187" s="17" t="s">
        <v>45</v>
      </c>
      <c r="O1187" s="17" t="s">
        <v>888</v>
      </c>
      <c r="P1187" s="17" t="s">
        <v>889</v>
      </c>
      <c r="Q1187" s="17" t="s">
        <v>890</v>
      </c>
      <c r="R1187" s="17" t="s">
        <v>74</v>
      </c>
      <c r="S1187" s="18">
        <v>46.55</v>
      </c>
      <c r="T1187" s="18">
        <v>16.46</v>
      </c>
      <c r="U1187" s="18" t="s">
        <v>51</v>
      </c>
      <c r="V1187" s="17" t="s">
        <v>50</v>
      </c>
      <c r="W1187" s="17" t="s">
        <v>50</v>
      </c>
      <c r="X1187" s="17" t="s">
        <v>50</v>
      </c>
      <c r="Y1187" s="17" t="s">
        <v>50</v>
      </c>
      <c r="Z1187" s="17" t="s">
        <v>50</v>
      </c>
      <c r="AA1187" s="17" t="s">
        <v>50</v>
      </c>
      <c r="AB1187" s="17" t="s">
        <v>50</v>
      </c>
      <c r="AC1187" s="17" t="s">
        <v>50</v>
      </c>
      <c r="AD1187" s="17" t="s">
        <v>50</v>
      </c>
      <c r="AE1187" s="17" t="s">
        <v>50</v>
      </c>
      <c r="AF1187" s="17" t="s">
        <v>50</v>
      </c>
      <c r="AG1187" s="17" t="s">
        <v>50</v>
      </c>
      <c r="AH1187" s="17" t="s">
        <v>50</v>
      </c>
      <c r="AI1187" s="17" t="s">
        <v>50</v>
      </c>
      <c r="AJ1187" s="17" t="s">
        <v>50</v>
      </c>
      <c r="AK1187" s="17" t="s">
        <v>50</v>
      </c>
      <c r="AL1187" s="17" t="s">
        <v>50</v>
      </c>
      <c r="AM1187" s="17" t="s">
        <v>50</v>
      </c>
      <c r="AN1187" s="17" t="s">
        <v>50</v>
      </c>
      <c r="AO1187" s="18" t="s">
        <v>50</v>
      </c>
      <c r="AP1187" s="17" t="s">
        <v>50</v>
      </c>
      <c r="AQ1187" s="17" t="s">
        <v>50</v>
      </c>
      <c r="AR1187" s="17" t="s">
        <v>50</v>
      </c>
      <c r="AS1187" s="17" t="s">
        <v>50</v>
      </c>
      <c r="AT1187" s="17" t="s">
        <v>50</v>
      </c>
      <c r="AU1187" s="17" t="s">
        <v>50</v>
      </c>
      <c r="AV1187" s="18"/>
      <c r="AW1187" s="17" t="s">
        <v>66</v>
      </c>
      <c r="AX1187" s="17"/>
      <c r="AY1187" s="17" t="s">
        <v>66</v>
      </c>
    </row>
    <row r="1188" ht="22.5" hidden="1" customHeight="1">
      <c r="A1188" s="16" t="s">
        <v>12054</v>
      </c>
      <c r="B1188" s="17" t="s">
        <v>12053</v>
      </c>
      <c r="C1188" s="17" t="s">
        <v>43</v>
      </c>
      <c r="D1188" s="17" t="s">
        <v>290</v>
      </c>
      <c r="E1188" s="17" t="s">
        <v>45</v>
      </c>
      <c r="F1188" s="18">
        <v>1.0</v>
      </c>
      <c r="G1188" s="18"/>
      <c r="H1188" s="18"/>
      <c r="I1188" s="18"/>
      <c r="J1188" s="18"/>
      <c r="K1188" s="18"/>
      <c r="L1188" s="18"/>
      <c r="M1188" s="17" t="s">
        <v>50</v>
      </c>
      <c r="N1188" s="17" t="s">
        <v>45</v>
      </c>
      <c r="O1188" s="17" t="s">
        <v>265</v>
      </c>
      <c r="P1188" s="17" t="s">
        <v>266</v>
      </c>
      <c r="Q1188" s="17" t="s">
        <v>267</v>
      </c>
      <c r="R1188" s="17" t="s">
        <v>74</v>
      </c>
      <c r="S1188" s="18">
        <v>80.6</v>
      </c>
      <c r="T1188" s="18">
        <v>26.22</v>
      </c>
      <c r="U1188" s="18" t="s">
        <v>51</v>
      </c>
      <c r="V1188" s="17" t="s">
        <v>50</v>
      </c>
      <c r="W1188" s="17" t="s">
        <v>50</v>
      </c>
      <c r="X1188" s="17" t="s">
        <v>50</v>
      </c>
      <c r="Y1188" s="17" t="s">
        <v>50</v>
      </c>
      <c r="Z1188" s="17" t="s">
        <v>50</v>
      </c>
      <c r="AA1188" s="17" t="s">
        <v>50</v>
      </c>
      <c r="AB1188" s="17" t="s">
        <v>50</v>
      </c>
      <c r="AC1188" s="17" t="s">
        <v>50</v>
      </c>
      <c r="AD1188" s="17" t="s">
        <v>50</v>
      </c>
      <c r="AE1188" s="17" t="s">
        <v>50</v>
      </c>
      <c r="AF1188" s="17" t="s">
        <v>50</v>
      </c>
      <c r="AG1188" s="17" t="s">
        <v>50</v>
      </c>
      <c r="AH1188" s="17" t="s">
        <v>50</v>
      </c>
      <c r="AI1188" s="17" t="s">
        <v>50</v>
      </c>
      <c r="AJ1188" s="17" t="s">
        <v>50</v>
      </c>
      <c r="AK1188" s="17" t="s">
        <v>50</v>
      </c>
      <c r="AL1188" s="17" t="s">
        <v>50</v>
      </c>
      <c r="AM1188" s="17" t="s">
        <v>50</v>
      </c>
      <c r="AN1188" s="17" t="s">
        <v>50</v>
      </c>
      <c r="AO1188" s="18" t="s">
        <v>50</v>
      </c>
      <c r="AP1188" s="17" t="s">
        <v>50</v>
      </c>
      <c r="AQ1188" s="17" t="s">
        <v>50</v>
      </c>
      <c r="AR1188" s="17" t="s">
        <v>50</v>
      </c>
      <c r="AS1188" s="17" t="s">
        <v>50</v>
      </c>
      <c r="AT1188" s="17" t="s">
        <v>50</v>
      </c>
      <c r="AU1188" s="17" t="s">
        <v>50</v>
      </c>
      <c r="AV1188" s="18"/>
      <c r="AW1188" s="17" t="s">
        <v>66</v>
      </c>
      <c r="AX1188" s="17"/>
      <c r="AY1188" s="17" t="s">
        <v>66</v>
      </c>
    </row>
    <row r="1189" ht="22.5" hidden="1" customHeight="1">
      <c r="A1189" s="9" t="s">
        <v>12055</v>
      </c>
      <c r="B1189" s="10" t="s">
        <v>12056</v>
      </c>
      <c r="C1189" s="10" t="s">
        <v>43</v>
      </c>
      <c r="D1189" s="10" t="s">
        <v>11161</v>
      </c>
      <c r="E1189" s="10" t="s">
        <v>45</v>
      </c>
      <c r="F1189" s="11">
        <v>2.0</v>
      </c>
      <c r="G1189" s="11">
        <v>87.4</v>
      </c>
      <c r="H1189" s="11"/>
      <c r="I1189" s="11">
        <v>-26.86</v>
      </c>
      <c r="J1189" s="11"/>
      <c r="K1189" s="11"/>
      <c r="L1189" s="11">
        <v>65.78</v>
      </c>
      <c r="M1189" s="10" t="s">
        <v>46</v>
      </c>
      <c r="N1189" s="10" t="s">
        <v>45</v>
      </c>
      <c r="O1189" s="10" t="s">
        <v>176</v>
      </c>
      <c r="P1189" s="10" t="s">
        <v>177</v>
      </c>
      <c r="Q1189" s="10" t="s">
        <v>178</v>
      </c>
      <c r="R1189" s="10" t="s">
        <v>74</v>
      </c>
      <c r="S1189" s="11">
        <v>43.7</v>
      </c>
      <c r="T1189" s="11">
        <f>2*22.58</f>
        <v>45.16</v>
      </c>
      <c r="U1189" s="11" t="s">
        <v>51</v>
      </c>
      <c r="V1189" s="10" t="s">
        <v>52</v>
      </c>
      <c r="W1189" s="10" t="s">
        <v>12057</v>
      </c>
      <c r="X1189" s="10" t="s">
        <v>12058</v>
      </c>
      <c r="Y1189" s="10" t="s">
        <v>12059</v>
      </c>
      <c r="Z1189" s="10" t="s">
        <v>50</v>
      </c>
      <c r="AA1189" s="10" t="s">
        <v>50</v>
      </c>
      <c r="AB1189" s="10" t="s">
        <v>12057</v>
      </c>
      <c r="AC1189" s="10" t="s">
        <v>12060</v>
      </c>
      <c r="AD1189" s="10" t="s">
        <v>12061</v>
      </c>
      <c r="AE1189" s="10" t="s">
        <v>5342</v>
      </c>
      <c r="AF1189" s="10" t="s">
        <v>58</v>
      </c>
      <c r="AG1189" s="10" t="s">
        <v>12062</v>
      </c>
      <c r="AH1189" s="10" t="s">
        <v>60</v>
      </c>
      <c r="AI1189" s="10" t="s">
        <v>61</v>
      </c>
      <c r="AJ1189" s="10" t="s">
        <v>11458</v>
      </c>
      <c r="AK1189" s="10" t="s">
        <v>12063</v>
      </c>
      <c r="AL1189" s="10" t="s">
        <v>64</v>
      </c>
      <c r="AM1189" s="10" t="s">
        <v>12064</v>
      </c>
      <c r="AN1189" s="10" t="s">
        <v>50</v>
      </c>
      <c r="AO1189" s="11" t="s">
        <v>50</v>
      </c>
      <c r="AP1189" s="10" t="s">
        <v>50</v>
      </c>
      <c r="AQ1189" s="10" t="s">
        <v>50</v>
      </c>
      <c r="AR1189" s="10" t="s">
        <v>50</v>
      </c>
      <c r="AS1189" s="10" t="s">
        <v>50</v>
      </c>
      <c r="AT1189" s="10" t="s">
        <v>50</v>
      </c>
      <c r="AU1189" s="10" t="s">
        <v>50</v>
      </c>
      <c r="AV1189" s="11"/>
      <c r="AW1189" s="10" t="s">
        <v>66</v>
      </c>
      <c r="AX1189" s="10"/>
      <c r="AY1189" s="10" t="s">
        <v>66</v>
      </c>
    </row>
    <row r="1190" ht="22.5" hidden="1" customHeight="1">
      <c r="A1190" s="9" t="s">
        <v>12065</v>
      </c>
      <c r="B1190" s="10" t="s">
        <v>12066</v>
      </c>
      <c r="C1190" s="10" t="s">
        <v>43</v>
      </c>
      <c r="D1190" s="10" t="s">
        <v>8227</v>
      </c>
      <c r="E1190" s="10" t="s">
        <v>66</v>
      </c>
      <c r="F1190" s="11">
        <v>1.0</v>
      </c>
      <c r="G1190" s="11">
        <v>43.7</v>
      </c>
      <c r="H1190" s="11">
        <v>11.11</v>
      </c>
      <c r="I1190" s="11">
        <v>-13.43</v>
      </c>
      <c r="J1190" s="11">
        <v>-11.11</v>
      </c>
      <c r="K1190" s="11"/>
      <c r="L1190" s="11">
        <v>32.89</v>
      </c>
      <c r="M1190" s="10" t="s">
        <v>46</v>
      </c>
      <c r="N1190" s="10" t="s">
        <v>45</v>
      </c>
      <c r="O1190" s="10" t="s">
        <v>176</v>
      </c>
      <c r="P1190" s="10" t="s">
        <v>177</v>
      </c>
      <c r="Q1190" s="10" t="s">
        <v>178</v>
      </c>
      <c r="R1190" s="10" t="s">
        <v>74</v>
      </c>
      <c r="S1190" s="11">
        <v>43.7</v>
      </c>
      <c r="T1190" s="11">
        <v>22.58</v>
      </c>
      <c r="U1190" s="11" t="s">
        <v>51</v>
      </c>
      <c r="V1190" s="10" t="s">
        <v>52</v>
      </c>
      <c r="W1190" s="10" t="s">
        <v>12067</v>
      </c>
      <c r="X1190" s="10" t="s">
        <v>12068</v>
      </c>
      <c r="Y1190" s="10" t="s">
        <v>12069</v>
      </c>
      <c r="Z1190" s="10" t="s">
        <v>50</v>
      </c>
      <c r="AA1190" s="10" t="s">
        <v>50</v>
      </c>
      <c r="AB1190" s="10" t="s">
        <v>12067</v>
      </c>
      <c r="AC1190" s="10" t="s">
        <v>12070</v>
      </c>
      <c r="AD1190" s="10" t="s">
        <v>12071</v>
      </c>
      <c r="AE1190" s="10" t="s">
        <v>492</v>
      </c>
      <c r="AF1190" s="10" t="s">
        <v>58</v>
      </c>
      <c r="AG1190" s="10" t="s">
        <v>12072</v>
      </c>
      <c r="AH1190" s="10" t="s">
        <v>60</v>
      </c>
      <c r="AI1190" s="10" t="s">
        <v>61</v>
      </c>
      <c r="AJ1190" s="10" t="s">
        <v>11636</v>
      </c>
      <c r="AK1190" s="10" t="s">
        <v>12073</v>
      </c>
      <c r="AL1190" s="10" t="s">
        <v>64</v>
      </c>
      <c r="AM1190" s="10" t="s">
        <v>12074</v>
      </c>
      <c r="AN1190" s="10" t="s">
        <v>50</v>
      </c>
      <c r="AO1190" s="11" t="s">
        <v>50</v>
      </c>
      <c r="AP1190" s="10" t="s">
        <v>50</v>
      </c>
      <c r="AQ1190" s="10" t="s">
        <v>50</v>
      </c>
      <c r="AR1190" s="10" t="s">
        <v>50</v>
      </c>
      <c r="AS1190" s="10" t="s">
        <v>50</v>
      </c>
      <c r="AT1190" s="10" t="s">
        <v>50</v>
      </c>
      <c r="AU1190" s="10" t="s">
        <v>50</v>
      </c>
      <c r="AV1190" s="11"/>
      <c r="AW1190" s="10" t="s">
        <v>66</v>
      </c>
      <c r="AX1190" s="10"/>
      <c r="AY1190" s="10" t="s">
        <v>66</v>
      </c>
    </row>
    <row r="1191" ht="22.5" hidden="1" customHeight="1">
      <c r="A1191" s="9" t="s">
        <v>12075</v>
      </c>
      <c r="B1191" s="10" t="s">
        <v>12076</v>
      </c>
      <c r="C1191" s="10" t="s">
        <v>43</v>
      </c>
      <c r="D1191" s="10" t="s">
        <v>9839</v>
      </c>
      <c r="E1191" s="10" t="s">
        <v>66</v>
      </c>
      <c r="F1191" s="11">
        <v>1.0</v>
      </c>
      <c r="G1191" s="11">
        <v>79.2</v>
      </c>
      <c r="H1191" s="11"/>
      <c r="I1191" s="11">
        <v>-13.46</v>
      </c>
      <c r="J1191" s="11">
        <v>-20.45</v>
      </c>
      <c r="K1191" s="11"/>
      <c r="L1191" s="11">
        <v>45.29</v>
      </c>
      <c r="M1191" s="10" t="s">
        <v>46</v>
      </c>
      <c r="N1191" s="10" t="s">
        <v>45</v>
      </c>
      <c r="O1191" s="10" t="s">
        <v>892</v>
      </c>
      <c r="P1191" s="10" t="s">
        <v>893</v>
      </c>
      <c r="Q1191" s="10" t="s">
        <v>894</v>
      </c>
      <c r="R1191" s="10" t="s">
        <v>74</v>
      </c>
      <c r="S1191" s="11">
        <v>79.2</v>
      </c>
      <c r="T1191" s="11">
        <v>2.97</v>
      </c>
      <c r="U1191" s="11" t="s">
        <v>51</v>
      </c>
      <c r="V1191" s="10" t="s">
        <v>52</v>
      </c>
      <c r="W1191" s="10" t="s">
        <v>12077</v>
      </c>
      <c r="X1191" s="10" t="s">
        <v>12078</v>
      </c>
      <c r="Y1191" s="10" t="s">
        <v>12079</v>
      </c>
      <c r="Z1191" s="10" t="s">
        <v>50</v>
      </c>
      <c r="AA1191" s="10" t="s">
        <v>50</v>
      </c>
      <c r="AB1191" s="10" t="s">
        <v>12077</v>
      </c>
      <c r="AC1191" s="10" t="s">
        <v>12080</v>
      </c>
      <c r="AD1191" s="10" t="s">
        <v>12081</v>
      </c>
      <c r="AE1191" s="10" t="s">
        <v>12082</v>
      </c>
      <c r="AF1191" s="10" t="s">
        <v>323</v>
      </c>
      <c r="AG1191" s="10" t="s">
        <v>12083</v>
      </c>
      <c r="AH1191" s="10" t="s">
        <v>60</v>
      </c>
      <c r="AI1191" s="10" t="s">
        <v>61</v>
      </c>
      <c r="AJ1191" s="10" t="s">
        <v>12084</v>
      </c>
      <c r="AK1191" s="10" t="s">
        <v>12085</v>
      </c>
      <c r="AL1191" s="10" t="s">
        <v>64</v>
      </c>
      <c r="AM1191" s="10" t="s">
        <v>12086</v>
      </c>
      <c r="AN1191" s="10" t="s">
        <v>50</v>
      </c>
      <c r="AO1191" s="11" t="s">
        <v>50</v>
      </c>
      <c r="AP1191" s="10" t="s">
        <v>50</v>
      </c>
      <c r="AQ1191" s="10" t="s">
        <v>50</v>
      </c>
      <c r="AR1191" s="10" t="s">
        <v>50</v>
      </c>
      <c r="AS1191" s="10" t="s">
        <v>50</v>
      </c>
      <c r="AT1191" s="10" t="s">
        <v>50</v>
      </c>
      <c r="AU1191" s="10" t="s">
        <v>50</v>
      </c>
      <c r="AV1191" s="11"/>
      <c r="AW1191" s="10" t="s">
        <v>66</v>
      </c>
      <c r="AX1191" s="10"/>
      <c r="AY1191" s="10" t="s">
        <v>66</v>
      </c>
    </row>
    <row r="1192" ht="22.5" hidden="1" customHeight="1">
      <c r="A1192" s="9" t="s">
        <v>12087</v>
      </c>
      <c r="B1192" s="10" t="s">
        <v>12088</v>
      </c>
      <c r="C1192" s="10" t="s">
        <v>43</v>
      </c>
      <c r="D1192" s="10" t="s">
        <v>10258</v>
      </c>
      <c r="E1192" s="10" t="s">
        <v>66</v>
      </c>
      <c r="F1192" s="11">
        <v>1.0</v>
      </c>
      <c r="G1192" s="11">
        <v>120.0</v>
      </c>
      <c r="H1192" s="11"/>
      <c r="I1192" s="11">
        <v>-20.4</v>
      </c>
      <c r="J1192" s="11">
        <v>-19.95</v>
      </c>
      <c r="K1192" s="11"/>
      <c r="L1192" s="11">
        <v>86.85</v>
      </c>
      <c r="M1192" s="10" t="s">
        <v>46</v>
      </c>
      <c r="N1192" s="10" t="s">
        <v>45</v>
      </c>
      <c r="O1192" s="10" t="s">
        <v>85</v>
      </c>
      <c r="P1192" s="10" t="s">
        <v>86</v>
      </c>
      <c r="Q1192" s="10" t="s">
        <v>87</v>
      </c>
      <c r="R1192" s="10" t="s">
        <v>74</v>
      </c>
      <c r="S1192" s="11">
        <v>120.0</v>
      </c>
      <c r="T1192" s="11">
        <v>65.78</v>
      </c>
      <c r="U1192" s="11" t="s">
        <v>51</v>
      </c>
      <c r="V1192" s="10" t="s">
        <v>52</v>
      </c>
      <c r="W1192" s="10" t="s">
        <v>12089</v>
      </c>
      <c r="X1192" s="10" t="s">
        <v>12090</v>
      </c>
      <c r="Y1192" s="10" t="s">
        <v>12091</v>
      </c>
      <c r="Z1192" s="10" t="s">
        <v>50</v>
      </c>
      <c r="AA1192" s="10" t="s">
        <v>50</v>
      </c>
      <c r="AB1192" s="10" t="s">
        <v>12089</v>
      </c>
      <c r="AC1192" s="10" t="s">
        <v>12092</v>
      </c>
      <c r="AD1192" s="10" t="s">
        <v>12093</v>
      </c>
      <c r="AE1192" s="10" t="s">
        <v>6888</v>
      </c>
      <c r="AF1192" s="10" t="s">
        <v>185</v>
      </c>
      <c r="AG1192" s="10" t="s">
        <v>6889</v>
      </c>
      <c r="AH1192" s="10" t="s">
        <v>60</v>
      </c>
      <c r="AI1192" s="10" t="s">
        <v>61</v>
      </c>
      <c r="AJ1192" s="10" t="s">
        <v>11458</v>
      </c>
      <c r="AK1192" s="10" t="s">
        <v>12094</v>
      </c>
      <c r="AL1192" s="10" t="s">
        <v>64</v>
      </c>
      <c r="AM1192" s="10" t="s">
        <v>12095</v>
      </c>
      <c r="AN1192" s="10" t="s">
        <v>50</v>
      </c>
      <c r="AO1192" s="11" t="s">
        <v>50</v>
      </c>
      <c r="AP1192" s="10" t="s">
        <v>50</v>
      </c>
      <c r="AQ1192" s="10" t="s">
        <v>50</v>
      </c>
      <c r="AR1192" s="10" t="s">
        <v>50</v>
      </c>
      <c r="AS1192" s="10" t="s">
        <v>50</v>
      </c>
      <c r="AT1192" s="10" t="s">
        <v>50</v>
      </c>
      <c r="AU1192" s="10" t="s">
        <v>50</v>
      </c>
      <c r="AV1192" s="11"/>
      <c r="AW1192" s="10" t="s">
        <v>66</v>
      </c>
      <c r="AX1192" s="10"/>
      <c r="AY1192" s="10" t="s">
        <v>66</v>
      </c>
    </row>
    <row r="1193" ht="22.5" hidden="1" customHeight="1">
      <c r="A1193" s="9" t="s">
        <v>12096</v>
      </c>
      <c r="B1193" s="10" t="s">
        <v>12097</v>
      </c>
      <c r="C1193" s="10" t="s">
        <v>43</v>
      </c>
      <c r="D1193" s="10" t="s">
        <v>8227</v>
      </c>
      <c r="E1193" s="10" t="s">
        <v>66</v>
      </c>
      <c r="F1193" s="11">
        <v>1.0</v>
      </c>
      <c r="G1193" s="11">
        <v>80.6</v>
      </c>
      <c r="H1193" s="11">
        <v>9.0</v>
      </c>
      <c r="I1193" s="11">
        <v>-13.7</v>
      </c>
      <c r="J1193" s="11">
        <v>-29.45</v>
      </c>
      <c r="K1193" s="11"/>
      <c r="L1193" s="11">
        <v>46.45</v>
      </c>
      <c r="M1193" s="10" t="s">
        <v>46</v>
      </c>
      <c r="N1193" s="10" t="s">
        <v>45</v>
      </c>
      <c r="O1193" s="10" t="s">
        <v>265</v>
      </c>
      <c r="P1193" s="10" t="s">
        <v>266</v>
      </c>
      <c r="Q1193" s="10" t="s">
        <v>267</v>
      </c>
      <c r="R1193" s="10" t="s">
        <v>74</v>
      </c>
      <c r="S1193" s="11">
        <v>80.6</v>
      </c>
      <c r="T1193" s="11">
        <v>26.22</v>
      </c>
      <c r="U1193" s="11" t="s">
        <v>51</v>
      </c>
      <c r="V1193" s="10" t="s">
        <v>52</v>
      </c>
      <c r="W1193" s="10" t="s">
        <v>12098</v>
      </c>
      <c r="X1193" s="10" t="s">
        <v>12099</v>
      </c>
      <c r="Y1193" s="10" t="s">
        <v>12100</v>
      </c>
      <c r="Z1193" s="10" t="s">
        <v>50</v>
      </c>
      <c r="AA1193" s="10" t="s">
        <v>50</v>
      </c>
      <c r="AB1193" s="10" t="s">
        <v>12098</v>
      </c>
      <c r="AC1193" s="10" t="s">
        <v>12101</v>
      </c>
      <c r="AD1193" s="10" t="s">
        <v>12102</v>
      </c>
      <c r="AE1193" s="10" t="s">
        <v>12103</v>
      </c>
      <c r="AF1193" s="10" t="s">
        <v>561</v>
      </c>
      <c r="AG1193" s="10" t="s">
        <v>12104</v>
      </c>
      <c r="AH1193" s="10" t="s">
        <v>60</v>
      </c>
      <c r="AI1193" s="10" t="s">
        <v>61</v>
      </c>
      <c r="AJ1193" s="10" t="s">
        <v>11458</v>
      </c>
      <c r="AK1193" s="10" t="s">
        <v>12105</v>
      </c>
      <c r="AL1193" s="10" t="s">
        <v>64</v>
      </c>
      <c r="AM1193" s="10" t="s">
        <v>12106</v>
      </c>
      <c r="AN1193" s="10" t="s">
        <v>50</v>
      </c>
      <c r="AO1193" s="11" t="s">
        <v>50</v>
      </c>
      <c r="AP1193" s="10" t="s">
        <v>50</v>
      </c>
      <c r="AQ1193" s="10" t="s">
        <v>50</v>
      </c>
      <c r="AR1193" s="10" t="s">
        <v>50</v>
      </c>
      <c r="AS1193" s="10" t="s">
        <v>50</v>
      </c>
      <c r="AT1193" s="10" t="s">
        <v>50</v>
      </c>
      <c r="AU1193" s="10" t="s">
        <v>50</v>
      </c>
      <c r="AV1193" s="11"/>
      <c r="AW1193" s="10" t="s">
        <v>66</v>
      </c>
      <c r="AX1193" s="10"/>
      <c r="AY1193" s="10" t="s">
        <v>66</v>
      </c>
    </row>
    <row r="1194" ht="22.5" hidden="1" customHeight="1">
      <c r="A1194" s="9" t="s">
        <v>12107</v>
      </c>
      <c r="B1194" s="10" t="s">
        <v>12108</v>
      </c>
      <c r="C1194" s="10" t="s">
        <v>43</v>
      </c>
      <c r="D1194" s="10" t="s">
        <v>11161</v>
      </c>
      <c r="E1194" s="10" t="s">
        <v>66</v>
      </c>
      <c r="F1194" s="11">
        <v>1.0</v>
      </c>
      <c r="G1194" s="11">
        <v>43.7</v>
      </c>
      <c r="H1194" s="11">
        <v>13.09</v>
      </c>
      <c r="I1194" s="11">
        <v>-13.43</v>
      </c>
      <c r="J1194" s="11">
        <v>-13.09</v>
      </c>
      <c r="K1194" s="11"/>
      <c r="L1194" s="11">
        <v>32.89</v>
      </c>
      <c r="M1194" s="10" t="s">
        <v>46</v>
      </c>
      <c r="N1194" s="10" t="s">
        <v>45</v>
      </c>
      <c r="O1194" s="10" t="s">
        <v>176</v>
      </c>
      <c r="P1194" s="10" t="s">
        <v>177</v>
      </c>
      <c r="Q1194" s="10" t="s">
        <v>178</v>
      </c>
      <c r="R1194" s="10" t="s">
        <v>74</v>
      </c>
      <c r="S1194" s="11">
        <v>43.7</v>
      </c>
      <c r="T1194" s="11">
        <v>22.58</v>
      </c>
      <c r="U1194" s="11" t="s">
        <v>51</v>
      </c>
      <c r="V1194" s="10" t="s">
        <v>52</v>
      </c>
      <c r="W1194" s="10" t="s">
        <v>12109</v>
      </c>
      <c r="X1194" s="10" t="s">
        <v>12110</v>
      </c>
      <c r="Y1194" s="10" t="s">
        <v>12111</v>
      </c>
      <c r="Z1194" s="10" t="s">
        <v>50</v>
      </c>
      <c r="AA1194" s="10" t="s">
        <v>50</v>
      </c>
      <c r="AB1194" s="10" t="s">
        <v>12109</v>
      </c>
      <c r="AC1194" s="10" t="s">
        <v>12112</v>
      </c>
      <c r="AD1194" s="10" t="s">
        <v>12113</v>
      </c>
      <c r="AE1194" s="10" t="s">
        <v>3830</v>
      </c>
      <c r="AF1194" s="10" t="s">
        <v>58</v>
      </c>
      <c r="AG1194" s="10" t="s">
        <v>12114</v>
      </c>
      <c r="AH1194" s="10" t="s">
        <v>60</v>
      </c>
      <c r="AI1194" s="10" t="s">
        <v>61</v>
      </c>
      <c r="AJ1194" s="10" t="s">
        <v>11458</v>
      </c>
      <c r="AK1194" s="10" t="s">
        <v>12115</v>
      </c>
      <c r="AL1194" s="10" t="s">
        <v>64</v>
      </c>
      <c r="AM1194" s="10" t="s">
        <v>12116</v>
      </c>
      <c r="AN1194" s="10" t="s">
        <v>50</v>
      </c>
      <c r="AO1194" s="11" t="s">
        <v>50</v>
      </c>
      <c r="AP1194" s="10" t="s">
        <v>50</v>
      </c>
      <c r="AQ1194" s="10" t="s">
        <v>50</v>
      </c>
      <c r="AR1194" s="10" t="s">
        <v>50</v>
      </c>
      <c r="AS1194" s="10" t="s">
        <v>50</v>
      </c>
      <c r="AT1194" s="10" t="s">
        <v>50</v>
      </c>
      <c r="AU1194" s="10" t="s">
        <v>50</v>
      </c>
      <c r="AV1194" s="11"/>
      <c r="AW1194" s="10" t="s">
        <v>66</v>
      </c>
      <c r="AX1194" s="10"/>
      <c r="AY1194" s="10" t="s">
        <v>66</v>
      </c>
    </row>
    <row r="1195" ht="22.5" hidden="1" customHeight="1">
      <c r="A1195" s="9" t="s">
        <v>12117</v>
      </c>
      <c r="B1195" s="10" t="s">
        <v>12118</v>
      </c>
      <c r="C1195" s="10" t="s">
        <v>43</v>
      </c>
      <c r="D1195" s="10" t="s">
        <v>11161</v>
      </c>
      <c r="E1195" s="10" t="s">
        <v>45</v>
      </c>
      <c r="F1195" s="11">
        <v>2.0</v>
      </c>
      <c r="G1195" s="11">
        <v>87.4</v>
      </c>
      <c r="H1195" s="11"/>
      <c r="I1195" s="11">
        <v>-26.86</v>
      </c>
      <c r="J1195" s="11"/>
      <c r="K1195" s="11"/>
      <c r="L1195" s="11">
        <v>65.78</v>
      </c>
      <c r="M1195" s="10" t="s">
        <v>46</v>
      </c>
      <c r="N1195" s="10" t="s">
        <v>50</v>
      </c>
      <c r="O1195" s="10" t="s">
        <v>176</v>
      </c>
      <c r="P1195" s="10" t="s">
        <v>177</v>
      </c>
      <c r="Q1195" s="10" t="s">
        <v>178</v>
      </c>
      <c r="R1195" s="10" t="s">
        <v>74</v>
      </c>
      <c r="S1195" s="11">
        <v>43.7</v>
      </c>
      <c r="T1195" s="11">
        <f>2*22.58</f>
        <v>45.16</v>
      </c>
      <c r="U1195" s="11" t="s">
        <v>51</v>
      </c>
      <c r="V1195" s="10" t="s">
        <v>52</v>
      </c>
      <c r="W1195" s="10" t="s">
        <v>12119</v>
      </c>
      <c r="X1195" s="10" t="s">
        <v>12120</v>
      </c>
      <c r="Y1195" s="10" t="s">
        <v>12121</v>
      </c>
      <c r="Z1195" s="10" t="s">
        <v>50</v>
      </c>
      <c r="AA1195" s="10" t="s">
        <v>50</v>
      </c>
      <c r="AB1195" s="10" t="s">
        <v>12119</v>
      </c>
      <c r="AC1195" s="10" t="s">
        <v>12122</v>
      </c>
      <c r="AD1195" s="10" t="s">
        <v>12123</v>
      </c>
      <c r="AE1195" s="10" t="s">
        <v>58</v>
      </c>
      <c r="AF1195" s="10" t="s">
        <v>58</v>
      </c>
      <c r="AG1195" s="10" t="s">
        <v>12124</v>
      </c>
      <c r="AH1195" s="10" t="s">
        <v>60</v>
      </c>
      <c r="AI1195" s="10" t="s">
        <v>61</v>
      </c>
      <c r="AJ1195" s="10" t="s">
        <v>11458</v>
      </c>
      <c r="AK1195" s="10" t="s">
        <v>12125</v>
      </c>
      <c r="AL1195" s="10" t="s">
        <v>64</v>
      </c>
      <c r="AM1195" s="10" t="s">
        <v>12126</v>
      </c>
      <c r="AN1195" s="10" t="s">
        <v>50</v>
      </c>
      <c r="AO1195" s="11" t="s">
        <v>50</v>
      </c>
      <c r="AP1195" s="10" t="s">
        <v>50</v>
      </c>
      <c r="AQ1195" s="10" t="s">
        <v>50</v>
      </c>
      <c r="AR1195" s="10" t="s">
        <v>50</v>
      </c>
      <c r="AS1195" s="10" t="s">
        <v>50</v>
      </c>
      <c r="AT1195" s="10" t="s">
        <v>50</v>
      </c>
      <c r="AU1195" s="10" t="s">
        <v>50</v>
      </c>
      <c r="AV1195" s="11"/>
      <c r="AW1195" s="10" t="s">
        <v>66</v>
      </c>
      <c r="AX1195" s="10"/>
      <c r="AY1195" s="10" t="s">
        <v>66</v>
      </c>
    </row>
    <row r="1196" ht="22.5" hidden="1" customHeight="1">
      <c r="A1196" s="9" t="s">
        <v>12127</v>
      </c>
      <c r="B1196" s="10" t="s">
        <v>12128</v>
      </c>
      <c r="C1196" s="10" t="s">
        <v>43</v>
      </c>
      <c r="D1196" s="10" t="s">
        <v>11161</v>
      </c>
      <c r="E1196" s="10" t="s">
        <v>66</v>
      </c>
      <c r="F1196" s="11">
        <v>1.0</v>
      </c>
      <c r="G1196" s="11">
        <v>80.0</v>
      </c>
      <c r="H1196" s="11"/>
      <c r="I1196" s="11">
        <v>-13.6</v>
      </c>
      <c r="J1196" s="11">
        <v>-19.95</v>
      </c>
      <c r="K1196" s="11"/>
      <c r="L1196" s="11">
        <v>50.45</v>
      </c>
      <c r="M1196" s="10" t="s">
        <v>46</v>
      </c>
      <c r="N1196" s="10" t="s">
        <v>50</v>
      </c>
      <c r="O1196" s="10" t="s">
        <v>143</v>
      </c>
      <c r="P1196" s="10" t="s">
        <v>144</v>
      </c>
      <c r="Q1196" s="10" t="s">
        <v>145</v>
      </c>
      <c r="R1196" s="10" t="s">
        <v>74</v>
      </c>
      <c r="S1196" s="11">
        <v>80.0</v>
      </c>
      <c r="T1196" s="11">
        <v>33.38</v>
      </c>
      <c r="U1196" s="11" t="s">
        <v>51</v>
      </c>
      <c r="V1196" s="10" t="s">
        <v>52</v>
      </c>
      <c r="W1196" s="10" t="s">
        <v>12129</v>
      </c>
      <c r="X1196" s="10" t="s">
        <v>12130</v>
      </c>
      <c r="Y1196" s="10" t="s">
        <v>12131</v>
      </c>
      <c r="Z1196" s="10" t="s">
        <v>50</v>
      </c>
      <c r="AA1196" s="10" t="s">
        <v>50</v>
      </c>
      <c r="AB1196" s="10" t="s">
        <v>12129</v>
      </c>
      <c r="AC1196" s="10" t="s">
        <v>12132</v>
      </c>
      <c r="AD1196" s="10" t="s">
        <v>12133</v>
      </c>
      <c r="AE1196" s="10" t="s">
        <v>12134</v>
      </c>
      <c r="AF1196" s="10" t="s">
        <v>323</v>
      </c>
      <c r="AG1196" s="10" t="s">
        <v>12135</v>
      </c>
      <c r="AH1196" s="10" t="s">
        <v>60</v>
      </c>
      <c r="AI1196" s="10" t="s">
        <v>61</v>
      </c>
      <c r="AJ1196" s="10" t="s">
        <v>11415</v>
      </c>
      <c r="AK1196" s="10" t="s">
        <v>12136</v>
      </c>
      <c r="AL1196" s="10" t="s">
        <v>64</v>
      </c>
      <c r="AM1196" s="10" t="s">
        <v>12137</v>
      </c>
      <c r="AN1196" s="10" t="s">
        <v>50</v>
      </c>
      <c r="AO1196" s="11" t="s">
        <v>50</v>
      </c>
      <c r="AP1196" s="10" t="s">
        <v>50</v>
      </c>
      <c r="AQ1196" s="10" t="s">
        <v>50</v>
      </c>
      <c r="AR1196" s="10" t="s">
        <v>50</v>
      </c>
      <c r="AS1196" s="10" t="s">
        <v>50</v>
      </c>
      <c r="AT1196" s="10" t="s">
        <v>50</v>
      </c>
      <c r="AU1196" s="10" t="s">
        <v>50</v>
      </c>
      <c r="AV1196" s="11"/>
      <c r="AW1196" s="10" t="s">
        <v>66</v>
      </c>
      <c r="AX1196" s="10"/>
      <c r="AY1196" s="10" t="s">
        <v>66</v>
      </c>
    </row>
    <row r="1197" ht="22.5" hidden="1" customHeight="1">
      <c r="A1197" s="9" t="s">
        <v>12138</v>
      </c>
      <c r="B1197" s="10" t="s">
        <v>12139</v>
      </c>
      <c r="C1197" s="10" t="s">
        <v>43</v>
      </c>
      <c r="D1197" s="10" t="s">
        <v>9839</v>
      </c>
      <c r="E1197" s="10" t="s">
        <v>66</v>
      </c>
      <c r="F1197" s="11">
        <v>1.0</v>
      </c>
      <c r="G1197" s="11">
        <v>79.0</v>
      </c>
      <c r="H1197" s="11"/>
      <c r="I1197" s="11">
        <v>-13.43</v>
      </c>
      <c r="J1197" s="11">
        <v>-20.45</v>
      </c>
      <c r="K1197" s="11"/>
      <c r="L1197" s="11">
        <v>45.12</v>
      </c>
      <c r="M1197" s="10" t="s">
        <v>46</v>
      </c>
      <c r="N1197" s="10" t="s">
        <v>45</v>
      </c>
      <c r="O1197" s="10" t="s">
        <v>461</v>
      </c>
      <c r="P1197" s="10" t="s">
        <v>462</v>
      </c>
      <c r="Q1197" s="10" t="s">
        <v>463</v>
      </c>
      <c r="R1197" s="10" t="s">
        <v>74</v>
      </c>
      <c r="S1197" s="11">
        <v>79.0</v>
      </c>
      <c r="T1197" s="11">
        <v>10.09</v>
      </c>
      <c r="U1197" s="11" t="s">
        <v>51</v>
      </c>
      <c r="V1197" s="10" t="s">
        <v>52</v>
      </c>
      <c r="W1197" s="10" t="s">
        <v>12140</v>
      </c>
      <c r="X1197" s="10" t="s">
        <v>12141</v>
      </c>
      <c r="Y1197" s="10" t="s">
        <v>12142</v>
      </c>
      <c r="Z1197" s="10" t="s">
        <v>50</v>
      </c>
      <c r="AA1197" s="10" t="s">
        <v>50</v>
      </c>
      <c r="AB1197" s="10" t="s">
        <v>12140</v>
      </c>
      <c r="AC1197" s="10" t="s">
        <v>12143</v>
      </c>
      <c r="AD1197" s="10" t="s">
        <v>12144</v>
      </c>
      <c r="AE1197" s="10" t="s">
        <v>12145</v>
      </c>
      <c r="AF1197" s="10" t="s">
        <v>151</v>
      </c>
      <c r="AG1197" s="10" t="s">
        <v>12146</v>
      </c>
      <c r="AH1197" s="10" t="s">
        <v>60</v>
      </c>
      <c r="AI1197" s="10" t="s">
        <v>61</v>
      </c>
      <c r="AJ1197" s="10" t="s">
        <v>12147</v>
      </c>
      <c r="AK1197" s="10" t="s">
        <v>12148</v>
      </c>
      <c r="AL1197" s="10" t="s">
        <v>64</v>
      </c>
      <c r="AM1197" s="10" t="s">
        <v>12149</v>
      </c>
      <c r="AN1197" s="10" t="s">
        <v>50</v>
      </c>
      <c r="AO1197" s="11" t="s">
        <v>50</v>
      </c>
      <c r="AP1197" s="10" t="s">
        <v>50</v>
      </c>
      <c r="AQ1197" s="10" t="s">
        <v>50</v>
      </c>
      <c r="AR1197" s="10" t="s">
        <v>50</v>
      </c>
      <c r="AS1197" s="10" t="s">
        <v>50</v>
      </c>
      <c r="AT1197" s="10" t="s">
        <v>50</v>
      </c>
      <c r="AU1197" s="10" t="s">
        <v>50</v>
      </c>
      <c r="AV1197" s="11"/>
      <c r="AW1197" s="10" t="s">
        <v>66</v>
      </c>
      <c r="AX1197" s="10"/>
      <c r="AY1197" s="10" t="s">
        <v>66</v>
      </c>
    </row>
    <row r="1198" ht="22.5" hidden="1" customHeight="1">
      <c r="A1198" s="9" t="s">
        <v>12150</v>
      </c>
      <c r="B1198" s="10" t="s">
        <v>12151</v>
      </c>
      <c r="C1198" s="10" t="s">
        <v>43</v>
      </c>
      <c r="D1198" s="10" t="s">
        <v>11161</v>
      </c>
      <c r="E1198" s="10" t="s">
        <v>66</v>
      </c>
      <c r="F1198" s="11">
        <v>1.0</v>
      </c>
      <c r="G1198" s="11">
        <v>120.0</v>
      </c>
      <c r="H1198" s="11"/>
      <c r="I1198" s="11">
        <v>-20.4</v>
      </c>
      <c r="J1198" s="11">
        <v>-19.95</v>
      </c>
      <c r="K1198" s="11"/>
      <c r="L1198" s="11">
        <v>86.85</v>
      </c>
      <c r="M1198" s="10" t="s">
        <v>46</v>
      </c>
      <c r="N1198" s="10" t="s">
        <v>50</v>
      </c>
      <c r="O1198" s="10" t="s">
        <v>85</v>
      </c>
      <c r="P1198" s="10" t="s">
        <v>86</v>
      </c>
      <c r="Q1198" s="10" t="s">
        <v>87</v>
      </c>
      <c r="R1198" s="10" t="s">
        <v>74</v>
      </c>
      <c r="S1198" s="11">
        <v>120.0</v>
      </c>
      <c r="T1198" s="11">
        <v>65.78</v>
      </c>
      <c r="U1198" s="11" t="s">
        <v>51</v>
      </c>
      <c r="V1198" s="10" t="s">
        <v>52</v>
      </c>
      <c r="W1198" s="10" t="s">
        <v>12152</v>
      </c>
      <c r="X1198" s="10" t="s">
        <v>12153</v>
      </c>
      <c r="Y1198" s="10" t="s">
        <v>12154</v>
      </c>
      <c r="Z1198" s="10" t="s">
        <v>50</v>
      </c>
      <c r="AA1198" s="10" t="s">
        <v>50</v>
      </c>
      <c r="AB1198" s="10" t="s">
        <v>12152</v>
      </c>
      <c r="AC1198" s="10" t="s">
        <v>12155</v>
      </c>
      <c r="AD1198" s="10" t="s">
        <v>12156</v>
      </c>
      <c r="AE1198" s="10" t="s">
        <v>12157</v>
      </c>
      <c r="AF1198" s="10" t="s">
        <v>775</v>
      </c>
      <c r="AG1198" s="10" t="s">
        <v>12158</v>
      </c>
      <c r="AH1198" s="10" t="s">
        <v>60</v>
      </c>
      <c r="AI1198" s="10" t="s">
        <v>61</v>
      </c>
      <c r="AJ1198" s="10" t="s">
        <v>12159</v>
      </c>
      <c r="AK1198" s="10" t="s">
        <v>12160</v>
      </c>
      <c r="AL1198" s="10" t="s">
        <v>64</v>
      </c>
      <c r="AM1198" s="10" t="s">
        <v>12161</v>
      </c>
      <c r="AN1198" s="10" t="s">
        <v>50</v>
      </c>
      <c r="AO1198" s="11" t="s">
        <v>50</v>
      </c>
      <c r="AP1198" s="10" t="s">
        <v>50</v>
      </c>
      <c r="AQ1198" s="10" t="s">
        <v>50</v>
      </c>
      <c r="AR1198" s="10" t="s">
        <v>50</v>
      </c>
      <c r="AS1198" s="10" t="s">
        <v>50</v>
      </c>
      <c r="AT1198" s="10" t="s">
        <v>50</v>
      </c>
      <c r="AU1198" s="10" t="s">
        <v>50</v>
      </c>
      <c r="AV1198" s="11"/>
      <c r="AW1198" s="10" t="s">
        <v>66</v>
      </c>
      <c r="AX1198" s="10"/>
      <c r="AY1198" s="10" t="s">
        <v>66</v>
      </c>
    </row>
    <row r="1199" ht="22.5" hidden="1" customHeight="1">
      <c r="A1199" s="9" t="s">
        <v>12162</v>
      </c>
      <c r="B1199" s="10" t="s">
        <v>12163</v>
      </c>
      <c r="C1199" s="10" t="s">
        <v>12164</v>
      </c>
      <c r="D1199" s="10" t="s">
        <v>5980</v>
      </c>
      <c r="E1199" s="10" t="s">
        <v>66</v>
      </c>
      <c r="F1199" s="11">
        <v>1.0</v>
      </c>
      <c r="G1199" s="11">
        <v>120.0</v>
      </c>
      <c r="H1199" s="11"/>
      <c r="I1199" s="11">
        <v>-20.4</v>
      </c>
      <c r="J1199" s="11">
        <v>-19.95</v>
      </c>
      <c r="K1199" s="11">
        <v>-86.85</v>
      </c>
      <c r="L1199" s="11">
        <v>0.0</v>
      </c>
      <c r="M1199" s="10" t="s">
        <v>46</v>
      </c>
      <c r="N1199" s="10" t="s">
        <v>45</v>
      </c>
      <c r="O1199" s="10" t="s">
        <v>85</v>
      </c>
      <c r="P1199" s="10" t="s">
        <v>86</v>
      </c>
      <c r="Q1199" s="10" t="s">
        <v>87</v>
      </c>
      <c r="R1199" s="10" t="s">
        <v>74</v>
      </c>
      <c r="S1199" s="11">
        <v>120.0</v>
      </c>
      <c r="T1199" s="11"/>
      <c r="U1199" s="11" t="s">
        <v>51</v>
      </c>
      <c r="V1199" s="10" t="s">
        <v>52</v>
      </c>
      <c r="W1199" s="10" t="s">
        <v>12165</v>
      </c>
      <c r="X1199" s="10" t="s">
        <v>12166</v>
      </c>
      <c r="Y1199" s="10" t="s">
        <v>12167</v>
      </c>
      <c r="Z1199" s="10" t="s">
        <v>50</v>
      </c>
      <c r="AA1199" s="10" t="s">
        <v>50</v>
      </c>
      <c r="AB1199" s="10" t="s">
        <v>12165</v>
      </c>
      <c r="AC1199" s="10" t="s">
        <v>12168</v>
      </c>
      <c r="AD1199" s="10" t="s">
        <v>50</v>
      </c>
      <c r="AE1199" s="10" t="s">
        <v>151</v>
      </c>
      <c r="AF1199" s="10" t="s">
        <v>151</v>
      </c>
      <c r="AG1199" s="10" t="s">
        <v>12169</v>
      </c>
      <c r="AH1199" s="10" t="s">
        <v>60</v>
      </c>
      <c r="AI1199" s="10" t="s">
        <v>61</v>
      </c>
      <c r="AJ1199" s="10" t="s">
        <v>12170</v>
      </c>
      <c r="AK1199" s="10" t="s">
        <v>50</v>
      </c>
      <c r="AL1199" s="10" t="s">
        <v>64</v>
      </c>
      <c r="AM1199" s="10" t="s">
        <v>12171</v>
      </c>
      <c r="AN1199" s="10" t="s">
        <v>50</v>
      </c>
      <c r="AO1199" s="11" t="s">
        <v>50</v>
      </c>
      <c r="AP1199" s="10" t="s">
        <v>50</v>
      </c>
      <c r="AQ1199" s="10" t="s">
        <v>50</v>
      </c>
      <c r="AR1199" s="10" t="s">
        <v>50</v>
      </c>
      <c r="AS1199" s="10" t="s">
        <v>50</v>
      </c>
      <c r="AT1199" s="10" t="s">
        <v>50</v>
      </c>
      <c r="AU1199" s="10" t="s">
        <v>50</v>
      </c>
      <c r="AV1199" s="11"/>
      <c r="AW1199" s="10" t="s">
        <v>66</v>
      </c>
      <c r="AX1199" s="10"/>
      <c r="AY1199" s="10" t="s">
        <v>66</v>
      </c>
    </row>
    <row r="1200" ht="22.5" hidden="1" customHeight="1">
      <c r="A1200" s="9" t="s">
        <v>12172</v>
      </c>
      <c r="B1200" s="10" t="s">
        <v>12173</v>
      </c>
      <c r="C1200" s="10" t="s">
        <v>43</v>
      </c>
      <c r="D1200" s="10" t="s">
        <v>8227</v>
      </c>
      <c r="E1200" s="10" t="s">
        <v>45</v>
      </c>
      <c r="F1200" s="11">
        <v>4.0</v>
      </c>
      <c r="G1200" s="11">
        <v>174.8</v>
      </c>
      <c r="H1200" s="11"/>
      <c r="I1200" s="11">
        <v>-53.72</v>
      </c>
      <c r="J1200" s="11"/>
      <c r="K1200" s="11"/>
      <c r="L1200" s="11">
        <v>131.56</v>
      </c>
      <c r="M1200" s="10" t="s">
        <v>46</v>
      </c>
      <c r="N1200" s="10" t="s">
        <v>50</v>
      </c>
      <c r="O1200" s="10" t="s">
        <v>176</v>
      </c>
      <c r="P1200" s="10" t="s">
        <v>177</v>
      </c>
      <c r="Q1200" s="10" t="s">
        <v>178</v>
      </c>
      <c r="R1200" s="10" t="s">
        <v>74</v>
      </c>
      <c r="S1200" s="11">
        <v>43.7</v>
      </c>
      <c r="T1200" s="11">
        <f>4*22.58</f>
        <v>90.32</v>
      </c>
      <c r="U1200" s="11" t="s">
        <v>51</v>
      </c>
      <c r="V1200" s="10" t="s">
        <v>52</v>
      </c>
      <c r="W1200" s="10" t="s">
        <v>12174</v>
      </c>
      <c r="X1200" s="10" t="s">
        <v>12175</v>
      </c>
      <c r="Y1200" s="10" t="s">
        <v>12176</v>
      </c>
      <c r="Z1200" s="10" t="s">
        <v>50</v>
      </c>
      <c r="AA1200" s="10" t="s">
        <v>50</v>
      </c>
      <c r="AB1200" s="10" t="s">
        <v>12174</v>
      </c>
      <c r="AC1200" s="10" t="s">
        <v>12177</v>
      </c>
      <c r="AD1200" s="10" t="s">
        <v>12178</v>
      </c>
      <c r="AE1200" s="10" t="s">
        <v>8561</v>
      </c>
      <c r="AF1200" s="10" t="s">
        <v>214</v>
      </c>
      <c r="AG1200" s="10" t="s">
        <v>12179</v>
      </c>
      <c r="AH1200" s="10" t="s">
        <v>60</v>
      </c>
      <c r="AI1200" s="10" t="s">
        <v>61</v>
      </c>
      <c r="AJ1200" s="10" t="s">
        <v>12180</v>
      </c>
      <c r="AK1200" s="10" t="s">
        <v>12181</v>
      </c>
      <c r="AL1200" s="10" t="s">
        <v>64</v>
      </c>
      <c r="AM1200" s="10" t="s">
        <v>12182</v>
      </c>
      <c r="AN1200" s="10" t="s">
        <v>50</v>
      </c>
      <c r="AO1200" s="11" t="s">
        <v>50</v>
      </c>
      <c r="AP1200" s="10" t="s">
        <v>50</v>
      </c>
      <c r="AQ1200" s="10" t="s">
        <v>50</v>
      </c>
      <c r="AR1200" s="10" t="s">
        <v>50</v>
      </c>
      <c r="AS1200" s="10" t="s">
        <v>50</v>
      </c>
      <c r="AT1200" s="10" t="s">
        <v>50</v>
      </c>
      <c r="AU1200" s="10" t="s">
        <v>50</v>
      </c>
      <c r="AV1200" s="11"/>
      <c r="AW1200" s="10" t="s">
        <v>66</v>
      </c>
      <c r="AX1200" s="10"/>
      <c r="AY1200" s="10" t="s">
        <v>66</v>
      </c>
    </row>
    <row r="1201" ht="22.5" hidden="1" customHeight="1">
      <c r="A1201" s="9" t="s">
        <v>12183</v>
      </c>
      <c r="B1201" s="10" t="s">
        <v>12184</v>
      </c>
      <c r="C1201" s="10" t="s">
        <v>43</v>
      </c>
      <c r="D1201" s="10" t="s">
        <v>8227</v>
      </c>
      <c r="E1201" s="10" t="s">
        <v>45</v>
      </c>
      <c r="F1201" s="11">
        <v>1.0</v>
      </c>
      <c r="G1201" s="11">
        <v>80.6</v>
      </c>
      <c r="H1201" s="11">
        <v>27.0</v>
      </c>
      <c r="I1201" s="11">
        <v>-13.7</v>
      </c>
      <c r="J1201" s="11">
        <v>-47.45</v>
      </c>
      <c r="K1201" s="11"/>
      <c r="L1201" s="11">
        <v>46.45</v>
      </c>
      <c r="M1201" s="10" t="s">
        <v>46</v>
      </c>
      <c r="N1201" s="10" t="s">
        <v>45</v>
      </c>
      <c r="O1201" s="10" t="s">
        <v>265</v>
      </c>
      <c r="P1201" s="10" t="s">
        <v>266</v>
      </c>
      <c r="Q1201" s="10" t="s">
        <v>267</v>
      </c>
      <c r="R1201" s="10" t="s">
        <v>74</v>
      </c>
      <c r="S1201" s="11">
        <v>80.6</v>
      </c>
      <c r="T1201" s="11">
        <v>26.22</v>
      </c>
      <c r="U1201" s="11" t="s">
        <v>51</v>
      </c>
      <c r="V1201" s="10" t="s">
        <v>52</v>
      </c>
      <c r="W1201" s="10" t="s">
        <v>12185</v>
      </c>
      <c r="X1201" s="10" t="s">
        <v>12186</v>
      </c>
      <c r="Y1201" s="10" t="s">
        <v>12187</v>
      </c>
      <c r="Z1201" s="10" t="s">
        <v>50</v>
      </c>
      <c r="AA1201" s="10" t="s">
        <v>50</v>
      </c>
      <c r="AB1201" s="10" t="s">
        <v>12185</v>
      </c>
      <c r="AC1201" s="10" t="s">
        <v>12188</v>
      </c>
      <c r="AD1201" s="10" t="s">
        <v>12189</v>
      </c>
      <c r="AE1201" s="10" t="s">
        <v>12190</v>
      </c>
      <c r="AF1201" s="10" t="s">
        <v>2648</v>
      </c>
      <c r="AG1201" s="10" t="s">
        <v>12191</v>
      </c>
      <c r="AH1201" s="10" t="s">
        <v>60</v>
      </c>
      <c r="AI1201" s="10" t="s">
        <v>61</v>
      </c>
      <c r="AJ1201" s="10" t="s">
        <v>12159</v>
      </c>
      <c r="AK1201" s="10" t="s">
        <v>12192</v>
      </c>
      <c r="AL1201" s="10" t="s">
        <v>64</v>
      </c>
      <c r="AM1201" s="10" t="s">
        <v>12193</v>
      </c>
      <c r="AN1201" s="10" t="s">
        <v>50</v>
      </c>
      <c r="AO1201" s="11" t="s">
        <v>50</v>
      </c>
      <c r="AP1201" s="10" t="s">
        <v>50</v>
      </c>
      <c r="AQ1201" s="10" t="s">
        <v>50</v>
      </c>
      <c r="AR1201" s="10" t="s">
        <v>50</v>
      </c>
      <c r="AS1201" s="10" t="s">
        <v>50</v>
      </c>
      <c r="AT1201" s="10" t="s">
        <v>50</v>
      </c>
      <c r="AU1201" s="10" t="s">
        <v>50</v>
      </c>
      <c r="AV1201" s="11"/>
      <c r="AW1201" s="10" t="s">
        <v>66</v>
      </c>
      <c r="AX1201" s="10"/>
      <c r="AY1201" s="10" t="s">
        <v>66</v>
      </c>
    </row>
    <row r="1202" ht="22.5" hidden="1" customHeight="1">
      <c r="A1202" s="9" t="s">
        <v>12194</v>
      </c>
      <c r="B1202" s="10" t="s">
        <v>12195</v>
      </c>
      <c r="C1202" s="10" t="s">
        <v>43</v>
      </c>
      <c r="D1202" s="10" t="s">
        <v>10258</v>
      </c>
      <c r="E1202" s="10" t="s">
        <v>66</v>
      </c>
      <c r="F1202" s="11">
        <v>1.0</v>
      </c>
      <c r="G1202" s="11">
        <v>79.0</v>
      </c>
      <c r="H1202" s="11"/>
      <c r="I1202" s="11">
        <v>-13.43</v>
      </c>
      <c r="J1202" s="11">
        <v>-20.45</v>
      </c>
      <c r="K1202" s="11"/>
      <c r="L1202" s="11">
        <v>45.12</v>
      </c>
      <c r="M1202" s="10" t="s">
        <v>46</v>
      </c>
      <c r="N1202" s="10" t="s">
        <v>45</v>
      </c>
      <c r="O1202" s="10" t="s">
        <v>160</v>
      </c>
      <c r="P1202" s="10" t="s">
        <v>161</v>
      </c>
      <c r="Q1202" s="10" t="s">
        <v>162</v>
      </c>
      <c r="R1202" s="10" t="s">
        <v>74</v>
      </c>
      <c r="S1202" s="11">
        <v>79.0</v>
      </c>
      <c r="T1202" s="11">
        <v>2.49</v>
      </c>
      <c r="U1202" s="11" t="s">
        <v>51</v>
      </c>
      <c r="V1202" s="10" t="s">
        <v>52</v>
      </c>
      <c r="W1202" s="10" t="s">
        <v>12196</v>
      </c>
      <c r="X1202" s="10" t="s">
        <v>12197</v>
      </c>
      <c r="Y1202" s="10" t="s">
        <v>12198</v>
      </c>
      <c r="Z1202" s="10" t="s">
        <v>50</v>
      </c>
      <c r="AA1202" s="10" t="s">
        <v>50</v>
      </c>
      <c r="AB1202" s="10" t="s">
        <v>12196</v>
      </c>
      <c r="AC1202" s="10" t="s">
        <v>12199</v>
      </c>
      <c r="AD1202" s="10" t="s">
        <v>12200</v>
      </c>
      <c r="AE1202" s="10" t="s">
        <v>12201</v>
      </c>
      <c r="AF1202" s="10" t="s">
        <v>119</v>
      </c>
      <c r="AG1202" s="10" t="s">
        <v>12202</v>
      </c>
      <c r="AH1202" s="10" t="s">
        <v>60</v>
      </c>
      <c r="AI1202" s="10" t="s">
        <v>61</v>
      </c>
      <c r="AJ1202" s="10" t="s">
        <v>12180</v>
      </c>
      <c r="AK1202" s="10" t="s">
        <v>12203</v>
      </c>
      <c r="AL1202" s="10" t="s">
        <v>64</v>
      </c>
      <c r="AM1202" s="10" t="s">
        <v>12204</v>
      </c>
      <c r="AN1202" s="10" t="s">
        <v>50</v>
      </c>
      <c r="AO1202" s="11" t="s">
        <v>50</v>
      </c>
      <c r="AP1202" s="10" t="s">
        <v>50</v>
      </c>
      <c r="AQ1202" s="10" t="s">
        <v>50</v>
      </c>
      <c r="AR1202" s="10" t="s">
        <v>50</v>
      </c>
      <c r="AS1202" s="10" t="s">
        <v>50</v>
      </c>
      <c r="AT1202" s="10" t="s">
        <v>50</v>
      </c>
      <c r="AU1202" s="10" t="s">
        <v>50</v>
      </c>
      <c r="AV1202" s="11"/>
      <c r="AW1202" s="10" t="s">
        <v>66</v>
      </c>
      <c r="AX1202" s="10"/>
      <c r="AY1202" s="10" t="s">
        <v>66</v>
      </c>
    </row>
    <row r="1203" ht="22.5" hidden="1" customHeight="1">
      <c r="A1203" s="9" t="s">
        <v>12205</v>
      </c>
      <c r="B1203" s="10" t="s">
        <v>12206</v>
      </c>
      <c r="C1203" s="10" t="s">
        <v>43</v>
      </c>
      <c r="D1203" s="10" t="s">
        <v>10258</v>
      </c>
      <c r="E1203" s="10" t="s">
        <v>66</v>
      </c>
      <c r="F1203" s="11">
        <v>1.0</v>
      </c>
      <c r="G1203" s="11">
        <v>79.35</v>
      </c>
      <c r="H1203" s="11"/>
      <c r="I1203" s="11">
        <v>-15.08</v>
      </c>
      <c r="J1203" s="11">
        <v>-19.95</v>
      </c>
      <c r="K1203" s="11"/>
      <c r="L1203" s="11">
        <v>44.32</v>
      </c>
      <c r="M1203" s="10" t="s">
        <v>46</v>
      </c>
      <c r="N1203" s="10" t="s">
        <v>50</v>
      </c>
      <c r="O1203" s="10" t="s">
        <v>47</v>
      </c>
      <c r="P1203" s="10" t="s">
        <v>48</v>
      </c>
      <c r="Q1203" s="10" t="s">
        <v>49</v>
      </c>
      <c r="R1203" s="10" t="s">
        <v>50</v>
      </c>
      <c r="S1203" s="11">
        <v>79.35</v>
      </c>
      <c r="T1203" s="11">
        <v>12.45</v>
      </c>
      <c r="U1203" s="11" t="s">
        <v>51</v>
      </c>
      <c r="V1203" s="10" t="s">
        <v>52</v>
      </c>
      <c r="W1203" s="10" t="s">
        <v>12207</v>
      </c>
      <c r="X1203" s="10" t="s">
        <v>12208</v>
      </c>
      <c r="Y1203" s="10" t="s">
        <v>12209</v>
      </c>
      <c r="Z1203" s="10" t="s">
        <v>50</v>
      </c>
      <c r="AA1203" s="10" t="s">
        <v>50</v>
      </c>
      <c r="AB1203" s="10" t="s">
        <v>12207</v>
      </c>
      <c r="AC1203" s="10" t="s">
        <v>12210</v>
      </c>
      <c r="AD1203" s="10" t="s">
        <v>12211</v>
      </c>
      <c r="AE1203" s="10" t="s">
        <v>384</v>
      </c>
      <c r="AF1203" s="10" t="s">
        <v>214</v>
      </c>
      <c r="AG1203" s="10" t="s">
        <v>12212</v>
      </c>
      <c r="AH1203" s="10" t="s">
        <v>60</v>
      </c>
      <c r="AI1203" s="10" t="s">
        <v>61</v>
      </c>
      <c r="AJ1203" s="10" t="s">
        <v>12180</v>
      </c>
      <c r="AK1203" s="10" t="s">
        <v>12213</v>
      </c>
      <c r="AL1203" s="10" t="s">
        <v>64</v>
      </c>
      <c r="AM1203" s="10" t="s">
        <v>12214</v>
      </c>
      <c r="AN1203" s="10" t="s">
        <v>50</v>
      </c>
      <c r="AO1203" s="11" t="s">
        <v>50</v>
      </c>
      <c r="AP1203" s="10" t="s">
        <v>50</v>
      </c>
      <c r="AQ1203" s="10" t="s">
        <v>50</v>
      </c>
      <c r="AR1203" s="10" t="s">
        <v>50</v>
      </c>
      <c r="AS1203" s="10" t="s">
        <v>50</v>
      </c>
      <c r="AT1203" s="10" t="s">
        <v>50</v>
      </c>
      <c r="AU1203" s="10" t="s">
        <v>50</v>
      </c>
      <c r="AV1203" s="11"/>
      <c r="AW1203" s="10" t="s">
        <v>66</v>
      </c>
      <c r="AX1203" s="10"/>
      <c r="AY1203" s="10" t="s">
        <v>66</v>
      </c>
    </row>
    <row r="1204" ht="22.5" hidden="1" customHeight="1">
      <c r="A1204" s="9" t="s">
        <v>12215</v>
      </c>
      <c r="B1204" s="10" t="s">
        <v>12216</v>
      </c>
      <c r="C1204" s="10" t="s">
        <v>43</v>
      </c>
      <c r="D1204" s="10" t="s">
        <v>12217</v>
      </c>
      <c r="E1204" s="10" t="s">
        <v>66</v>
      </c>
      <c r="F1204" s="11">
        <v>1.0</v>
      </c>
      <c r="G1204" s="11">
        <v>79.2</v>
      </c>
      <c r="H1204" s="11"/>
      <c r="I1204" s="11">
        <v>-13.46</v>
      </c>
      <c r="J1204" s="11">
        <v>-20.45</v>
      </c>
      <c r="K1204" s="11"/>
      <c r="L1204" s="11">
        <v>45.29</v>
      </c>
      <c r="M1204" s="10" t="s">
        <v>12218</v>
      </c>
      <c r="N1204" s="10" t="s">
        <v>45</v>
      </c>
      <c r="O1204" s="10" t="s">
        <v>412</v>
      </c>
      <c r="P1204" s="10" t="s">
        <v>413</v>
      </c>
      <c r="Q1204" s="10" t="s">
        <v>414</v>
      </c>
      <c r="R1204" s="10" t="s">
        <v>415</v>
      </c>
      <c r="S1204" s="11">
        <v>79.2</v>
      </c>
      <c r="T1204" s="11">
        <v>10.05</v>
      </c>
      <c r="U1204" s="11" t="s">
        <v>51</v>
      </c>
      <c r="V1204" s="10" t="s">
        <v>52</v>
      </c>
      <c r="W1204" s="10" t="s">
        <v>12219</v>
      </c>
      <c r="X1204" s="10" t="s">
        <v>12220</v>
      </c>
      <c r="Y1204" s="10" t="s">
        <v>12221</v>
      </c>
      <c r="Z1204" s="10" t="s">
        <v>50</v>
      </c>
      <c r="AA1204" s="10" t="s">
        <v>50</v>
      </c>
      <c r="AB1204" s="10" t="s">
        <v>12219</v>
      </c>
      <c r="AC1204" s="10" t="s">
        <v>12222</v>
      </c>
      <c r="AD1204" s="10" t="s">
        <v>12223</v>
      </c>
      <c r="AE1204" s="10" t="s">
        <v>151</v>
      </c>
      <c r="AF1204" s="10" t="s">
        <v>151</v>
      </c>
      <c r="AG1204" s="10" t="s">
        <v>12224</v>
      </c>
      <c r="AH1204" s="10" t="s">
        <v>60</v>
      </c>
      <c r="AI1204" s="10" t="s">
        <v>61</v>
      </c>
      <c r="AJ1204" s="10" t="s">
        <v>12225</v>
      </c>
      <c r="AK1204" s="10" t="s">
        <v>12226</v>
      </c>
      <c r="AL1204" s="10" t="s">
        <v>64</v>
      </c>
      <c r="AM1204" s="10" t="s">
        <v>12227</v>
      </c>
      <c r="AN1204" s="10" t="s">
        <v>50</v>
      </c>
      <c r="AO1204" s="11" t="s">
        <v>50</v>
      </c>
      <c r="AP1204" s="10" t="s">
        <v>50</v>
      </c>
      <c r="AQ1204" s="10" t="s">
        <v>50</v>
      </c>
      <c r="AR1204" s="10" t="s">
        <v>50</v>
      </c>
      <c r="AS1204" s="10" t="s">
        <v>50</v>
      </c>
      <c r="AT1204" s="10" t="s">
        <v>50</v>
      </c>
      <c r="AU1204" s="10" t="s">
        <v>50</v>
      </c>
      <c r="AV1204" s="11"/>
      <c r="AW1204" s="10" t="s">
        <v>66</v>
      </c>
      <c r="AX1204" s="10"/>
      <c r="AY1204" s="10" t="s">
        <v>66</v>
      </c>
    </row>
    <row r="1205" ht="22.5" hidden="1" customHeight="1">
      <c r="A1205" s="9" t="s">
        <v>12228</v>
      </c>
      <c r="B1205" s="10" t="s">
        <v>12229</v>
      </c>
      <c r="C1205" s="10" t="s">
        <v>43</v>
      </c>
      <c r="D1205" s="10" t="s">
        <v>8227</v>
      </c>
      <c r="E1205" s="10" t="s">
        <v>66</v>
      </c>
      <c r="F1205" s="11">
        <v>1.0</v>
      </c>
      <c r="G1205" s="11">
        <v>79.2</v>
      </c>
      <c r="H1205" s="11"/>
      <c r="I1205" s="11">
        <v>-13.46</v>
      </c>
      <c r="J1205" s="11">
        <v>-20.45</v>
      </c>
      <c r="K1205" s="11"/>
      <c r="L1205" s="11">
        <v>45.29</v>
      </c>
      <c r="M1205" s="10" t="s">
        <v>46</v>
      </c>
      <c r="N1205" s="10" t="s">
        <v>45</v>
      </c>
      <c r="O1205" s="10" t="s">
        <v>892</v>
      </c>
      <c r="P1205" s="10" t="s">
        <v>893</v>
      </c>
      <c r="Q1205" s="10" t="s">
        <v>894</v>
      </c>
      <c r="R1205" s="10" t="s">
        <v>74</v>
      </c>
      <c r="S1205" s="11">
        <v>79.2</v>
      </c>
      <c r="T1205" s="11">
        <v>2.97</v>
      </c>
      <c r="U1205" s="11" t="s">
        <v>51</v>
      </c>
      <c r="V1205" s="10" t="s">
        <v>52</v>
      </c>
      <c r="W1205" s="10" t="s">
        <v>12230</v>
      </c>
      <c r="X1205" s="10" t="s">
        <v>12231</v>
      </c>
      <c r="Y1205" s="10" t="s">
        <v>12232</v>
      </c>
      <c r="Z1205" s="10" t="s">
        <v>50</v>
      </c>
      <c r="AA1205" s="10" t="s">
        <v>50</v>
      </c>
      <c r="AB1205" s="10" t="s">
        <v>12230</v>
      </c>
      <c r="AC1205" s="10" t="s">
        <v>12233</v>
      </c>
      <c r="AD1205" s="10" t="s">
        <v>12234</v>
      </c>
      <c r="AE1205" s="10" t="s">
        <v>12235</v>
      </c>
      <c r="AF1205" s="10" t="s">
        <v>284</v>
      </c>
      <c r="AG1205" s="10" t="s">
        <v>12236</v>
      </c>
      <c r="AH1205" s="10" t="s">
        <v>60</v>
      </c>
      <c r="AI1205" s="10" t="s">
        <v>61</v>
      </c>
      <c r="AJ1205" s="10" t="s">
        <v>12180</v>
      </c>
      <c r="AK1205" s="10" t="s">
        <v>12237</v>
      </c>
      <c r="AL1205" s="10" t="s">
        <v>64</v>
      </c>
      <c r="AM1205" s="10" t="s">
        <v>12238</v>
      </c>
      <c r="AN1205" s="10" t="s">
        <v>50</v>
      </c>
      <c r="AO1205" s="11" t="s">
        <v>50</v>
      </c>
      <c r="AP1205" s="10" t="s">
        <v>50</v>
      </c>
      <c r="AQ1205" s="10" t="s">
        <v>50</v>
      </c>
      <c r="AR1205" s="10" t="s">
        <v>50</v>
      </c>
      <c r="AS1205" s="10" t="s">
        <v>50</v>
      </c>
      <c r="AT1205" s="10" t="s">
        <v>50</v>
      </c>
      <c r="AU1205" s="10" t="s">
        <v>50</v>
      </c>
      <c r="AV1205" s="11"/>
      <c r="AW1205" s="10" t="s">
        <v>66</v>
      </c>
      <c r="AX1205" s="10"/>
      <c r="AY1205" s="10" t="s">
        <v>66</v>
      </c>
    </row>
    <row r="1206" ht="22.5" hidden="1" customHeight="1">
      <c r="A1206" s="9" t="s">
        <v>12239</v>
      </c>
      <c r="B1206" s="10" t="s">
        <v>12240</v>
      </c>
      <c r="C1206" s="10" t="s">
        <v>43</v>
      </c>
      <c r="D1206" s="10" t="s">
        <v>12217</v>
      </c>
      <c r="E1206" s="10" t="s">
        <v>45</v>
      </c>
      <c r="F1206" s="11">
        <v>1.0</v>
      </c>
      <c r="G1206" s="11">
        <v>80.0</v>
      </c>
      <c r="H1206" s="11"/>
      <c r="I1206" s="11">
        <v>-13.6</v>
      </c>
      <c r="J1206" s="11">
        <v>-19.95</v>
      </c>
      <c r="K1206" s="11"/>
      <c r="L1206" s="11">
        <v>50.45</v>
      </c>
      <c r="M1206" s="10" t="s">
        <v>46</v>
      </c>
      <c r="N1206" s="10" t="s">
        <v>50</v>
      </c>
      <c r="O1206" s="10" t="s">
        <v>143</v>
      </c>
      <c r="P1206" s="10" t="s">
        <v>144</v>
      </c>
      <c r="Q1206" s="10" t="s">
        <v>145</v>
      </c>
      <c r="R1206" s="10" t="s">
        <v>74</v>
      </c>
      <c r="S1206" s="11">
        <v>80.0</v>
      </c>
      <c r="T1206" s="11">
        <v>33.38</v>
      </c>
      <c r="U1206" s="11" t="s">
        <v>51</v>
      </c>
      <c r="V1206" s="10" t="s">
        <v>52</v>
      </c>
      <c r="W1206" s="10" t="s">
        <v>12241</v>
      </c>
      <c r="X1206" s="10" t="s">
        <v>12242</v>
      </c>
      <c r="Y1206" s="10" t="s">
        <v>12243</v>
      </c>
      <c r="Z1206" s="10" t="s">
        <v>50</v>
      </c>
      <c r="AA1206" s="10" t="s">
        <v>50</v>
      </c>
      <c r="AB1206" s="10" t="s">
        <v>12241</v>
      </c>
      <c r="AC1206" s="10" t="s">
        <v>12244</v>
      </c>
      <c r="AD1206" s="10" t="s">
        <v>12245</v>
      </c>
      <c r="AE1206" s="10" t="s">
        <v>1697</v>
      </c>
      <c r="AF1206" s="10" t="s">
        <v>323</v>
      </c>
      <c r="AG1206" s="10" t="s">
        <v>12246</v>
      </c>
      <c r="AH1206" s="10" t="s">
        <v>60</v>
      </c>
      <c r="AI1206" s="10" t="s">
        <v>61</v>
      </c>
      <c r="AJ1206" s="10" t="s">
        <v>12247</v>
      </c>
      <c r="AK1206" s="10" t="s">
        <v>12248</v>
      </c>
      <c r="AL1206" s="10" t="s">
        <v>64</v>
      </c>
      <c r="AM1206" s="10" t="s">
        <v>12249</v>
      </c>
      <c r="AN1206" s="10" t="s">
        <v>50</v>
      </c>
      <c r="AO1206" s="11" t="s">
        <v>50</v>
      </c>
      <c r="AP1206" s="10" t="s">
        <v>50</v>
      </c>
      <c r="AQ1206" s="10" t="s">
        <v>50</v>
      </c>
      <c r="AR1206" s="10" t="s">
        <v>50</v>
      </c>
      <c r="AS1206" s="10" t="s">
        <v>50</v>
      </c>
      <c r="AT1206" s="10" t="s">
        <v>50</v>
      </c>
      <c r="AU1206" s="10" t="s">
        <v>50</v>
      </c>
      <c r="AV1206" s="11"/>
      <c r="AW1206" s="10" t="s">
        <v>66</v>
      </c>
      <c r="AX1206" s="10"/>
      <c r="AY1206" s="10" t="s">
        <v>66</v>
      </c>
    </row>
    <row r="1207" ht="22.5" hidden="1" customHeight="1">
      <c r="A1207" s="9" t="s">
        <v>12250</v>
      </c>
      <c r="B1207" s="10" t="s">
        <v>12251</v>
      </c>
      <c r="C1207" s="10" t="s">
        <v>43</v>
      </c>
      <c r="D1207" s="10" t="s">
        <v>9839</v>
      </c>
      <c r="E1207" s="10" t="s">
        <v>66</v>
      </c>
      <c r="F1207" s="11">
        <v>1.0</v>
      </c>
      <c r="G1207" s="11">
        <v>80.3</v>
      </c>
      <c r="H1207" s="11"/>
      <c r="I1207" s="11">
        <v>-13.65</v>
      </c>
      <c r="J1207" s="11">
        <v>-20.45</v>
      </c>
      <c r="K1207" s="11"/>
      <c r="L1207" s="11">
        <v>46.2</v>
      </c>
      <c r="M1207" s="10" t="s">
        <v>46</v>
      </c>
      <c r="N1207" s="10" t="s">
        <v>45</v>
      </c>
      <c r="O1207" s="10" t="s">
        <v>127</v>
      </c>
      <c r="P1207" s="10" t="s">
        <v>128</v>
      </c>
      <c r="Q1207" s="10" t="s">
        <v>129</v>
      </c>
      <c r="R1207" s="10" t="s">
        <v>74</v>
      </c>
      <c r="S1207" s="11">
        <v>80.3</v>
      </c>
      <c r="T1207" s="11">
        <v>17.68</v>
      </c>
      <c r="U1207" s="11" t="s">
        <v>51</v>
      </c>
      <c r="V1207" s="10" t="s">
        <v>52</v>
      </c>
      <c r="W1207" s="10" t="s">
        <v>12252</v>
      </c>
      <c r="X1207" s="10" t="s">
        <v>12253</v>
      </c>
      <c r="Y1207" s="10" t="s">
        <v>12254</v>
      </c>
      <c r="Z1207" s="10" t="s">
        <v>50</v>
      </c>
      <c r="AA1207" s="10" t="s">
        <v>50</v>
      </c>
      <c r="AB1207" s="10" t="s">
        <v>12252</v>
      </c>
      <c r="AC1207" s="10" t="s">
        <v>12255</v>
      </c>
      <c r="AD1207" s="10" t="s">
        <v>12256</v>
      </c>
      <c r="AE1207" s="10" t="s">
        <v>1752</v>
      </c>
      <c r="AF1207" s="10" t="s">
        <v>284</v>
      </c>
      <c r="AG1207" s="10" t="s">
        <v>12257</v>
      </c>
      <c r="AH1207" s="10" t="s">
        <v>60</v>
      </c>
      <c r="AI1207" s="10" t="s">
        <v>61</v>
      </c>
      <c r="AJ1207" s="10" t="s">
        <v>12258</v>
      </c>
      <c r="AK1207" s="10" t="s">
        <v>12259</v>
      </c>
      <c r="AL1207" s="10" t="s">
        <v>64</v>
      </c>
      <c r="AM1207" s="10" t="s">
        <v>12260</v>
      </c>
      <c r="AN1207" s="10" t="s">
        <v>50</v>
      </c>
      <c r="AO1207" s="11" t="s">
        <v>50</v>
      </c>
      <c r="AP1207" s="10" t="s">
        <v>50</v>
      </c>
      <c r="AQ1207" s="10" t="s">
        <v>50</v>
      </c>
      <c r="AR1207" s="10" t="s">
        <v>50</v>
      </c>
      <c r="AS1207" s="10" t="s">
        <v>50</v>
      </c>
      <c r="AT1207" s="10" t="s">
        <v>50</v>
      </c>
      <c r="AU1207" s="10" t="s">
        <v>50</v>
      </c>
      <c r="AV1207" s="11"/>
      <c r="AW1207" s="10" t="s">
        <v>66</v>
      </c>
      <c r="AX1207" s="10"/>
      <c r="AY1207" s="10" t="s">
        <v>66</v>
      </c>
    </row>
    <row r="1208" ht="22.5" hidden="1" customHeight="1">
      <c r="A1208" s="9" t="s">
        <v>12261</v>
      </c>
      <c r="B1208" s="10" t="s">
        <v>12262</v>
      </c>
      <c r="C1208" s="10" t="s">
        <v>43</v>
      </c>
      <c r="D1208" s="10" t="s">
        <v>9839</v>
      </c>
      <c r="E1208" s="10" t="s">
        <v>66</v>
      </c>
      <c r="F1208" s="11">
        <v>1.0</v>
      </c>
      <c r="G1208" s="11">
        <v>80.0</v>
      </c>
      <c r="H1208" s="11"/>
      <c r="I1208" s="11">
        <v>-13.6</v>
      </c>
      <c r="J1208" s="11">
        <v>-19.95</v>
      </c>
      <c r="K1208" s="11"/>
      <c r="L1208" s="11">
        <v>50.45</v>
      </c>
      <c r="M1208" s="10" t="s">
        <v>46</v>
      </c>
      <c r="N1208" s="10" t="s">
        <v>50</v>
      </c>
      <c r="O1208" s="10" t="s">
        <v>143</v>
      </c>
      <c r="P1208" s="10" t="s">
        <v>144</v>
      </c>
      <c r="Q1208" s="10" t="s">
        <v>145</v>
      </c>
      <c r="R1208" s="10" t="s">
        <v>74</v>
      </c>
      <c r="S1208" s="11">
        <v>80.0</v>
      </c>
      <c r="T1208" s="11">
        <v>33.38</v>
      </c>
      <c r="U1208" s="11" t="s">
        <v>51</v>
      </c>
      <c r="V1208" s="10" t="s">
        <v>52</v>
      </c>
      <c r="W1208" s="10" t="s">
        <v>12263</v>
      </c>
      <c r="X1208" s="10" t="s">
        <v>12264</v>
      </c>
      <c r="Y1208" s="10" t="s">
        <v>12265</v>
      </c>
      <c r="Z1208" s="10" t="s">
        <v>50</v>
      </c>
      <c r="AA1208" s="10" t="s">
        <v>50</v>
      </c>
      <c r="AB1208" s="10" t="s">
        <v>12263</v>
      </c>
      <c r="AC1208" s="10" t="s">
        <v>12266</v>
      </c>
      <c r="AD1208" s="10" t="s">
        <v>12267</v>
      </c>
      <c r="AE1208" s="10" t="s">
        <v>12268</v>
      </c>
      <c r="AF1208" s="10" t="s">
        <v>119</v>
      </c>
      <c r="AG1208" s="10" t="s">
        <v>12269</v>
      </c>
      <c r="AH1208" s="10" t="s">
        <v>60</v>
      </c>
      <c r="AI1208" s="10" t="s">
        <v>61</v>
      </c>
      <c r="AJ1208" s="10" t="s">
        <v>12270</v>
      </c>
      <c r="AK1208" s="10" t="s">
        <v>12271</v>
      </c>
      <c r="AL1208" s="10" t="s">
        <v>64</v>
      </c>
      <c r="AM1208" s="10" t="s">
        <v>12272</v>
      </c>
      <c r="AN1208" s="10" t="s">
        <v>50</v>
      </c>
      <c r="AO1208" s="11" t="s">
        <v>50</v>
      </c>
      <c r="AP1208" s="10" t="s">
        <v>50</v>
      </c>
      <c r="AQ1208" s="10" t="s">
        <v>50</v>
      </c>
      <c r="AR1208" s="10" t="s">
        <v>50</v>
      </c>
      <c r="AS1208" s="10" t="s">
        <v>50</v>
      </c>
      <c r="AT1208" s="10" t="s">
        <v>50</v>
      </c>
      <c r="AU1208" s="10" t="s">
        <v>50</v>
      </c>
      <c r="AV1208" s="11"/>
      <c r="AW1208" s="10" t="s">
        <v>66</v>
      </c>
      <c r="AX1208" s="10"/>
      <c r="AY1208" s="10" t="s">
        <v>66</v>
      </c>
    </row>
    <row r="1209" ht="22.5" hidden="1" customHeight="1">
      <c r="A1209" s="9" t="s">
        <v>12273</v>
      </c>
      <c r="B1209" s="10" t="s">
        <v>12274</v>
      </c>
      <c r="C1209" s="10" t="s">
        <v>43</v>
      </c>
      <c r="D1209" s="10" t="s">
        <v>8227</v>
      </c>
      <c r="E1209" s="10" t="s">
        <v>66</v>
      </c>
      <c r="F1209" s="11">
        <v>1.0</v>
      </c>
      <c r="G1209" s="11">
        <v>120.0</v>
      </c>
      <c r="H1209" s="11"/>
      <c r="I1209" s="11">
        <v>-20.4</v>
      </c>
      <c r="J1209" s="11">
        <v>-19.95</v>
      </c>
      <c r="K1209" s="11"/>
      <c r="L1209" s="11">
        <v>86.85</v>
      </c>
      <c r="M1209" s="10" t="s">
        <v>12218</v>
      </c>
      <c r="N1209" s="10" t="s">
        <v>50</v>
      </c>
      <c r="O1209" s="10" t="s">
        <v>85</v>
      </c>
      <c r="P1209" s="10" t="s">
        <v>86</v>
      </c>
      <c r="Q1209" s="10" t="s">
        <v>87</v>
      </c>
      <c r="R1209" s="10" t="s">
        <v>74</v>
      </c>
      <c r="S1209" s="11">
        <v>120.0</v>
      </c>
      <c r="T1209" s="11">
        <v>65.78</v>
      </c>
      <c r="U1209" s="11" t="s">
        <v>51</v>
      </c>
      <c r="V1209" s="10" t="s">
        <v>52</v>
      </c>
      <c r="W1209" s="10" t="s">
        <v>12275</v>
      </c>
      <c r="X1209" s="10" t="s">
        <v>12276</v>
      </c>
      <c r="Y1209" s="10" t="s">
        <v>12277</v>
      </c>
      <c r="Z1209" s="10" t="s">
        <v>50</v>
      </c>
      <c r="AA1209" s="10" t="s">
        <v>50</v>
      </c>
      <c r="AB1209" s="10" t="s">
        <v>12275</v>
      </c>
      <c r="AC1209" s="10" t="s">
        <v>12278</v>
      </c>
      <c r="AD1209" s="10" t="s">
        <v>12279</v>
      </c>
      <c r="AE1209" s="10" t="s">
        <v>58</v>
      </c>
      <c r="AF1209" s="10" t="s">
        <v>58</v>
      </c>
      <c r="AG1209" s="10" t="s">
        <v>12280</v>
      </c>
      <c r="AH1209" s="10" t="s">
        <v>60</v>
      </c>
      <c r="AI1209" s="10" t="s">
        <v>61</v>
      </c>
      <c r="AJ1209" s="10" t="s">
        <v>12281</v>
      </c>
      <c r="AK1209" s="10" t="s">
        <v>12282</v>
      </c>
      <c r="AL1209" s="10" t="s">
        <v>64</v>
      </c>
      <c r="AM1209" s="10" t="s">
        <v>12283</v>
      </c>
      <c r="AN1209" s="10" t="s">
        <v>50</v>
      </c>
      <c r="AO1209" s="11" t="s">
        <v>50</v>
      </c>
      <c r="AP1209" s="10" t="s">
        <v>50</v>
      </c>
      <c r="AQ1209" s="10" t="s">
        <v>50</v>
      </c>
      <c r="AR1209" s="10" t="s">
        <v>50</v>
      </c>
      <c r="AS1209" s="10" t="s">
        <v>50</v>
      </c>
      <c r="AT1209" s="10" t="s">
        <v>50</v>
      </c>
      <c r="AU1209" s="10" t="s">
        <v>50</v>
      </c>
      <c r="AV1209" s="11"/>
      <c r="AW1209" s="10" t="s">
        <v>66</v>
      </c>
      <c r="AX1209" s="10"/>
      <c r="AY1209" s="10" t="s">
        <v>66</v>
      </c>
    </row>
    <row r="1210" ht="22.5" hidden="1" customHeight="1">
      <c r="A1210" s="9" t="s">
        <v>12284</v>
      </c>
      <c r="B1210" s="10" t="s">
        <v>12285</v>
      </c>
      <c r="C1210" s="10" t="s">
        <v>43</v>
      </c>
      <c r="D1210" s="10" t="s">
        <v>6539</v>
      </c>
      <c r="E1210" s="10" t="s">
        <v>66</v>
      </c>
      <c r="F1210" s="11">
        <v>1.0</v>
      </c>
      <c r="G1210" s="11">
        <v>105.0</v>
      </c>
      <c r="H1210" s="11"/>
      <c r="I1210" s="11">
        <v>-19.95</v>
      </c>
      <c r="J1210" s="11">
        <v>-19.95</v>
      </c>
      <c r="K1210" s="11"/>
      <c r="L1210" s="11">
        <v>65.1</v>
      </c>
      <c r="M1210" s="10" t="s">
        <v>46</v>
      </c>
      <c r="N1210" s="10" t="s">
        <v>45</v>
      </c>
      <c r="O1210" s="10" t="s">
        <v>100</v>
      </c>
      <c r="P1210" s="10" t="s">
        <v>101</v>
      </c>
      <c r="Q1210" s="10" t="s">
        <v>102</v>
      </c>
      <c r="R1210" s="10" t="s">
        <v>50</v>
      </c>
      <c r="S1210" s="11">
        <v>105.0</v>
      </c>
      <c r="T1210" s="11">
        <v>38.61</v>
      </c>
      <c r="U1210" s="11" t="s">
        <v>51</v>
      </c>
      <c r="V1210" s="10" t="s">
        <v>52</v>
      </c>
      <c r="W1210" s="10" t="s">
        <v>12286</v>
      </c>
      <c r="X1210" s="10" t="s">
        <v>12287</v>
      </c>
      <c r="Y1210" s="10" t="s">
        <v>12288</v>
      </c>
      <c r="Z1210" s="10" t="s">
        <v>50</v>
      </c>
      <c r="AA1210" s="10" t="s">
        <v>50</v>
      </c>
      <c r="AB1210" s="10" t="s">
        <v>12286</v>
      </c>
      <c r="AC1210" s="10" t="s">
        <v>12289</v>
      </c>
      <c r="AD1210" s="10" t="s">
        <v>12290</v>
      </c>
      <c r="AE1210" s="10" t="s">
        <v>58</v>
      </c>
      <c r="AF1210" s="10" t="s">
        <v>58</v>
      </c>
      <c r="AG1210" s="10" t="s">
        <v>12291</v>
      </c>
      <c r="AH1210" s="10" t="s">
        <v>60</v>
      </c>
      <c r="AI1210" s="10" t="s">
        <v>61</v>
      </c>
      <c r="AJ1210" s="10" t="s">
        <v>12281</v>
      </c>
      <c r="AK1210" s="10" t="s">
        <v>12292</v>
      </c>
      <c r="AL1210" s="10" t="s">
        <v>64</v>
      </c>
      <c r="AM1210" s="10" t="s">
        <v>12293</v>
      </c>
      <c r="AN1210" s="10" t="s">
        <v>12294</v>
      </c>
      <c r="AO1210" s="11" t="s">
        <v>50</v>
      </c>
      <c r="AP1210" s="10" t="s">
        <v>50</v>
      </c>
      <c r="AQ1210" s="10" t="s">
        <v>50</v>
      </c>
      <c r="AR1210" s="10" t="s">
        <v>50</v>
      </c>
      <c r="AS1210" s="10" t="s">
        <v>50</v>
      </c>
      <c r="AT1210" s="10" t="s">
        <v>50</v>
      </c>
      <c r="AU1210" s="10" t="s">
        <v>50</v>
      </c>
      <c r="AV1210" s="11"/>
      <c r="AW1210" s="10" t="s">
        <v>66</v>
      </c>
      <c r="AX1210" s="10"/>
      <c r="AY1210" s="10" t="s">
        <v>66</v>
      </c>
    </row>
    <row r="1211" ht="22.5" hidden="1" customHeight="1">
      <c r="A1211" s="9" t="s">
        <v>12295</v>
      </c>
      <c r="B1211" s="10" t="s">
        <v>12296</v>
      </c>
      <c r="C1211" s="10" t="s">
        <v>43</v>
      </c>
      <c r="D1211" s="10" t="s">
        <v>10258</v>
      </c>
      <c r="E1211" s="10" t="s">
        <v>45</v>
      </c>
      <c r="F1211" s="11">
        <v>1.0</v>
      </c>
      <c r="G1211" s="11">
        <v>35.15</v>
      </c>
      <c r="H1211" s="11">
        <v>17.57</v>
      </c>
      <c r="I1211" s="11">
        <v>-11.98</v>
      </c>
      <c r="J1211" s="11">
        <v>-17.57</v>
      </c>
      <c r="K1211" s="11"/>
      <c r="L1211" s="11">
        <v>25.28</v>
      </c>
      <c r="M1211" s="10" t="s">
        <v>12218</v>
      </c>
      <c r="N1211" s="10" t="s">
        <v>50</v>
      </c>
      <c r="O1211" s="10" t="s">
        <v>2926</v>
      </c>
      <c r="P1211" s="10" t="s">
        <v>2927</v>
      </c>
      <c r="Q1211" s="10" t="s">
        <v>2928</v>
      </c>
      <c r="R1211" s="10" t="s">
        <v>74</v>
      </c>
      <c r="S1211" s="11">
        <v>35.15</v>
      </c>
      <c r="T1211" s="11">
        <v>2.49</v>
      </c>
      <c r="U1211" s="11" t="s">
        <v>51</v>
      </c>
      <c r="V1211" s="10" t="s">
        <v>52</v>
      </c>
      <c r="W1211" s="10" t="s">
        <v>12297</v>
      </c>
      <c r="X1211" s="10" t="s">
        <v>12298</v>
      </c>
      <c r="Y1211" s="10" t="s">
        <v>12299</v>
      </c>
      <c r="Z1211" s="10" t="s">
        <v>50</v>
      </c>
      <c r="AA1211" s="10" t="s">
        <v>50</v>
      </c>
      <c r="AB1211" s="10" t="s">
        <v>12297</v>
      </c>
      <c r="AC1211" s="10" t="s">
        <v>12300</v>
      </c>
      <c r="AD1211" s="10" t="s">
        <v>12301</v>
      </c>
      <c r="AE1211" s="10" t="s">
        <v>10264</v>
      </c>
      <c r="AF1211" s="10" t="s">
        <v>214</v>
      </c>
      <c r="AG1211" s="10" t="s">
        <v>12302</v>
      </c>
      <c r="AH1211" s="10" t="s">
        <v>60</v>
      </c>
      <c r="AI1211" s="10" t="s">
        <v>61</v>
      </c>
      <c r="AJ1211" s="10" t="s">
        <v>12180</v>
      </c>
      <c r="AK1211" s="10" t="s">
        <v>11770</v>
      </c>
      <c r="AL1211" s="10" t="s">
        <v>64</v>
      </c>
      <c r="AM1211" s="10" t="s">
        <v>12303</v>
      </c>
      <c r="AN1211" s="10" t="s">
        <v>50</v>
      </c>
      <c r="AO1211" s="11" t="s">
        <v>50</v>
      </c>
      <c r="AP1211" s="10" t="s">
        <v>50</v>
      </c>
      <c r="AQ1211" s="10" t="s">
        <v>50</v>
      </c>
      <c r="AR1211" s="10" t="s">
        <v>50</v>
      </c>
      <c r="AS1211" s="10" t="s">
        <v>50</v>
      </c>
      <c r="AT1211" s="10" t="s">
        <v>50</v>
      </c>
      <c r="AU1211" s="10" t="s">
        <v>50</v>
      </c>
      <c r="AV1211" s="11"/>
      <c r="AW1211" s="10" t="s">
        <v>66</v>
      </c>
      <c r="AX1211" s="10"/>
      <c r="AY1211" s="10" t="s">
        <v>66</v>
      </c>
    </row>
    <row r="1212" ht="22.5" hidden="1" customHeight="1">
      <c r="A1212" s="9" t="s">
        <v>12304</v>
      </c>
      <c r="B1212" s="10" t="s">
        <v>12305</v>
      </c>
      <c r="C1212" s="10" t="s">
        <v>43</v>
      </c>
      <c r="D1212" s="10" t="s">
        <v>10258</v>
      </c>
      <c r="E1212" s="10" t="s">
        <v>45</v>
      </c>
      <c r="F1212" s="11">
        <v>2.0</v>
      </c>
      <c r="G1212" s="11">
        <v>87.4</v>
      </c>
      <c r="H1212" s="11"/>
      <c r="I1212" s="11">
        <v>-26.86</v>
      </c>
      <c r="J1212" s="11"/>
      <c r="K1212" s="11"/>
      <c r="L1212" s="11">
        <v>65.78</v>
      </c>
      <c r="M1212" s="10" t="s">
        <v>12218</v>
      </c>
      <c r="N1212" s="10" t="s">
        <v>50</v>
      </c>
      <c r="O1212" s="10" t="s">
        <v>176</v>
      </c>
      <c r="P1212" s="10" t="s">
        <v>177</v>
      </c>
      <c r="Q1212" s="10" t="s">
        <v>178</v>
      </c>
      <c r="R1212" s="10" t="s">
        <v>74</v>
      </c>
      <c r="S1212" s="11">
        <v>43.7</v>
      </c>
      <c r="T1212" s="11">
        <f>2*22.58</f>
        <v>45.16</v>
      </c>
      <c r="U1212" s="11" t="s">
        <v>51</v>
      </c>
      <c r="V1212" s="10" t="s">
        <v>52</v>
      </c>
      <c r="W1212" s="10" t="s">
        <v>12306</v>
      </c>
      <c r="X1212" s="10" t="s">
        <v>12307</v>
      </c>
      <c r="Y1212" s="10" t="s">
        <v>12308</v>
      </c>
      <c r="Z1212" s="10" t="s">
        <v>50</v>
      </c>
      <c r="AA1212" s="10" t="s">
        <v>50</v>
      </c>
      <c r="AB1212" s="10" t="s">
        <v>12306</v>
      </c>
      <c r="AC1212" s="10" t="s">
        <v>12309</v>
      </c>
      <c r="AD1212" s="10" t="s">
        <v>12310</v>
      </c>
      <c r="AE1212" s="10" t="s">
        <v>5067</v>
      </c>
      <c r="AF1212" s="10" t="s">
        <v>58</v>
      </c>
      <c r="AG1212" s="10" t="s">
        <v>12311</v>
      </c>
      <c r="AH1212" s="10" t="s">
        <v>60</v>
      </c>
      <c r="AI1212" s="10" t="s">
        <v>61</v>
      </c>
      <c r="AJ1212" s="10" t="s">
        <v>12312</v>
      </c>
      <c r="AK1212" s="10" t="s">
        <v>12313</v>
      </c>
      <c r="AL1212" s="10" t="s">
        <v>64</v>
      </c>
      <c r="AM1212" s="10" t="s">
        <v>12314</v>
      </c>
      <c r="AN1212" s="10" t="s">
        <v>50</v>
      </c>
      <c r="AO1212" s="11" t="s">
        <v>50</v>
      </c>
      <c r="AP1212" s="10" t="s">
        <v>50</v>
      </c>
      <c r="AQ1212" s="10" t="s">
        <v>50</v>
      </c>
      <c r="AR1212" s="10" t="s">
        <v>50</v>
      </c>
      <c r="AS1212" s="10" t="s">
        <v>50</v>
      </c>
      <c r="AT1212" s="10" t="s">
        <v>50</v>
      </c>
      <c r="AU1212" s="10" t="s">
        <v>50</v>
      </c>
      <c r="AV1212" s="11"/>
      <c r="AW1212" s="10" t="s">
        <v>66</v>
      </c>
      <c r="AX1212" s="10"/>
      <c r="AY1212" s="10" t="s">
        <v>66</v>
      </c>
    </row>
    <row r="1213" ht="22.5" hidden="1" customHeight="1">
      <c r="A1213" s="9" t="s">
        <v>12315</v>
      </c>
      <c r="B1213" s="10" t="s">
        <v>12316</v>
      </c>
      <c r="C1213" s="10" t="s">
        <v>43</v>
      </c>
      <c r="D1213" s="10" t="s">
        <v>9839</v>
      </c>
      <c r="E1213" s="10" t="s">
        <v>66</v>
      </c>
      <c r="F1213" s="11">
        <v>1.0</v>
      </c>
      <c r="G1213" s="11">
        <v>43.7</v>
      </c>
      <c r="H1213" s="11">
        <v>9.94</v>
      </c>
      <c r="I1213" s="11">
        <v>-13.43</v>
      </c>
      <c r="J1213" s="11">
        <v>-9.94</v>
      </c>
      <c r="K1213" s="11"/>
      <c r="L1213" s="11">
        <v>32.89</v>
      </c>
      <c r="M1213" s="10" t="s">
        <v>46</v>
      </c>
      <c r="N1213" s="10" t="s">
        <v>50</v>
      </c>
      <c r="O1213" s="10" t="s">
        <v>176</v>
      </c>
      <c r="P1213" s="10" t="s">
        <v>177</v>
      </c>
      <c r="Q1213" s="10" t="s">
        <v>178</v>
      </c>
      <c r="R1213" s="10" t="s">
        <v>74</v>
      </c>
      <c r="S1213" s="11">
        <v>43.7</v>
      </c>
      <c r="T1213" s="11">
        <v>22.58</v>
      </c>
      <c r="U1213" s="11" t="s">
        <v>51</v>
      </c>
      <c r="V1213" s="10" t="s">
        <v>52</v>
      </c>
      <c r="W1213" s="10" t="s">
        <v>12317</v>
      </c>
      <c r="X1213" s="10" t="s">
        <v>12318</v>
      </c>
      <c r="Y1213" s="10" t="s">
        <v>12319</v>
      </c>
      <c r="Z1213" s="10" t="s">
        <v>50</v>
      </c>
      <c r="AA1213" s="10" t="s">
        <v>50</v>
      </c>
      <c r="AB1213" s="10" t="s">
        <v>12317</v>
      </c>
      <c r="AC1213" s="10" t="s">
        <v>12320</v>
      </c>
      <c r="AD1213" s="10" t="s">
        <v>12321</v>
      </c>
      <c r="AE1213" s="10" t="s">
        <v>5397</v>
      </c>
      <c r="AF1213" s="10" t="s">
        <v>58</v>
      </c>
      <c r="AG1213" s="10" t="s">
        <v>12322</v>
      </c>
      <c r="AH1213" s="10" t="s">
        <v>60</v>
      </c>
      <c r="AI1213" s="10" t="s">
        <v>61</v>
      </c>
      <c r="AJ1213" s="10" t="s">
        <v>12281</v>
      </c>
      <c r="AK1213" s="10" t="s">
        <v>12323</v>
      </c>
      <c r="AL1213" s="10" t="s">
        <v>64</v>
      </c>
      <c r="AM1213" s="10" t="s">
        <v>12324</v>
      </c>
      <c r="AN1213" s="10" t="s">
        <v>50</v>
      </c>
      <c r="AO1213" s="11" t="s">
        <v>50</v>
      </c>
      <c r="AP1213" s="10" t="s">
        <v>50</v>
      </c>
      <c r="AQ1213" s="10" t="s">
        <v>50</v>
      </c>
      <c r="AR1213" s="10" t="s">
        <v>50</v>
      </c>
      <c r="AS1213" s="10" t="s">
        <v>50</v>
      </c>
      <c r="AT1213" s="10" t="s">
        <v>50</v>
      </c>
      <c r="AU1213" s="10" t="s">
        <v>50</v>
      </c>
      <c r="AV1213" s="11"/>
      <c r="AW1213" s="10" t="s">
        <v>66</v>
      </c>
      <c r="AX1213" s="10"/>
      <c r="AY1213" s="10" t="s">
        <v>66</v>
      </c>
    </row>
    <row r="1214" ht="22.5" hidden="1" customHeight="1">
      <c r="A1214" s="9" t="s">
        <v>12325</v>
      </c>
      <c r="B1214" s="10" t="s">
        <v>12326</v>
      </c>
      <c r="C1214" s="10" t="s">
        <v>43</v>
      </c>
      <c r="D1214" s="10" t="s">
        <v>11161</v>
      </c>
      <c r="E1214" s="10" t="s">
        <v>45</v>
      </c>
      <c r="F1214" s="11">
        <v>1.0</v>
      </c>
      <c r="G1214" s="11">
        <v>80.0</v>
      </c>
      <c r="H1214" s="11"/>
      <c r="I1214" s="11">
        <v>-13.6</v>
      </c>
      <c r="J1214" s="11">
        <v>-19.95</v>
      </c>
      <c r="K1214" s="11"/>
      <c r="L1214" s="11">
        <v>50.45</v>
      </c>
      <c r="M1214" s="10" t="s">
        <v>12218</v>
      </c>
      <c r="N1214" s="10" t="s">
        <v>50</v>
      </c>
      <c r="O1214" s="10" t="s">
        <v>143</v>
      </c>
      <c r="P1214" s="10" t="s">
        <v>144</v>
      </c>
      <c r="Q1214" s="10" t="s">
        <v>145</v>
      </c>
      <c r="R1214" s="10" t="s">
        <v>74</v>
      </c>
      <c r="S1214" s="11">
        <v>80.0</v>
      </c>
      <c r="T1214" s="11">
        <v>33.38</v>
      </c>
      <c r="U1214" s="11" t="s">
        <v>51</v>
      </c>
      <c r="V1214" s="10" t="s">
        <v>52</v>
      </c>
      <c r="W1214" s="10" t="s">
        <v>12327</v>
      </c>
      <c r="X1214" s="10" t="s">
        <v>12328</v>
      </c>
      <c r="Y1214" s="10" t="s">
        <v>12329</v>
      </c>
      <c r="Z1214" s="10" t="s">
        <v>50</v>
      </c>
      <c r="AA1214" s="10" t="s">
        <v>50</v>
      </c>
      <c r="AB1214" s="10" t="s">
        <v>12327</v>
      </c>
      <c r="AC1214" s="10" t="s">
        <v>12330</v>
      </c>
      <c r="AD1214" s="10" t="s">
        <v>12331</v>
      </c>
      <c r="AE1214" s="10" t="s">
        <v>2032</v>
      </c>
      <c r="AF1214" s="10" t="s">
        <v>58</v>
      </c>
      <c r="AG1214" s="10" t="s">
        <v>12332</v>
      </c>
      <c r="AH1214" s="10" t="s">
        <v>60</v>
      </c>
      <c r="AI1214" s="10" t="s">
        <v>61</v>
      </c>
      <c r="AJ1214" s="10" t="s">
        <v>12333</v>
      </c>
      <c r="AK1214" s="10" t="s">
        <v>12334</v>
      </c>
      <c r="AL1214" s="10" t="s">
        <v>64</v>
      </c>
      <c r="AM1214" s="10" t="s">
        <v>12335</v>
      </c>
      <c r="AN1214" s="10" t="s">
        <v>50</v>
      </c>
      <c r="AO1214" s="11" t="s">
        <v>50</v>
      </c>
      <c r="AP1214" s="10" t="s">
        <v>50</v>
      </c>
      <c r="AQ1214" s="10" t="s">
        <v>50</v>
      </c>
      <c r="AR1214" s="10" t="s">
        <v>50</v>
      </c>
      <c r="AS1214" s="10" t="s">
        <v>50</v>
      </c>
      <c r="AT1214" s="10" t="s">
        <v>50</v>
      </c>
      <c r="AU1214" s="10" t="s">
        <v>50</v>
      </c>
      <c r="AV1214" s="11"/>
      <c r="AW1214" s="10" t="s">
        <v>66</v>
      </c>
      <c r="AX1214" s="10"/>
      <c r="AY1214" s="10" t="s">
        <v>66</v>
      </c>
    </row>
    <row r="1215" ht="22.5" hidden="1" customHeight="1">
      <c r="A1215" s="9" t="s">
        <v>12336</v>
      </c>
      <c r="B1215" s="10" t="s">
        <v>12337</v>
      </c>
      <c r="C1215" s="10" t="s">
        <v>43</v>
      </c>
      <c r="D1215" s="10" t="s">
        <v>12217</v>
      </c>
      <c r="E1215" s="10" t="s">
        <v>66</v>
      </c>
      <c r="F1215" s="11">
        <v>1.0</v>
      </c>
      <c r="G1215" s="11">
        <v>120.0</v>
      </c>
      <c r="H1215" s="11"/>
      <c r="I1215" s="11">
        <v>-20.4</v>
      </c>
      <c r="J1215" s="11">
        <v>-19.95</v>
      </c>
      <c r="K1215" s="11"/>
      <c r="L1215" s="11">
        <v>86.85</v>
      </c>
      <c r="M1215" s="10" t="s">
        <v>12218</v>
      </c>
      <c r="N1215" s="10" t="s">
        <v>50</v>
      </c>
      <c r="O1215" s="10" t="s">
        <v>85</v>
      </c>
      <c r="P1215" s="10" t="s">
        <v>86</v>
      </c>
      <c r="Q1215" s="10" t="s">
        <v>87</v>
      </c>
      <c r="R1215" s="10" t="s">
        <v>74</v>
      </c>
      <c r="S1215" s="11">
        <v>120.0</v>
      </c>
      <c r="T1215" s="11">
        <v>65.78</v>
      </c>
      <c r="U1215" s="11" t="s">
        <v>51</v>
      </c>
      <c r="V1215" s="10" t="s">
        <v>52</v>
      </c>
      <c r="W1215" s="10" t="s">
        <v>12338</v>
      </c>
      <c r="X1215" s="10" t="s">
        <v>12339</v>
      </c>
      <c r="Y1215" s="10" t="s">
        <v>12340</v>
      </c>
      <c r="Z1215" s="10" t="s">
        <v>50</v>
      </c>
      <c r="AA1215" s="10" t="s">
        <v>50</v>
      </c>
      <c r="AB1215" s="10" t="s">
        <v>12338</v>
      </c>
      <c r="AC1215" s="10" t="s">
        <v>12341</v>
      </c>
      <c r="AD1215" s="10" t="s">
        <v>12342</v>
      </c>
      <c r="AE1215" s="10" t="s">
        <v>151</v>
      </c>
      <c r="AF1215" s="10" t="s">
        <v>151</v>
      </c>
      <c r="AG1215" s="10" t="s">
        <v>12343</v>
      </c>
      <c r="AH1215" s="10" t="s">
        <v>60</v>
      </c>
      <c r="AI1215" s="10" t="s">
        <v>61</v>
      </c>
      <c r="AJ1215" s="10" t="s">
        <v>12225</v>
      </c>
      <c r="AK1215" s="10" t="s">
        <v>12344</v>
      </c>
      <c r="AL1215" s="10" t="s">
        <v>64</v>
      </c>
      <c r="AM1215" s="10" t="s">
        <v>12345</v>
      </c>
      <c r="AN1215" s="10" t="s">
        <v>50</v>
      </c>
      <c r="AO1215" s="11" t="s">
        <v>50</v>
      </c>
      <c r="AP1215" s="10" t="s">
        <v>50</v>
      </c>
      <c r="AQ1215" s="10" t="s">
        <v>50</v>
      </c>
      <c r="AR1215" s="10" t="s">
        <v>50</v>
      </c>
      <c r="AS1215" s="10" t="s">
        <v>50</v>
      </c>
      <c r="AT1215" s="10" t="s">
        <v>50</v>
      </c>
      <c r="AU1215" s="10" t="s">
        <v>50</v>
      </c>
      <c r="AV1215" s="11"/>
      <c r="AW1215" s="10" t="s">
        <v>66</v>
      </c>
      <c r="AX1215" s="10"/>
      <c r="AY1215" s="10" t="s">
        <v>66</v>
      </c>
    </row>
    <row r="1216" ht="22.5" hidden="1" customHeight="1">
      <c r="A1216" s="9" t="s">
        <v>12346</v>
      </c>
      <c r="B1216" s="10" t="s">
        <v>12347</v>
      </c>
      <c r="C1216" s="10" t="s">
        <v>43</v>
      </c>
      <c r="D1216" s="10" t="s">
        <v>9839</v>
      </c>
      <c r="E1216" s="10" t="s">
        <v>66</v>
      </c>
      <c r="F1216" s="11">
        <v>1.0</v>
      </c>
      <c r="G1216" s="11">
        <v>120.0</v>
      </c>
      <c r="H1216" s="11"/>
      <c r="I1216" s="11">
        <v>-20.4</v>
      </c>
      <c r="J1216" s="11">
        <v>-19.95</v>
      </c>
      <c r="K1216" s="11"/>
      <c r="L1216" s="11">
        <v>86.85</v>
      </c>
      <c r="M1216" s="10" t="s">
        <v>46</v>
      </c>
      <c r="N1216" s="10" t="s">
        <v>50</v>
      </c>
      <c r="O1216" s="10" t="s">
        <v>85</v>
      </c>
      <c r="P1216" s="10" t="s">
        <v>86</v>
      </c>
      <c r="Q1216" s="10" t="s">
        <v>87</v>
      </c>
      <c r="R1216" s="10" t="s">
        <v>74</v>
      </c>
      <c r="S1216" s="11">
        <v>120.0</v>
      </c>
      <c r="T1216" s="11">
        <v>65.78</v>
      </c>
      <c r="U1216" s="11" t="s">
        <v>51</v>
      </c>
      <c r="V1216" s="10" t="s">
        <v>52</v>
      </c>
      <c r="W1216" s="10" t="s">
        <v>12348</v>
      </c>
      <c r="X1216" s="10" t="s">
        <v>12349</v>
      </c>
      <c r="Y1216" s="10" t="s">
        <v>12350</v>
      </c>
      <c r="Z1216" s="10" t="s">
        <v>50</v>
      </c>
      <c r="AA1216" s="10" t="s">
        <v>50</v>
      </c>
      <c r="AB1216" s="10" t="s">
        <v>12348</v>
      </c>
      <c r="AC1216" s="10" t="s">
        <v>12351</v>
      </c>
      <c r="AD1216" s="10" t="s">
        <v>12352</v>
      </c>
      <c r="AE1216" s="10" t="s">
        <v>12353</v>
      </c>
      <c r="AF1216" s="10" t="s">
        <v>58</v>
      </c>
      <c r="AG1216" s="10" t="s">
        <v>12354</v>
      </c>
      <c r="AH1216" s="10" t="s">
        <v>60</v>
      </c>
      <c r="AI1216" s="10" t="s">
        <v>61</v>
      </c>
      <c r="AJ1216" s="10" t="s">
        <v>12355</v>
      </c>
      <c r="AK1216" s="10" t="s">
        <v>12356</v>
      </c>
      <c r="AL1216" s="10" t="s">
        <v>64</v>
      </c>
      <c r="AM1216" s="10" t="s">
        <v>12357</v>
      </c>
      <c r="AN1216" s="10" t="s">
        <v>50</v>
      </c>
      <c r="AO1216" s="11" t="s">
        <v>50</v>
      </c>
      <c r="AP1216" s="10" t="s">
        <v>50</v>
      </c>
      <c r="AQ1216" s="10" t="s">
        <v>50</v>
      </c>
      <c r="AR1216" s="10" t="s">
        <v>50</v>
      </c>
      <c r="AS1216" s="10" t="s">
        <v>50</v>
      </c>
      <c r="AT1216" s="10" t="s">
        <v>50</v>
      </c>
      <c r="AU1216" s="10" t="s">
        <v>50</v>
      </c>
      <c r="AV1216" s="11"/>
      <c r="AW1216" s="10" t="s">
        <v>66</v>
      </c>
      <c r="AX1216" s="10"/>
      <c r="AY1216" s="10" t="s">
        <v>66</v>
      </c>
    </row>
    <row r="1217" ht="22.5" hidden="1" customHeight="1">
      <c r="A1217" s="9" t="s">
        <v>12358</v>
      </c>
      <c r="B1217" s="10" t="s">
        <v>12359</v>
      </c>
      <c r="C1217" s="10" t="s">
        <v>43</v>
      </c>
      <c r="D1217" s="10" t="s">
        <v>12217</v>
      </c>
      <c r="E1217" s="10" t="s">
        <v>66</v>
      </c>
      <c r="F1217" s="11">
        <v>1.0</v>
      </c>
      <c r="G1217" s="11">
        <v>80.6</v>
      </c>
      <c r="H1217" s="11"/>
      <c r="I1217" s="11">
        <v>-13.7</v>
      </c>
      <c r="J1217" s="11">
        <v>-20.45</v>
      </c>
      <c r="K1217" s="11"/>
      <c r="L1217" s="11">
        <v>46.45</v>
      </c>
      <c r="M1217" s="10" t="s">
        <v>46</v>
      </c>
      <c r="N1217" s="10" t="s">
        <v>45</v>
      </c>
      <c r="O1217" s="10" t="s">
        <v>265</v>
      </c>
      <c r="P1217" s="10" t="s">
        <v>266</v>
      </c>
      <c r="Q1217" s="10" t="s">
        <v>267</v>
      </c>
      <c r="R1217" s="10" t="s">
        <v>74</v>
      </c>
      <c r="S1217" s="11">
        <v>80.6</v>
      </c>
      <c r="T1217" s="11">
        <v>26.22</v>
      </c>
      <c r="U1217" s="11" t="s">
        <v>51</v>
      </c>
      <c r="V1217" s="10" t="s">
        <v>52</v>
      </c>
      <c r="W1217" s="10" t="s">
        <v>12360</v>
      </c>
      <c r="X1217" s="10" t="s">
        <v>12361</v>
      </c>
      <c r="Y1217" s="10" t="s">
        <v>12362</v>
      </c>
      <c r="Z1217" s="10" t="s">
        <v>50</v>
      </c>
      <c r="AA1217" s="10" t="s">
        <v>50</v>
      </c>
      <c r="AB1217" s="10" t="s">
        <v>12360</v>
      </c>
      <c r="AC1217" s="10" t="s">
        <v>12363</v>
      </c>
      <c r="AD1217" s="10" t="s">
        <v>12364</v>
      </c>
      <c r="AE1217" s="10" t="s">
        <v>12365</v>
      </c>
      <c r="AF1217" s="10" t="s">
        <v>151</v>
      </c>
      <c r="AG1217" s="10" t="s">
        <v>12366</v>
      </c>
      <c r="AH1217" s="10" t="s">
        <v>60</v>
      </c>
      <c r="AI1217" s="10" t="s">
        <v>61</v>
      </c>
      <c r="AJ1217" s="10" t="s">
        <v>12367</v>
      </c>
      <c r="AK1217" s="10" t="s">
        <v>12368</v>
      </c>
      <c r="AL1217" s="10" t="s">
        <v>64</v>
      </c>
      <c r="AM1217" s="10" t="s">
        <v>12369</v>
      </c>
      <c r="AN1217" s="10" t="s">
        <v>50</v>
      </c>
      <c r="AO1217" s="11" t="s">
        <v>50</v>
      </c>
      <c r="AP1217" s="10" t="s">
        <v>50</v>
      </c>
      <c r="AQ1217" s="10" t="s">
        <v>50</v>
      </c>
      <c r="AR1217" s="10" t="s">
        <v>50</v>
      </c>
      <c r="AS1217" s="10" t="s">
        <v>50</v>
      </c>
      <c r="AT1217" s="10" t="s">
        <v>50</v>
      </c>
      <c r="AU1217" s="10" t="s">
        <v>50</v>
      </c>
      <c r="AV1217" s="11"/>
      <c r="AW1217" s="10" t="s">
        <v>66</v>
      </c>
      <c r="AX1217" s="10"/>
      <c r="AY1217" s="10" t="s">
        <v>66</v>
      </c>
    </row>
    <row r="1218" ht="22.5" hidden="1" customHeight="1">
      <c r="A1218" s="9" t="s">
        <v>12370</v>
      </c>
      <c r="B1218" s="10" t="s">
        <v>12371</v>
      </c>
      <c r="C1218" s="10" t="s">
        <v>43</v>
      </c>
      <c r="D1218" s="10" t="s">
        <v>9839</v>
      </c>
      <c r="E1218" s="10" t="s">
        <v>66</v>
      </c>
      <c r="F1218" s="11">
        <v>1.0</v>
      </c>
      <c r="G1218" s="11">
        <v>43.7</v>
      </c>
      <c r="H1218" s="11">
        <v>13.09</v>
      </c>
      <c r="I1218" s="11">
        <v>-13.43</v>
      </c>
      <c r="J1218" s="11">
        <v>-13.09</v>
      </c>
      <c r="K1218" s="11"/>
      <c r="L1218" s="11">
        <v>32.89</v>
      </c>
      <c r="M1218" s="10" t="s">
        <v>46</v>
      </c>
      <c r="N1218" s="10" t="s">
        <v>50</v>
      </c>
      <c r="O1218" s="10" t="s">
        <v>176</v>
      </c>
      <c r="P1218" s="10" t="s">
        <v>177</v>
      </c>
      <c r="Q1218" s="10" t="s">
        <v>178</v>
      </c>
      <c r="R1218" s="10" t="s">
        <v>74</v>
      </c>
      <c r="S1218" s="11">
        <v>43.7</v>
      </c>
      <c r="T1218" s="11">
        <v>22.58</v>
      </c>
      <c r="U1218" s="11" t="s">
        <v>51</v>
      </c>
      <c r="V1218" s="10" t="s">
        <v>52</v>
      </c>
      <c r="W1218" s="10" t="s">
        <v>12372</v>
      </c>
      <c r="X1218" s="10" t="s">
        <v>12373</v>
      </c>
      <c r="Y1218" s="10" t="s">
        <v>12374</v>
      </c>
      <c r="Z1218" s="10" t="s">
        <v>50</v>
      </c>
      <c r="AA1218" s="10" t="s">
        <v>50</v>
      </c>
      <c r="AB1218" s="10" t="s">
        <v>12372</v>
      </c>
      <c r="AC1218" s="10" t="s">
        <v>12375</v>
      </c>
      <c r="AD1218" s="10" t="s">
        <v>12376</v>
      </c>
      <c r="AE1218" s="10" t="s">
        <v>11143</v>
      </c>
      <c r="AF1218" s="10" t="s">
        <v>58</v>
      </c>
      <c r="AG1218" s="10" t="s">
        <v>12377</v>
      </c>
      <c r="AH1218" s="10" t="s">
        <v>60</v>
      </c>
      <c r="AI1218" s="10" t="s">
        <v>61</v>
      </c>
      <c r="AJ1218" s="10" t="s">
        <v>12378</v>
      </c>
      <c r="AK1218" s="10" t="s">
        <v>12379</v>
      </c>
      <c r="AL1218" s="10" t="s">
        <v>64</v>
      </c>
      <c r="AM1218" s="10" t="s">
        <v>12380</v>
      </c>
      <c r="AN1218" s="10" t="s">
        <v>50</v>
      </c>
      <c r="AO1218" s="11" t="s">
        <v>50</v>
      </c>
      <c r="AP1218" s="10" t="s">
        <v>50</v>
      </c>
      <c r="AQ1218" s="10" t="s">
        <v>50</v>
      </c>
      <c r="AR1218" s="10" t="s">
        <v>50</v>
      </c>
      <c r="AS1218" s="10" t="s">
        <v>50</v>
      </c>
      <c r="AT1218" s="10" t="s">
        <v>50</v>
      </c>
      <c r="AU1218" s="10" t="s">
        <v>50</v>
      </c>
      <c r="AV1218" s="11"/>
      <c r="AW1218" s="10" t="s">
        <v>66</v>
      </c>
      <c r="AX1218" s="10"/>
      <c r="AY1218" s="10" t="s">
        <v>66</v>
      </c>
    </row>
    <row r="1219" ht="22.5" hidden="1" customHeight="1">
      <c r="A1219" s="9" t="s">
        <v>12381</v>
      </c>
      <c r="B1219" s="10" t="s">
        <v>12382</v>
      </c>
      <c r="C1219" s="10" t="s">
        <v>69</v>
      </c>
      <c r="D1219" s="10" t="s">
        <v>2283</v>
      </c>
      <c r="E1219" s="10" t="s">
        <v>66</v>
      </c>
      <c r="F1219" s="11">
        <v>1.0</v>
      </c>
      <c r="G1219" s="11">
        <v>43.7</v>
      </c>
      <c r="H1219" s="11">
        <v>26.03</v>
      </c>
      <c r="I1219" s="11">
        <v>-13.43</v>
      </c>
      <c r="J1219" s="11">
        <v>-26.03</v>
      </c>
      <c r="K1219" s="11">
        <v>-32.89</v>
      </c>
      <c r="L1219" s="11">
        <v>0.0</v>
      </c>
      <c r="M1219" s="10" t="s">
        <v>12218</v>
      </c>
      <c r="N1219" s="10" t="s">
        <v>50</v>
      </c>
      <c r="O1219" s="10" t="s">
        <v>176</v>
      </c>
      <c r="P1219" s="10" t="s">
        <v>177</v>
      </c>
      <c r="Q1219" s="10" t="s">
        <v>178</v>
      </c>
      <c r="R1219" s="10" t="s">
        <v>74</v>
      </c>
      <c r="S1219" s="11">
        <v>43.7</v>
      </c>
      <c r="T1219" s="11"/>
      <c r="U1219" s="11" t="s">
        <v>51</v>
      </c>
      <c r="V1219" s="10" t="s">
        <v>75</v>
      </c>
      <c r="W1219" s="10" t="s">
        <v>12383</v>
      </c>
      <c r="X1219" s="10" t="s">
        <v>12384</v>
      </c>
      <c r="Y1219" s="10" t="s">
        <v>12385</v>
      </c>
      <c r="Z1219" s="10" t="s">
        <v>50</v>
      </c>
      <c r="AA1219" s="10" t="s">
        <v>50</v>
      </c>
      <c r="AB1219" s="10" t="s">
        <v>12383</v>
      </c>
      <c r="AC1219" s="10" t="s">
        <v>12386</v>
      </c>
      <c r="AD1219" s="10" t="s">
        <v>50</v>
      </c>
      <c r="AE1219" s="10" t="s">
        <v>3359</v>
      </c>
      <c r="AF1219" s="10" t="s">
        <v>185</v>
      </c>
      <c r="AG1219" s="10" t="s">
        <v>12387</v>
      </c>
      <c r="AH1219" s="10" t="s">
        <v>60</v>
      </c>
      <c r="AI1219" s="10" t="s">
        <v>61</v>
      </c>
      <c r="AJ1219" s="10" t="s">
        <v>50</v>
      </c>
      <c r="AK1219" s="10" t="s">
        <v>50</v>
      </c>
      <c r="AL1219" s="10" t="s">
        <v>64</v>
      </c>
      <c r="AM1219" s="10" t="s">
        <v>50</v>
      </c>
      <c r="AN1219" s="10" t="s">
        <v>50</v>
      </c>
      <c r="AO1219" s="11" t="s">
        <v>50</v>
      </c>
      <c r="AP1219" s="10" t="s">
        <v>50</v>
      </c>
      <c r="AQ1219" s="10" t="s">
        <v>50</v>
      </c>
      <c r="AR1219" s="10" t="s">
        <v>50</v>
      </c>
      <c r="AS1219" s="10" t="s">
        <v>50</v>
      </c>
      <c r="AT1219" s="10" t="s">
        <v>50</v>
      </c>
      <c r="AU1219" s="10" t="s">
        <v>50</v>
      </c>
      <c r="AV1219" s="11"/>
      <c r="AW1219" s="10" t="s">
        <v>66</v>
      </c>
      <c r="AX1219" s="10"/>
      <c r="AY1219" s="10" t="s">
        <v>66</v>
      </c>
    </row>
    <row r="1220" ht="22.5" hidden="1" customHeight="1">
      <c r="A1220" s="9" t="s">
        <v>12388</v>
      </c>
      <c r="B1220" s="10" t="s">
        <v>12389</v>
      </c>
      <c r="C1220" s="10" t="s">
        <v>43</v>
      </c>
      <c r="D1220" s="10" t="s">
        <v>12217</v>
      </c>
      <c r="E1220" s="10" t="s">
        <v>45</v>
      </c>
      <c r="F1220" s="11">
        <v>2.0</v>
      </c>
      <c r="G1220" s="11">
        <v>87.4</v>
      </c>
      <c r="H1220" s="11"/>
      <c r="I1220" s="11">
        <v>-26.86</v>
      </c>
      <c r="J1220" s="11"/>
      <c r="K1220" s="11"/>
      <c r="L1220" s="11">
        <v>65.78</v>
      </c>
      <c r="M1220" s="10" t="s">
        <v>12218</v>
      </c>
      <c r="N1220" s="10" t="s">
        <v>50</v>
      </c>
      <c r="O1220" s="10" t="s">
        <v>176</v>
      </c>
      <c r="P1220" s="10" t="s">
        <v>177</v>
      </c>
      <c r="Q1220" s="10" t="s">
        <v>178</v>
      </c>
      <c r="R1220" s="10" t="s">
        <v>74</v>
      </c>
      <c r="S1220" s="11">
        <v>43.7</v>
      </c>
      <c r="T1220" s="11">
        <f>2*22.58</f>
        <v>45.16</v>
      </c>
      <c r="U1220" s="11" t="s">
        <v>51</v>
      </c>
      <c r="V1220" s="10" t="s">
        <v>52</v>
      </c>
      <c r="W1220" s="10" t="s">
        <v>12390</v>
      </c>
      <c r="X1220" s="10" t="s">
        <v>12391</v>
      </c>
      <c r="Y1220" s="10" t="s">
        <v>12392</v>
      </c>
      <c r="Z1220" s="10" t="s">
        <v>50</v>
      </c>
      <c r="AA1220" s="10" t="s">
        <v>50</v>
      </c>
      <c r="AB1220" s="10" t="s">
        <v>12390</v>
      </c>
      <c r="AC1220" s="10" t="s">
        <v>12393</v>
      </c>
      <c r="AD1220" s="10" t="s">
        <v>12394</v>
      </c>
      <c r="AE1220" s="10" t="s">
        <v>151</v>
      </c>
      <c r="AF1220" s="10" t="s">
        <v>151</v>
      </c>
      <c r="AG1220" s="10" t="s">
        <v>12395</v>
      </c>
      <c r="AH1220" s="10" t="s">
        <v>60</v>
      </c>
      <c r="AI1220" s="10" t="s">
        <v>61</v>
      </c>
      <c r="AJ1220" s="10" t="s">
        <v>12170</v>
      </c>
      <c r="AK1220" s="10" t="s">
        <v>12396</v>
      </c>
      <c r="AL1220" s="10" t="s">
        <v>64</v>
      </c>
      <c r="AM1220" s="10" t="s">
        <v>12397</v>
      </c>
      <c r="AN1220" s="10" t="s">
        <v>50</v>
      </c>
      <c r="AO1220" s="11" t="s">
        <v>50</v>
      </c>
      <c r="AP1220" s="10" t="s">
        <v>50</v>
      </c>
      <c r="AQ1220" s="10" t="s">
        <v>50</v>
      </c>
      <c r="AR1220" s="10" t="s">
        <v>50</v>
      </c>
      <c r="AS1220" s="10" t="s">
        <v>50</v>
      </c>
      <c r="AT1220" s="10" t="s">
        <v>50</v>
      </c>
      <c r="AU1220" s="10" t="s">
        <v>50</v>
      </c>
      <c r="AV1220" s="11"/>
      <c r="AW1220" s="10" t="s">
        <v>66</v>
      </c>
      <c r="AX1220" s="10"/>
      <c r="AY1220" s="10" t="s">
        <v>66</v>
      </c>
    </row>
    <row r="1221" ht="22.5" hidden="1" customHeight="1">
      <c r="A1221" s="9" t="s">
        <v>12398</v>
      </c>
      <c r="B1221" s="10" t="s">
        <v>12399</v>
      </c>
      <c r="C1221" s="10" t="s">
        <v>43</v>
      </c>
      <c r="D1221" s="10" t="s">
        <v>9839</v>
      </c>
      <c r="E1221" s="10" t="s">
        <v>66</v>
      </c>
      <c r="F1221" s="11">
        <v>1.0</v>
      </c>
      <c r="G1221" s="11">
        <v>79.2</v>
      </c>
      <c r="H1221" s="11"/>
      <c r="I1221" s="11">
        <v>-13.46</v>
      </c>
      <c r="J1221" s="11">
        <v>-20.45</v>
      </c>
      <c r="K1221" s="11"/>
      <c r="L1221" s="11">
        <v>45.29</v>
      </c>
      <c r="M1221" s="10" t="s">
        <v>46</v>
      </c>
      <c r="N1221" s="10" t="s">
        <v>45</v>
      </c>
      <c r="O1221" s="10" t="s">
        <v>412</v>
      </c>
      <c r="P1221" s="10" t="s">
        <v>413</v>
      </c>
      <c r="Q1221" s="10" t="s">
        <v>414</v>
      </c>
      <c r="R1221" s="10" t="s">
        <v>415</v>
      </c>
      <c r="S1221" s="11">
        <v>79.2</v>
      </c>
      <c r="T1221" s="11">
        <v>10.05</v>
      </c>
      <c r="U1221" s="11" t="s">
        <v>51</v>
      </c>
      <c r="V1221" s="10" t="s">
        <v>52</v>
      </c>
      <c r="W1221" s="10" t="s">
        <v>12400</v>
      </c>
      <c r="X1221" s="10" t="s">
        <v>12401</v>
      </c>
      <c r="Y1221" s="10" t="s">
        <v>12402</v>
      </c>
      <c r="Z1221" s="10" t="s">
        <v>3736</v>
      </c>
      <c r="AA1221" s="10" t="s">
        <v>12403</v>
      </c>
      <c r="AB1221" s="10" t="s">
        <v>12400</v>
      </c>
      <c r="AC1221" s="10" t="s">
        <v>12404</v>
      </c>
      <c r="AD1221" s="10" t="s">
        <v>12405</v>
      </c>
      <c r="AE1221" s="10" t="s">
        <v>7202</v>
      </c>
      <c r="AF1221" s="10" t="s">
        <v>58</v>
      </c>
      <c r="AG1221" s="10" t="s">
        <v>12406</v>
      </c>
      <c r="AH1221" s="10" t="s">
        <v>60</v>
      </c>
      <c r="AI1221" s="10" t="s">
        <v>61</v>
      </c>
      <c r="AJ1221" s="10" t="s">
        <v>12355</v>
      </c>
      <c r="AK1221" s="10" t="s">
        <v>12407</v>
      </c>
      <c r="AL1221" s="10" t="s">
        <v>64</v>
      </c>
      <c r="AM1221" s="10" t="s">
        <v>12408</v>
      </c>
      <c r="AN1221" s="10" t="s">
        <v>50</v>
      </c>
      <c r="AO1221" s="11" t="s">
        <v>50</v>
      </c>
      <c r="AP1221" s="10" t="s">
        <v>50</v>
      </c>
      <c r="AQ1221" s="10" t="s">
        <v>50</v>
      </c>
      <c r="AR1221" s="10" t="s">
        <v>50</v>
      </c>
      <c r="AS1221" s="10" t="s">
        <v>50</v>
      </c>
      <c r="AT1221" s="10" t="s">
        <v>50</v>
      </c>
      <c r="AU1221" s="10" t="s">
        <v>50</v>
      </c>
      <c r="AV1221" s="11"/>
      <c r="AW1221" s="10" t="s">
        <v>66</v>
      </c>
      <c r="AX1221" s="10"/>
      <c r="AY1221" s="10" t="s">
        <v>66</v>
      </c>
    </row>
    <row r="1222" ht="22.5" hidden="1" customHeight="1">
      <c r="A1222" s="9" t="s">
        <v>12409</v>
      </c>
      <c r="B1222" s="10" t="s">
        <v>12410</v>
      </c>
      <c r="C1222" s="10" t="s">
        <v>43</v>
      </c>
      <c r="D1222" s="10" t="s">
        <v>11519</v>
      </c>
      <c r="E1222" s="10" t="s">
        <v>66</v>
      </c>
      <c r="F1222" s="11">
        <v>1.0</v>
      </c>
      <c r="G1222" s="11">
        <v>79.0</v>
      </c>
      <c r="H1222" s="11"/>
      <c r="I1222" s="11">
        <v>-13.43</v>
      </c>
      <c r="J1222" s="11">
        <v>-20.45</v>
      </c>
      <c r="K1222" s="11"/>
      <c r="L1222" s="11">
        <v>45.12</v>
      </c>
      <c r="M1222" s="10" t="s">
        <v>12218</v>
      </c>
      <c r="N1222" s="10" t="s">
        <v>45</v>
      </c>
      <c r="O1222" s="10" t="s">
        <v>160</v>
      </c>
      <c r="P1222" s="10" t="s">
        <v>161</v>
      </c>
      <c r="Q1222" s="10" t="s">
        <v>162</v>
      </c>
      <c r="R1222" s="10" t="s">
        <v>74</v>
      </c>
      <c r="S1222" s="11">
        <v>79.0</v>
      </c>
      <c r="T1222" s="11">
        <v>2.49</v>
      </c>
      <c r="U1222" s="11" t="s">
        <v>51</v>
      </c>
      <c r="V1222" s="10" t="s">
        <v>52</v>
      </c>
      <c r="W1222" s="10" t="s">
        <v>12411</v>
      </c>
      <c r="X1222" s="10" t="s">
        <v>12412</v>
      </c>
      <c r="Y1222" s="10" t="s">
        <v>12413</v>
      </c>
      <c r="Z1222" s="10" t="s">
        <v>50</v>
      </c>
      <c r="AA1222" s="10" t="s">
        <v>50</v>
      </c>
      <c r="AB1222" s="10" t="s">
        <v>12411</v>
      </c>
      <c r="AC1222" s="10" t="s">
        <v>12414</v>
      </c>
      <c r="AD1222" s="10" t="s">
        <v>12415</v>
      </c>
      <c r="AE1222" s="10" t="s">
        <v>12416</v>
      </c>
      <c r="AF1222" s="10" t="s">
        <v>185</v>
      </c>
      <c r="AG1222" s="10" t="s">
        <v>12417</v>
      </c>
      <c r="AH1222" s="10" t="s">
        <v>60</v>
      </c>
      <c r="AI1222" s="10" t="s">
        <v>61</v>
      </c>
      <c r="AJ1222" s="10" t="s">
        <v>12378</v>
      </c>
      <c r="AK1222" s="10" t="s">
        <v>12418</v>
      </c>
      <c r="AL1222" s="10" t="s">
        <v>64</v>
      </c>
      <c r="AM1222" s="10" t="s">
        <v>12419</v>
      </c>
      <c r="AN1222" s="10" t="s">
        <v>50</v>
      </c>
      <c r="AO1222" s="11" t="s">
        <v>50</v>
      </c>
      <c r="AP1222" s="10" t="s">
        <v>50</v>
      </c>
      <c r="AQ1222" s="10" t="s">
        <v>50</v>
      </c>
      <c r="AR1222" s="10" t="s">
        <v>50</v>
      </c>
      <c r="AS1222" s="10" t="s">
        <v>50</v>
      </c>
      <c r="AT1222" s="10" t="s">
        <v>50</v>
      </c>
      <c r="AU1222" s="10" t="s">
        <v>50</v>
      </c>
      <c r="AV1222" s="11"/>
      <c r="AW1222" s="10" t="s">
        <v>66</v>
      </c>
      <c r="AX1222" s="10"/>
      <c r="AY1222" s="10" t="s">
        <v>66</v>
      </c>
    </row>
    <row r="1223" ht="22.5" hidden="1" customHeight="1">
      <c r="A1223" s="9" t="s">
        <v>12420</v>
      </c>
      <c r="B1223" s="10" t="s">
        <v>12421</v>
      </c>
      <c r="C1223" s="10" t="s">
        <v>43</v>
      </c>
      <c r="D1223" s="10" t="s">
        <v>9839</v>
      </c>
      <c r="E1223" s="10" t="s">
        <v>66</v>
      </c>
      <c r="F1223" s="11">
        <v>1.0</v>
      </c>
      <c r="G1223" s="11">
        <v>80.0</v>
      </c>
      <c r="H1223" s="11"/>
      <c r="I1223" s="11">
        <v>-13.6</v>
      </c>
      <c r="J1223" s="11">
        <v>-19.95</v>
      </c>
      <c r="K1223" s="11"/>
      <c r="L1223" s="11">
        <v>50.45</v>
      </c>
      <c r="M1223" s="10" t="s">
        <v>46</v>
      </c>
      <c r="N1223" s="10" t="s">
        <v>50</v>
      </c>
      <c r="O1223" s="10" t="s">
        <v>143</v>
      </c>
      <c r="P1223" s="10" t="s">
        <v>144</v>
      </c>
      <c r="Q1223" s="10" t="s">
        <v>145</v>
      </c>
      <c r="R1223" s="10" t="s">
        <v>74</v>
      </c>
      <c r="S1223" s="11">
        <v>80.0</v>
      </c>
      <c r="T1223" s="11">
        <v>33.38</v>
      </c>
      <c r="U1223" s="11" t="s">
        <v>51</v>
      </c>
      <c r="V1223" s="10" t="s">
        <v>52</v>
      </c>
      <c r="W1223" s="10" t="s">
        <v>12422</v>
      </c>
      <c r="X1223" s="10" t="s">
        <v>12423</v>
      </c>
      <c r="Y1223" s="10" t="s">
        <v>12424</v>
      </c>
      <c r="Z1223" s="10" t="s">
        <v>50</v>
      </c>
      <c r="AA1223" s="10" t="s">
        <v>50</v>
      </c>
      <c r="AB1223" s="10" t="s">
        <v>12422</v>
      </c>
      <c r="AC1223" s="10" t="s">
        <v>12425</v>
      </c>
      <c r="AD1223" s="10" t="s">
        <v>12426</v>
      </c>
      <c r="AE1223" s="10" t="s">
        <v>12427</v>
      </c>
      <c r="AF1223" s="10" t="s">
        <v>58</v>
      </c>
      <c r="AG1223" s="10" t="s">
        <v>12428</v>
      </c>
      <c r="AH1223" s="10" t="s">
        <v>60</v>
      </c>
      <c r="AI1223" s="10" t="s">
        <v>61</v>
      </c>
      <c r="AJ1223" s="10" t="s">
        <v>12429</v>
      </c>
      <c r="AK1223" s="10" t="s">
        <v>12430</v>
      </c>
      <c r="AL1223" s="10" t="s">
        <v>64</v>
      </c>
      <c r="AM1223" s="10" t="s">
        <v>12431</v>
      </c>
      <c r="AN1223" s="10" t="s">
        <v>50</v>
      </c>
      <c r="AO1223" s="11" t="s">
        <v>50</v>
      </c>
      <c r="AP1223" s="10" t="s">
        <v>50</v>
      </c>
      <c r="AQ1223" s="10" t="s">
        <v>50</v>
      </c>
      <c r="AR1223" s="10" t="s">
        <v>50</v>
      </c>
      <c r="AS1223" s="10" t="s">
        <v>50</v>
      </c>
      <c r="AT1223" s="10" t="s">
        <v>50</v>
      </c>
      <c r="AU1223" s="10" t="s">
        <v>50</v>
      </c>
      <c r="AV1223" s="11"/>
      <c r="AW1223" s="10" t="s">
        <v>66</v>
      </c>
      <c r="AX1223" s="10"/>
      <c r="AY1223" s="10" t="s">
        <v>66</v>
      </c>
    </row>
    <row r="1224" ht="22.5" hidden="1" customHeight="1">
      <c r="A1224" s="9" t="s">
        <v>12432</v>
      </c>
      <c r="B1224" s="10" t="s">
        <v>12433</v>
      </c>
      <c r="C1224" s="10" t="s">
        <v>43</v>
      </c>
      <c r="D1224" s="10" t="s">
        <v>9839</v>
      </c>
      <c r="E1224" s="10" t="s">
        <v>66</v>
      </c>
      <c r="F1224" s="11">
        <v>1.0</v>
      </c>
      <c r="G1224" s="11">
        <v>43.7</v>
      </c>
      <c r="H1224" s="11">
        <v>14.63</v>
      </c>
      <c r="I1224" s="11">
        <v>-13.43</v>
      </c>
      <c r="J1224" s="11">
        <v>-14.63</v>
      </c>
      <c r="K1224" s="11"/>
      <c r="L1224" s="11">
        <v>32.89</v>
      </c>
      <c r="M1224" s="10" t="s">
        <v>46</v>
      </c>
      <c r="N1224" s="10" t="s">
        <v>50</v>
      </c>
      <c r="O1224" s="10" t="s">
        <v>176</v>
      </c>
      <c r="P1224" s="10" t="s">
        <v>177</v>
      </c>
      <c r="Q1224" s="10" t="s">
        <v>178</v>
      </c>
      <c r="R1224" s="10" t="s">
        <v>74</v>
      </c>
      <c r="S1224" s="11">
        <v>43.7</v>
      </c>
      <c r="T1224" s="11">
        <v>22.58</v>
      </c>
      <c r="U1224" s="11" t="s">
        <v>51</v>
      </c>
      <c r="V1224" s="10" t="s">
        <v>52</v>
      </c>
      <c r="W1224" s="10" t="s">
        <v>12434</v>
      </c>
      <c r="X1224" s="10" t="s">
        <v>12435</v>
      </c>
      <c r="Y1224" s="10" t="s">
        <v>12436</v>
      </c>
      <c r="Z1224" s="10" t="s">
        <v>50</v>
      </c>
      <c r="AA1224" s="10" t="s">
        <v>50</v>
      </c>
      <c r="AB1224" s="10" t="s">
        <v>12434</v>
      </c>
      <c r="AC1224" s="10" t="s">
        <v>12437</v>
      </c>
      <c r="AD1224" s="10" t="s">
        <v>12438</v>
      </c>
      <c r="AE1224" s="10" t="s">
        <v>12439</v>
      </c>
      <c r="AF1224" s="10" t="s">
        <v>58</v>
      </c>
      <c r="AG1224" s="10" t="s">
        <v>12440</v>
      </c>
      <c r="AH1224" s="10" t="s">
        <v>60</v>
      </c>
      <c r="AI1224" s="10" t="s">
        <v>61</v>
      </c>
      <c r="AJ1224" s="10" t="s">
        <v>12281</v>
      </c>
      <c r="AK1224" s="10" t="s">
        <v>12441</v>
      </c>
      <c r="AL1224" s="10" t="s">
        <v>64</v>
      </c>
      <c r="AM1224" s="10" t="s">
        <v>12442</v>
      </c>
      <c r="AN1224" s="10" t="s">
        <v>50</v>
      </c>
      <c r="AO1224" s="11" t="s">
        <v>50</v>
      </c>
      <c r="AP1224" s="10" t="s">
        <v>50</v>
      </c>
      <c r="AQ1224" s="10" t="s">
        <v>50</v>
      </c>
      <c r="AR1224" s="10" t="s">
        <v>50</v>
      </c>
      <c r="AS1224" s="10" t="s">
        <v>50</v>
      </c>
      <c r="AT1224" s="10" t="s">
        <v>50</v>
      </c>
      <c r="AU1224" s="10" t="s">
        <v>50</v>
      </c>
      <c r="AV1224" s="11"/>
      <c r="AW1224" s="10" t="s">
        <v>66</v>
      </c>
      <c r="AX1224" s="10"/>
      <c r="AY1224" s="10" t="s">
        <v>66</v>
      </c>
    </row>
    <row r="1225" ht="22.5" hidden="1" customHeight="1">
      <c r="A1225" s="9" t="s">
        <v>12443</v>
      </c>
      <c r="B1225" s="10" t="s">
        <v>12444</v>
      </c>
      <c r="C1225" s="10" t="s">
        <v>43</v>
      </c>
      <c r="D1225" s="10" t="s">
        <v>9839</v>
      </c>
      <c r="E1225" s="10" t="s">
        <v>66</v>
      </c>
      <c r="F1225" s="11">
        <v>1.0</v>
      </c>
      <c r="G1225" s="11">
        <v>43.7</v>
      </c>
      <c r="H1225" s="11">
        <v>14.15</v>
      </c>
      <c r="I1225" s="11">
        <v>-13.43</v>
      </c>
      <c r="J1225" s="11">
        <v>-14.15</v>
      </c>
      <c r="K1225" s="11"/>
      <c r="L1225" s="11">
        <v>32.89</v>
      </c>
      <c r="M1225" s="10" t="s">
        <v>46</v>
      </c>
      <c r="N1225" s="10" t="s">
        <v>50</v>
      </c>
      <c r="O1225" s="10" t="s">
        <v>176</v>
      </c>
      <c r="P1225" s="10" t="s">
        <v>177</v>
      </c>
      <c r="Q1225" s="10" t="s">
        <v>178</v>
      </c>
      <c r="R1225" s="10" t="s">
        <v>74</v>
      </c>
      <c r="S1225" s="11">
        <v>43.7</v>
      </c>
      <c r="T1225" s="11">
        <v>22.58</v>
      </c>
      <c r="U1225" s="11" t="s">
        <v>51</v>
      </c>
      <c r="V1225" s="10" t="s">
        <v>52</v>
      </c>
      <c r="W1225" s="10" t="s">
        <v>12445</v>
      </c>
      <c r="X1225" s="10" t="s">
        <v>12446</v>
      </c>
      <c r="Y1225" s="10" t="s">
        <v>12447</v>
      </c>
      <c r="Z1225" s="10" t="s">
        <v>50</v>
      </c>
      <c r="AA1225" s="10" t="s">
        <v>50</v>
      </c>
      <c r="AB1225" s="10" t="s">
        <v>12445</v>
      </c>
      <c r="AC1225" s="10" t="s">
        <v>12448</v>
      </c>
      <c r="AD1225" s="10" t="s">
        <v>12449</v>
      </c>
      <c r="AE1225" s="10" t="s">
        <v>5308</v>
      </c>
      <c r="AF1225" s="10" t="s">
        <v>58</v>
      </c>
      <c r="AG1225" s="10" t="s">
        <v>12450</v>
      </c>
      <c r="AH1225" s="10" t="s">
        <v>60</v>
      </c>
      <c r="AI1225" s="10" t="s">
        <v>61</v>
      </c>
      <c r="AJ1225" s="10" t="s">
        <v>12378</v>
      </c>
      <c r="AK1225" s="10" t="s">
        <v>12451</v>
      </c>
      <c r="AL1225" s="10" t="s">
        <v>64</v>
      </c>
      <c r="AM1225" s="10" t="s">
        <v>12452</v>
      </c>
      <c r="AN1225" s="10" t="s">
        <v>50</v>
      </c>
      <c r="AO1225" s="11" t="s">
        <v>50</v>
      </c>
      <c r="AP1225" s="10" t="s">
        <v>50</v>
      </c>
      <c r="AQ1225" s="10" t="s">
        <v>50</v>
      </c>
      <c r="AR1225" s="10" t="s">
        <v>50</v>
      </c>
      <c r="AS1225" s="10" t="s">
        <v>50</v>
      </c>
      <c r="AT1225" s="10" t="s">
        <v>50</v>
      </c>
      <c r="AU1225" s="10" t="s">
        <v>50</v>
      </c>
      <c r="AV1225" s="11"/>
      <c r="AW1225" s="10" t="s">
        <v>66</v>
      </c>
      <c r="AX1225" s="10"/>
      <c r="AY1225" s="10" t="s">
        <v>66</v>
      </c>
    </row>
    <row r="1226" ht="22.5" hidden="1" customHeight="1">
      <c r="A1226" s="9" t="s">
        <v>12453</v>
      </c>
      <c r="B1226" s="10" t="s">
        <v>12454</v>
      </c>
      <c r="C1226" s="10" t="s">
        <v>43</v>
      </c>
      <c r="D1226" s="10" t="s">
        <v>9839</v>
      </c>
      <c r="E1226" s="10" t="s">
        <v>45</v>
      </c>
      <c r="F1226" s="11">
        <v>1.0</v>
      </c>
      <c r="G1226" s="11">
        <v>79.2</v>
      </c>
      <c r="H1226" s="11"/>
      <c r="I1226" s="11">
        <v>-13.46</v>
      </c>
      <c r="J1226" s="11">
        <v>-20.45</v>
      </c>
      <c r="K1226" s="11"/>
      <c r="L1226" s="11">
        <v>45.29</v>
      </c>
      <c r="M1226" s="10" t="s">
        <v>46</v>
      </c>
      <c r="N1226" s="10" t="s">
        <v>50</v>
      </c>
      <c r="O1226" s="10" t="s">
        <v>412</v>
      </c>
      <c r="P1226" s="10" t="s">
        <v>413</v>
      </c>
      <c r="Q1226" s="10" t="s">
        <v>414</v>
      </c>
      <c r="R1226" s="10" t="s">
        <v>415</v>
      </c>
      <c r="S1226" s="11">
        <v>79.2</v>
      </c>
      <c r="T1226" s="11">
        <v>10.05</v>
      </c>
      <c r="U1226" s="11" t="s">
        <v>51</v>
      </c>
      <c r="V1226" s="10" t="s">
        <v>52</v>
      </c>
      <c r="W1226" s="10" t="s">
        <v>12455</v>
      </c>
      <c r="X1226" s="10" t="s">
        <v>12456</v>
      </c>
      <c r="Y1226" s="10" t="s">
        <v>12457</v>
      </c>
      <c r="Z1226" s="10" t="s">
        <v>50</v>
      </c>
      <c r="AA1226" s="10" t="s">
        <v>50</v>
      </c>
      <c r="AB1226" s="10" t="s">
        <v>12455</v>
      </c>
      <c r="AC1226" s="10" t="s">
        <v>12458</v>
      </c>
      <c r="AD1226" s="10" t="s">
        <v>12459</v>
      </c>
      <c r="AE1226" s="10" t="s">
        <v>58</v>
      </c>
      <c r="AF1226" s="10" t="s">
        <v>58</v>
      </c>
      <c r="AG1226" s="10" t="s">
        <v>12460</v>
      </c>
      <c r="AH1226" s="10" t="s">
        <v>60</v>
      </c>
      <c r="AI1226" s="10" t="s">
        <v>61</v>
      </c>
      <c r="AJ1226" s="10" t="s">
        <v>12281</v>
      </c>
      <c r="AK1226" s="10" t="s">
        <v>12461</v>
      </c>
      <c r="AL1226" s="10" t="s">
        <v>64</v>
      </c>
      <c r="AM1226" s="10" t="s">
        <v>12462</v>
      </c>
      <c r="AN1226" s="10" t="s">
        <v>50</v>
      </c>
      <c r="AO1226" s="11" t="s">
        <v>50</v>
      </c>
      <c r="AP1226" s="10" t="s">
        <v>50</v>
      </c>
      <c r="AQ1226" s="10" t="s">
        <v>50</v>
      </c>
      <c r="AR1226" s="10" t="s">
        <v>50</v>
      </c>
      <c r="AS1226" s="10" t="s">
        <v>50</v>
      </c>
      <c r="AT1226" s="10" t="s">
        <v>50</v>
      </c>
      <c r="AU1226" s="10" t="s">
        <v>50</v>
      </c>
      <c r="AV1226" s="11"/>
      <c r="AW1226" s="10" t="s">
        <v>66</v>
      </c>
      <c r="AX1226" s="10"/>
      <c r="AY1226" s="10" t="s">
        <v>66</v>
      </c>
    </row>
    <row r="1227" ht="22.5" hidden="1" customHeight="1">
      <c r="A1227" s="9" t="s">
        <v>12463</v>
      </c>
      <c r="B1227" s="10" t="s">
        <v>12464</v>
      </c>
      <c r="C1227" s="10" t="s">
        <v>43</v>
      </c>
      <c r="D1227" s="10" t="s">
        <v>9839</v>
      </c>
      <c r="E1227" s="10" t="s">
        <v>66</v>
      </c>
      <c r="F1227" s="11">
        <v>1.0</v>
      </c>
      <c r="G1227" s="11">
        <v>79.0</v>
      </c>
      <c r="H1227" s="11"/>
      <c r="I1227" s="11">
        <v>-13.43</v>
      </c>
      <c r="J1227" s="11">
        <v>-20.45</v>
      </c>
      <c r="K1227" s="11"/>
      <c r="L1227" s="11">
        <v>45.12</v>
      </c>
      <c r="M1227" s="10" t="s">
        <v>46</v>
      </c>
      <c r="N1227" s="10" t="s">
        <v>45</v>
      </c>
      <c r="O1227" s="10" t="s">
        <v>160</v>
      </c>
      <c r="P1227" s="10" t="s">
        <v>161</v>
      </c>
      <c r="Q1227" s="10" t="s">
        <v>162</v>
      </c>
      <c r="R1227" s="10" t="s">
        <v>74</v>
      </c>
      <c r="S1227" s="11">
        <v>79.0</v>
      </c>
      <c r="T1227" s="11">
        <v>2.49</v>
      </c>
      <c r="U1227" s="11" t="s">
        <v>51</v>
      </c>
      <c r="V1227" s="10" t="s">
        <v>52</v>
      </c>
      <c r="W1227" s="10" t="s">
        <v>12465</v>
      </c>
      <c r="X1227" s="10" t="s">
        <v>12466</v>
      </c>
      <c r="Y1227" s="10" t="s">
        <v>12467</v>
      </c>
      <c r="Z1227" s="10" t="s">
        <v>50</v>
      </c>
      <c r="AA1227" s="10" t="s">
        <v>50</v>
      </c>
      <c r="AB1227" s="10" t="s">
        <v>12465</v>
      </c>
      <c r="AC1227" s="10" t="s">
        <v>12468</v>
      </c>
      <c r="AD1227" s="10" t="s">
        <v>12469</v>
      </c>
      <c r="AE1227" s="10" t="s">
        <v>3841</v>
      </c>
      <c r="AF1227" s="10" t="s">
        <v>323</v>
      </c>
      <c r="AG1227" s="10" t="s">
        <v>12470</v>
      </c>
      <c r="AH1227" s="10" t="s">
        <v>60</v>
      </c>
      <c r="AI1227" s="10" t="s">
        <v>61</v>
      </c>
      <c r="AJ1227" s="10" t="s">
        <v>12471</v>
      </c>
      <c r="AK1227" s="10" t="s">
        <v>12472</v>
      </c>
      <c r="AL1227" s="10" t="s">
        <v>64</v>
      </c>
      <c r="AM1227" s="10" t="s">
        <v>12473</v>
      </c>
      <c r="AN1227" s="10" t="s">
        <v>50</v>
      </c>
      <c r="AO1227" s="11" t="s">
        <v>50</v>
      </c>
      <c r="AP1227" s="10" t="s">
        <v>50</v>
      </c>
      <c r="AQ1227" s="10" t="s">
        <v>50</v>
      </c>
      <c r="AR1227" s="10" t="s">
        <v>50</v>
      </c>
      <c r="AS1227" s="10" t="s">
        <v>50</v>
      </c>
      <c r="AT1227" s="10" t="s">
        <v>50</v>
      </c>
      <c r="AU1227" s="10" t="s">
        <v>50</v>
      </c>
      <c r="AV1227" s="11"/>
      <c r="AW1227" s="10" t="s">
        <v>66</v>
      </c>
      <c r="AX1227" s="10"/>
      <c r="AY1227" s="10" t="s">
        <v>66</v>
      </c>
    </row>
    <row r="1228" ht="22.5" hidden="1" customHeight="1">
      <c r="A1228" s="9" t="s">
        <v>12474</v>
      </c>
      <c r="B1228" s="10" t="s">
        <v>12475</v>
      </c>
      <c r="C1228" s="10" t="s">
        <v>43</v>
      </c>
      <c r="D1228" s="10" t="s">
        <v>12217</v>
      </c>
      <c r="E1228" s="10" t="s">
        <v>66</v>
      </c>
      <c r="F1228" s="11">
        <v>1.0</v>
      </c>
      <c r="G1228" s="11">
        <v>80.6</v>
      </c>
      <c r="H1228" s="11"/>
      <c r="I1228" s="11">
        <v>-13.7</v>
      </c>
      <c r="J1228" s="11">
        <v>-20.45</v>
      </c>
      <c r="K1228" s="11"/>
      <c r="L1228" s="11">
        <v>46.45</v>
      </c>
      <c r="M1228" s="10" t="s">
        <v>12218</v>
      </c>
      <c r="N1228" s="10" t="s">
        <v>45</v>
      </c>
      <c r="O1228" s="10" t="s">
        <v>265</v>
      </c>
      <c r="P1228" s="10" t="s">
        <v>266</v>
      </c>
      <c r="Q1228" s="10" t="s">
        <v>267</v>
      </c>
      <c r="R1228" s="10" t="s">
        <v>74</v>
      </c>
      <c r="S1228" s="11">
        <v>80.6</v>
      </c>
      <c r="T1228" s="11">
        <v>26.22</v>
      </c>
      <c r="U1228" s="11" t="s">
        <v>51</v>
      </c>
      <c r="V1228" s="10" t="s">
        <v>52</v>
      </c>
      <c r="W1228" s="10" t="s">
        <v>12476</v>
      </c>
      <c r="X1228" s="10" t="s">
        <v>12477</v>
      </c>
      <c r="Y1228" s="10" t="s">
        <v>12478</v>
      </c>
      <c r="Z1228" s="10" t="s">
        <v>50</v>
      </c>
      <c r="AA1228" s="10" t="s">
        <v>50</v>
      </c>
      <c r="AB1228" s="10" t="s">
        <v>12476</v>
      </c>
      <c r="AC1228" s="10" t="s">
        <v>12479</v>
      </c>
      <c r="AD1228" s="10" t="s">
        <v>12480</v>
      </c>
      <c r="AE1228" s="10" t="s">
        <v>151</v>
      </c>
      <c r="AF1228" s="10" t="s">
        <v>151</v>
      </c>
      <c r="AG1228" s="10" t="s">
        <v>12481</v>
      </c>
      <c r="AH1228" s="10" t="s">
        <v>60</v>
      </c>
      <c r="AI1228" s="10" t="s">
        <v>61</v>
      </c>
      <c r="AJ1228" s="10" t="s">
        <v>12225</v>
      </c>
      <c r="AK1228" s="10" t="s">
        <v>12482</v>
      </c>
      <c r="AL1228" s="10" t="s">
        <v>64</v>
      </c>
      <c r="AM1228" s="10" t="s">
        <v>12483</v>
      </c>
      <c r="AN1228" s="10" t="s">
        <v>50</v>
      </c>
      <c r="AO1228" s="11" t="s">
        <v>50</v>
      </c>
      <c r="AP1228" s="10" t="s">
        <v>50</v>
      </c>
      <c r="AQ1228" s="10" t="s">
        <v>50</v>
      </c>
      <c r="AR1228" s="10" t="s">
        <v>50</v>
      </c>
      <c r="AS1228" s="10" t="s">
        <v>50</v>
      </c>
      <c r="AT1228" s="10" t="s">
        <v>50</v>
      </c>
      <c r="AU1228" s="10" t="s">
        <v>50</v>
      </c>
      <c r="AV1228" s="11"/>
      <c r="AW1228" s="10" t="s">
        <v>66</v>
      </c>
      <c r="AX1228" s="10"/>
      <c r="AY1228" s="10" t="s">
        <v>66</v>
      </c>
    </row>
    <row r="1229" ht="22.5" hidden="1" customHeight="1">
      <c r="A1229" s="9" t="s">
        <v>12484</v>
      </c>
      <c r="B1229" s="10" t="s">
        <v>12485</v>
      </c>
      <c r="C1229" s="10" t="s">
        <v>43</v>
      </c>
      <c r="D1229" s="10" t="s">
        <v>9839</v>
      </c>
      <c r="E1229" s="10" t="s">
        <v>66</v>
      </c>
      <c r="F1229" s="11">
        <v>1.0</v>
      </c>
      <c r="G1229" s="11">
        <v>80.0</v>
      </c>
      <c r="H1229" s="11"/>
      <c r="I1229" s="11">
        <v>-13.6</v>
      </c>
      <c r="J1229" s="11">
        <v>-19.95</v>
      </c>
      <c r="K1229" s="11"/>
      <c r="L1229" s="11">
        <v>50.45</v>
      </c>
      <c r="M1229" s="10" t="s">
        <v>12218</v>
      </c>
      <c r="N1229" s="10" t="s">
        <v>45</v>
      </c>
      <c r="O1229" s="10" t="s">
        <v>143</v>
      </c>
      <c r="P1229" s="10" t="s">
        <v>144</v>
      </c>
      <c r="Q1229" s="10" t="s">
        <v>145</v>
      </c>
      <c r="R1229" s="10" t="s">
        <v>74</v>
      </c>
      <c r="S1229" s="11">
        <v>80.0</v>
      </c>
      <c r="T1229" s="11">
        <v>33.38</v>
      </c>
      <c r="U1229" s="11" t="s">
        <v>51</v>
      </c>
      <c r="V1229" s="10" t="s">
        <v>52</v>
      </c>
      <c r="W1229" s="10" t="s">
        <v>12486</v>
      </c>
      <c r="X1229" s="10" t="s">
        <v>12487</v>
      </c>
      <c r="Y1229" s="10" t="s">
        <v>12488</v>
      </c>
      <c r="Z1229" s="10" t="s">
        <v>50</v>
      </c>
      <c r="AA1229" s="10" t="s">
        <v>50</v>
      </c>
      <c r="AB1229" s="10" t="s">
        <v>12486</v>
      </c>
      <c r="AC1229" s="10" t="s">
        <v>12489</v>
      </c>
      <c r="AD1229" s="10" t="s">
        <v>12490</v>
      </c>
      <c r="AE1229" s="10" t="s">
        <v>10618</v>
      </c>
      <c r="AF1229" s="10" t="s">
        <v>58</v>
      </c>
      <c r="AG1229" s="10" t="s">
        <v>10619</v>
      </c>
      <c r="AH1229" s="10" t="s">
        <v>60</v>
      </c>
      <c r="AI1229" s="10" t="s">
        <v>61</v>
      </c>
      <c r="AJ1229" s="10" t="s">
        <v>12378</v>
      </c>
      <c r="AK1229" s="10" t="s">
        <v>12491</v>
      </c>
      <c r="AL1229" s="10" t="s">
        <v>64</v>
      </c>
      <c r="AM1229" s="10" t="s">
        <v>12492</v>
      </c>
      <c r="AN1229" s="10" t="s">
        <v>50</v>
      </c>
      <c r="AO1229" s="11" t="s">
        <v>50</v>
      </c>
      <c r="AP1229" s="10" t="s">
        <v>50</v>
      </c>
      <c r="AQ1229" s="10" t="s">
        <v>50</v>
      </c>
      <c r="AR1229" s="10" t="s">
        <v>50</v>
      </c>
      <c r="AS1229" s="10" t="s">
        <v>50</v>
      </c>
      <c r="AT1229" s="10" t="s">
        <v>50</v>
      </c>
      <c r="AU1229" s="10" t="s">
        <v>50</v>
      </c>
      <c r="AV1229" s="11"/>
      <c r="AW1229" s="10" t="s">
        <v>66</v>
      </c>
      <c r="AX1229" s="10"/>
      <c r="AY1229" s="10" t="s">
        <v>66</v>
      </c>
    </row>
    <row r="1230" ht="22.5" hidden="1" customHeight="1">
      <c r="A1230" s="9" t="s">
        <v>12493</v>
      </c>
      <c r="B1230" s="10" t="s">
        <v>12494</v>
      </c>
      <c r="C1230" s="10" t="s">
        <v>43</v>
      </c>
      <c r="D1230" s="10" t="s">
        <v>12217</v>
      </c>
      <c r="E1230" s="10" t="s">
        <v>66</v>
      </c>
      <c r="F1230" s="11">
        <v>1.0</v>
      </c>
      <c r="G1230" s="11">
        <v>80.0</v>
      </c>
      <c r="H1230" s="11"/>
      <c r="I1230" s="11">
        <v>-13.6</v>
      </c>
      <c r="J1230" s="11">
        <v>-19.95</v>
      </c>
      <c r="K1230" s="11"/>
      <c r="L1230" s="11">
        <v>50.45</v>
      </c>
      <c r="M1230" s="10" t="s">
        <v>46</v>
      </c>
      <c r="N1230" s="10" t="s">
        <v>50</v>
      </c>
      <c r="O1230" s="10" t="s">
        <v>143</v>
      </c>
      <c r="P1230" s="10" t="s">
        <v>144</v>
      </c>
      <c r="Q1230" s="10" t="s">
        <v>145</v>
      </c>
      <c r="R1230" s="10" t="s">
        <v>74</v>
      </c>
      <c r="S1230" s="11">
        <v>80.0</v>
      </c>
      <c r="T1230" s="11">
        <v>33.38</v>
      </c>
      <c r="U1230" s="11" t="s">
        <v>51</v>
      </c>
      <c r="V1230" s="10" t="s">
        <v>52</v>
      </c>
      <c r="W1230" s="10" t="s">
        <v>12495</v>
      </c>
      <c r="X1230" s="10" t="s">
        <v>12496</v>
      </c>
      <c r="Y1230" s="10" t="s">
        <v>12497</v>
      </c>
      <c r="Z1230" s="10" t="s">
        <v>50</v>
      </c>
      <c r="AA1230" s="10" t="s">
        <v>50</v>
      </c>
      <c r="AB1230" s="10" t="s">
        <v>12495</v>
      </c>
      <c r="AC1230" s="10" t="s">
        <v>12498</v>
      </c>
      <c r="AD1230" s="10" t="s">
        <v>12499</v>
      </c>
      <c r="AE1230" s="10" t="s">
        <v>322</v>
      </c>
      <c r="AF1230" s="10" t="s">
        <v>323</v>
      </c>
      <c r="AG1230" s="10" t="s">
        <v>12500</v>
      </c>
      <c r="AH1230" s="10" t="s">
        <v>60</v>
      </c>
      <c r="AI1230" s="10" t="s">
        <v>61</v>
      </c>
      <c r="AJ1230" s="10" t="s">
        <v>12501</v>
      </c>
      <c r="AK1230" s="10" t="s">
        <v>12502</v>
      </c>
      <c r="AL1230" s="10" t="s">
        <v>64</v>
      </c>
      <c r="AM1230" s="10" t="s">
        <v>12503</v>
      </c>
      <c r="AN1230" s="10" t="s">
        <v>50</v>
      </c>
      <c r="AO1230" s="11" t="s">
        <v>50</v>
      </c>
      <c r="AP1230" s="10" t="s">
        <v>50</v>
      </c>
      <c r="AQ1230" s="10" t="s">
        <v>50</v>
      </c>
      <c r="AR1230" s="10" t="s">
        <v>50</v>
      </c>
      <c r="AS1230" s="10" t="s">
        <v>50</v>
      </c>
      <c r="AT1230" s="10" t="s">
        <v>50</v>
      </c>
      <c r="AU1230" s="10" t="s">
        <v>50</v>
      </c>
      <c r="AV1230" s="11"/>
      <c r="AW1230" s="10" t="s">
        <v>66</v>
      </c>
      <c r="AX1230" s="10"/>
      <c r="AY1230" s="10" t="s">
        <v>66</v>
      </c>
    </row>
    <row r="1231" ht="22.5" hidden="1" customHeight="1">
      <c r="A1231" s="9" t="s">
        <v>12504</v>
      </c>
      <c r="B1231" s="10" t="s">
        <v>12505</v>
      </c>
      <c r="C1231" s="10" t="s">
        <v>43</v>
      </c>
      <c r="D1231" s="10" t="s">
        <v>9839</v>
      </c>
      <c r="E1231" s="10" t="s">
        <v>45</v>
      </c>
      <c r="F1231" s="11">
        <v>2.0</v>
      </c>
      <c r="G1231" s="11">
        <v>158.0</v>
      </c>
      <c r="H1231" s="11"/>
      <c r="I1231" s="11">
        <v>-26.86</v>
      </c>
      <c r="J1231" s="11">
        <v>-40.9</v>
      </c>
      <c r="K1231" s="11"/>
      <c r="L1231" s="11">
        <v>90.24</v>
      </c>
      <c r="M1231" s="10" t="s">
        <v>46</v>
      </c>
      <c r="N1231" s="10" t="s">
        <v>45</v>
      </c>
      <c r="O1231" s="10" t="s">
        <v>461</v>
      </c>
      <c r="P1231" s="10" t="s">
        <v>462</v>
      </c>
      <c r="Q1231" s="10" t="s">
        <v>463</v>
      </c>
      <c r="R1231" s="10" t="s">
        <v>74</v>
      </c>
      <c r="S1231" s="11">
        <v>79.0</v>
      </c>
      <c r="T1231" s="11">
        <v>10.09</v>
      </c>
      <c r="U1231" s="11" t="s">
        <v>51</v>
      </c>
      <c r="V1231" s="10" t="s">
        <v>52</v>
      </c>
      <c r="W1231" s="10" t="s">
        <v>12506</v>
      </c>
      <c r="X1231" s="10" t="s">
        <v>12507</v>
      </c>
      <c r="Y1231" s="10" t="s">
        <v>12508</v>
      </c>
      <c r="Z1231" s="10" t="s">
        <v>50</v>
      </c>
      <c r="AA1231" s="10" t="s">
        <v>50</v>
      </c>
      <c r="AB1231" s="10" t="s">
        <v>12506</v>
      </c>
      <c r="AC1231" s="10" t="s">
        <v>12509</v>
      </c>
      <c r="AD1231" s="10" t="s">
        <v>12510</v>
      </c>
      <c r="AE1231" s="10" t="s">
        <v>8944</v>
      </c>
      <c r="AF1231" s="10" t="s">
        <v>799</v>
      </c>
      <c r="AG1231" s="10" t="s">
        <v>12511</v>
      </c>
      <c r="AH1231" s="10" t="s">
        <v>60</v>
      </c>
      <c r="AI1231" s="10" t="s">
        <v>61</v>
      </c>
      <c r="AJ1231" s="10" t="s">
        <v>12159</v>
      </c>
      <c r="AK1231" s="10" t="s">
        <v>12512</v>
      </c>
      <c r="AL1231" s="10" t="s">
        <v>64</v>
      </c>
      <c r="AM1231" s="10" t="s">
        <v>12513</v>
      </c>
      <c r="AN1231" s="10" t="s">
        <v>50</v>
      </c>
      <c r="AO1231" s="11" t="s">
        <v>50</v>
      </c>
      <c r="AP1231" s="10" t="s">
        <v>50</v>
      </c>
      <c r="AQ1231" s="10" t="s">
        <v>50</v>
      </c>
      <c r="AR1231" s="10" t="s">
        <v>50</v>
      </c>
      <c r="AS1231" s="10" t="s">
        <v>50</v>
      </c>
      <c r="AT1231" s="10" t="s">
        <v>50</v>
      </c>
      <c r="AU1231" s="10" t="s">
        <v>50</v>
      </c>
      <c r="AV1231" s="11"/>
      <c r="AW1231" s="10" t="s">
        <v>66</v>
      </c>
      <c r="AX1231" s="10"/>
      <c r="AY1231" s="10" t="s">
        <v>66</v>
      </c>
    </row>
    <row r="1232" ht="22.5" hidden="1" customHeight="1">
      <c r="A1232" s="9" t="s">
        <v>12514</v>
      </c>
      <c r="B1232" s="10" t="s">
        <v>12515</v>
      </c>
      <c r="C1232" s="10" t="s">
        <v>43</v>
      </c>
      <c r="D1232" s="10" t="s">
        <v>9839</v>
      </c>
      <c r="E1232" s="10" t="s">
        <v>45</v>
      </c>
      <c r="F1232" s="11">
        <v>1.0</v>
      </c>
      <c r="G1232" s="11">
        <v>80.0</v>
      </c>
      <c r="H1232" s="11"/>
      <c r="I1232" s="11">
        <v>-13.6</v>
      </c>
      <c r="J1232" s="11">
        <v>-19.95</v>
      </c>
      <c r="K1232" s="11"/>
      <c r="L1232" s="11">
        <v>50.45</v>
      </c>
      <c r="M1232" s="10" t="s">
        <v>46</v>
      </c>
      <c r="N1232" s="10" t="s">
        <v>45</v>
      </c>
      <c r="O1232" s="10" t="s">
        <v>143</v>
      </c>
      <c r="P1232" s="10" t="s">
        <v>144</v>
      </c>
      <c r="Q1232" s="10" t="s">
        <v>145</v>
      </c>
      <c r="R1232" s="10" t="s">
        <v>74</v>
      </c>
      <c r="S1232" s="11">
        <v>80.0</v>
      </c>
      <c r="T1232" s="11">
        <v>33.38</v>
      </c>
      <c r="U1232" s="11" t="s">
        <v>51</v>
      </c>
      <c r="V1232" s="10" t="s">
        <v>52</v>
      </c>
      <c r="W1232" s="10" t="s">
        <v>12516</v>
      </c>
      <c r="X1232" s="10" t="s">
        <v>12517</v>
      </c>
      <c r="Y1232" s="10" t="s">
        <v>12518</v>
      </c>
      <c r="Z1232" s="10" t="s">
        <v>50</v>
      </c>
      <c r="AA1232" s="10" t="s">
        <v>50</v>
      </c>
      <c r="AB1232" s="10" t="s">
        <v>12516</v>
      </c>
      <c r="AC1232" s="10" t="s">
        <v>12519</v>
      </c>
      <c r="AD1232" s="10" t="s">
        <v>12520</v>
      </c>
      <c r="AE1232" s="10" t="s">
        <v>12521</v>
      </c>
      <c r="AF1232" s="10" t="s">
        <v>58</v>
      </c>
      <c r="AG1232" s="10" t="s">
        <v>12522</v>
      </c>
      <c r="AH1232" s="10" t="s">
        <v>60</v>
      </c>
      <c r="AI1232" s="10" t="s">
        <v>61</v>
      </c>
      <c r="AJ1232" s="10" t="s">
        <v>12523</v>
      </c>
      <c r="AK1232" s="10" t="s">
        <v>12524</v>
      </c>
      <c r="AL1232" s="10" t="s">
        <v>64</v>
      </c>
      <c r="AM1232" s="10" t="s">
        <v>12525</v>
      </c>
      <c r="AN1232" s="10" t="s">
        <v>50</v>
      </c>
      <c r="AO1232" s="11" t="s">
        <v>50</v>
      </c>
      <c r="AP1232" s="10" t="s">
        <v>50</v>
      </c>
      <c r="AQ1232" s="10" t="s">
        <v>50</v>
      </c>
      <c r="AR1232" s="10" t="s">
        <v>50</v>
      </c>
      <c r="AS1232" s="10" t="s">
        <v>50</v>
      </c>
      <c r="AT1232" s="10" t="s">
        <v>50</v>
      </c>
      <c r="AU1232" s="10" t="s">
        <v>50</v>
      </c>
      <c r="AV1232" s="11"/>
      <c r="AW1232" s="10" t="s">
        <v>66</v>
      </c>
      <c r="AX1232" s="10"/>
      <c r="AY1232" s="10" t="s">
        <v>66</v>
      </c>
    </row>
    <row r="1233" ht="22.5" hidden="1" customHeight="1">
      <c r="A1233" s="9" t="s">
        <v>12526</v>
      </c>
      <c r="B1233" s="10" t="s">
        <v>12515</v>
      </c>
      <c r="C1233" s="10" t="s">
        <v>43</v>
      </c>
      <c r="D1233" s="10" t="s">
        <v>9839</v>
      </c>
      <c r="E1233" s="10" t="s">
        <v>66</v>
      </c>
      <c r="F1233" s="11">
        <v>1.0</v>
      </c>
      <c r="G1233" s="11">
        <v>120.0</v>
      </c>
      <c r="H1233" s="11">
        <v>7.55</v>
      </c>
      <c r="I1233" s="11">
        <v>-20.4</v>
      </c>
      <c r="J1233" s="11">
        <v>-27.5</v>
      </c>
      <c r="K1233" s="11"/>
      <c r="L1233" s="11">
        <v>86.85</v>
      </c>
      <c r="M1233" s="10" t="s">
        <v>12218</v>
      </c>
      <c r="N1233" s="10" t="s">
        <v>45</v>
      </c>
      <c r="O1233" s="10" t="s">
        <v>85</v>
      </c>
      <c r="P1233" s="10" t="s">
        <v>86</v>
      </c>
      <c r="Q1233" s="10" t="s">
        <v>87</v>
      </c>
      <c r="R1233" s="10" t="s">
        <v>74</v>
      </c>
      <c r="S1233" s="11">
        <v>120.0</v>
      </c>
      <c r="T1233" s="11">
        <v>65.78</v>
      </c>
      <c r="U1233" s="11" t="s">
        <v>51</v>
      </c>
      <c r="V1233" s="10" t="s">
        <v>52</v>
      </c>
      <c r="W1233" s="10" t="s">
        <v>12527</v>
      </c>
      <c r="X1233" s="10" t="s">
        <v>12528</v>
      </c>
      <c r="Y1233" s="10" t="s">
        <v>12529</v>
      </c>
      <c r="Z1233" s="10" t="s">
        <v>50</v>
      </c>
      <c r="AA1233" s="10" t="s">
        <v>50</v>
      </c>
      <c r="AB1233" s="10" t="s">
        <v>12527</v>
      </c>
      <c r="AC1233" s="10" t="s">
        <v>12530</v>
      </c>
      <c r="AD1233" s="10" t="s">
        <v>12531</v>
      </c>
      <c r="AE1233" s="10" t="s">
        <v>12532</v>
      </c>
      <c r="AF1233" s="10" t="s">
        <v>799</v>
      </c>
      <c r="AG1233" s="10" t="s">
        <v>12533</v>
      </c>
      <c r="AH1233" s="10" t="s">
        <v>60</v>
      </c>
      <c r="AI1233" s="10" t="s">
        <v>61</v>
      </c>
      <c r="AJ1233" s="10" t="s">
        <v>12534</v>
      </c>
      <c r="AK1233" s="10" t="s">
        <v>12535</v>
      </c>
      <c r="AL1233" s="10" t="s">
        <v>64</v>
      </c>
      <c r="AM1233" s="10" t="s">
        <v>12536</v>
      </c>
      <c r="AN1233" s="10" t="s">
        <v>50</v>
      </c>
      <c r="AO1233" s="11" t="s">
        <v>50</v>
      </c>
      <c r="AP1233" s="10" t="s">
        <v>50</v>
      </c>
      <c r="AQ1233" s="10" t="s">
        <v>50</v>
      </c>
      <c r="AR1233" s="10" t="s">
        <v>50</v>
      </c>
      <c r="AS1233" s="10" t="s">
        <v>50</v>
      </c>
      <c r="AT1233" s="10" t="s">
        <v>50</v>
      </c>
      <c r="AU1233" s="10" t="s">
        <v>50</v>
      </c>
      <c r="AV1233" s="11"/>
      <c r="AW1233" s="10" t="s">
        <v>66</v>
      </c>
      <c r="AX1233" s="10"/>
      <c r="AY1233" s="10" t="s">
        <v>66</v>
      </c>
    </row>
    <row r="1234" ht="22.5" hidden="1" customHeight="1">
      <c r="A1234" s="9" t="s">
        <v>12537</v>
      </c>
      <c r="B1234" s="10" t="s">
        <v>12538</v>
      </c>
      <c r="C1234" s="10" t="s">
        <v>12539</v>
      </c>
      <c r="D1234" s="10" t="s">
        <v>12540</v>
      </c>
      <c r="E1234" s="10" t="s">
        <v>66</v>
      </c>
      <c r="F1234" s="11">
        <v>1.0</v>
      </c>
      <c r="G1234" s="11">
        <v>80.0</v>
      </c>
      <c r="H1234" s="11"/>
      <c r="I1234" s="11">
        <v>-13.6</v>
      </c>
      <c r="J1234" s="11">
        <v>-19.95</v>
      </c>
      <c r="K1234" s="11">
        <v>-50.45</v>
      </c>
      <c r="L1234" s="11">
        <v>0.0</v>
      </c>
      <c r="M1234" s="10" t="s">
        <v>46</v>
      </c>
      <c r="N1234" s="10" t="s">
        <v>45</v>
      </c>
      <c r="O1234" s="10" t="s">
        <v>143</v>
      </c>
      <c r="P1234" s="10" t="s">
        <v>144</v>
      </c>
      <c r="Q1234" s="10" t="s">
        <v>145</v>
      </c>
      <c r="R1234" s="10" t="s">
        <v>74</v>
      </c>
      <c r="S1234" s="11">
        <v>80.0</v>
      </c>
      <c r="T1234" s="11"/>
      <c r="U1234" s="11" t="s">
        <v>51</v>
      </c>
      <c r="V1234" s="10" t="s">
        <v>52</v>
      </c>
      <c r="W1234" s="10" t="s">
        <v>12541</v>
      </c>
      <c r="X1234" s="10" t="s">
        <v>12542</v>
      </c>
      <c r="Y1234" s="10" t="s">
        <v>12543</v>
      </c>
      <c r="Z1234" s="10" t="s">
        <v>50</v>
      </c>
      <c r="AA1234" s="10" t="s">
        <v>50</v>
      </c>
      <c r="AB1234" s="10" t="s">
        <v>12541</v>
      </c>
      <c r="AC1234" s="10" t="s">
        <v>12544</v>
      </c>
      <c r="AD1234" s="10" t="s">
        <v>50</v>
      </c>
      <c r="AE1234" s="10" t="s">
        <v>2999</v>
      </c>
      <c r="AF1234" s="10" t="s">
        <v>58</v>
      </c>
      <c r="AG1234" s="10" t="s">
        <v>12545</v>
      </c>
      <c r="AH1234" s="10" t="s">
        <v>60</v>
      </c>
      <c r="AI1234" s="10" t="s">
        <v>61</v>
      </c>
      <c r="AJ1234" s="10" t="s">
        <v>12355</v>
      </c>
      <c r="AK1234" s="10" t="s">
        <v>50</v>
      </c>
      <c r="AL1234" s="10" t="s">
        <v>64</v>
      </c>
      <c r="AM1234" s="10" t="s">
        <v>12546</v>
      </c>
      <c r="AN1234" s="10" t="s">
        <v>50</v>
      </c>
      <c r="AO1234" s="11" t="s">
        <v>50</v>
      </c>
      <c r="AP1234" s="10" t="s">
        <v>50</v>
      </c>
      <c r="AQ1234" s="10" t="s">
        <v>50</v>
      </c>
      <c r="AR1234" s="10" t="s">
        <v>50</v>
      </c>
      <c r="AS1234" s="10" t="s">
        <v>50</v>
      </c>
      <c r="AT1234" s="10" t="s">
        <v>50</v>
      </c>
      <c r="AU1234" s="10" t="s">
        <v>50</v>
      </c>
      <c r="AV1234" s="11"/>
      <c r="AW1234" s="10" t="s">
        <v>66</v>
      </c>
      <c r="AX1234" s="10"/>
      <c r="AY1234" s="10" t="s">
        <v>66</v>
      </c>
    </row>
    <row r="1235" ht="22.5" hidden="1" customHeight="1">
      <c r="A1235" s="9" t="s">
        <v>12547</v>
      </c>
      <c r="B1235" s="10" t="s">
        <v>12548</v>
      </c>
      <c r="C1235" s="10" t="s">
        <v>43</v>
      </c>
      <c r="D1235" s="10" t="s">
        <v>8227</v>
      </c>
      <c r="E1235" s="10" t="s">
        <v>66</v>
      </c>
      <c r="F1235" s="11">
        <v>1.0</v>
      </c>
      <c r="G1235" s="11">
        <v>80.0</v>
      </c>
      <c r="H1235" s="11"/>
      <c r="I1235" s="11">
        <v>-13.6</v>
      </c>
      <c r="J1235" s="11">
        <v>-19.95</v>
      </c>
      <c r="K1235" s="11"/>
      <c r="L1235" s="11">
        <v>50.45</v>
      </c>
      <c r="M1235" s="10" t="s">
        <v>12218</v>
      </c>
      <c r="N1235" s="10" t="s">
        <v>45</v>
      </c>
      <c r="O1235" s="10" t="s">
        <v>143</v>
      </c>
      <c r="P1235" s="10" t="s">
        <v>144</v>
      </c>
      <c r="Q1235" s="10" t="s">
        <v>145</v>
      </c>
      <c r="R1235" s="10" t="s">
        <v>74</v>
      </c>
      <c r="S1235" s="11">
        <v>80.0</v>
      </c>
      <c r="T1235" s="11">
        <v>33.38</v>
      </c>
      <c r="U1235" s="11" t="s">
        <v>51</v>
      </c>
      <c r="V1235" s="10" t="s">
        <v>52</v>
      </c>
      <c r="W1235" s="10" t="s">
        <v>12549</v>
      </c>
      <c r="X1235" s="10" t="s">
        <v>12550</v>
      </c>
      <c r="Y1235" s="10" t="s">
        <v>12551</v>
      </c>
      <c r="Z1235" s="10" t="s">
        <v>50</v>
      </c>
      <c r="AA1235" s="10" t="s">
        <v>50</v>
      </c>
      <c r="AB1235" s="10" t="s">
        <v>12549</v>
      </c>
      <c r="AC1235" s="10" t="s">
        <v>12552</v>
      </c>
      <c r="AD1235" s="10" t="s">
        <v>12553</v>
      </c>
      <c r="AE1235" s="10" t="s">
        <v>1404</v>
      </c>
      <c r="AF1235" s="10" t="s">
        <v>58</v>
      </c>
      <c r="AG1235" s="10" t="s">
        <v>12554</v>
      </c>
      <c r="AH1235" s="10" t="s">
        <v>60</v>
      </c>
      <c r="AI1235" s="10" t="s">
        <v>61</v>
      </c>
      <c r="AJ1235" s="10" t="s">
        <v>12378</v>
      </c>
      <c r="AK1235" s="10" t="s">
        <v>12555</v>
      </c>
      <c r="AL1235" s="10" t="s">
        <v>64</v>
      </c>
      <c r="AM1235" s="10" t="s">
        <v>12556</v>
      </c>
      <c r="AN1235" s="10" t="s">
        <v>12557</v>
      </c>
      <c r="AO1235" s="11" t="s">
        <v>50</v>
      </c>
      <c r="AP1235" s="10" t="s">
        <v>50</v>
      </c>
      <c r="AQ1235" s="10" t="s">
        <v>50</v>
      </c>
      <c r="AR1235" s="10" t="s">
        <v>50</v>
      </c>
      <c r="AS1235" s="10" t="s">
        <v>50</v>
      </c>
      <c r="AT1235" s="10" t="s">
        <v>50</v>
      </c>
      <c r="AU1235" s="10" t="s">
        <v>50</v>
      </c>
      <c r="AV1235" s="11"/>
      <c r="AW1235" s="10" t="s">
        <v>66</v>
      </c>
      <c r="AX1235" s="10"/>
      <c r="AY1235" s="10" t="s">
        <v>66</v>
      </c>
    </row>
    <row r="1236" ht="22.5" hidden="1" customHeight="1">
      <c r="A1236" s="9" t="s">
        <v>12558</v>
      </c>
      <c r="B1236" s="10" t="s">
        <v>12559</v>
      </c>
      <c r="C1236" s="10" t="s">
        <v>43</v>
      </c>
      <c r="D1236" s="10" t="s">
        <v>8227</v>
      </c>
      <c r="E1236" s="10" t="s">
        <v>45</v>
      </c>
      <c r="F1236" s="11">
        <v>1.0</v>
      </c>
      <c r="G1236" s="11">
        <v>79.2</v>
      </c>
      <c r="H1236" s="11"/>
      <c r="I1236" s="11">
        <v>-13.46</v>
      </c>
      <c r="J1236" s="11">
        <v>-20.45</v>
      </c>
      <c r="K1236" s="11"/>
      <c r="L1236" s="11">
        <v>45.29</v>
      </c>
      <c r="M1236" s="10" t="s">
        <v>46</v>
      </c>
      <c r="N1236" s="10" t="s">
        <v>45</v>
      </c>
      <c r="O1236" s="10" t="s">
        <v>412</v>
      </c>
      <c r="P1236" s="10" t="s">
        <v>413</v>
      </c>
      <c r="Q1236" s="10" t="s">
        <v>414</v>
      </c>
      <c r="R1236" s="10" t="s">
        <v>415</v>
      </c>
      <c r="S1236" s="11">
        <v>79.2</v>
      </c>
      <c r="T1236" s="11">
        <v>10.05</v>
      </c>
      <c r="U1236" s="11" t="s">
        <v>51</v>
      </c>
      <c r="V1236" s="10" t="s">
        <v>52</v>
      </c>
      <c r="W1236" s="10" t="s">
        <v>12560</v>
      </c>
      <c r="X1236" s="10" t="s">
        <v>12561</v>
      </c>
      <c r="Y1236" s="10" t="s">
        <v>12562</v>
      </c>
      <c r="Z1236" s="10" t="s">
        <v>50</v>
      </c>
      <c r="AA1236" s="10" t="s">
        <v>50</v>
      </c>
      <c r="AB1236" s="10" t="s">
        <v>12560</v>
      </c>
      <c r="AC1236" s="10" t="s">
        <v>12563</v>
      </c>
      <c r="AD1236" s="10" t="s">
        <v>12564</v>
      </c>
      <c r="AE1236" s="10" t="s">
        <v>11345</v>
      </c>
      <c r="AF1236" s="10" t="s">
        <v>284</v>
      </c>
      <c r="AG1236" s="10" t="s">
        <v>12565</v>
      </c>
      <c r="AH1236" s="10" t="s">
        <v>60</v>
      </c>
      <c r="AI1236" s="10" t="s">
        <v>61</v>
      </c>
      <c r="AJ1236" s="10" t="s">
        <v>12180</v>
      </c>
      <c r="AK1236" s="10" t="s">
        <v>12566</v>
      </c>
      <c r="AL1236" s="10" t="s">
        <v>64</v>
      </c>
      <c r="AM1236" s="10" t="s">
        <v>12567</v>
      </c>
      <c r="AN1236" s="10" t="s">
        <v>50</v>
      </c>
      <c r="AO1236" s="11" t="s">
        <v>50</v>
      </c>
      <c r="AP1236" s="10" t="s">
        <v>50</v>
      </c>
      <c r="AQ1236" s="10" t="s">
        <v>50</v>
      </c>
      <c r="AR1236" s="10" t="s">
        <v>50</v>
      </c>
      <c r="AS1236" s="10" t="s">
        <v>50</v>
      </c>
      <c r="AT1236" s="10" t="s">
        <v>50</v>
      </c>
      <c r="AU1236" s="10" t="s">
        <v>50</v>
      </c>
      <c r="AV1236" s="11"/>
      <c r="AW1236" s="10" t="s">
        <v>66</v>
      </c>
      <c r="AX1236" s="10"/>
      <c r="AY1236" s="10" t="s">
        <v>66</v>
      </c>
    </row>
    <row r="1237" ht="22.5" hidden="1" customHeight="1">
      <c r="A1237" s="9" t="s">
        <v>12568</v>
      </c>
      <c r="B1237" s="10" t="s">
        <v>12569</v>
      </c>
      <c r="C1237" s="10" t="s">
        <v>43</v>
      </c>
      <c r="D1237" s="10" t="s">
        <v>11161</v>
      </c>
      <c r="E1237" s="10" t="s">
        <v>66</v>
      </c>
      <c r="F1237" s="11">
        <v>1.0</v>
      </c>
      <c r="G1237" s="11">
        <v>120.0</v>
      </c>
      <c r="H1237" s="11"/>
      <c r="I1237" s="11">
        <v>-20.4</v>
      </c>
      <c r="J1237" s="11">
        <v>-19.95</v>
      </c>
      <c r="K1237" s="11"/>
      <c r="L1237" s="11">
        <v>86.85</v>
      </c>
      <c r="M1237" s="10" t="s">
        <v>46</v>
      </c>
      <c r="N1237" s="10" t="s">
        <v>50</v>
      </c>
      <c r="O1237" s="10" t="s">
        <v>85</v>
      </c>
      <c r="P1237" s="10" t="s">
        <v>86</v>
      </c>
      <c r="Q1237" s="10" t="s">
        <v>87</v>
      </c>
      <c r="R1237" s="10" t="s">
        <v>74</v>
      </c>
      <c r="S1237" s="11">
        <v>120.0</v>
      </c>
      <c r="T1237" s="11">
        <v>65.78</v>
      </c>
      <c r="U1237" s="11" t="s">
        <v>51</v>
      </c>
      <c r="V1237" s="10" t="s">
        <v>52</v>
      </c>
      <c r="W1237" s="10" t="s">
        <v>12570</v>
      </c>
      <c r="X1237" s="10" t="s">
        <v>12571</v>
      </c>
      <c r="Y1237" s="10" t="s">
        <v>12572</v>
      </c>
      <c r="Z1237" s="10" t="s">
        <v>50</v>
      </c>
      <c r="AA1237" s="10" t="s">
        <v>50</v>
      </c>
      <c r="AB1237" s="10" t="s">
        <v>12570</v>
      </c>
      <c r="AC1237" s="10" t="s">
        <v>12573</v>
      </c>
      <c r="AD1237" s="10" t="s">
        <v>12574</v>
      </c>
      <c r="AE1237" s="10" t="s">
        <v>10191</v>
      </c>
      <c r="AF1237" s="10" t="s">
        <v>775</v>
      </c>
      <c r="AG1237" s="10" t="s">
        <v>10192</v>
      </c>
      <c r="AH1237" s="10" t="s">
        <v>60</v>
      </c>
      <c r="AI1237" s="10" t="s">
        <v>61</v>
      </c>
      <c r="AJ1237" s="10" t="s">
        <v>12159</v>
      </c>
      <c r="AK1237" s="10" t="s">
        <v>12575</v>
      </c>
      <c r="AL1237" s="10" t="s">
        <v>64</v>
      </c>
      <c r="AM1237" s="10" t="s">
        <v>12576</v>
      </c>
      <c r="AN1237" s="10" t="s">
        <v>50</v>
      </c>
      <c r="AO1237" s="11" t="s">
        <v>50</v>
      </c>
      <c r="AP1237" s="10" t="s">
        <v>50</v>
      </c>
      <c r="AQ1237" s="10" t="s">
        <v>50</v>
      </c>
      <c r="AR1237" s="10" t="s">
        <v>50</v>
      </c>
      <c r="AS1237" s="10" t="s">
        <v>50</v>
      </c>
      <c r="AT1237" s="10" t="s">
        <v>50</v>
      </c>
      <c r="AU1237" s="10" t="s">
        <v>50</v>
      </c>
      <c r="AV1237" s="11"/>
      <c r="AW1237" s="10" t="s">
        <v>66</v>
      </c>
      <c r="AX1237" s="10"/>
      <c r="AY1237" s="10" t="s">
        <v>66</v>
      </c>
    </row>
    <row r="1238" ht="22.5" hidden="1" customHeight="1">
      <c r="A1238" s="9" t="s">
        <v>12577</v>
      </c>
      <c r="B1238" s="10" t="s">
        <v>12578</v>
      </c>
      <c r="C1238" s="10" t="s">
        <v>43</v>
      </c>
      <c r="D1238" s="10" t="s">
        <v>9839</v>
      </c>
      <c r="E1238" s="10" t="s">
        <v>66</v>
      </c>
      <c r="F1238" s="11">
        <v>1.0</v>
      </c>
      <c r="G1238" s="11">
        <v>120.0</v>
      </c>
      <c r="H1238" s="11"/>
      <c r="I1238" s="11">
        <v>-20.4</v>
      </c>
      <c r="J1238" s="11">
        <v>-19.95</v>
      </c>
      <c r="K1238" s="11"/>
      <c r="L1238" s="11">
        <v>86.85</v>
      </c>
      <c r="M1238" s="10" t="s">
        <v>46</v>
      </c>
      <c r="N1238" s="10" t="s">
        <v>45</v>
      </c>
      <c r="O1238" s="10" t="s">
        <v>85</v>
      </c>
      <c r="P1238" s="10" t="s">
        <v>86</v>
      </c>
      <c r="Q1238" s="10" t="s">
        <v>87</v>
      </c>
      <c r="R1238" s="10" t="s">
        <v>74</v>
      </c>
      <c r="S1238" s="11">
        <v>120.0</v>
      </c>
      <c r="T1238" s="11">
        <v>65.78</v>
      </c>
      <c r="U1238" s="11" t="s">
        <v>51</v>
      </c>
      <c r="V1238" s="10" t="s">
        <v>52</v>
      </c>
      <c r="W1238" s="10" t="s">
        <v>12579</v>
      </c>
      <c r="X1238" s="10" t="s">
        <v>12580</v>
      </c>
      <c r="Y1238" s="10" t="s">
        <v>12581</v>
      </c>
      <c r="Z1238" s="10" t="s">
        <v>50</v>
      </c>
      <c r="AA1238" s="10" t="s">
        <v>50</v>
      </c>
      <c r="AB1238" s="10" t="s">
        <v>12579</v>
      </c>
      <c r="AC1238" s="10" t="s">
        <v>12582</v>
      </c>
      <c r="AD1238" s="10" t="s">
        <v>12583</v>
      </c>
      <c r="AE1238" s="10" t="s">
        <v>296</v>
      </c>
      <c r="AF1238" s="10" t="s">
        <v>58</v>
      </c>
      <c r="AG1238" s="10" t="s">
        <v>12584</v>
      </c>
      <c r="AH1238" s="10" t="s">
        <v>60</v>
      </c>
      <c r="AI1238" s="10" t="s">
        <v>61</v>
      </c>
      <c r="AJ1238" s="10" t="s">
        <v>12429</v>
      </c>
      <c r="AK1238" s="10" t="s">
        <v>12585</v>
      </c>
      <c r="AL1238" s="10" t="s">
        <v>64</v>
      </c>
      <c r="AM1238" s="10" t="s">
        <v>12586</v>
      </c>
      <c r="AN1238" s="10" t="s">
        <v>50</v>
      </c>
      <c r="AO1238" s="11" t="s">
        <v>50</v>
      </c>
      <c r="AP1238" s="10" t="s">
        <v>50</v>
      </c>
      <c r="AQ1238" s="10" t="s">
        <v>50</v>
      </c>
      <c r="AR1238" s="10" t="s">
        <v>50</v>
      </c>
      <c r="AS1238" s="10" t="s">
        <v>50</v>
      </c>
      <c r="AT1238" s="10" t="s">
        <v>50</v>
      </c>
      <c r="AU1238" s="10" t="s">
        <v>50</v>
      </c>
      <c r="AV1238" s="11"/>
      <c r="AW1238" s="10" t="s">
        <v>66</v>
      </c>
      <c r="AX1238" s="10"/>
      <c r="AY1238" s="10" t="s">
        <v>66</v>
      </c>
    </row>
    <row r="1239" ht="22.5" hidden="1" customHeight="1">
      <c r="A1239" s="9" t="s">
        <v>12587</v>
      </c>
      <c r="B1239" s="10" t="s">
        <v>12588</v>
      </c>
      <c r="C1239" s="10" t="s">
        <v>43</v>
      </c>
      <c r="D1239" s="10" t="s">
        <v>9839</v>
      </c>
      <c r="E1239" s="10" t="s">
        <v>66</v>
      </c>
      <c r="F1239" s="11">
        <v>1.0</v>
      </c>
      <c r="G1239" s="11">
        <v>80.0</v>
      </c>
      <c r="H1239" s="11"/>
      <c r="I1239" s="11">
        <v>-13.6</v>
      </c>
      <c r="J1239" s="11">
        <v>-19.95</v>
      </c>
      <c r="K1239" s="11"/>
      <c r="L1239" s="11">
        <v>50.45</v>
      </c>
      <c r="M1239" s="10" t="s">
        <v>12218</v>
      </c>
      <c r="N1239" s="10" t="s">
        <v>45</v>
      </c>
      <c r="O1239" s="10" t="s">
        <v>143</v>
      </c>
      <c r="P1239" s="10" t="s">
        <v>144</v>
      </c>
      <c r="Q1239" s="10" t="s">
        <v>145</v>
      </c>
      <c r="R1239" s="10" t="s">
        <v>74</v>
      </c>
      <c r="S1239" s="11">
        <v>80.0</v>
      </c>
      <c r="T1239" s="11">
        <v>33.38</v>
      </c>
      <c r="U1239" s="11" t="s">
        <v>51</v>
      </c>
      <c r="V1239" s="10" t="s">
        <v>52</v>
      </c>
      <c r="W1239" s="10" t="s">
        <v>12589</v>
      </c>
      <c r="X1239" s="10" t="s">
        <v>12590</v>
      </c>
      <c r="Y1239" s="10" t="s">
        <v>12591</v>
      </c>
      <c r="Z1239" s="10" t="s">
        <v>50</v>
      </c>
      <c r="AA1239" s="10" t="s">
        <v>50</v>
      </c>
      <c r="AB1239" s="10" t="s">
        <v>12589</v>
      </c>
      <c r="AC1239" s="10" t="s">
        <v>12592</v>
      </c>
      <c r="AD1239" s="10" t="s">
        <v>12593</v>
      </c>
      <c r="AE1239" s="10" t="s">
        <v>12594</v>
      </c>
      <c r="AF1239" s="10" t="s">
        <v>323</v>
      </c>
      <c r="AG1239" s="10" t="s">
        <v>12595</v>
      </c>
      <c r="AH1239" s="10" t="s">
        <v>60</v>
      </c>
      <c r="AI1239" s="10" t="s">
        <v>61</v>
      </c>
      <c r="AJ1239" s="10" t="s">
        <v>12471</v>
      </c>
      <c r="AK1239" s="10" t="s">
        <v>12596</v>
      </c>
      <c r="AL1239" s="10" t="s">
        <v>64</v>
      </c>
      <c r="AM1239" s="10" t="s">
        <v>12597</v>
      </c>
      <c r="AN1239" s="10" t="s">
        <v>50</v>
      </c>
      <c r="AO1239" s="11" t="s">
        <v>50</v>
      </c>
      <c r="AP1239" s="10" t="s">
        <v>50</v>
      </c>
      <c r="AQ1239" s="10" t="s">
        <v>50</v>
      </c>
      <c r="AR1239" s="10" t="s">
        <v>50</v>
      </c>
      <c r="AS1239" s="10" t="s">
        <v>50</v>
      </c>
      <c r="AT1239" s="10" t="s">
        <v>50</v>
      </c>
      <c r="AU1239" s="10" t="s">
        <v>50</v>
      </c>
      <c r="AV1239" s="11"/>
      <c r="AW1239" s="10" t="s">
        <v>66</v>
      </c>
      <c r="AX1239" s="10"/>
      <c r="AY1239" s="10" t="s">
        <v>66</v>
      </c>
    </row>
    <row r="1240" ht="22.5" hidden="1" customHeight="1">
      <c r="A1240" s="9" t="s">
        <v>12598</v>
      </c>
      <c r="B1240" s="10" t="s">
        <v>12599</v>
      </c>
      <c r="C1240" s="10" t="s">
        <v>43</v>
      </c>
      <c r="D1240" s="10" t="s">
        <v>9839</v>
      </c>
      <c r="E1240" s="10" t="s">
        <v>66</v>
      </c>
      <c r="F1240" s="11">
        <v>1.0</v>
      </c>
      <c r="G1240" s="11">
        <v>79.0</v>
      </c>
      <c r="H1240" s="11"/>
      <c r="I1240" s="11">
        <v>-13.43</v>
      </c>
      <c r="J1240" s="11">
        <v>-20.45</v>
      </c>
      <c r="K1240" s="11"/>
      <c r="L1240" s="11">
        <v>45.12</v>
      </c>
      <c r="M1240" s="10" t="s">
        <v>46</v>
      </c>
      <c r="N1240" s="10" t="s">
        <v>45</v>
      </c>
      <c r="O1240" s="10" t="s">
        <v>160</v>
      </c>
      <c r="P1240" s="10" t="s">
        <v>161</v>
      </c>
      <c r="Q1240" s="10" t="s">
        <v>162</v>
      </c>
      <c r="R1240" s="10" t="s">
        <v>74</v>
      </c>
      <c r="S1240" s="11">
        <v>79.0</v>
      </c>
      <c r="T1240" s="11">
        <v>2.49</v>
      </c>
      <c r="U1240" s="11" t="s">
        <v>51</v>
      </c>
      <c r="V1240" s="10" t="s">
        <v>52</v>
      </c>
      <c r="W1240" s="10" t="s">
        <v>12600</v>
      </c>
      <c r="X1240" s="10" t="s">
        <v>12601</v>
      </c>
      <c r="Y1240" s="10" t="s">
        <v>12602</v>
      </c>
      <c r="Z1240" s="10" t="s">
        <v>50</v>
      </c>
      <c r="AA1240" s="10" t="s">
        <v>50</v>
      </c>
      <c r="AB1240" s="10" t="s">
        <v>12600</v>
      </c>
      <c r="AC1240" s="10" t="s">
        <v>12603</v>
      </c>
      <c r="AD1240" s="10" t="s">
        <v>12604</v>
      </c>
      <c r="AE1240" s="10" t="s">
        <v>58</v>
      </c>
      <c r="AF1240" s="10" t="s">
        <v>58</v>
      </c>
      <c r="AG1240" s="10" t="s">
        <v>12605</v>
      </c>
      <c r="AH1240" s="10" t="s">
        <v>60</v>
      </c>
      <c r="AI1240" s="10" t="s">
        <v>61</v>
      </c>
      <c r="AJ1240" s="10" t="s">
        <v>12281</v>
      </c>
      <c r="AK1240" s="10" t="s">
        <v>12606</v>
      </c>
      <c r="AL1240" s="10" t="s">
        <v>64</v>
      </c>
      <c r="AM1240" s="10" t="s">
        <v>12607</v>
      </c>
      <c r="AN1240" s="10" t="s">
        <v>50</v>
      </c>
      <c r="AO1240" s="11" t="s">
        <v>50</v>
      </c>
      <c r="AP1240" s="10" t="s">
        <v>50</v>
      </c>
      <c r="AQ1240" s="10" t="s">
        <v>50</v>
      </c>
      <c r="AR1240" s="10" t="s">
        <v>50</v>
      </c>
      <c r="AS1240" s="10" t="s">
        <v>50</v>
      </c>
      <c r="AT1240" s="10" t="s">
        <v>50</v>
      </c>
      <c r="AU1240" s="10" t="s">
        <v>50</v>
      </c>
      <c r="AV1240" s="11"/>
      <c r="AW1240" s="10" t="s">
        <v>66</v>
      </c>
      <c r="AX1240" s="10"/>
      <c r="AY1240" s="10" t="s">
        <v>66</v>
      </c>
    </row>
    <row r="1241" ht="22.5" hidden="1" customHeight="1">
      <c r="A1241" s="9" t="s">
        <v>12608</v>
      </c>
      <c r="B1241" s="10" t="s">
        <v>12609</v>
      </c>
      <c r="C1241" s="10" t="s">
        <v>43</v>
      </c>
      <c r="D1241" s="10" t="s">
        <v>10258</v>
      </c>
      <c r="E1241" s="10" t="s">
        <v>66</v>
      </c>
      <c r="F1241" s="11">
        <v>1.0</v>
      </c>
      <c r="G1241" s="11">
        <v>80.0</v>
      </c>
      <c r="H1241" s="11"/>
      <c r="I1241" s="11">
        <v>-13.6</v>
      </c>
      <c r="J1241" s="11">
        <v>-19.95</v>
      </c>
      <c r="K1241" s="11"/>
      <c r="L1241" s="11">
        <v>50.45</v>
      </c>
      <c r="M1241" s="10" t="s">
        <v>46</v>
      </c>
      <c r="N1241" s="10" t="s">
        <v>45</v>
      </c>
      <c r="O1241" s="10" t="s">
        <v>143</v>
      </c>
      <c r="P1241" s="10" t="s">
        <v>144</v>
      </c>
      <c r="Q1241" s="10" t="s">
        <v>145</v>
      </c>
      <c r="R1241" s="10" t="s">
        <v>74</v>
      </c>
      <c r="S1241" s="11">
        <v>80.0</v>
      </c>
      <c r="T1241" s="11">
        <v>33.38</v>
      </c>
      <c r="U1241" s="11" t="s">
        <v>51</v>
      </c>
      <c r="V1241" s="10" t="s">
        <v>52</v>
      </c>
      <c r="W1241" s="10" t="s">
        <v>12610</v>
      </c>
      <c r="X1241" s="10" t="s">
        <v>12611</v>
      </c>
      <c r="Y1241" s="10" t="s">
        <v>12612</v>
      </c>
      <c r="Z1241" s="10" t="s">
        <v>50</v>
      </c>
      <c r="AA1241" s="10" t="s">
        <v>50</v>
      </c>
      <c r="AB1241" s="10" t="s">
        <v>12610</v>
      </c>
      <c r="AC1241" s="10" t="s">
        <v>12613</v>
      </c>
      <c r="AD1241" s="10" t="s">
        <v>12614</v>
      </c>
      <c r="AE1241" s="10" t="s">
        <v>12615</v>
      </c>
      <c r="AF1241" s="10" t="s">
        <v>284</v>
      </c>
      <c r="AG1241" s="10" t="s">
        <v>12616</v>
      </c>
      <c r="AH1241" s="10" t="s">
        <v>60</v>
      </c>
      <c r="AI1241" s="10" t="s">
        <v>61</v>
      </c>
      <c r="AJ1241" s="10" t="s">
        <v>12180</v>
      </c>
      <c r="AK1241" s="10" t="s">
        <v>12617</v>
      </c>
      <c r="AL1241" s="10" t="s">
        <v>64</v>
      </c>
      <c r="AM1241" s="10" t="s">
        <v>12618</v>
      </c>
      <c r="AN1241" s="10" t="s">
        <v>50</v>
      </c>
      <c r="AO1241" s="11" t="s">
        <v>50</v>
      </c>
      <c r="AP1241" s="10" t="s">
        <v>50</v>
      </c>
      <c r="AQ1241" s="10" t="s">
        <v>50</v>
      </c>
      <c r="AR1241" s="10" t="s">
        <v>50</v>
      </c>
      <c r="AS1241" s="10" t="s">
        <v>50</v>
      </c>
      <c r="AT1241" s="10" t="s">
        <v>50</v>
      </c>
      <c r="AU1241" s="10" t="s">
        <v>50</v>
      </c>
      <c r="AV1241" s="11"/>
      <c r="AW1241" s="10" t="s">
        <v>66</v>
      </c>
      <c r="AX1241" s="10"/>
      <c r="AY1241" s="10" t="s">
        <v>66</v>
      </c>
    </row>
    <row r="1242" ht="22.5" hidden="1" customHeight="1">
      <c r="A1242" s="9" t="s">
        <v>12619</v>
      </c>
      <c r="B1242" s="10" t="s">
        <v>12620</v>
      </c>
      <c r="C1242" s="10" t="s">
        <v>43</v>
      </c>
      <c r="D1242" s="10" t="s">
        <v>9839</v>
      </c>
      <c r="E1242" s="10" t="s">
        <v>45</v>
      </c>
      <c r="F1242" s="11">
        <v>1.0</v>
      </c>
      <c r="G1242" s="11">
        <v>79.35</v>
      </c>
      <c r="H1242" s="11"/>
      <c r="I1242" s="11">
        <v>-15.08</v>
      </c>
      <c r="J1242" s="11">
        <v>-19.95</v>
      </c>
      <c r="K1242" s="11"/>
      <c r="L1242" s="11">
        <v>44.32</v>
      </c>
      <c r="M1242" s="10" t="s">
        <v>46</v>
      </c>
      <c r="N1242" s="10" t="s">
        <v>45</v>
      </c>
      <c r="O1242" s="10" t="s">
        <v>47</v>
      </c>
      <c r="P1242" s="10" t="s">
        <v>48</v>
      </c>
      <c r="Q1242" s="10" t="s">
        <v>49</v>
      </c>
      <c r="R1242" s="10" t="s">
        <v>50</v>
      </c>
      <c r="S1242" s="11">
        <v>79.35</v>
      </c>
      <c r="T1242" s="11">
        <v>12.45</v>
      </c>
      <c r="U1242" s="11" t="s">
        <v>51</v>
      </c>
      <c r="V1242" s="10" t="s">
        <v>52</v>
      </c>
      <c r="W1242" s="10" t="s">
        <v>12621</v>
      </c>
      <c r="X1242" s="10" t="s">
        <v>12622</v>
      </c>
      <c r="Y1242" s="10" t="s">
        <v>12623</v>
      </c>
      <c r="Z1242" s="10" t="s">
        <v>50</v>
      </c>
      <c r="AA1242" s="10" t="s">
        <v>50</v>
      </c>
      <c r="AB1242" s="10" t="s">
        <v>12621</v>
      </c>
      <c r="AC1242" s="10" t="s">
        <v>12624</v>
      </c>
      <c r="AD1242" s="10" t="s">
        <v>12625</v>
      </c>
      <c r="AE1242" s="10" t="s">
        <v>58</v>
      </c>
      <c r="AF1242" s="10" t="s">
        <v>58</v>
      </c>
      <c r="AG1242" s="10" t="s">
        <v>12626</v>
      </c>
      <c r="AH1242" s="10" t="s">
        <v>60</v>
      </c>
      <c r="AI1242" s="10" t="s">
        <v>61</v>
      </c>
      <c r="AJ1242" s="10" t="s">
        <v>12378</v>
      </c>
      <c r="AK1242" s="10" t="s">
        <v>12627</v>
      </c>
      <c r="AL1242" s="10" t="s">
        <v>64</v>
      </c>
      <c r="AM1242" s="10" t="s">
        <v>12628</v>
      </c>
      <c r="AN1242" s="10" t="s">
        <v>50</v>
      </c>
      <c r="AO1242" s="11" t="s">
        <v>50</v>
      </c>
      <c r="AP1242" s="10" t="s">
        <v>50</v>
      </c>
      <c r="AQ1242" s="10" t="s">
        <v>50</v>
      </c>
      <c r="AR1242" s="10" t="s">
        <v>50</v>
      </c>
      <c r="AS1242" s="10" t="s">
        <v>50</v>
      </c>
      <c r="AT1242" s="10" t="s">
        <v>50</v>
      </c>
      <c r="AU1242" s="10" t="s">
        <v>50</v>
      </c>
      <c r="AV1242" s="11"/>
      <c r="AW1242" s="10" t="s">
        <v>66</v>
      </c>
      <c r="AX1242" s="10"/>
      <c r="AY1242" s="10" t="s">
        <v>66</v>
      </c>
    </row>
    <row r="1243" ht="22.5" hidden="1" customHeight="1">
      <c r="A1243" s="9" t="s">
        <v>12629</v>
      </c>
      <c r="B1243" s="10" t="s">
        <v>12630</v>
      </c>
      <c r="C1243" s="10" t="s">
        <v>43</v>
      </c>
      <c r="D1243" s="10" t="s">
        <v>11161</v>
      </c>
      <c r="E1243" s="10" t="s">
        <v>45</v>
      </c>
      <c r="F1243" s="11">
        <v>2.0</v>
      </c>
      <c r="G1243" s="11">
        <v>240.0</v>
      </c>
      <c r="H1243" s="11"/>
      <c r="I1243" s="11">
        <v>-40.8</v>
      </c>
      <c r="J1243" s="11">
        <v>-39.9</v>
      </c>
      <c r="K1243" s="11"/>
      <c r="L1243" s="11">
        <v>173.7</v>
      </c>
      <c r="M1243" s="10" t="s">
        <v>12218</v>
      </c>
      <c r="N1243" s="10" t="s">
        <v>45</v>
      </c>
      <c r="O1243" s="10" t="s">
        <v>85</v>
      </c>
      <c r="P1243" s="10" t="s">
        <v>86</v>
      </c>
      <c r="Q1243" s="10" t="s">
        <v>87</v>
      </c>
      <c r="R1243" s="10" t="s">
        <v>74</v>
      </c>
      <c r="S1243" s="11">
        <v>120.0</v>
      </c>
      <c r="T1243" s="11">
        <f>2*65.78</f>
        <v>131.56</v>
      </c>
      <c r="U1243" s="11" t="s">
        <v>51</v>
      </c>
      <c r="V1243" s="10" t="s">
        <v>52</v>
      </c>
      <c r="W1243" s="10" t="s">
        <v>12631</v>
      </c>
      <c r="X1243" s="10" t="s">
        <v>12632</v>
      </c>
      <c r="Y1243" s="10" t="s">
        <v>12633</v>
      </c>
      <c r="Z1243" s="10" t="s">
        <v>50</v>
      </c>
      <c r="AA1243" s="10" t="s">
        <v>50</v>
      </c>
      <c r="AB1243" s="10" t="s">
        <v>12631</v>
      </c>
      <c r="AC1243" s="10" t="s">
        <v>12634</v>
      </c>
      <c r="AD1243" s="10" t="s">
        <v>12635</v>
      </c>
      <c r="AE1243" s="10" t="s">
        <v>12636</v>
      </c>
      <c r="AF1243" s="10" t="s">
        <v>2636</v>
      </c>
      <c r="AG1243" s="10" t="s">
        <v>12637</v>
      </c>
      <c r="AH1243" s="10" t="s">
        <v>60</v>
      </c>
      <c r="AI1243" s="10" t="s">
        <v>61</v>
      </c>
      <c r="AJ1243" s="10" t="s">
        <v>12159</v>
      </c>
      <c r="AK1243" s="10" t="s">
        <v>12638</v>
      </c>
      <c r="AL1243" s="10" t="s">
        <v>64</v>
      </c>
      <c r="AM1243" s="10" t="s">
        <v>12639</v>
      </c>
      <c r="AN1243" s="10" t="s">
        <v>50</v>
      </c>
      <c r="AO1243" s="11" t="s">
        <v>50</v>
      </c>
      <c r="AP1243" s="10" t="s">
        <v>50</v>
      </c>
      <c r="AQ1243" s="10" t="s">
        <v>50</v>
      </c>
      <c r="AR1243" s="10" t="s">
        <v>50</v>
      </c>
      <c r="AS1243" s="10" t="s">
        <v>50</v>
      </c>
      <c r="AT1243" s="10" t="s">
        <v>50</v>
      </c>
      <c r="AU1243" s="10" t="s">
        <v>50</v>
      </c>
      <c r="AV1243" s="11"/>
      <c r="AW1243" s="10" t="s">
        <v>66</v>
      </c>
      <c r="AX1243" s="10"/>
      <c r="AY1243" s="10" t="s">
        <v>66</v>
      </c>
    </row>
    <row r="1244" ht="22.5" hidden="1" customHeight="1">
      <c r="A1244" s="9" t="s">
        <v>12640</v>
      </c>
      <c r="B1244" s="10" t="s">
        <v>12641</v>
      </c>
      <c r="C1244" s="10" t="s">
        <v>43</v>
      </c>
      <c r="D1244" s="10" t="s">
        <v>12217</v>
      </c>
      <c r="E1244" s="10" t="s">
        <v>45</v>
      </c>
      <c r="F1244" s="11">
        <v>1.0</v>
      </c>
      <c r="G1244" s="11">
        <v>79.2</v>
      </c>
      <c r="H1244" s="11"/>
      <c r="I1244" s="11">
        <v>-13.46</v>
      </c>
      <c r="J1244" s="11">
        <v>-20.45</v>
      </c>
      <c r="K1244" s="11"/>
      <c r="L1244" s="11">
        <v>45.29</v>
      </c>
      <c r="M1244" s="10" t="s">
        <v>12218</v>
      </c>
      <c r="N1244" s="10" t="s">
        <v>45</v>
      </c>
      <c r="O1244" s="10" t="s">
        <v>892</v>
      </c>
      <c r="P1244" s="10" t="s">
        <v>893</v>
      </c>
      <c r="Q1244" s="10" t="s">
        <v>894</v>
      </c>
      <c r="R1244" s="10" t="s">
        <v>74</v>
      </c>
      <c r="S1244" s="11">
        <v>79.2</v>
      </c>
      <c r="T1244" s="11">
        <v>2.97</v>
      </c>
      <c r="U1244" s="11" t="s">
        <v>51</v>
      </c>
      <c r="V1244" s="10" t="s">
        <v>52</v>
      </c>
      <c r="W1244" s="10" t="s">
        <v>12642</v>
      </c>
      <c r="X1244" s="10" t="s">
        <v>12643</v>
      </c>
      <c r="Y1244" s="10" t="s">
        <v>12644</v>
      </c>
      <c r="Z1244" s="10" t="s">
        <v>50</v>
      </c>
      <c r="AA1244" s="10" t="s">
        <v>50</v>
      </c>
      <c r="AB1244" s="10" t="s">
        <v>12642</v>
      </c>
      <c r="AC1244" s="10" t="s">
        <v>12645</v>
      </c>
      <c r="AD1244" s="10" t="s">
        <v>12646</v>
      </c>
      <c r="AE1244" s="10" t="s">
        <v>2765</v>
      </c>
      <c r="AF1244" s="10" t="s">
        <v>323</v>
      </c>
      <c r="AG1244" s="10" t="s">
        <v>12647</v>
      </c>
      <c r="AH1244" s="10" t="s">
        <v>60</v>
      </c>
      <c r="AI1244" s="10" t="s">
        <v>61</v>
      </c>
      <c r="AJ1244" s="10" t="s">
        <v>12247</v>
      </c>
      <c r="AK1244" s="10" t="s">
        <v>12648</v>
      </c>
      <c r="AL1244" s="10" t="s">
        <v>64</v>
      </c>
      <c r="AM1244" s="10" t="s">
        <v>12649</v>
      </c>
      <c r="AN1244" s="10" t="s">
        <v>50</v>
      </c>
      <c r="AO1244" s="11" t="s">
        <v>50</v>
      </c>
      <c r="AP1244" s="10" t="s">
        <v>50</v>
      </c>
      <c r="AQ1244" s="10" t="s">
        <v>50</v>
      </c>
      <c r="AR1244" s="10" t="s">
        <v>50</v>
      </c>
      <c r="AS1244" s="10" t="s">
        <v>50</v>
      </c>
      <c r="AT1244" s="10" t="s">
        <v>50</v>
      </c>
      <c r="AU1244" s="10" t="s">
        <v>50</v>
      </c>
      <c r="AV1244" s="11"/>
      <c r="AW1244" s="10" t="s">
        <v>66</v>
      </c>
      <c r="AX1244" s="10"/>
      <c r="AY1244" s="10" t="s">
        <v>66</v>
      </c>
    </row>
    <row r="1245" ht="22.5" hidden="1" customHeight="1">
      <c r="A1245" s="9" t="s">
        <v>12650</v>
      </c>
      <c r="B1245" s="10" t="s">
        <v>12651</v>
      </c>
      <c r="C1245" s="10" t="s">
        <v>43</v>
      </c>
      <c r="D1245" s="10" t="s">
        <v>11519</v>
      </c>
      <c r="E1245" s="10" t="s">
        <v>66</v>
      </c>
      <c r="F1245" s="11">
        <v>1.0</v>
      </c>
      <c r="G1245" s="11">
        <v>80.0</v>
      </c>
      <c r="H1245" s="11">
        <v>16.65</v>
      </c>
      <c r="I1245" s="11">
        <v>-13.6</v>
      </c>
      <c r="J1245" s="11">
        <v>-36.6</v>
      </c>
      <c r="K1245" s="11"/>
      <c r="L1245" s="11">
        <v>50.45</v>
      </c>
      <c r="M1245" s="10" t="s">
        <v>46</v>
      </c>
      <c r="N1245" s="10" t="s">
        <v>45</v>
      </c>
      <c r="O1245" s="10" t="s">
        <v>143</v>
      </c>
      <c r="P1245" s="10" t="s">
        <v>144</v>
      </c>
      <c r="Q1245" s="10" t="s">
        <v>145</v>
      </c>
      <c r="R1245" s="10" t="s">
        <v>74</v>
      </c>
      <c r="S1245" s="11">
        <v>80.0</v>
      </c>
      <c r="T1245" s="11">
        <v>33.38</v>
      </c>
      <c r="U1245" s="11" t="s">
        <v>51</v>
      </c>
      <c r="V1245" s="10" t="s">
        <v>52</v>
      </c>
      <c r="W1245" s="10" t="s">
        <v>12652</v>
      </c>
      <c r="X1245" s="10" t="s">
        <v>12653</v>
      </c>
      <c r="Y1245" s="10" t="s">
        <v>12654</v>
      </c>
      <c r="Z1245" s="10" t="s">
        <v>50</v>
      </c>
      <c r="AA1245" s="10" t="s">
        <v>50</v>
      </c>
      <c r="AB1245" s="10" t="s">
        <v>12652</v>
      </c>
      <c r="AC1245" s="10" t="s">
        <v>12655</v>
      </c>
      <c r="AD1245" s="10" t="s">
        <v>12656</v>
      </c>
      <c r="AE1245" s="10" t="s">
        <v>12657</v>
      </c>
      <c r="AF1245" s="10" t="s">
        <v>169</v>
      </c>
      <c r="AG1245" s="10" t="s">
        <v>12658</v>
      </c>
      <c r="AH1245" s="10" t="s">
        <v>60</v>
      </c>
      <c r="AI1245" s="10" t="s">
        <v>61</v>
      </c>
      <c r="AJ1245" s="10" t="s">
        <v>12355</v>
      </c>
      <c r="AK1245" s="10" t="s">
        <v>12659</v>
      </c>
      <c r="AL1245" s="10" t="s">
        <v>64</v>
      </c>
      <c r="AM1245" s="10" t="s">
        <v>12660</v>
      </c>
      <c r="AN1245" s="10" t="s">
        <v>50</v>
      </c>
      <c r="AO1245" s="11" t="s">
        <v>50</v>
      </c>
      <c r="AP1245" s="10" t="s">
        <v>50</v>
      </c>
      <c r="AQ1245" s="10" t="s">
        <v>50</v>
      </c>
      <c r="AR1245" s="10" t="s">
        <v>50</v>
      </c>
      <c r="AS1245" s="10" t="s">
        <v>50</v>
      </c>
      <c r="AT1245" s="10" t="s">
        <v>50</v>
      </c>
      <c r="AU1245" s="10" t="s">
        <v>50</v>
      </c>
      <c r="AV1245" s="11"/>
      <c r="AW1245" s="10" t="s">
        <v>66</v>
      </c>
      <c r="AX1245" s="10"/>
      <c r="AY1245" s="10" t="s">
        <v>66</v>
      </c>
    </row>
    <row r="1246" ht="22.5" hidden="1" customHeight="1">
      <c r="A1246" s="9" t="s">
        <v>12661</v>
      </c>
      <c r="B1246" s="10" t="s">
        <v>12662</v>
      </c>
      <c r="C1246" s="10" t="s">
        <v>43</v>
      </c>
      <c r="D1246" s="10" t="s">
        <v>12217</v>
      </c>
      <c r="E1246" s="10" t="s">
        <v>66</v>
      </c>
      <c r="F1246" s="11">
        <v>1.0</v>
      </c>
      <c r="G1246" s="11">
        <v>79.35</v>
      </c>
      <c r="H1246" s="11"/>
      <c r="I1246" s="11">
        <v>-15.08</v>
      </c>
      <c r="J1246" s="11">
        <v>-19.95</v>
      </c>
      <c r="K1246" s="11"/>
      <c r="L1246" s="11">
        <v>44.32</v>
      </c>
      <c r="M1246" s="10" t="s">
        <v>12218</v>
      </c>
      <c r="N1246" s="10" t="s">
        <v>50</v>
      </c>
      <c r="O1246" s="10" t="s">
        <v>47</v>
      </c>
      <c r="P1246" s="10" t="s">
        <v>48</v>
      </c>
      <c r="Q1246" s="10" t="s">
        <v>49</v>
      </c>
      <c r="R1246" s="10" t="s">
        <v>50</v>
      </c>
      <c r="S1246" s="11">
        <v>79.35</v>
      </c>
      <c r="T1246" s="11">
        <v>12.45</v>
      </c>
      <c r="U1246" s="11" t="s">
        <v>51</v>
      </c>
      <c r="V1246" s="10" t="s">
        <v>52</v>
      </c>
      <c r="W1246" s="10" t="s">
        <v>12663</v>
      </c>
      <c r="X1246" s="10" t="s">
        <v>12664</v>
      </c>
      <c r="Y1246" s="10" t="s">
        <v>12665</v>
      </c>
      <c r="Z1246" s="10" t="s">
        <v>50</v>
      </c>
      <c r="AA1246" s="10" t="s">
        <v>50</v>
      </c>
      <c r="AB1246" s="10" t="s">
        <v>12663</v>
      </c>
      <c r="AC1246" s="10" t="s">
        <v>12666</v>
      </c>
      <c r="AD1246" s="10" t="s">
        <v>12667</v>
      </c>
      <c r="AE1246" s="10" t="s">
        <v>1982</v>
      </c>
      <c r="AF1246" s="10" t="s">
        <v>151</v>
      </c>
      <c r="AG1246" s="10" t="s">
        <v>12668</v>
      </c>
      <c r="AH1246" s="10" t="s">
        <v>60</v>
      </c>
      <c r="AI1246" s="10" t="s">
        <v>61</v>
      </c>
      <c r="AJ1246" s="10" t="s">
        <v>12669</v>
      </c>
      <c r="AK1246" s="10" t="s">
        <v>12670</v>
      </c>
      <c r="AL1246" s="10" t="s">
        <v>64</v>
      </c>
      <c r="AM1246" s="10" t="s">
        <v>12671</v>
      </c>
      <c r="AN1246" s="10" t="s">
        <v>50</v>
      </c>
      <c r="AO1246" s="11" t="s">
        <v>50</v>
      </c>
      <c r="AP1246" s="10" t="s">
        <v>50</v>
      </c>
      <c r="AQ1246" s="10" t="s">
        <v>50</v>
      </c>
      <c r="AR1246" s="10" t="s">
        <v>50</v>
      </c>
      <c r="AS1246" s="10" t="s">
        <v>50</v>
      </c>
      <c r="AT1246" s="10" t="s">
        <v>50</v>
      </c>
      <c r="AU1246" s="10" t="s">
        <v>50</v>
      </c>
      <c r="AV1246" s="11"/>
      <c r="AW1246" s="10" t="s">
        <v>66</v>
      </c>
      <c r="AX1246" s="10"/>
      <c r="AY1246" s="10" t="s">
        <v>66</v>
      </c>
    </row>
    <row r="1247" ht="22.5" hidden="1" customHeight="1">
      <c r="A1247" s="9" t="s">
        <v>12672</v>
      </c>
      <c r="B1247" s="10" t="s">
        <v>12673</v>
      </c>
      <c r="C1247" s="10" t="s">
        <v>43</v>
      </c>
      <c r="D1247" s="10" t="s">
        <v>9839</v>
      </c>
      <c r="E1247" s="10" t="s">
        <v>45</v>
      </c>
      <c r="F1247" s="11">
        <v>1.0</v>
      </c>
      <c r="G1247" s="11">
        <v>80.0</v>
      </c>
      <c r="H1247" s="11"/>
      <c r="I1247" s="11">
        <v>-13.6</v>
      </c>
      <c r="J1247" s="11">
        <v>-19.95</v>
      </c>
      <c r="K1247" s="11"/>
      <c r="L1247" s="11">
        <v>50.45</v>
      </c>
      <c r="M1247" s="10" t="s">
        <v>12218</v>
      </c>
      <c r="N1247" s="10" t="s">
        <v>45</v>
      </c>
      <c r="O1247" s="10" t="s">
        <v>143</v>
      </c>
      <c r="P1247" s="10" t="s">
        <v>144</v>
      </c>
      <c r="Q1247" s="10" t="s">
        <v>145</v>
      </c>
      <c r="R1247" s="10" t="s">
        <v>74</v>
      </c>
      <c r="S1247" s="11">
        <v>80.0</v>
      </c>
      <c r="T1247" s="11">
        <v>33.38</v>
      </c>
      <c r="U1247" s="11" t="s">
        <v>51</v>
      </c>
      <c r="V1247" s="10" t="s">
        <v>52</v>
      </c>
      <c r="W1247" s="10" t="s">
        <v>12674</v>
      </c>
      <c r="X1247" s="10" t="s">
        <v>12675</v>
      </c>
      <c r="Y1247" s="10" t="s">
        <v>6714</v>
      </c>
      <c r="Z1247" s="10" t="s">
        <v>50</v>
      </c>
      <c r="AA1247" s="10" t="s">
        <v>50</v>
      </c>
      <c r="AB1247" s="10" t="s">
        <v>12674</v>
      </c>
      <c r="AC1247" s="10" t="s">
        <v>12676</v>
      </c>
      <c r="AD1247" s="10" t="s">
        <v>6716</v>
      </c>
      <c r="AE1247" s="10" t="s">
        <v>58</v>
      </c>
      <c r="AF1247" s="10" t="s">
        <v>58</v>
      </c>
      <c r="AG1247" s="10" t="s">
        <v>6717</v>
      </c>
      <c r="AH1247" s="10" t="s">
        <v>60</v>
      </c>
      <c r="AI1247" s="10" t="s">
        <v>61</v>
      </c>
      <c r="AJ1247" s="10" t="s">
        <v>12281</v>
      </c>
      <c r="AK1247" s="10" t="s">
        <v>12677</v>
      </c>
      <c r="AL1247" s="10" t="s">
        <v>64</v>
      </c>
      <c r="AM1247" s="10" t="s">
        <v>12678</v>
      </c>
      <c r="AN1247" s="10" t="s">
        <v>50</v>
      </c>
      <c r="AO1247" s="11" t="s">
        <v>50</v>
      </c>
      <c r="AP1247" s="10" t="s">
        <v>50</v>
      </c>
      <c r="AQ1247" s="10" t="s">
        <v>50</v>
      </c>
      <c r="AR1247" s="10" t="s">
        <v>50</v>
      </c>
      <c r="AS1247" s="10" t="s">
        <v>50</v>
      </c>
      <c r="AT1247" s="10" t="s">
        <v>50</v>
      </c>
      <c r="AU1247" s="10" t="s">
        <v>50</v>
      </c>
      <c r="AV1247" s="11"/>
      <c r="AW1247" s="10" t="s">
        <v>66</v>
      </c>
      <c r="AX1247" s="10"/>
      <c r="AY1247" s="10" t="s">
        <v>66</v>
      </c>
    </row>
    <row r="1248" ht="22.5" hidden="1" customHeight="1">
      <c r="A1248" s="9" t="s">
        <v>12679</v>
      </c>
      <c r="B1248" s="10" t="s">
        <v>12680</v>
      </c>
      <c r="C1248" s="10" t="s">
        <v>43</v>
      </c>
      <c r="D1248" s="10" t="s">
        <v>9839</v>
      </c>
      <c r="E1248" s="10" t="s">
        <v>45</v>
      </c>
      <c r="F1248" s="11">
        <v>2.0</v>
      </c>
      <c r="G1248" s="11">
        <v>87.4</v>
      </c>
      <c r="H1248" s="11">
        <v>12.71</v>
      </c>
      <c r="I1248" s="11">
        <v>-26.86</v>
      </c>
      <c r="J1248" s="11">
        <v>-12.71</v>
      </c>
      <c r="K1248" s="11"/>
      <c r="L1248" s="11">
        <v>65.78</v>
      </c>
      <c r="M1248" s="10" t="s">
        <v>12218</v>
      </c>
      <c r="N1248" s="10" t="s">
        <v>45</v>
      </c>
      <c r="O1248" s="10" t="s">
        <v>176</v>
      </c>
      <c r="P1248" s="10" t="s">
        <v>177</v>
      </c>
      <c r="Q1248" s="10" t="s">
        <v>178</v>
      </c>
      <c r="R1248" s="10" t="s">
        <v>74</v>
      </c>
      <c r="S1248" s="11">
        <v>43.7</v>
      </c>
      <c r="T1248" s="11">
        <f>2*22.58</f>
        <v>45.16</v>
      </c>
      <c r="U1248" s="11" t="s">
        <v>51</v>
      </c>
      <c r="V1248" s="10" t="s">
        <v>52</v>
      </c>
      <c r="W1248" s="10" t="s">
        <v>12589</v>
      </c>
      <c r="X1248" s="10" t="s">
        <v>12590</v>
      </c>
      <c r="Y1248" s="10" t="s">
        <v>12591</v>
      </c>
      <c r="Z1248" s="10" t="s">
        <v>50</v>
      </c>
      <c r="AA1248" s="10" t="s">
        <v>50</v>
      </c>
      <c r="AB1248" s="10" t="s">
        <v>12589</v>
      </c>
      <c r="AC1248" s="10" t="s">
        <v>12592</v>
      </c>
      <c r="AD1248" s="10" t="s">
        <v>12593</v>
      </c>
      <c r="AE1248" s="10" t="s">
        <v>12594</v>
      </c>
      <c r="AF1248" s="10" t="s">
        <v>323</v>
      </c>
      <c r="AG1248" s="10" t="s">
        <v>12595</v>
      </c>
      <c r="AH1248" s="10" t="s">
        <v>60</v>
      </c>
      <c r="AI1248" s="10" t="s">
        <v>61</v>
      </c>
      <c r="AJ1248" s="10" t="s">
        <v>12471</v>
      </c>
      <c r="AK1248" s="10" t="s">
        <v>12596</v>
      </c>
      <c r="AL1248" s="10" t="s">
        <v>64</v>
      </c>
      <c r="AM1248" s="10" t="s">
        <v>12681</v>
      </c>
      <c r="AN1248" s="10" t="s">
        <v>50</v>
      </c>
      <c r="AO1248" s="11" t="s">
        <v>50</v>
      </c>
      <c r="AP1248" s="10" t="s">
        <v>50</v>
      </c>
      <c r="AQ1248" s="10" t="s">
        <v>50</v>
      </c>
      <c r="AR1248" s="10" t="s">
        <v>50</v>
      </c>
      <c r="AS1248" s="10" t="s">
        <v>50</v>
      </c>
      <c r="AT1248" s="10" t="s">
        <v>50</v>
      </c>
      <c r="AU1248" s="10" t="s">
        <v>50</v>
      </c>
      <c r="AV1248" s="11"/>
      <c r="AW1248" s="10" t="s">
        <v>66</v>
      </c>
      <c r="AX1248" s="10"/>
      <c r="AY1248" s="10" t="s">
        <v>66</v>
      </c>
    </row>
    <row r="1249" ht="22.5" hidden="1" customHeight="1">
      <c r="A1249" s="9" t="s">
        <v>12682</v>
      </c>
      <c r="B1249" s="10" t="s">
        <v>12683</v>
      </c>
      <c r="C1249" s="10" t="s">
        <v>43</v>
      </c>
      <c r="D1249" s="10" t="s">
        <v>12217</v>
      </c>
      <c r="E1249" s="10" t="s">
        <v>66</v>
      </c>
      <c r="F1249" s="11">
        <v>1.0</v>
      </c>
      <c r="G1249" s="11">
        <v>120.0</v>
      </c>
      <c r="H1249" s="11">
        <v>7.55</v>
      </c>
      <c r="I1249" s="11">
        <v>-20.4</v>
      </c>
      <c r="J1249" s="11">
        <v>-27.5</v>
      </c>
      <c r="K1249" s="11"/>
      <c r="L1249" s="11">
        <v>86.85</v>
      </c>
      <c r="M1249" s="10" t="s">
        <v>46</v>
      </c>
      <c r="N1249" s="10" t="s">
        <v>45</v>
      </c>
      <c r="O1249" s="10" t="s">
        <v>85</v>
      </c>
      <c r="P1249" s="10" t="s">
        <v>86</v>
      </c>
      <c r="Q1249" s="10" t="s">
        <v>87</v>
      </c>
      <c r="R1249" s="10" t="s">
        <v>74</v>
      </c>
      <c r="S1249" s="11">
        <v>120.0</v>
      </c>
      <c r="T1249" s="11">
        <v>65.78</v>
      </c>
      <c r="U1249" s="11" t="s">
        <v>51</v>
      </c>
      <c r="V1249" s="10" t="s">
        <v>52</v>
      </c>
      <c r="W1249" s="10" t="s">
        <v>12684</v>
      </c>
      <c r="X1249" s="10" t="s">
        <v>12685</v>
      </c>
      <c r="Y1249" s="10" t="s">
        <v>12686</v>
      </c>
      <c r="Z1249" s="10" t="s">
        <v>50</v>
      </c>
      <c r="AA1249" s="10" t="s">
        <v>50</v>
      </c>
      <c r="AB1249" s="10" t="s">
        <v>12684</v>
      </c>
      <c r="AC1249" s="10" t="s">
        <v>12687</v>
      </c>
      <c r="AD1249" s="10" t="s">
        <v>12688</v>
      </c>
      <c r="AE1249" s="10" t="s">
        <v>12689</v>
      </c>
      <c r="AF1249" s="10" t="s">
        <v>408</v>
      </c>
      <c r="AG1249" s="10" t="s">
        <v>12690</v>
      </c>
      <c r="AH1249" s="10" t="s">
        <v>60</v>
      </c>
      <c r="AI1249" s="10" t="s">
        <v>61</v>
      </c>
      <c r="AJ1249" s="10" t="s">
        <v>12691</v>
      </c>
      <c r="AK1249" s="10" t="s">
        <v>12692</v>
      </c>
      <c r="AL1249" s="10" t="s">
        <v>64</v>
      </c>
      <c r="AM1249" s="10" t="s">
        <v>12693</v>
      </c>
      <c r="AN1249" s="10" t="s">
        <v>50</v>
      </c>
      <c r="AO1249" s="11" t="s">
        <v>50</v>
      </c>
      <c r="AP1249" s="10" t="s">
        <v>50</v>
      </c>
      <c r="AQ1249" s="10" t="s">
        <v>50</v>
      </c>
      <c r="AR1249" s="10" t="s">
        <v>50</v>
      </c>
      <c r="AS1249" s="10" t="s">
        <v>50</v>
      </c>
      <c r="AT1249" s="10" t="s">
        <v>50</v>
      </c>
      <c r="AU1249" s="10" t="s">
        <v>50</v>
      </c>
      <c r="AV1249" s="11"/>
      <c r="AW1249" s="10" t="s">
        <v>66</v>
      </c>
      <c r="AX1249" s="10"/>
      <c r="AY1249" s="10" t="s">
        <v>66</v>
      </c>
    </row>
    <row r="1250" ht="22.5" hidden="1" customHeight="1">
      <c r="A1250" s="9" t="s">
        <v>12694</v>
      </c>
      <c r="B1250" s="10" t="s">
        <v>12695</v>
      </c>
      <c r="C1250" s="10" t="s">
        <v>43</v>
      </c>
      <c r="D1250" s="10" t="s">
        <v>12217</v>
      </c>
      <c r="E1250" s="10" t="s">
        <v>66</v>
      </c>
      <c r="F1250" s="11">
        <v>1.0</v>
      </c>
      <c r="G1250" s="11">
        <v>120.0</v>
      </c>
      <c r="H1250" s="11"/>
      <c r="I1250" s="11">
        <v>-20.4</v>
      </c>
      <c r="J1250" s="11">
        <v>-19.95</v>
      </c>
      <c r="K1250" s="11"/>
      <c r="L1250" s="11">
        <v>86.85</v>
      </c>
      <c r="M1250" s="10" t="s">
        <v>46</v>
      </c>
      <c r="N1250" s="10" t="s">
        <v>45</v>
      </c>
      <c r="O1250" s="10" t="s">
        <v>85</v>
      </c>
      <c r="P1250" s="10" t="s">
        <v>86</v>
      </c>
      <c r="Q1250" s="10" t="s">
        <v>87</v>
      </c>
      <c r="R1250" s="10" t="s">
        <v>74</v>
      </c>
      <c r="S1250" s="11">
        <v>120.0</v>
      </c>
      <c r="T1250" s="11">
        <v>65.78</v>
      </c>
      <c r="U1250" s="11" t="s">
        <v>51</v>
      </c>
      <c r="V1250" s="10" t="s">
        <v>52</v>
      </c>
      <c r="W1250" s="10" t="s">
        <v>12696</v>
      </c>
      <c r="X1250" s="10" t="s">
        <v>12697</v>
      </c>
      <c r="Y1250" s="10" t="s">
        <v>12698</v>
      </c>
      <c r="Z1250" s="10" t="s">
        <v>50</v>
      </c>
      <c r="AA1250" s="10" t="s">
        <v>50</v>
      </c>
      <c r="AB1250" s="10" t="s">
        <v>12696</v>
      </c>
      <c r="AC1250" s="10" t="s">
        <v>12699</v>
      </c>
      <c r="AD1250" s="10" t="s">
        <v>12700</v>
      </c>
      <c r="AE1250" s="10" t="s">
        <v>4621</v>
      </c>
      <c r="AF1250" s="10" t="s">
        <v>214</v>
      </c>
      <c r="AG1250" s="10" t="s">
        <v>12701</v>
      </c>
      <c r="AH1250" s="10" t="s">
        <v>60</v>
      </c>
      <c r="AI1250" s="10" t="s">
        <v>61</v>
      </c>
      <c r="AJ1250" s="10" t="s">
        <v>12702</v>
      </c>
      <c r="AK1250" s="10" t="s">
        <v>12703</v>
      </c>
      <c r="AL1250" s="10" t="s">
        <v>64</v>
      </c>
      <c r="AM1250" s="10" t="s">
        <v>12704</v>
      </c>
      <c r="AN1250" s="10" t="s">
        <v>50</v>
      </c>
      <c r="AO1250" s="11" t="s">
        <v>50</v>
      </c>
      <c r="AP1250" s="10" t="s">
        <v>50</v>
      </c>
      <c r="AQ1250" s="10" t="s">
        <v>50</v>
      </c>
      <c r="AR1250" s="10" t="s">
        <v>50</v>
      </c>
      <c r="AS1250" s="10" t="s">
        <v>50</v>
      </c>
      <c r="AT1250" s="10" t="s">
        <v>50</v>
      </c>
      <c r="AU1250" s="10" t="s">
        <v>50</v>
      </c>
      <c r="AV1250" s="11"/>
      <c r="AW1250" s="10" t="s">
        <v>66</v>
      </c>
      <c r="AX1250" s="10"/>
      <c r="AY1250" s="10" t="s">
        <v>66</v>
      </c>
    </row>
    <row r="1251" ht="22.5" hidden="1" customHeight="1">
      <c r="A1251" s="9" t="s">
        <v>12705</v>
      </c>
      <c r="B1251" s="10" t="s">
        <v>12706</v>
      </c>
      <c r="C1251" s="10" t="s">
        <v>43</v>
      </c>
      <c r="D1251" s="10" t="s">
        <v>8227</v>
      </c>
      <c r="E1251" s="10" t="s">
        <v>45</v>
      </c>
      <c r="F1251" s="11">
        <v>2.0</v>
      </c>
      <c r="G1251" s="11">
        <v>87.4</v>
      </c>
      <c r="H1251" s="11">
        <v>8.11</v>
      </c>
      <c r="I1251" s="11">
        <v>-26.86</v>
      </c>
      <c r="J1251" s="11">
        <v>-8.11</v>
      </c>
      <c r="K1251" s="11"/>
      <c r="L1251" s="11">
        <v>65.78</v>
      </c>
      <c r="M1251" s="10" t="s">
        <v>12218</v>
      </c>
      <c r="N1251" s="10" t="s">
        <v>45</v>
      </c>
      <c r="O1251" s="10" t="s">
        <v>176</v>
      </c>
      <c r="P1251" s="10" t="s">
        <v>177</v>
      </c>
      <c r="Q1251" s="10" t="s">
        <v>178</v>
      </c>
      <c r="R1251" s="10" t="s">
        <v>74</v>
      </c>
      <c r="S1251" s="11">
        <v>43.7</v>
      </c>
      <c r="T1251" s="11">
        <f>2*22.58</f>
        <v>45.16</v>
      </c>
      <c r="U1251" s="11" t="s">
        <v>51</v>
      </c>
      <c r="V1251" s="10" t="s">
        <v>52</v>
      </c>
      <c r="W1251" s="10" t="s">
        <v>12707</v>
      </c>
      <c r="X1251" s="10" t="s">
        <v>12708</v>
      </c>
      <c r="Y1251" s="10" t="s">
        <v>12709</v>
      </c>
      <c r="Z1251" s="10" t="s">
        <v>50</v>
      </c>
      <c r="AA1251" s="10" t="s">
        <v>50</v>
      </c>
      <c r="AB1251" s="10" t="s">
        <v>12707</v>
      </c>
      <c r="AC1251" s="10" t="s">
        <v>12710</v>
      </c>
      <c r="AD1251" s="10" t="s">
        <v>12711</v>
      </c>
      <c r="AE1251" s="10" t="s">
        <v>2670</v>
      </c>
      <c r="AF1251" s="10" t="s">
        <v>1593</v>
      </c>
      <c r="AG1251" s="10" t="s">
        <v>12712</v>
      </c>
      <c r="AH1251" s="10" t="s">
        <v>60</v>
      </c>
      <c r="AI1251" s="10" t="s">
        <v>61</v>
      </c>
      <c r="AJ1251" s="10" t="s">
        <v>12159</v>
      </c>
      <c r="AK1251" s="10" t="s">
        <v>12713</v>
      </c>
      <c r="AL1251" s="10" t="s">
        <v>64</v>
      </c>
      <c r="AM1251" s="10" t="s">
        <v>12714</v>
      </c>
      <c r="AN1251" s="10" t="s">
        <v>12715</v>
      </c>
      <c r="AO1251" s="11" t="s">
        <v>50</v>
      </c>
      <c r="AP1251" s="10" t="s">
        <v>50</v>
      </c>
      <c r="AQ1251" s="10" t="s">
        <v>50</v>
      </c>
      <c r="AR1251" s="10" t="s">
        <v>50</v>
      </c>
      <c r="AS1251" s="10" t="s">
        <v>50</v>
      </c>
      <c r="AT1251" s="10" t="s">
        <v>50</v>
      </c>
      <c r="AU1251" s="10" t="s">
        <v>50</v>
      </c>
      <c r="AV1251" s="11"/>
      <c r="AW1251" s="10" t="s">
        <v>66</v>
      </c>
      <c r="AX1251" s="10"/>
      <c r="AY1251" s="10" t="s">
        <v>66</v>
      </c>
    </row>
    <row r="1252" ht="22.5" hidden="1" customHeight="1">
      <c r="A1252" s="9" t="s">
        <v>12716</v>
      </c>
      <c r="B1252" s="10" t="s">
        <v>12717</v>
      </c>
      <c r="C1252" s="10" t="s">
        <v>43</v>
      </c>
      <c r="D1252" s="10" t="s">
        <v>11161</v>
      </c>
      <c r="E1252" s="10" t="s">
        <v>66</v>
      </c>
      <c r="F1252" s="11">
        <v>1.0</v>
      </c>
      <c r="G1252" s="11">
        <v>43.7</v>
      </c>
      <c r="H1252" s="11">
        <v>11.11</v>
      </c>
      <c r="I1252" s="11">
        <v>-13.43</v>
      </c>
      <c r="J1252" s="11">
        <v>-11.11</v>
      </c>
      <c r="K1252" s="11"/>
      <c r="L1252" s="11">
        <v>32.89</v>
      </c>
      <c r="M1252" s="10" t="s">
        <v>46</v>
      </c>
      <c r="N1252" s="10" t="s">
        <v>45</v>
      </c>
      <c r="O1252" s="10" t="s">
        <v>176</v>
      </c>
      <c r="P1252" s="10" t="s">
        <v>177</v>
      </c>
      <c r="Q1252" s="10" t="s">
        <v>178</v>
      </c>
      <c r="R1252" s="10" t="s">
        <v>74</v>
      </c>
      <c r="S1252" s="11">
        <v>43.7</v>
      </c>
      <c r="T1252" s="11">
        <v>22.58</v>
      </c>
      <c r="U1252" s="11" t="s">
        <v>51</v>
      </c>
      <c r="V1252" s="10" t="s">
        <v>52</v>
      </c>
      <c r="W1252" s="10" t="s">
        <v>12718</v>
      </c>
      <c r="X1252" s="10" t="s">
        <v>12719</v>
      </c>
      <c r="Y1252" s="10" t="s">
        <v>12720</v>
      </c>
      <c r="Z1252" s="10" t="s">
        <v>50</v>
      </c>
      <c r="AA1252" s="10" t="s">
        <v>50</v>
      </c>
      <c r="AB1252" s="10" t="s">
        <v>12718</v>
      </c>
      <c r="AC1252" s="10" t="s">
        <v>12721</v>
      </c>
      <c r="AD1252" s="10" t="s">
        <v>12722</v>
      </c>
      <c r="AE1252" s="10" t="s">
        <v>2839</v>
      </c>
      <c r="AF1252" s="10" t="s">
        <v>58</v>
      </c>
      <c r="AG1252" s="10" t="s">
        <v>12723</v>
      </c>
      <c r="AH1252" s="10" t="s">
        <v>60</v>
      </c>
      <c r="AI1252" s="10" t="s">
        <v>61</v>
      </c>
      <c r="AJ1252" s="10" t="s">
        <v>12523</v>
      </c>
      <c r="AK1252" s="10" t="s">
        <v>12724</v>
      </c>
      <c r="AL1252" s="10" t="s">
        <v>64</v>
      </c>
      <c r="AM1252" s="10" t="s">
        <v>12725</v>
      </c>
      <c r="AN1252" s="10" t="s">
        <v>50</v>
      </c>
      <c r="AO1252" s="11" t="s">
        <v>50</v>
      </c>
      <c r="AP1252" s="10" t="s">
        <v>50</v>
      </c>
      <c r="AQ1252" s="10" t="s">
        <v>50</v>
      </c>
      <c r="AR1252" s="10" t="s">
        <v>50</v>
      </c>
      <c r="AS1252" s="10" t="s">
        <v>50</v>
      </c>
      <c r="AT1252" s="10" t="s">
        <v>50</v>
      </c>
      <c r="AU1252" s="10" t="s">
        <v>50</v>
      </c>
      <c r="AV1252" s="11"/>
      <c r="AW1252" s="10" t="s">
        <v>66</v>
      </c>
      <c r="AX1252" s="10"/>
      <c r="AY1252" s="10" t="s">
        <v>66</v>
      </c>
    </row>
    <row r="1253" ht="22.5" hidden="1" customHeight="1">
      <c r="A1253" s="9" t="s">
        <v>12726</v>
      </c>
      <c r="B1253" s="10" t="s">
        <v>12727</v>
      </c>
      <c r="C1253" s="10" t="s">
        <v>8778</v>
      </c>
      <c r="D1253" s="10" t="s">
        <v>8779</v>
      </c>
      <c r="E1253" s="10" t="s">
        <v>66</v>
      </c>
      <c r="F1253" s="11">
        <v>1.0</v>
      </c>
      <c r="G1253" s="11">
        <v>80.0</v>
      </c>
      <c r="H1253" s="11"/>
      <c r="I1253" s="11">
        <v>-13.6</v>
      </c>
      <c r="J1253" s="11">
        <v>-19.95</v>
      </c>
      <c r="K1253" s="11"/>
      <c r="L1253" s="11">
        <v>50.45</v>
      </c>
      <c r="M1253" s="10" t="s">
        <v>12218</v>
      </c>
      <c r="N1253" s="10" t="s">
        <v>45</v>
      </c>
      <c r="O1253" s="10" t="s">
        <v>143</v>
      </c>
      <c r="P1253" s="10" t="s">
        <v>144</v>
      </c>
      <c r="Q1253" s="10" t="s">
        <v>145</v>
      </c>
      <c r="R1253" s="10" t="s">
        <v>74</v>
      </c>
      <c r="S1253" s="11">
        <v>80.0</v>
      </c>
      <c r="T1253" s="11">
        <v>33.38</v>
      </c>
      <c r="U1253" s="11" t="s">
        <v>51</v>
      </c>
      <c r="V1253" s="10" t="s">
        <v>52</v>
      </c>
      <c r="W1253" s="10" t="s">
        <v>12728</v>
      </c>
      <c r="X1253" s="10" t="s">
        <v>12729</v>
      </c>
      <c r="Y1253" s="10" t="s">
        <v>12730</v>
      </c>
      <c r="Z1253" s="10" t="s">
        <v>50</v>
      </c>
      <c r="AA1253" s="10" t="s">
        <v>50</v>
      </c>
      <c r="AB1253" s="10" t="s">
        <v>12728</v>
      </c>
      <c r="AC1253" s="10" t="s">
        <v>12731</v>
      </c>
      <c r="AD1253" s="10" t="s">
        <v>50</v>
      </c>
      <c r="AE1253" s="10" t="s">
        <v>12732</v>
      </c>
      <c r="AF1253" s="10" t="s">
        <v>284</v>
      </c>
      <c r="AG1253" s="10" t="s">
        <v>12733</v>
      </c>
      <c r="AH1253" s="10" t="s">
        <v>60</v>
      </c>
      <c r="AI1253" s="10" t="s">
        <v>61</v>
      </c>
      <c r="AJ1253" s="10" t="s">
        <v>12180</v>
      </c>
      <c r="AK1253" s="10" t="s">
        <v>12734</v>
      </c>
      <c r="AL1253" s="10" t="s">
        <v>64</v>
      </c>
      <c r="AM1253" s="10" t="s">
        <v>12735</v>
      </c>
      <c r="AN1253" s="10" t="s">
        <v>50</v>
      </c>
      <c r="AO1253" s="11" t="s">
        <v>50</v>
      </c>
      <c r="AP1253" s="10" t="s">
        <v>50</v>
      </c>
      <c r="AQ1253" s="10" t="s">
        <v>50</v>
      </c>
      <c r="AR1253" s="10" t="s">
        <v>50</v>
      </c>
      <c r="AS1253" s="10" t="s">
        <v>50</v>
      </c>
      <c r="AT1253" s="10" t="s">
        <v>50</v>
      </c>
      <c r="AU1253" s="10" t="s">
        <v>50</v>
      </c>
      <c r="AV1253" s="11"/>
      <c r="AW1253" s="10" t="s">
        <v>66</v>
      </c>
      <c r="AX1253" s="10">
        <v>1.0</v>
      </c>
      <c r="AY1253" s="10" t="s">
        <v>66</v>
      </c>
    </row>
    <row r="1254" ht="22.5" hidden="1" customHeight="1">
      <c r="A1254" s="9" t="s">
        <v>12736</v>
      </c>
      <c r="B1254" s="10" t="s">
        <v>12737</v>
      </c>
      <c r="C1254" s="10" t="s">
        <v>69</v>
      </c>
      <c r="D1254" s="10" t="s">
        <v>2283</v>
      </c>
      <c r="E1254" s="10" t="s">
        <v>66</v>
      </c>
      <c r="F1254" s="11">
        <v>1.0</v>
      </c>
      <c r="G1254" s="11">
        <v>43.7</v>
      </c>
      <c r="H1254" s="11">
        <v>12.41</v>
      </c>
      <c r="I1254" s="11">
        <v>-13.43</v>
      </c>
      <c r="J1254" s="11">
        <v>-12.41</v>
      </c>
      <c r="K1254" s="11">
        <v>-32.89</v>
      </c>
      <c r="L1254" s="11">
        <v>0.0</v>
      </c>
      <c r="M1254" s="10" t="s">
        <v>12218</v>
      </c>
      <c r="N1254" s="10" t="s">
        <v>50</v>
      </c>
      <c r="O1254" s="10" t="s">
        <v>176</v>
      </c>
      <c r="P1254" s="10" t="s">
        <v>177</v>
      </c>
      <c r="Q1254" s="10" t="s">
        <v>178</v>
      </c>
      <c r="R1254" s="10" t="s">
        <v>74</v>
      </c>
      <c r="S1254" s="11">
        <v>43.7</v>
      </c>
      <c r="T1254" s="11"/>
      <c r="U1254" s="11" t="s">
        <v>51</v>
      </c>
      <c r="V1254" s="10" t="s">
        <v>2284</v>
      </c>
      <c r="W1254" s="10" t="s">
        <v>12738</v>
      </c>
      <c r="X1254" s="10" t="s">
        <v>12739</v>
      </c>
      <c r="Y1254" s="10" t="s">
        <v>12740</v>
      </c>
      <c r="Z1254" s="10" t="s">
        <v>50</v>
      </c>
      <c r="AA1254" s="10" t="s">
        <v>50</v>
      </c>
      <c r="AB1254" s="10" t="s">
        <v>12738</v>
      </c>
      <c r="AC1254" s="10" t="s">
        <v>12741</v>
      </c>
      <c r="AD1254" s="10" t="s">
        <v>50</v>
      </c>
      <c r="AE1254" s="10" t="s">
        <v>12742</v>
      </c>
      <c r="AF1254" s="10" t="s">
        <v>185</v>
      </c>
      <c r="AG1254" s="10" t="s">
        <v>12743</v>
      </c>
      <c r="AH1254" s="10" t="s">
        <v>60</v>
      </c>
      <c r="AI1254" s="10" t="s">
        <v>61</v>
      </c>
      <c r="AJ1254" s="10" t="s">
        <v>50</v>
      </c>
      <c r="AK1254" s="10" t="s">
        <v>50</v>
      </c>
      <c r="AL1254" s="10" t="s">
        <v>64</v>
      </c>
      <c r="AM1254" s="10" t="s">
        <v>12744</v>
      </c>
      <c r="AN1254" s="10" t="s">
        <v>50</v>
      </c>
      <c r="AO1254" s="11" t="s">
        <v>50</v>
      </c>
      <c r="AP1254" s="10" t="s">
        <v>50</v>
      </c>
      <c r="AQ1254" s="10" t="s">
        <v>50</v>
      </c>
      <c r="AR1254" s="10" t="s">
        <v>50</v>
      </c>
      <c r="AS1254" s="10" t="s">
        <v>50</v>
      </c>
      <c r="AT1254" s="10" t="s">
        <v>50</v>
      </c>
      <c r="AU1254" s="10" t="s">
        <v>50</v>
      </c>
      <c r="AV1254" s="11"/>
      <c r="AW1254" s="10" t="s">
        <v>66</v>
      </c>
      <c r="AX1254" s="10"/>
      <c r="AY1254" s="10" t="s">
        <v>66</v>
      </c>
    </row>
    <row r="1255" ht="22.5" hidden="1" customHeight="1">
      <c r="A1255" s="9" t="s">
        <v>12745</v>
      </c>
      <c r="B1255" s="10" t="s">
        <v>12746</v>
      </c>
      <c r="C1255" s="10" t="s">
        <v>43</v>
      </c>
      <c r="D1255" s="10" t="s">
        <v>10258</v>
      </c>
      <c r="E1255" s="10" t="s">
        <v>66</v>
      </c>
      <c r="F1255" s="11">
        <v>1.0</v>
      </c>
      <c r="G1255" s="11">
        <v>80.0</v>
      </c>
      <c r="H1255" s="11"/>
      <c r="I1255" s="11">
        <v>-13.6</v>
      </c>
      <c r="J1255" s="11">
        <v>-19.95</v>
      </c>
      <c r="K1255" s="11"/>
      <c r="L1255" s="11">
        <v>50.45</v>
      </c>
      <c r="M1255" s="10" t="s">
        <v>46</v>
      </c>
      <c r="N1255" s="10" t="s">
        <v>50</v>
      </c>
      <c r="O1255" s="10" t="s">
        <v>143</v>
      </c>
      <c r="P1255" s="10" t="s">
        <v>144</v>
      </c>
      <c r="Q1255" s="10" t="s">
        <v>145</v>
      </c>
      <c r="R1255" s="10" t="s">
        <v>74</v>
      </c>
      <c r="S1255" s="11">
        <v>80.0</v>
      </c>
      <c r="T1255" s="11">
        <v>33.38</v>
      </c>
      <c r="U1255" s="11" t="s">
        <v>51</v>
      </c>
      <c r="V1255" s="10" t="s">
        <v>52</v>
      </c>
      <c r="W1255" s="10" t="s">
        <v>12747</v>
      </c>
      <c r="X1255" s="10" t="s">
        <v>12748</v>
      </c>
      <c r="Y1255" s="10" t="s">
        <v>12749</v>
      </c>
      <c r="Z1255" s="10" t="s">
        <v>50</v>
      </c>
      <c r="AA1255" s="10" t="s">
        <v>50</v>
      </c>
      <c r="AB1255" s="10" t="s">
        <v>12747</v>
      </c>
      <c r="AC1255" s="10" t="s">
        <v>12750</v>
      </c>
      <c r="AD1255" s="10" t="s">
        <v>12751</v>
      </c>
      <c r="AE1255" s="10" t="s">
        <v>12752</v>
      </c>
      <c r="AF1255" s="10" t="s">
        <v>284</v>
      </c>
      <c r="AG1255" s="10" t="s">
        <v>12753</v>
      </c>
      <c r="AH1255" s="10" t="s">
        <v>60</v>
      </c>
      <c r="AI1255" s="10" t="s">
        <v>61</v>
      </c>
      <c r="AJ1255" s="10" t="s">
        <v>12180</v>
      </c>
      <c r="AK1255" s="10" t="s">
        <v>12754</v>
      </c>
      <c r="AL1255" s="10" t="s">
        <v>64</v>
      </c>
      <c r="AM1255" s="10" t="s">
        <v>12755</v>
      </c>
      <c r="AN1255" s="10" t="s">
        <v>50</v>
      </c>
      <c r="AO1255" s="11" t="s">
        <v>50</v>
      </c>
      <c r="AP1255" s="10" t="s">
        <v>50</v>
      </c>
      <c r="AQ1255" s="10" t="s">
        <v>50</v>
      </c>
      <c r="AR1255" s="10" t="s">
        <v>50</v>
      </c>
      <c r="AS1255" s="10" t="s">
        <v>50</v>
      </c>
      <c r="AT1255" s="10" t="s">
        <v>50</v>
      </c>
      <c r="AU1255" s="10" t="s">
        <v>50</v>
      </c>
      <c r="AV1255" s="11"/>
      <c r="AW1255" s="10" t="s">
        <v>66</v>
      </c>
      <c r="AX1255" s="10"/>
      <c r="AY1255" s="10" t="s">
        <v>66</v>
      </c>
    </row>
    <row r="1256" ht="22.5" hidden="1" customHeight="1">
      <c r="A1256" s="9" t="s">
        <v>12756</v>
      </c>
      <c r="B1256" s="10" t="s">
        <v>12757</v>
      </c>
      <c r="C1256" s="10" t="s">
        <v>43</v>
      </c>
      <c r="D1256" s="10" t="s">
        <v>7750</v>
      </c>
      <c r="E1256" s="10" t="s">
        <v>66</v>
      </c>
      <c r="F1256" s="11">
        <v>1.0</v>
      </c>
      <c r="G1256" s="11">
        <v>80.0</v>
      </c>
      <c r="H1256" s="11"/>
      <c r="I1256" s="11">
        <v>-13.6</v>
      </c>
      <c r="J1256" s="11">
        <v>-19.95</v>
      </c>
      <c r="K1256" s="11"/>
      <c r="L1256" s="11">
        <v>50.45</v>
      </c>
      <c r="M1256" s="10" t="s">
        <v>12218</v>
      </c>
      <c r="N1256" s="10" t="s">
        <v>50</v>
      </c>
      <c r="O1256" s="10" t="s">
        <v>143</v>
      </c>
      <c r="P1256" s="10" t="s">
        <v>144</v>
      </c>
      <c r="Q1256" s="10" t="s">
        <v>145</v>
      </c>
      <c r="R1256" s="10" t="s">
        <v>74</v>
      </c>
      <c r="S1256" s="11">
        <v>80.0</v>
      </c>
      <c r="T1256" s="11">
        <v>33.38</v>
      </c>
      <c r="U1256" s="11" t="s">
        <v>51</v>
      </c>
      <c r="V1256" s="10" t="s">
        <v>52</v>
      </c>
      <c r="W1256" s="10" t="s">
        <v>12758</v>
      </c>
      <c r="X1256" s="10" t="s">
        <v>12759</v>
      </c>
      <c r="Y1256" s="10" t="s">
        <v>12760</v>
      </c>
      <c r="Z1256" s="10" t="s">
        <v>50</v>
      </c>
      <c r="AA1256" s="10" t="s">
        <v>50</v>
      </c>
      <c r="AB1256" s="10" t="s">
        <v>12758</v>
      </c>
      <c r="AC1256" s="10" t="s">
        <v>12761</v>
      </c>
      <c r="AD1256" s="10" t="s">
        <v>12762</v>
      </c>
      <c r="AE1256" s="10" t="s">
        <v>12763</v>
      </c>
      <c r="AF1256" s="10" t="s">
        <v>214</v>
      </c>
      <c r="AG1256" s="10" t="s">
        <v>12764</v>
      </c>
      <c r="AH1256" s="10" t="s">
        <v>60</v>
      </c>
      <c r="AI1256" s="10" t="s">
        <v>61</v>
      </c>
      <c r="AJ1256" s="10" t="s">
        <v>12180</v>
      </c>
      <c r="AK1256" s="10" t="s">
        <v>12765</v>
      </c>
      <c r="AL1256" s="10" t="s">
        <v>64</v>
      </c>
      <c r="AM1256" s="10" t="s">
        <v>12766</v>
      </c>
      <c r="AN1256" s="10" t="s">
        <v>50</v>
      </c>
      <c r="AO1256" s="11" t="s">
        <v>50</v>
      </c>
      <c r="AP1256" s="10" t="s">
        <v>50</v>
      </c>
      <c r="AQ1256" s="10" t="s">
        <v>50</v>
      </c>
      <c r="AR1256" s="10" t="s">
        <v>50</v>
      </c>
      <c r="AS1256" s="10" t="s">
        <v>50</v>
      </c>
      <c r="AT1256" s="10" t="s">
        <v>50</v>
      </c>
      <c r="AU1256" s="10" t="s">
        <v>50</v>
      </c>
      <c r="AV1256" s="11"/>
      <c r="AW1256" s="10" t="s">
        <v>66</v>
      </c>
      <c r="AX1256" s="10"/>
      <c r="AY1256" s="10" t="s">
        <v>66</v>
      </c>
    </row>
    <row r="1257" ht="22.5" hidden="1" customHeight="1">
      <c r="A1257" s="9" t="s">
        <v>12767</v>
      </c>
      <c r="B1257" s="10" t="s">
        <v>12768</v>
      </c>
      <c r="C1257" s="10" t="s">
        <v>43</v>
      </c>
      <c r="D1257" s="10" t="s">
        <v>9839</v>
      </c>
      <c r="E1257" s="10" t="s">
        <v>45</v>
      </c>
      <c r="F1257" s="11">
        <v>1.0</v>
      </c>
      <c r="G1257" s="11">
        <v>79.35</v>
      </c>
      <c r="H1257" s="11"/>
      <c r="I1257" s="11">
        <v>-15.08</v>
      </c>
      <c r="J1257" s="11">
        <v>-19.95</v>
      </c>
      <c r="K1257" s="11"/>
      <c r="L1257" s="11">
        <v>44.32</v>
      </c>
      <c r="M1257" s="10" t="s">
        <v>46</v>
      </c>
      <c r="N1257" s="10" t="s">
        <v>50</v>
      </c>
      <c r="O1257" s="10" t="s">
        <v>47</v>
      </c>
      <c r="P1257" s="10" t="s">
        <v>48</v>
      </c>
      <c r="Q1257" s="10" t="s">
        <v>49</v>
      </c>
      <c r="R1257" s="10" t="s">
        <v>50</v>
      </c>
      <c r="S1257" s="11">
        <v>79.35</v>
      </c>
      <c r="T1257" s="11">
        <v>12.45</v>
      </c>
      <c r="U1257" s="11" t="s">
        <v>51</v>
      </c>
      <c r="V1257" s="10" t="s">
        <v>52</v>
      </c>
      <c r="W1257" s="10" t="s">
        <v>2574</v>
      </c>
      <c r="X1257" s="10" t="s">
        <v>2575</v>
      </c>
      <c r="Y1257" s="10" t="s">
        <v>2576</v>
      </c>
      <c r="Z1257" s="10" t="s">
        <v>50</v>
      </c>
      <c r="AA1257" s="10" t="s">
        <v>50</v>
      </c>
      <c r="AB1257" s="10" t="s">
        <v>2574</v>
      </c>
      <c r="AC1257" s="10" t="s">
        <v>2577</v>
      </c>
      <c r="AD1257" s="10" t="s">
        <v>2578</v>
      </c>
      <c r="AE1257" s="10" t="s">
        <v>2579</v>
      </c>
      <c r="AF1257" s="10" t="s">
        <v>58</v>
      </c>
      <c r="AG1257" s="10" t="s">
        <v>2580</v>
      </c>
      <c r="AH1257" s="10" t="s">
        <v>60</v>
      </c>
      <c r="AI1257" s="10" t="s">
        <v>61</v>
      </c>
      <c r="AJ1257" s="10" t="s">
        <v>12378</v>
      </c>
      <c r="AK1257" s="10" t="s">
        <v>12769</v>
      </c>
      <c r="AL1257" s="10" t="s">
        <v>64</v>
      </c>
      <c r="AM1257" s="10" t="s">
        <v>12770</v>
      </c>
      <c r="AN1257" s="10" t="s">
        <v>50</v>
      </c>
      <c r="AO1257" s="11" t="s">
        <v>50</v>
      </c>
      <c r="AP1257" s="10" t="s">
        <v>50</v>
      </c>
      <c r="AQ1257" s="10" t="s">
        <v>50</v>
      </c>
      <c r="AR1257" s="10" t="s">
        <v>50</v>
      </c>
      <c r="AS1257" s="10" t="s">
        <v>50</v>
      </c>
      <c r="AT1257" s="10" t="s">
        <v>50</v>
      </c>
      <c r="AU1257" s="10" t="s">
        <v>50</v>
      </c>
      <c r="AV1257" s="11"/>
      <c r="AW1257" s="10" t="s">
        <v>66</v>
      </c>
      <c r="AX1257" s="10"/>
      <c r="AY1257" s="10" t="s">
        <v>66</v>
      </c>
    </row>
    <row r="1258" ht="22.5" hidden="1" customHeight="1">
      <c r="A1258" s="9" t="s">
        <v>12771</v>
      </c>
      <c r="B1258" s="10" t="s">
        <v>12772</v>
      </c>
      <c r="C1258" s="10" t="s">
        <v>43</v>
      </c>
      <c r="D1258" s="10" t="s">
        <v>9839</v>
      </c>
      <c r="E1258" s="10" t="s">
        <v>66</v>
      </c>
      <c r="F1258" s="11">
        <v>1.0</v>
      </c>
      <c r="G1258" s="11">
        <v>79.2</v>
      </c>
      <c r="H1258" s="11"/>
      <c r="I1258" s="11">
        <v>-13.46</v>
      </c>
      <c r="J1258" s="11">
        <v>-20.45</v>
      </c>
      <c r="K1258" s="11"/>
      <c r="L1258" s="11">
        <v>45.29</v>
      </c>
      <c r="M1258" s="10" t="s">
        <v>46</v>
      </c>
      <c r="N1258" s="10" t="s">
        <v>45</v>
      </c>
      <c r="O1258" s="10" t="s">
        <v>892</v>
      </c>
      <c r="P1258" s="10" t="s">
        <v>893</v>
      </c>
      <c r="Q1258" s="10" t="s">
        <v>894</v>
      </c>
      <c r="R1258" s="10" t="s">
        <v>74</v>
      </c>
      <c r="S1258" s="11">
        <v>79.2</v>
      </c>
      <c r="T1258" s="11">
        <v>2.97</v>
      </c>
      <c r="U1258" s="11" t="s">
        <v>51</v>
      </c>
      <c r="V1258" s="10" t="s">
        <v>52</v>
      </c>
      <c r="W1258" s="10" t="s">
        <v>12773</v>
      </c>
      <c r="X1258" s="10" t="s">
        <v>12774</v>
      </c>
      <c r="Y1258" s="10" t="s">
        <v>12775</v>
      </c>
      <c r="Z1258" s="10" t="s">
        <v>50</v>
      </c>
      <c r="AA1258" s="10" t="s">
        <v>50</v>
      </c>
      <c r="AB1258" s="10" t="s">
        <v>12773</v>
      </c>
      <c r="AC1258" s="10" t="s">
        <v>12776</v>
      </c>
      <c r="AD1258" s="10" t="s">
        <v>12777</v>
      </c>
      <c r="AE1258" s="10" t="s">
        <v>12778</v>
      </c>
      <c r="AF1258" s="10" t="s">
        <v>58</v>
      </c>
      <c r="AG1258" s="10" t="s">
        <v>12779</v>
      </c>
      <c r="AH1258" s="10" t="s">
        <v>60</v>
      </c>
      <c r="AI1258" s="10" t="s">
        <v>61</v>
      </c>
      <c r="AJ1258" s="10" t="s">
        <v>12378</v>
      </c>
      <c r="AK1258" s="10" t="s">
        <v>12780</v>
      </c>
      <c r="AL1258" s="10" t="s">
        <v>64</v>
      </c>
      <c r="AM1258" s="10" t="s">
        <v>12781</v>
      </c>
      <c r="AN1258" s="10" t="s">
        <v>50</v>
      </c>
      <c r="AO1258" s="11" t="s">
        <v>50</v>
      </c>
      <c r="AP1258" s="10" t="s">
        <v>50</v>
      </c>
      <c r="AQ1258" s="10" t="s">
        <v>50</v>
      </c>
      <c r="AR1258" s="10" t="s">
        <v>50</v>
      </c>
      <c r="AS1258" s="10" t="s">
        <v>50</v>
      </c>
      <c r="AT1258" s="10" t="s">
        <v>50</v>
      </c>
      <c r="AU1258" s="10" t="s">
        <v>50</v>
      </c>
      <c r="AV1258" s="11"/>
      <c r="AW1258" s="10" t="s">
        <v>66</v>
      </c>
      <c r="AX1258" s="10"/>
      <c r="AY1258" s="10" t="s">
        <v>66</v>
      </c>
    </row>
    <row r="1259" ht="22.5" hidden="1" customHeight="1">
      <c r="A1259" s="9" t="s">
        <v>12782</v>
      </c>
      <c r="B1259" s="10" t="s">
        <v>12783</v>
      </c>
      <c r="C1259" s="10" t="s">
        <v>43</v>
      </c>
      <c r="D1259" s="10" t="s">
        <v>9839</v>
      </c>
      <c r="E1259" s="10" t="s">
        <v>66</v>
      </c>
      <c r="F1259" s="11">
        <v>1.0</v>
      </c>
      <c r="G1259" s="11">
        <v>120.0</v>
      </c>
      <c r="H1259" s="11"/>
      <c r="I1259" s="11">
        <v>-20.4</v>
      </c>
      <c r="J1259" s="11">
        <v>-19.95</v>
      </c>
      <c r="K1259" s="11"/>
      <c r="L1259" s="11">
        <v>86.85</v>
      </c>
      <c r="M1259" s="10" t="s">
        <v>12218</v>
      </c>
      <c r="N1259" s="10" t="s">
        <v>45</v>
      </c>
      <c r="O1259" s="10" t="s">
        <v>85</v>
      </c>
      <c r="P1259" s="10" t="s">
        <v>86</v>
      </c>
      <c r="Q1259" s="10" t="s">
        <v>87</v>
      </c>
      <c r="R1259" s="10" t="s">
        <v>74</v>
      </c>
      <c r="S1259" s="11">
        <v>120.0</v>
      </c>
      <c r="T1259" s="11">
        <v>65.78</v>
      </c>
      <c r="U1259" s="11" t="s">
        <v>51</v>
      </c>
      <c r="V1259" s="10" t="s">
        <v>52</v>
      </c>
      <c r="W1259" s="10" t="s">
        <v>12784</v>
      </c>
      <c r="X1259" s="10" t="s">
        <v>12785</v>
      </c>
      <c r="Y1259" s="10" t="s">
        <v>12786</v>
      </c>
      <c r="Z1259" s="10" t="s">
        <v>50</v>
      </c>
      <c r="AA1259" s="10" t="s">
        <v>50</v>
      </c>
      <c r="AB1259" s="10" t="s">
        <v>12784</v>
      </c>
      <c r="AC1259" s="10" t="s">
        <v>12787</v>
      </c>
      <c r="AD1259" s="10" t="s">
        <v>12788</v>
      </c>
      <c r="AE1259" s="10" t="s">
        <v>2988</v>
      </c>
      <c r="AF1259" s="10" t="s">
        <v>58</v>
      </c>
      <c r="AG1259" s="10" t="s">
        <v>12789</v>
      </c>
      <c r="AH1259" s="10" t="s">
        <v>60</v>
      </c>
      <c r="AI1259" s="10" t="s">
        <v>61</v>
      </c>
      <c r="AJ1259" s="10" t="s">
        <v>12378</v>
      </c>
      <c r="AK1259" s="10" t="s">
        <v>12790</v>
      </c>
      <c r="AL1259" s="10" t="s">
        <v>64</v>
      </c>
      <c r="AM1259" s="10" t="s">
        <v>12791</v>
      </c>
      <c r="AN1259" s="10" t="s">
        <v>50</v>
      </c>
      <c r="AO1259" s="11" t="s">
        <v>50</v>
      </c>
      <c r="AP1259" s="10" t="s">
        <v>50</v>
      </c>
      <c r="AQ1259" s="10" t="s">
        <v>50</v>
      </c>
      <c r="AR1259" s="10" t="s">
        <v>50</v>
      </c>
      <c r="AS1259" s="10" t="s">
        <v>50</v>
      </c>
      <c r="AT1259" s="10" t="s">
        <v>50</v>
      </c>
      <c r="AU1259" s="10" t="s">
        <v>50</v>
      </c>
      <c r="AV1259" s="11"/>
      <c r="AW1259" s="10" t="s">
        <v>66</v>
      </c>
      <c r="AX1259" s="10"/>
      <c r="AY1259" s="10" t="s">
        <v>66</v>
      </c>
    </row>
    <row r="1260" ht="22.5" hidden="1" customHeight="1">
      <c r="A1260" s="9" t="s">
        <v>12792</v>
      </c>
      <c r="B1260" s="10" t="s">
        <v>12793</v>
      </c>
      <c r="C1260" s="10" t="s">
        <v>43</v>
      </c>
      <c r="D1260" s="10" t="s">
        <v>11161</v>
      </c>
      <c r="E1260" s="10" t="s">
        <v>66</v>
      </c>
      <c r="F1260" s="11">
        <v>1.0</v>
      </c>
      <c r="G1260" s="11">
        <v>80.0</v>
      </c>
      <c r="H1260" s="11">
        <v>10.75</v>
      </c>
      <c r="I1260" s="11">
        <v>-13.6</v>
      </c>
      <c r="J1260" s="11">
        <v>-30.7</v>
      </c>
      <c r="K1260" s="11"/>
      <c r="L1260" s="11">
        <v>50.45</v>
      </c>
      <c r="M1260" s="10" t="s">
        <v>46</v>
      </c>
      <c r="N1260" s="10" t="s">
        <v>45</v>
      </c>
      <c r="O1260" s="10" t="s">
        <v>143</v>
      </c>
      <c r="P1260" s="10" t="s">
        <v>144</v>
      </c>
      <c r="Q1260" s="10" t="s">
        <v>145</v>
      </c>
      <c r="R1260" s="10" t="s">
        <v>74</v>
      </c>
      <c r="S1260" s="11">
        <v>80.0</v>
      </c>
      <c r="T1260" s="11">
        <v>33.38</v>
      </c>
      <c r="U1260" s="11" t="s">
        <v>51</v>
      </c>
      <c r="V1260" s="10" t="s">
        <v>52</v>
      </c>
      <c r="W1260" s="10" t="s">
        <v>12794</v>
      </c>
      <c r="X1260" s="10" t="s">
        <v>12795</v>
      </c>
      <c r="Y1260" s="10" t="s">
        <v>12796</v>
      </c>
      <c r="Z1260" s="10" t="s">
        <v>50</v>
      </c>
      <c r="AA1260" s="10" t="s">
        <v>50</v>
      </c>
      <c r="AB1260" s="10" t="s">
        <v>12794</v>
      </c>
      <c r="AC1260" s="10" t="s">
        <v>12797</v>
      </c>
      <c r="AD1260" s="10" t="s">
        <v>12798</v>
      </c>
      <c r="AE1260" s="10" t="s">
        <v>12799</v>
      </c>
      <c r="AF1260" s="10" t="s">
        <v>799</v>
      </c>
      <c r="AG1260" s="10" t="s">
        <v>12800</v>
      </c>
      <c r="AH1260" s="10" t="s">
        <v>60</v>
      </c>
      <c r="AI1260" s="10" t="s">
        <v>61</v>
      </c>
      <c r="AJ1260" s="10" t="s">
        <v>12355</v>
      </c>
      <c r="AK1260" s="10" t="s">
        <v>12801</v>
      </c>
      <c r="AL1260" s="10" t="s">
        <v>64</v>
      </c>
      <c r="AM1260" s="10" t="s">
        <v>12802</v>
      </c>
      <c r="AN1260" s="10" t="s">
        <v>50</v>
      </c>
      <c r="AO1260" s="11" t="s">
        <v>50</v>
      </c>
      <c r="AP1260" s="10" t="s">
        <v>50</v>
      </c>
      <c r="AQ1260" s="10" t="s">
        <v>50</v>
      </c>
      <c r="AR1260" s="10" t="s">
        <v>50</v>
      </c>
      <c r="AS1260" s="10" t="s">
        <v>50</v>
      </c>
      <c r="AT1260" s="10" t="s">
        <v>50</v>
      </c>
      <c r="AU1260" s="10" t="s">
        <v>50</v>
      </c>
      <c r="AV1260" s="11"/>
      <c r="AW1260" s="10" t="s">
        <v>66</v>
      </c>
      <c r="AX1260" s="10"/>
      <c r="AY1260" s="10" t="s">
        <v>66</v>
      </c>
    </row>
    <row r="1261" ht="22.5" hidden="1" customHeight="1">
      <c r="A1261" s="9" t="s">
        <v>12803</v>
      </c>
      <c r="B1261" s="10" t="s">
        <v>12804</v>
      </c>
      <c r="C1261" s="10" t="s">
        <v>43</v>
      </c>
      <c r="D1261" s="10" t="s">
        <v>9839</v>
      </c>
      <c r="E1261" s="10" t="s">
        <v>66</v>
      </c>
      <c r="F1261" s="11">
        <v>1.0</v>
      </c>
      <c r="G1261" s="11">
        <v>80.0</v>
      </c>
      <c r="H1261" s="11"/>
      <c r="I1261" s="11">
        <v>-13.6</v>
      </c>
      <c r="J1261" s="11">
        <v>-19.95</v>
      </c>
      <c r="K1261" s="11"/>
      <c r="L1261" s="11">
        <v>50.45</v>
      </c>
      <c r="M1261" s="10" t="s">
        <v>46</v>
      </c>
      <c r="N1261" s="10" t="s">
        <v>45</v>
      </c>
      <c r="O1261" s="10" t="s">
        <v>143</v>
      </c>
      <c r="P1261" s="10" t="s">
        <v>144</v>
      </c>
      <c r="Q1261" s="10" t="s">
        <v>145</v>
      </c>
      <c r="R1261" s="10" t="s">
        <v>74</v>
      </c>
      <c r="S1261" s="11">
        <v>80.0</v>
      </c>
      <c r="T1261" s="11">
        <v>33.38</v>
      </c>
      <c r="U1261" s="11" t="s">
        <v>51</v>
      </c>
      <c r="V1261" s="10" t="s">
        <v>52</v>
      </c>
      <c r="W1261" s="10" t="s">
        <v>12805</v>
      </c>
      <c r="X1261" s="10" t="s">
        <v>12806</v>
      </c>
      <c r="Y1261" s="10" t="s">
        <v>12807</v>
      </c>
      <c r="Z1261" s="10" t="s">
        <v>50</v>
      </c>
      <c r="AA1261" s="10" t="s">
        <v>50</v>
      </c>
      <c r="AB1261" s="10" t="s">
        <v>12805</v>
      </c>
      <c r="AC1261" s="10" t="s">
        <v>12808</v>
      </c>
      <c r="AD1261" s="10" t="s">
        <v>12809</v>
      </c>
      <c r="AE1261" s="10" t="s">
        <v>12810</v>
      </c>
      <c r="AF1261" s="10" t="s">
        <v>58</v>
      </c>
      <c r="AG1261" s="10" t="s">
        <v>12811</v>
      </c>
      <c r="AH1261" s="10" t="s">
        <v>60</v>
      </c>
      <c r="AI1261" s="10" t="s">
        <v>61</v>
      </c>
      <c r="AJ1261" s="10" t="s">
        <v>12378</v>
      </c>
      <c r="AK1261" s="10" t="s">
        <v>12812</v>
      </c>
      <c r="AL1261" s="10" t="s">
        <v>64</v>
      </c>
      <c r="AM1261" s="10" t="s">
        <v>12813</v>
      </c>
      <c r="AN1261" s="10" t="s">
        <v>50</v>
      </c>
      <c r="AO1261" s="11" t="s">
        <v>50</v>
      </c>
      <c r="AP1261" s="10" t="s">
        <v>50</v>
      </c>
      <c r="AQ1261" s="10" t="s">
        <v>50</v>
      </c>
      <c r="AR1261" s="10" t="s">
        <v>50</v>
      </c>
      <c r="AS1261" s="10" t="s">
        <v>50</v>
      </c>
      <c r="AT1261" s="10" t="s">
        <v>50</v>
      </c>
      <c r="AU1261" s="10" t="s">
        <v>50</v>
      </c>
      <c r="AV1261" s="11"/>
      <c r="AW1261" s="10" t="s">
        <v>66</v>
      </c>
      <c r="AX1261" s="10"/>
      <c r="AY1261" s="10" t="s">
        <v>66</v>
      </c>
    </row>
    <row r="1262" ht="22.5" hidden="1" customHeight="1">
      <c r="A1262" s="9" t="s">
        <v>12814</v>
      </c>
      <c r="B1262" s="10" t="s">
        <v>12815</v>
      </c>
      <c r="C1262" s="10" t="s">
        <v>43</v>
      </c>
      <c r="D1262" s="10" t="s">
        <v>12217</v>
      </c>
      <c r="E1262" s="10" t="s">
        <v>66</v>
      </c>
      <c r="F1262" s="11">
        <v>1.0</v>
      </c>
      <c r="G1262" s="11">
        <v>80.3</v>
      </c>
      <c r="H1262" s="11"/>
      <c r="I1262" s="11">
        <v>-13.65</v>
      </c>
      <c r="J1262" s="11">
        <v>-20.45</v>
      </c>
      <c r="K1262" s="11"/>
      <c r="L1262" s="11">
        <v>46.2</v>
      </c>
      <c r="M1262" s="10" t="s">
        <v>46</v>
      </c>
      <c r="N1262" s="10" t="s">
        <v>50</v>
      </c>
      <c r="O1262" s="10" t="s">
        <v>127</v>
      </c>
      <c r="P1262" s="10" t="s">
        <v>128</v>
      </c>
      <c r="Q1262" s="10" t="s">
        <v>129</v>
      </c>
      <c r="R1262" s="10" t="s">
        <v>74</v>
      </c>
      <c r="S1262" s="11">
        <v>80.3</v>
      </c>
      <c r="T1262" s="11">
        <v>17.68</v>
      </c>
      <c r="U1262" s="11" t="s">
        <v>51</v>
      </c>
      <c r="V1262" s="10" t="s">
        <v>52</v>
      </c>
      <c r="W1262" s="10" t="s">
        <v>12816</v>
      </c>
      <c r="X1262" s="10" t="s">
        <v>12817</v>
      </c>
      <c r="Y1262" s="10" t="s">
        <v>12818</v>
      </c>
      <c r="Z1262" s="10" t="s">
        <v>50</v>
      </c>
      <c r="AA1262" s="10" t="s">
        <v>50</v>
      </c>
      <c r="AB1262" s="10" t="s">
        <v>12816</v>
      </c>
      <c r="AC1262" s="10" t="s">
        <v>12819</v>
      </c>
      <c r="AD1262" s="10" t="s">
        <v>12820</v>
      </c>
      <c r="AE1262" s="10" t="s">
        <v>151</v>
      </c>
      <c r="AF1262" s="10" t="s">
        <v>151</v>
      </c>
      <c r="AG1262" s="10" t="s">
        <v>12821</v>
      </c>
      <c r="AH1262" s="10" t="s">
        <v>60</v>
      </c>
      <c r="AI1262" s="10" t="s">
        <v>61</v>
      </c>
      <c r="AJ1262" s="10" t="s">
        <v>12170</v>
      </c>
      <c r="AK1262" s="10" t="s">
        <v>12822</v>
      </c>
      <c r="AL1262" s="10" t="s">
        <v>64</v>
      </c>
      <c r="AM1262" s="10" t="s">
        <v>12823</v>
      </c>
      <c r="AN1262" s="10" t="s">
        <v>50</v>
      </c>
      <c r="AO1262" s="11" t="s">
        <v>50</v>
      </c>
      <c r="AP1262" s="10" t="s">
        <v>50</v>
      </c>
      <c r="AQ1262" s="10" t="s">
        <v>50</v>
      </c>
      <c r="AR1262" s="10" t="s">
        <v>50</v>
      </c>
      <c r="AS1262" s="10" t="s">
        <v>50</v>
      </c>
      <c r="AT1262" s="10" t="s">
        <v>50</v>
      </c>
      <c r="AU1262" s="10" t="s">
        <v>50</v>
      </c>
      <c r="AV1262" s="11"/>
      <c r="AW1262" s="10" t="s">
        <v>66</v>
      </c>
      <c r="AX1262" s="10"/>
      <c r="AY1262" s="10" t="s">
        <v>66</v>
      </c>
    </row>
    <row r="1263" ht="22.5" hidden="1" customHeight="1">
      <c r="A1263" s="9" t="s">
        <v>12824</v>
      </c>
      <c r="B1263" s="10" t="s">
        <v>12825</v>
      </c>
      <c r="C1263" s="10" t="s">
        <v>43</v>
      </c>
      <c r="D1263" s="10" t="s">
        <v>5200</v>
      </c>
      <c r="E1263" s="10" t="s">
        <v>66</v>
      </c>
      <c r="F1263" s="11">
        <v>1.0</v>
      </c>
      <c r="G1263" s="11">
        <v>80.6</v>
      </c>
      <c r="H1263" s="11"/>
      <c r="I1263" s="11">
        <v>-13.7</v>
      </c>
      <c r="J1263" s="11">
        <v>-20.45</v>
      </c>
      <c r="K1263" s="11"/>
      <c r="L1263" s="11">
        <v>46.45</v>
      </c>
      <c r="M1263" s="10" t="s">
        <v>12218</v>
      </c>
      <c r="N1263" s="10" t="s">
        <v>45</v>
      </c>
      <c r="O1263" s="10" t="s">
        <v>265</v>
      </c>
      <c r="P1263" s="10" t="s">
        <v>266</v>
      </c>
      <c r="Q1263" s="10" t="s">
        <v>267</v>
      </c>
      <c r="R1263" s="10" t="s">
        <v>74</v>
      </c>
      <c r="S1263" s="11">
        <v>80.6</v>
      </c>
      <c r="T1263" s="11">
        <v>26.22</v>
      </c>
      <c r="U1263" s="11" t="s">
        <v>51</v>
      </c>
      <c r="V1263" s="10" t="s">
        <v>52</v>
      </c>
      <c r="W1263" s="10" t="s">
        <v>12826</v>
      </c>
      <c r="X1263" s="10" t="s">
        <v>12827</v>
      </c>
      <c r="Y1263" s="10" t="s">
        <v>12828</v>
      </c>
      <c r="Z1263" s="10" t="s">
        <v>50</v>
      </c>
      <c r="AA1263" s="10" t="s">
        <v>50</v>
      </c>
      <c r="AB1263" s="10" t="s">
        <v>12826</v>
      </c>
      <c r="AC1263" s="10" t="s">
        <v>12829</v>
      </c>
      <c r="AD1263" s="10" t="s">
        <v>12830</v>
      </c>
      <c r="AE1263" s="10" t="s">
        <v>12831</v>
      </c>
      <c r="AF1263" s="10" t="s">
        <v>214</v>
      </c>
      <c r="AG1263" s="10" t="s">
        <v>12832</v>
      </c>
      <c r="AH1263" s="10" t="s">
        <v>60</v>
      </c>
      <c r="AI1263" s="10" t="s">
        <v>61</v>
      </c>
      <c r="AJ1263" s="10" t="s">
        <v>12180</v>
      </c>
      <c r="AK1263" s="10" t="s">
        <v>12833</v>
      </c>
      <c r="AL1263" s="10" t="s">
        <v>64</v>
      </c>
      <c r="AM1263" s="10" t="s">
        <v>12834</v>
      </c>
      <c r="AN1263" s="10" t="s">
        <v>12835</v>
      </c>
      <c r="AO1263" s="11" t="s">
        <v>50</v>
      </c>
      <c r="AP1263" s="10" t="s">
        <v>50</v>
      </c>
      <c r="AQ1263" s="10" t="s">
        <v>50</v>
      </c>
      <c r="AR1263" s="10" t="s">
        <v>50</v>
      </c>
      <c r="AS1263" s="10" t="s">
        <v>50</v>
      </c>
      <c r="AT1263" s="10" t="s">
        <v>50</v>
      </c>
      <c r="AU1263" s="10" t="s">
        <v>50</v>
      </c>
      <c r="AV1263" s="11"/>
      <c r="AW1263" s="10" t="s">
        <v>66</v>
      </c>
      <c r="AX1263" s="10"/>
      <c r="AY1263" s="10" t="s">
        <v>66</v>
      </c>
    </row>
    <row r="1264" ht="22.5" hidden="1" customHeight="1">
      <c r="A1264" s="9" t="s">
        <v>12836</v>
      </c>
      <c r="B1264" s="10" t="s">
        <v>12837</v>
      </c>
      <c r="C1264" s="10" t="s">
        <v>43</v>
      </c>
      <c r="D1264" s="10" t="s">
        <v>9839</v>
      </c>
      <c r="E1264" s="10" t="s">
        <v>66</v>
      </c>
      <c r="F1264" s="11">
        <v>1.0</v>
      </c>
      <c r="G1264" s="11">
        <v>36.8</v>
      </c>
      <c r="H1264" s="11">
        <v>9.94</v>
      </c>
      <c r="I1264" s="11">
        <v>-12.26</v>
      </c>
      <c r="J1264" s="11">
        <v>-9.94</v>
      </c>
      <c r="K1264" s="11"/>
      <c r="L1264" s="11">
        <v>26.38</v>
      </c>
      <c r="M1264" s="10" t="s">
        <v>12218</v>
      </c>
      <c r="N1264" s="10" t="s">
        <v>50</v>
      </c>
      <c r="O1264" s="10" t="s">
        <v>71</v>
      </c>
      <c r="P1264" s="10" t="s">
        <v>72</v>
      </c>
      <c r="Q1264" s="10" t="s">
        <v>73</v>
      </c>
      <c r="R1264" s="10" t="s">
        <v>74</v>
      </c>
      <c r="S1264" s="11">
        <v>36.8</v>
      </c>
      <c r="T1264" s="11">
        <v>4.58</v>
      </c>
      <c r="U1264" s="11" t="s">
        <v>51</v>
      </c>
      <c r="V1264" s="10" t="s">
        <v>52</v>
      </c>
      <c r="W1264" s="10" t="s">
        <v>12838</v>
      </c>
      <c r="X1264" s="10" t="s">
        <v>12839</v>
      </c>
      <c r="Y1264" s="10" t="s">
        <v>12840</v>
      </c>
      <c r="Z1264" s="10" t="s">
        <v>50</v>
      </c>
      <c r="AA1264" s="10" t="s">
        <v>50</v>
      </c>
      <c r="AB1264" s="10" t="s">
        <v>12838</v>
      </c>
      <c r="AC1264" s="10" t="s">
        <v>12841</v>
      </c>
      <c r="AD1264" s="10" t="s">
        <v>12842</v>
      </c>
      <c r="AE1264" s="10" t="s">
        <v>5067</v>
      </c>
      <c r="AF1264" s="10" t="s">
        <v>58</v>
      </c>
      <c r="AG1264" s="10" t="s">
        <v>12843</v>
      </c>
      <c r="AH1264" s="10" t="s">
        <v>60</v>
      </c>
      <c r="AI1264" s="10" t="s">
        <v>61</v>
      </c>
      <c r="AJ1264" s="10" t="s">
        <v>12312</v>
      </c>
      <c r="AK1264" s="10" t="s">
        <v>12844</v>
      </c>
      <c r="AL1264" s="10" t="s">
        <v>64</v>
      </c>
      <c r="AM1264" s="10" t="s">
        <v>12845</v>
      </c>
      <c r="AN1264" s="10" t="s">
        <v>50</v>
      </c>
      <c r="AO1264" s="11" t="s">
        <v>50</v>
      </c>
      <c r="AP1264" s="10" t="s">
        <v>50</v>
      </c>
      <c r="AQ1264" s="10" t="s">
        <v>50</v>
      </c>
      <c r="AR1264" s="10" t="s">
        <v>50</v>
      </c>
      <c r="AS1264" s="10" t="s">
        <v>50</v>
      </c>
      <c r="AT1264" s="10" t="s">
        <v>50</v>
      </c>
      <c r="AU1264" s="10" t="s">
        <v>50</v>
      </c>
      <c r="AV1264" s="11"/>
      <c r="AW1264" s="10" t="s">
        <v>66</v>
      </c>
      <c r="AX1264" s="10"/>
      <c r="AY1264" s="10" t="s">
        <v>66</v>
      </c>
    </row>
    <row r="1265" ht="22.5" hidden="1" customHeight="1">
      <c r="A1265" s="9" t="s">
        <v>12846</v>
      </c>
      <c r="B1265" s="10" t="s">
        <v>12837</v>
      </c>
      <c r="C1265" s="10" t="s">
        <v>12847</v>
      </c>
      <c r="D1265" s="10" t="s">
        <v>12848</v>
      </c>
      <c r="E1265" s="10" t="s">
        <v>66</v>
      </c>
      <c r="F1265" s="11">
        <v>1.0</v>
      </c>
      <c r="G1265" s="11">
        <v>80.0</v>
      </c>
      <c r="H1265" s="11"/>
      <c r="I1265" s="11">
        <v>-13.6</v>
      </c>
      <c r="J1265" s="11">
        <v>-19.95</v>
      </c>
      <c r="K1265" s="11">
        <v>-50.45</v>
      </c>
      <c r="L1265" s="11">
        <v>0.0</v>
      </c>
      <c r="M1265" s="10" t="s">
        <v>12218</v>
      </c>
      <c r="N1265" s="10" t="s">
        <v>50</v>
      </c>
      <c r="O1265" s="10" t="s">
        <v>143</v>
      </c>
      <c r="P1265" s="10" t="s">
        <v>144</v>
      </c>
      <c r="Q1265" s="10" t="s">
        <v>145</v>
      </c>
      <c r="R1265" s="10" t="s">
        <v>74</v>
      </c>
      <c r="S1265" s="11">
        <v>80.0</v>
      </c>
      <c r="T1265" s="11"/>
      <c r="U1265" s="11" t="s">
        <v>51</v>
      </c>
      <c r="V1265" s="10" t="s">
        <v>52</v>
      </c>
      <c r="W1265" s="10" t="s">
        <v>1995</v>
      </c>
      <c r="X1265" s="10" t="s">
        <v>1996</v>
      </c>
      <c r="Y1265" s="10" t="s">
        <v>1997</v>
      </c>
      <c r="Z1265" s="10" t="s">
        <v>50</v>
      </c>
      <c r="AA1265" s="10" t="s">
        <v>50</v>
      </c>
      <c r="AB1265" s="10" t="s">
        <v>1995</v>
      </c>
      <c r="AC1265" s="10" t="s">
        <v>1998</v>
      </c>
      <c r="AD1265" s="10" t="s">
        <v>50</v>
      </c>
      <c r="AE1265" s="10" t="s">
        <v>2000</v>
      </c>
      <c r="AF1265" s="10" t="s">
        <v>561</v>
      </c>
      <c r="AG1265" s="10" t="s">
        <v>2001</v>
      </c>
      <c r="AH1265" s="10" t="s">
        <v>60</v>
      </c>
      <c r="AI1265" s="10" t="s">
        <v>61</v>
      </c>
      <c r="AJ1265" s="10" t="s">
        <v>50</v>
      </c>
      <c r="AK1265" s="10" t="s">
        <v>50</v>
      </c>
      <c r="AL1265" s="10" t="s">
        <v>64</v>
      </c>
      <c r="AM1265" s="10" t="s">
        <v>12849</v>
      </c>
      <c r="AN1265" s="10" t="s">
        <v>50</v>
      </c>
      <c r="AO1265" s="11" t="s">
        <v>50</v>
      </c>
      <c r="AP1265" s="10" t="s">
        <v>50</v>
      </c>
      <c r="AQ1265" s="10" t="s">
        <v>50</v>
      </c>
      <c r="AR1265" s="10" t="s">
        <v>50</v>
      </c>
      <c r="AS1265" s="10" t="s">
        <v>50</v>
      </c>
      <c r="AT1265" s="10" t="s">
        <v>50</v>
      </c>
      <c r="AU1265" s="10" t="s">
        <v>50</v>
      </c>
      <c r="AV1265" s="11"/>
      <c r="AW1265" s="10" t="s">
        <v>66</v>
      </c>
      <c r="AX1265" s="10"/>
      <c r="AY1265" s="10" t="s">
        <v>66</v>
      </c>
    </row>
    <row r="1266" ht="22.5" hidden="1" customHeight="1">
      <c r="A1266" s="12" t="s">
        <v>12850</v>
      </c>
      <c r="B1266" s="13" t="s">
        <v>12851</v>
      </c>
      <c r="C1266" s="13" t="s">
        <v>747</v>
      </c>
      <c r="D1266" s="13" t="s">
        <v>50</v>
      </c>
      <c r="E1266" s="13" t="s">
        <v>50</v>
      </c>
      <c r="F1266" s="14"/>
      <c r="G1266" s="14">
        <v>90.25</v>
      </c>
      <c r="H1266" s="14"/>
      <c r="I1266" s="14">
        <v>-27.34</v>
      </c>
      <c r="J1266" s="14"/>
      <c r="K1266" s="14"/>
      <c r="L1266" s="14">
        <v>68.32</v>
      </c>
      <c r="M1266" s="13" t="s">
        <v>12218</v>
      </c>
      <c r="N1266" s="13" t="s">
        <v>50</v>
      </c>
      <c r="O1266" s="13" t="s">
        <v>50</v>
      </c>
      <c r="P1266" s="13" t="s">
        <v>50</v>
      </c>
      <c r="Q1266" s="13" t="s">
        <v>50</v>
      </c>
      <c r="R1266" s="13" t="s">
        <v>50</v>
      </c>
      <c r="S1266" s="14"/>
      <c r="T1266" s="11"/>
      <c r="U1266" s="14" t="s">
        <v>50</v>
      </c>
      <c r="V1266" s="13" t="s">
        <v>52</v>
      </c>
      <c r="W1266" s="13" t="s">
        <v>12852</v>
      </c>
      <c r="X1266" s="13" t="s">
        <v>12853</v>
      </c>
      <c r="Y1266" s="13" t="s">
        <v>12854</v>
      </c>
      <c r="Z1266" s="13" t="s">
        <v>50</v>
      </c>
      <c r="AA1266" s="13" t="s">
        <v>50</v>
      </c>
      <c r="AB1266" s="13" t="s">
        <v>12852</v>
      </c>
      <c r="AC1266" s="13" t="s">
        <v>12855</v>
      </c>
      <c r="AD1266" s="13" t="s">
        <v>12856</v>
      </c>
      <c r="AE1266" s="13" t="s">
        <v>1181</v>
      </c>
      <c r="AF1266" s="13" t="s">
        <v>323</v>
      </c>
      <c r="AG1266" s="13" t="s">
        <v>12857</v>
      </c>
      <c r="AH1266" s="13" t="s">
        <v>60</v>
      </c>
      <c r="AI1266" s="13" t="s">
        <v>61</v>
      </c>
      <c r="AJ1266" s="13" t="s">
        <v>12247</v>
      </c>
      <c r="AK1266" s="13" t="s">
        <v>12858</v>
      </c>
      <c r="AL1266" s="13" t="s">
        <v>64</v>
      </c>
      <c r="AM1266" s="13" t="s">
        <v>12859</v>
      </c>
      <c r="AN1266" s="13" t="s">
        <v>50</v>
      </c>
      <c r="AO1266" s="15" t="s">
        <v>50</v>
      </c>
      <c r="AP1266" s="13" t="s">
        <v>50</v>
      </c>
      <c r="AQ1266" s="13" t="s">
        <v>50</v>
      </c>
      <c r="AR1266" s="13" t="s">
        <v>50</v>
      </c>
      <c r="AS1266" s="13" t="s">
        <v>50</v>
      </c>
      <c r="AT1266" s="13" t="s">
        <v>50</v>
      </c>
      <c r="AU1266" s="13" t="s">
        <v>50</v>
      </c>
      <c r="AV1266" s="15"/>
      <c r="AW1266" s="13" t="s">
        <v>50</v>
      </c>
      <c r="AX1266" s="13"/>
      <c r="AY1266" s="13" t="s">
        <v>50</v>
      </c>
    </row>
    <row r="1267" ht="22.5" hidden="1" customHeight="1">
      <c r="A1267" s="16" t="s">
        <v>12860</v>
      </c>
      <c r="B1267" s="17" t="s">
        <v>12851</v>
      </c>
      <c r="C1267" s="17" t="s">
        <v>43</v>
      </c>
      <c r="D1267" s="17" t="s">
        <v>12217</v>
      </c>
      <c r="E1267" s="17" t="s">
        <v>45</v>
      </c>
      <c r="F1267" s="18">
        <v>1.0</v>
      </c>
      <c r="G1267" s="18"/>
      <c r="H1267" s="18"/>
      <c r="I1267" s="18"/>
      <c r="J1267" s="18"/>
      <c r="K1267" s="18"/>
      <c r="L1267" s="18"/>
      <c r="M1267" s="17" t="s">
        <v>50</v>
      </c>
      <c r="N1267" s="17" t="s">
        <v>50</v>
      </c>
      <c r="O1267" s="17" t="s">
        <v>888</v>
      </c>
      <c r="P1267" s="17" t="s">
        <v>889</v>
      </c>
      <c r="Q1267" s="17" t="s">
        <v>890</v>
      </c>
      <c r="R1267" s="17" t="s">
        <v>74</v>
      </c>
      <c r="S1267" s="18">
        <v>46.55</v>
      </c>
      <c r="T1267" s="18">
        <v>16.46</v>
      </c>
      <c r="U1267" s="18" t="s">
        <v>51</v>
      </c>
      <c r="V1267" s="17" t="s">
        <v>50</v>
      </c>
      <c r="W1267" s="17" t="s">
        <v>50</v>
      </c>
      <c r="X1267" s="17" t="s">
        <v>50</v>
      </c>
      <c r="Y1267" s="17" t="s">
        <v>50</v>
      </c>
      <c r="Z1267" s="17" t="s">
        <v>50</v>
      </c>
      <c r="AA1267" s="17" t="s">
        <v>50</v>
      </c>
      <c r="AB1267" s="17" t="s">
        <v>50</v>
      </c>
      <c r="AC1267" s="17" t="s">
        <v>50</v>
      </c>
      <c r="AD1267" s="17" t="s">
        <v>50</v>
      </c>
      <c r="AE1267" s="17" t="s">
        <v>50</v>
      </c>
      <c r="AF1267" s="17" t="s">
        <v>50</v>
      </c>
      <c r="AG1267" s="17" t="s">
        <v>50</v>
      </c>
      <c r="AH1267" s="17" t="s">
        <v>50</v>
      </c>
      <c r="AI1267" s="17" t="s">
        <v>50</v>
      </c>
      <c r="AJ1267" s="17" t="s">
        <v>50</v>
      </c>
      <c r="AK1267" s="17" t="s">
        <v>50</v>
      </c>
      <c r="AL1267" s="17" t="s">
        <v>50</v>
      </c>
      <c r="AM1267" s="17" t="s">
        <v>50</v>
      </c>
      <c r="AN1267" s="17" t="s">
        <v>50</v>
      </c>
      <c r="AO1267" s="18" t="s">
        <v>50</v>
      </c>
      <c r="AP1267" s="17" t="s">
        <v>50</v>
      </c>
      <c r="AQ1267" s="17" t="s">
        <v>50</v>
      </c>
      <c r="AR1267" s="17" t="s">
        <v>50</v>
      </c>
      <c r="AS1267" s="17" t="s">
        <v>50</v>
      </c>
      <c r="AT1267" s="17" t="s">
        <v>50</v>
      </c>
      <c r="AU1267" s="17" t="s">
        <v>50</v>
      </c>
      <c r="AV1267" s="18"/>
      <c r="AW1267" s="17" t="s">
        <v>66</v>
      </c>
      <c r="AX1267" s="17"/>
      <c r="AY1267" s="17" t="s">
        <v>66</v>
      </c>
    </row>
    <row r="1268" ht="22.5" hidden="1" customHeight="1">
      <c r="A1268" s="16" t="s">
        <v>12861</v>
      </c>
      <c r="B1268" s="17" t="s">
        <v>12851</v>
      </c>
      <c r="C1268" s="17" t="s">
        <v>43</v>
      </c>
      <c r="D1268" s="17" t="s">
        <v>12217</v>
      </c>
      <c r="E1268" s="17" t="s">
        <v>45</v>
      </c>
      <c r="F1268" s="18">
        <v>1.0</v>
      </c>
      <c r="G1268" s="18"/>
      <c r="H1268" s="18"/>
      <c r="I1268" s="18"/>
      <c r="J1268" s="18"/>
      <c r="K1268" s="18"/>
      <c r="L1268" s="18"/>
      <c r="M1268" s="17" t="s">
        <v>50</v>
      </c>
      <c r="N1268" s="17" t="s">
        <v>50</v>
      </c>
      <c r="O1268" s="17" t="s">
        <v>176</v>
      </c>
      <c r="P1268" s="17" t="s">
        <v>177</v>
      </c>
      <c r="Q1268" s="17" t="s">
        <v>178</v>
      </c>
      <c r="R1268" s="17" t="s">
        <v>74</v>
      </c>
      <c r="S1268" s="18">
        <v>43.7</v>
      </c>
      <c r="T1268" s="18">
        <v>22.58</v>
      </c>
      <c r="U1268" s="18" t="s">
        <v>51</v>
      </c>
      <c r="V1268" s="17" t="s">
        <v>50</v>
      </c>
      <c r="W1268" s="17" t="s">
        <v>50</v>
      </c>
      <c r="X1268" s="17" t="s">
        <v>50</v>
      </c>
      <c r="Y1268" s="17" t="s">
        <v>50</v>
      </c>
      <c r="Z1268" s="17" t="s">
        <v>50</v>
      </c>
      <c r="AA1268" s="17" t="s">
        <v>50</v>
      </c>
      <c r="AB1268" s="17" t="s">
        <v>50</v>
      </c>
      <c r="AC1268" s="17" t="s">
        <v>50</v>
      </c>
      <c r="AD1268" s="17" t="s">
        <v>50</v>
      </c>
      <c r="AE1268" s="17" t="s">
        <v>50</v>
      </c>
      <c r="AF1268" s="17" t="s">
        <v>50</v>
      </c>
      <c r="AG1268" s="17" t="s">
        <v>50</v>
      </c>
      <c r="AH1268" s="17" t="s">
        <v>50</v>
      </c>
      <c r="AI1268" s="17" t="s">
        <v>50</v>
      </c>
      <c r="AJ1268" s="17" t="s">
        <v>50</v>
      </c>
      <c r="AK1268" s="17" t="s">
        <v>50</v>
      </c>
      <c r="AL1268" s="17" t="s">
        <v>50</v>
      </c>
      <c r="AM1268" s="17" t="s">
        <v>50</v>
      </c>
      <c r="AN1268" s="17" t="s">
        <v>50</v>
      </c>
      <c r="AO1268" s="18" t="s">
        <v>50</v>
      </c>
      <c r="AP1268" s="17" t="s">
        <v>50</v>
      </c>
      <c r="AQ1268" s="17" t="s">
        <v>50</v>
      </c>
      <c r="AR1268" s="17" t="s">
        <v>50</v>
      </c>
      <c r="AS1268" s="17" t="s">
        <v>50</v>
      </c>
      <c r="AT1268" s="17" t="s">
        <v>50</v>
      </c>
      <c r="AU1268" s="17" t="s">
        <v>50</v>
      </c>
      <c r="AV1268" s="18"/>
      <c r="AW1268" s="17" t="s">
        <v>66</v>
      </c>
      <c r="AX1268" s="17"/>
      <c r="AY1268" s="17" t="s">
        <v>66</v>
      </c>
    </row>
    <row r="1269" ht="22.5" hidden="1" customHeight="1">
      <c r="A1269" s="9" t="s">
        <v>12862</v>
      </c>
      <c r="B1269" s="10" t="s">
        <v>12863</v>
      </c>
      <c r="C1269" s="10" t="s">
        <v>43</v>
      </c>
      <c r="D1269" s="10" t="s">
        <v>12217</v>
      </c>
      <c r="E1269" s="10" t="s">
        <v>66</v>
      </c>
      <c r="F1269" s="11">
        <v>1.0</v>
      </c>
      <c r="G1269" s="11">
        <v>79.35</v>
      </c>
      <c r="H1269" s="11"/>
      <c r="I1269" s="11">
        <v>-15.08</v>
      </c>
      <c r="J1269" s="11">
        <v>-19.95</v>
      </c>
      <c r="K1269" s="11"/>
      <c r="L1269" s="11">
        <v>44.32</v>
      </c>
      <c r="M1269" s="10" t="s">
        <v>46</v>
      </c>
      <c r="N1269" s="10" t="s">
        <v>45</v>
      </c>
      <c r="O1269" s="10" t="s">
        <v>47</v>
      </c>
      <c r="P1269" s="10" t="s">
        <v>48</v>
      </c>
      <c r="Q1269" s="10" t="s">
        <v>49</v>
      </c>
      <c r="R1269" s="10" t="s">
        <v>50</v>
      </c>
      <c r="S1269" s="11">
        <v>79.35</v>
      </c>
      <c r="T1269" s="11">
        <v>12.45</v>
      </c>
      <c r="U1269" s="11" t="s">
        <v>51</v>
      </c>
      <c r="V1269" s="10" t="s">
        <v>52</v>
      </c>
      <c r="W1269" s="10" t="s">
        <v>12864</v>
      </c>
      <c r="X1269" s="10" t="s">
        <v>12865</v>
      </c>
      <c r="Y1269" s="10" t="s">
        <v>12866</v>
      </c>
      <c r="Z1269" s="10" t="s">
        <v>50</v>
      </c>
      <c r="AA1269" s="10" t="s">
        <v>50</v>
      </c>
      <c r="AB1269" s="10" t="s">
        <v>12864</v>
      </c>
      <c r="AC1269" s="10" t="s">
        <v>12867</v>
      </c>
      <c r="AD1269" s="10" t="s">
        <v>12868</v>
      </c>
      <c r="AE1269" s="10" t="s">
        <v>151</v>
      </c>
      <c r="AF1269" s="10" t="s">
        <v>151</v>
      </c>
      <c r="AG1269" s="10" t="s">
        <v>12869</v>
      </c>
      <c r="AH1269" s="10" t="s">
        <v>60</v>
      </c>
      <c r="AI1269" s="10" t="s">
        <v>61</v>
      </c>
      <c r="AJ1269" s="10" t="s">
        <v>12225</v>
      </c>
      <c r="AK1269" s="10" t="s">
        <v>12870</v>
      </c>
      <c r="AL1269" s="10" t="s">
        <v>64</v>
      </c>
      <c r="AM1269" s="10" t="s">
        <v>12871</v>
      </c>
      <c r="AN1269" s="10" t="s">
        <v>50</v>
      </c>
      <c r="AO1269" s="11" t="s">
        <v>50</v>
      </c>
      <c r="AP1269" s="10" t="s">
        <v>50</v>
      </c>
      <c r="AQ1269" s="10" t="s">
        <v>50</v>
      </c>
      <c r="AR1269" s="10" t="s">
        <v>50</v>
      </c>
      <c r="AS1269" s="10" t="s">
        <v>50</v>
      </c>
      <c r="AT1269" s="10" t="s">
        <v>50</v>
      </c>
      <c r="AU1269" s="10" t="s">
        <v>50</v>
      </c>
      <c r="AV1269" s="11"/>
      <c r="AW1269" s="10" t="s">
        <v>66</v>
      </c>
      <c r="AX1269" s="10"/>
      <c r="AY1269" s="10" t="s">
        <v>66</v>
      </c>
    </row>
    <row r="1270" ht="22.5" hidden="1" customHeight="1">
      <c r="A1270" s="9" t="s">
        <v>12872</v>
      </c>
      <c r="B1270" s="10" t="s">
        <v>12873</v>
      </c>
      <c r="C1270" s="10" t="s">
        <v>43</v>
      </c>
      <c r="D1270" s="10" t="s">
        <v>9839</v>
      </c>
      <c r="E1270" s="10" t="s">
        <v>45</v>
      </c>
      <c r="F1270" s="11">
        <v>1.0</v>
      </c>
      <c r="G1270" s="11">
        <v>120.0</v>
      </c>
      <c r="H1270" s="11"/>
      <c r="I1270" s="11">
        <v>-20.4</v>
      </c>
      <c r="J1270" s="11">
        <v>-19.95</v>
      </c>
      <c r="K1270" s="11"/>
      <c r="L1270" s="11">
        <v>86.85</v>
      </c>
      <c r="M1270" s="10" t="s">
        <v>46</v>
      </c>
      <c r="N1270" s="10" t="s">
        <v>50</v>
      </c>
      <c r="O1270" s="10" t="s">
        <v>85</v>
      </c>
      <c r="P1270" s="10" t="s">
        <v>86</v>
      </c>
      <c r="Q1270" s="10" t="s">
        <v>87</v>
      </c>
      <c r="R1270" s="10" t="s">
        <v>74</v>
      </c>
      <c r="S1270" s="11">
        <v>120.0</v>
      </c>
      <c r="T1270" s="11">
        <v>65.78</v>
      </c>
      <c r="U1270" s="11" t="s">
        <v>51</v>
      </c>
      <c r="V1270" s="10" t="s">
        <v>52</v>
      </c>
      <c r="W1270" s="10" t="s">
        <v>12874</v>
      </c>
      <c r="X1270" s="10" t="s">
        <v>12875</v>
      </c>
      <c r="Y1270" s="10" t="s">
        <v>12876</v>
      </c>
      <c r="Z1270" s="10" t="s">
        <v>50</v>
      </c>
      <c r="AA1270" s="10" t="s">
        <v>50</v>
      </c>
      <c r="AB1270" s="10" t="s">
        <v>12874</v>
      </c>
      <c r="AC1270" s="10" t="s">
        <v>12877</v>
      </c>
      <c r="AD1270" s="10" t="s">
        <v>12878</v>
      </c>
      <c r="AE1270" s="10" t="s">
        <v>12879</v>
      </c>
      <c r="AF1270" s="10" t="s">
        <v>58</v>
      </c>
      <c r="AG1270" s="10" t="s">
        <v>12880</v>
      </c>
      <c r="AH1270" s="10" t="s">
        <v>60</v>
      </c>
      <c r="AI1270" s="10" t="s">
        <v>61</v>
      </c>
      <c r="AJ1270" s="10" t="s">
        <v>12378</v>
      </c>
      <c r="AK1270" s="10" t="s">
        <v>12881</v>
      </c>
      <c r="AL1270" s="10" t="s">
        <v>64</v>
      </c>
      <c r="AM1270" s="10" t="s">
        <v>12882</v>
      </c>
      <c r="AN1270" s="10" t="s">
        <v>50</v>
      </c>
      <c r="AO1270" s="11" t="s">
        <v>50</v>
      </c>
      <c r="AP1270" s="10" t="s">
        <v>50</v>
      </c>
      <c r="AQ1270" s="10" t="s">
        <v>50</v>
      </c>
      <c r="AR1270" s="10" t="s">
        <v>50</v>
      </c>
      <c r="AS1270" s="10" t="s">
        <v>50</v>
      </c>
      <c r="AT1270" s="10" t="s">
        <v>50</v>
      </c>
      <c r="AU1270" s="10" t="s">
        <v>50</v>
      </c>
      <c r="AV1270" s="11"/>
      <c r="AW1270" s="10" t="s">
        <v>66</v>
      </c>
      <c r="AX1270" s="10"/>
      <c r="AY1270" s="10" t="s">
        <v>66</v>
      </c>
    </row>
    <row r="1271" ht="22.5" hidden="1" customHeight="1">
      <c r="A1271" s="9" t="s">
        <v>12883</v>
      </c>
      <c r="B1271" s="10" t="s">
        <v>12884</v>
      </c>
      <c r="C1271" s="10" t="s">
        <v>43</v>
      </c>
      <c r="D1271" s="10" t="s">
        <v>7750</v>
      </c>
      <c r="E1271" s="10" t="s">
        <v>66</v>
      </c>
      <c r="F1271" s="11">
        <v>1.0</v>
      </c>
      <c r="G1271" s="11">
        <v>79.2</v>
      </c>
      <c r="H1271" s="11"/>
      <c r="I1271" s="11">
        <v>-13.46</v>
      </c>
      <c r="J1271" s="11">
        <v>-20.45</v>
      </c>
      <c r="K1271" s="11"/>
      <c r="L1271" s="11">
        <v>45.29</v>
      </c>
      <c r="M1271" s="10" t="s">
        <v>12218</v>
      </c>
      <c r="N1271" s="10" t="s">
        <v>45</v>
      </c>
      <c r="O1271" s="10" t="s">
        <v>892</v>
      </c>
      <c r="P1271" s="10" t="s">
        <v>893</v>
      </c>
      <c r="Q1271" s="10" t="s">
        <v>894</v>
      </c>
      <c r="R1271" s="10" t="s">
        <v>74</v>
      </c>
      <c r="S1271" s="11">
        <v>79.2</v>
      </c>
      <c r="T1271" s="11">
        <v>2.97</v>
      </c>
      <c r="U1271" s="11" t="s">
        <v>51</v>
      </c>
      <c r="V1271" s="10" t="s">
        <v>52</v>
      </c>
      <c r="W1271" s="10" t="s">
        <v>12885</v>
      </c>
      <c r="X1271" s="10" t="s">
        <v>12886</v>
      </c>
      <c r="Y1271" s="10" t="s">
        <v>12887</v>
      </c>
      <c r="Z1271" s="10" t="s">
        <v>50</v>
      </c>
      <c r="AA1271" s="10" t="s">
        <v>50</v>
      </c>
      <c r="AB1271" s="10" t="s">
        <v>12885</v>
      </c>
      <c r="AC1271" s="10" t="s">
        <v>12888</v>
      </c>
      <c r="AD1271" s="10" t="s">
        <v>12889</v>
      </c>
      <c r="AE1271" s="10" t="s">
        <v>12890</v>
      </c>
      <c r="AF1271" s="10" t="s">
        <v>119</v>
      </c>
      <c r="AG1271" s="10" t="s">
        <v>12891</v>
      </c>
      <c r="AH1271" s="10" t="s">
        <v>60</v>
      </c>
      <c r="AI1271" s="10" t="s">
        <v>61</v>
      </c>
      <c r="AJ1271" s="10" t="s">
        <v>12180</v>
      </c>
      <c r="AK1271" s="10" t="s">
        <v>12892</v>
      </c>
      <c r="AL1271" s="10" t="s">
        <v>64</v>
      </c>
      <c r="AM1271" s="10" t="s">
        <v>12893</v>
      </c>
      <c r="AN1271" s="10" t="s">
        <v>50</v>
      </c>
      <c r="AO1271" s="11" t="s">
        <v>50</v>
      </c>
      <c r="AP1271" s="10" t="s">
        <v>50</v>
      </c>
      <c r="AQ1271" s="10" t="s">
        <v>50</v>
      </c>
      <c r="AR1271" s="10" t="s">
        <v>50</v>
      </c>
      <c r="AS1271" s="10" t="s">
        <v>50</v>
      </c>
      <c r="AT1271" s="10" t="s">
        <v>50</v>
      </c>
      <c r="AU1271" s="10" t="s">
        <v>50</v>
      </c>
      <c r="AV1271" s="11"/>
      <c r="AW1271" s="10" t="s">
        <v>66</v>
      </c>
      <c r="AX1271" s="10"/>
      <c r="AY1271" s="10" t="s">
        <v>66</v>
      </c>
    </row>
    <row r="1272" ht="22.5" hidden="1" customHeight="1">
      <c r="A1272" s="9" t="s">
        <v>12894</v>
      </c>
      <c r="B1272" s="10" t="s">
        <v>12895</v>
      </c>
      <c r="C1272" s="10" t="s">
        <v>43</v>
      </c>
      <c r="D1272" s="10" t="s">
        <v>8227</v>
      </c>
      <c r="E1272" s="10" t="s">
        <v>66</v>
      </c>
      <c r="F1272" s="11">
        <v>1.0</v>
      </c>
      <c r="G1272" s="11">
        <v>79.0</v>
      </c>
      <c r="H1272" s="11"/>
      <c r="I1272" s="11">
        <v>-13.43</v>
      </c>
      <c r="J1272" s="11">
        <v>-22.95</v>
      </c>
      <c r="K1272" s="11"/>
      <c r="L1272" s="11">
        <v>42.62</v>
      </c>
      <c r="M1272" s="10" t="s">
        <v>46</v>
      </c>
      <c r="N1272" s="10" t="s">
        <v>45</v>
      </c>
      <c r="O1272" s="10" t="s">
        <v>11683</v>
      </c>
      <c r="P1272" s="10" t="s">
        <v>11684</v>
      </c>
      <c r="Q1272" s="10" t="s">
        <v>11685</v>
      </c>
      <c r="R1272" s="10" t="s">
        <v>74</v>
      </c>
      <c r="S1272" s="11">
        <v>79.0</v>
      </c>
      <c r="T1272" s="11">
        <v>13.62</v>
      </c>
      <c r="U1272" s="11" t="s">
        <v>51</v>
      </c>
      <c r="V1272" s="10" t="s">
        <v>52</v>
      </c>
      <c r="W1272" s="10" t="s">
        <v>12896</v>
      </c>
      <c r="X1272" s="10" t="s">
        <v>12897</v>
      </c>
      <c r="Y1272" s="10" t="s">
        <v>12898</v>
      </c>
      <c r="Z1272" s="10" t="s">
        <v>50</v>
      </c>
      <c r="AA1272" s="10" t="s">
        <v>50</v>
      </c>
      <c r="AB1272" s="10" t="s">
        <v>12896</v>
      </c>
      <c r="AC1272" s="10" t="s">
        <v>12899</v>
      </c>
      <c r="AD1272" s="10" t="s">
        <v>12900</v>
      </c>
      <c r="AE1272" s="10" t="s">
        <v>11502</v>
      </c>
      <c r="AF1272" s="10" t="s">
        <v>58</v>
      </c>
      <c r="AG1272" s="10" t="s">
        <v>12901</v>
      </c>
      <c r="AH1272" s="10" t="s">
        <v>60</v>
      </c>
      <c r="AI1272" s="10" t="s">
        <v>61</v>
      </c>
      <c r="AJ1272" s="10" t="s">
        <v>12902</v>
      </c>
      <c r="AK1272" s="10" t="s">
        <v>12903</v>
      </c>
      <c r="AL1272" s="10" t="s">
        <v>64</v>
      </c>
      <c r="AM1272" s="10" t="s">
        <v>12904</v>
      </c>
      <c r="AN1272" s="10" t="s">
        <v>12905</v>
      </c>
      <c r="AO1272" s="11" t="s">
        <v>50</v>
      </c>
      <c r="AP1272" s="10" t="s">
        <v>50</v>
      </c>
      <c r="AQ1272" s="10" t="s">
        <v>50</v>
      </c>
      <c r="AR1272" s="10" t="s">
        <v>50</v>
      </c>
      <c r="AS1272" s="10" t="s">
        <v>50</v>
      </c>
      <c r="AT1272" s="10" t="s">
        <v>50</v>
      </c>
      <c r="AU1272" s="10" t="s">
        <v>50</v>
      </c>
      <c r="AV1272" s="11"/>
      <c r="AW1272" s="10" t="s">
        <v>66</v>
      </c>
      <c r="AX1272" s="10"/>
      <c r="AY1272" s="10" t="s">
        <v>66</v>
      </c>
    </row>
    <row r="1273" ht="22.5" hidden="1" customHeight="1">
      <c r="A1273" s="9" t="s">
        <v>12906</v>
      </c>
      <c r="B1273" s="10" t="s">
        <v>12907</v>
      </c>
      <c r="C1273" s="10" t="s">
        <v>43</v>
      </c>
      <c r="D1273" s="10" t="s">
        <v>9839</v>
      </c>
      <c r="E1273" s="10" t="s">
        <v>45</v>
      </c>
      <c r="F1273" s="11">
        <v>1.0</v>
      </c>
      <c r="G1273" s="11">
        <v>43.7</v>
      </c>
      <c r="H1273" s="11">
        <v>14.15</v>
      </c>
      <c r="I1273" s="11">
        <v>-13.43</v>
      </c>
      <c r="J1273" s="11">
        <v>-14.15</v>
      </c>
      <c r="K1273" s="11"/>
      <c r="L1273" s="11">
        <v>32.89</v>
      </c>
      <c r="M1273" s="10" t="s">
        <v>12218</v>
      </c>
      <c r="N1273" s="10" t="s">
        <v>50</v>
      </c>
      <c r="O1273" s="10" t="s">
        <v>176</v>
      </c>
      <c r="P1273" s="10" t="s">
        <v>177</v>
      </c>
      <c r="Q1273" s="10" t="s">
        <v>178</v>
      </c>
      <c r="R1273" s="10" t="s">
        <v>74</v>
      </c>
      <c r="S1273" s="11">
        <v>43.7</v>
      </c>
      <c r="T1273" s="11">
        <v>22.58</v>
      </c>
      <c r="U1273" s="11" t="s">
        <v>51</v>
      </c>
      <c r="V1273" s="10" t="s">
        <v>52</v>
      </c>
      <c r="W1273" s="10" t="s">
        <v>12908</v>
      </c>
      <c r="X1273" s="10" t="s">
        <v>12909</v>
      </c>
      <c r="Y1273" s="10" t="s">
        <v>12910</v>
      </c>
      <c r="Z1273" s="10" t="s">
        <v>50</v>
      </c>
      <c r="AA1273" s="10" t="s">
        <v>50</v>
      </c>
      <c r="AB1273" s="10" t="s">
        <v>12908</v>
      </c>
      <c r="AC1273" s="10" t="s">
        <v>12911</v>
      </c>
      <c r="AD1273" s="10" t="s">
        <v>12912</v>
      </c>
      <c r="AE1273" s="10" t="s">
        <v>1089</v>
      </c>
      <c r="AF1273" s="10" t="s">
        <v>284</v>
      </c>
      <c r="AG1273" s="10" t="s">
        <v>12913</v>
      </c>
      <c r="AH1273" s="10" t="s">
        <v>60</v>
      </c>
      <c r="AI1273" s="10" t="s">
        <v>61</v>
      </c>
      <c r="AJ1273" s="10" t="s">
        <v>12702</v>
      </c>
      <c r="AK1273" s="10" t="s">
        <v>12914</v>
      </c>
      <c r="AL1273" s="10" t="s">
        <v>64</v>
      </c>
      <c r="AM1273" s="10" t="s">
        <v>12915</v>
      </c>
      <c r="AN1273" s="10" t="s">
        <v>50</v>
      </c>
      <c r="AO1273" s="11" t="s">
        <v>50</v>
      </c>
      <c r="AP1273" s="10" t="s">
        <v>50</v>
      </c>
      <c r="AQ1273" s="10" t="s">
        <v>50</v>
      </c>
      <c r="AR1273" s="10" t="s">
        <v>50</v>
      </c>
      <c r="AS1273" s="10" t="s">
        <v>50</v>
      </c>
      <c r="AT1273" s="10" t="s">
        <v>50</v>
      </c>
      <c r="AU1273" s="10" t="s">
        <v>50</v>
      </c>
      <c r="AV1273" s="11"/>
      <c r="AW1273" s="10" t="s">
        <v>66</v>
      </c>
      <c r="AX1273" s="10"/>
      <c r="AY1273" s="10" t="s">
        <v>66</v>
      </c>
    </row>
    <row r="1274" ht="22.5" hidden="1" customHeight="1">
      <c r="A1274" s="9" t="s">
        <v>12916</v>
      </c>
      <c r="B1274" s="10" t="s">
        <v>12917</v>
      </c>
      <c r="C1274" s="10" t="s">
        <v>43</v>
      </c>
      <c r="D1274" s="10" t="s">
        <v>10258</v>
      </c>
      <c r="E1274" s="10" t="s">
        <v>66</v>
      </c>
      <c r="F1274" s="11">
        <v>1.0</v>
      </c>
      <c r="G1274" s="11">
        <v>79.35</v>
      </c>
      <c r="H1274" s="11"/>
      <c r="I1274" s="11">
        <v>-15.08</v>
      </c>
      <c r="J1274" s="11">
        <v>-19.95</v>
      </c>
      <c r="K1274" s="11"/>
      <c r="L1274" s="11">
        <v>44.32</v>
      </c>
      <c r="M1274" s="10" t="s">
        <v>46</v>
      </c>
      <c r="N1274" s="10" t="s">
        <v>50</v>
      </c>
      <c r="O1274" s="10" t="s">
        <v>47</v>
      </c>
      <c r="P1274" s="10" t="s">
        <v>48</v>
      </c>
      <c r="Q1274" s="10" t="s">
        <v>49</v>
      </c>
      <c r="R1274" s="10" t="s">
        <v>50</v>
      </c>
      <c r="S1274" s="11">
        <v>79.35</v>
      </c>
      <c r="T1274" s="11">
        <v>12.45</v>
      </c>
      <c r="U1274" s="11" t="s">
        <v>51</v>
      </c>
      <c r="V1274" s="10" t="s">
        <v>52</v>
      </c>
      <c r="W1274" s="10" t="s">
        <v>12918</v>
      </c>
      <c r="X1274" s="10" t="s">
        <v>12919</v>
      </c>
      <c r="Y1274" s="10" t="s">
        <v>12920</v>
      </c>
      <c r="Z1274" s="10" t="s">
        <v>50</v>
      </c>
      <c r="AA1274" s="10" t="s">
        <v>50</v>
      </c>
      <c r="AB1274" s="10" t="s">
        <v>12918</v>
      </c>
      <c r="AC1274" s="10" t="s">
        <v>12921</v>
      </c>
      <c r="AD1274" s="10" t="s">
        <v>12922</v>
      </c>
      <c r="AE1274" s="10" t="s">
        <v>12923</v>
      </c>
      <c r="AF1274" s="10" t="s">
        <v>323</v>
      </c>
      <c r="AG1274" s="10" t="s">
        <v>12924</v>
      </c>
      <c r="AH1274" s="10" t="s">
        <v>60</v>
      </c>
      <c r="AI1274" s="10" t="s">
        <v>61</v>
      </c>
      <c r="AJ1274" s="10" t="s">
        <v>12925</v>
      </c>
      <c r="AK1274" s="10" t="s">
        <v>12926</v>
      </c>
      <c r="AL1274" s="10" t="s">
        <v>64</v>
      </c>
      <c r="AM1274" s="10" t="s">
        <v>12927</v>
      </c>
      <c r="AN1274" s="10" t="s">
        <v>12928</v>
      </c>
      <c r="AO1274" s="11" t="s">
        <v>50</v>
      </c>
      <c r="AP1274" s="10" t="s">
        <v>50</v>
      </c>
      <c r="AQ1274" s="10" t="s">
        <v>50</v>
      </c>
      <c r="AR1274" s="10" t="s">
        <v>50</v>
      </c>
      <c r="AS1274" s="10" t="s">
        <v>50</v>
      </c>
      <c r="AT1274" s="10" t="s">
        <v>50</v>
      </c>
      <c r="AU1274" s="10" t="s">
        <v>50</v>
      </c>
      <c r="AV1274" s="11"/>
      <c r="AW1274" s="10" t="s">
        <v>66</v>
      </c>
      <c r="AX1274" s="10"/>
      <c r="AY1274" s="10" t="s">
        <v>66</v>
      </c>
    </row>
    <row r="1275" ht="22.5" hidden="1" customHeight="1">
      <c r="A1275" s="9" t="s">
        <v>12929</v>
      </c>
      <c r="B1275" s="10" t="s">
        <v>12930</v>
      </c>
      <c r="C1275" s="10" t="s">
        <v>43</v>
      </c>
      <c r="D1275" s="10" t="s">
        <v>12217</v>
      </c>
      <c r="E1275" s="10" t="s">
        <v>66</v>
      </c>
      <c r="F1275" s="11">
        <v>1.0</v>
      </c>
      <c r="G1275" s="11">
        <v>90.0</v>
      </c>
      <c r="H1275" s="11"/>
      <c r="I1275" s="11">
        <v>-15.3</v>
      </c>
      <c r="J1275" s="11">
        <v>-20.45</v>
      </c>
      <c r="K1275" s="11"/>
      <c r="L1275" s="11">
        <v>59.65</v>
      </c>
      <c r="M1275" s="10" t="s">
        <v>12218</v>
      </c>
      <c r="N1275" s="10" t="s">
        <v>50</v>
      </c>
      <c r="O1275" s="10" t="s">
        <v>5094</v>
      </c>
      <c r="P1275" s="10" t="s">
        <v>5095</v>
      </c>
      <c r="Q1275" s="10" t="s">
        <v>5096</v>
      </c>
      <c r="R1275" s="10" t="s">
        <v>74</v>
      </c>
      <c r="S1275" s="11">
        <v>90.0</v>
      </c>
      <c r="T1275" s="11">
        <v>39.99</v>
      </c>
      <c r="U1275" s="11" t="s">
        <v>51</v>
      </c>
      <c r="V1275" s="10" t="s">
        <v>52</v>
      </c>
      <c r="W1275" s="10" t="s">
        <v>12931</v>
      </c>
      <c r="X1275" s="10" t="s">
        <v>12932</v>
      </c>
      <c r="Y1275" s="10" t="s">
        <v>12933</v>
      </c>
      <c r="Z1275" s="10" t="s">
        <v>50</v>
      </c>
      <c r="AA1275" s="10" t="s">
        <v>50</v>
      </c>
      <c r="AB1275" s="10" t="s">
        <v>12931</v>
      </c>
      <c r="AC1275" s="10" t="s">
        <v>12934</v>
      </c>
      <c r="AD1275" s="10" t="s">
        <v>12935</v>
      </c>
      <c r="AE1275" s="10" t="s">
        <v>12936</v>
      </c>
      <c r="AF1275" s="10" t="s">
        <v>58</v>
      </c>
      <c r="AG1275" s="10" t="s">
        <v>12937</v>
      </c>
      <c r="AH1275" s="10" t="s">
        <v>60</v>
      </c>
      <c r="AI1275" s="10" t="s">
        <v>61</v>
      </c>
      <c r="AJ1275" s="10" t="s">
        <v>12902</v>
      </c>
      <c r="AK1275" s="10" t="s">
        <v>12938</v>
      </c>
      <c r="AL1275" s="10" t="s">
        <v>64</v>
      </c>
      <c r="AM1275" s="10" t="s">
        <v>12939</v>
      </c>
      <c r="AN1275" s="10" t="s">
        <v>12940</v>
      </c>
      <c r="AO1275" s="11" t="s">
        <v>50</v>
      </c>
      <c r="AP1275" s="10" t="s">
        <v>50</v>
      </c>
      <c r="AQ1275" s="10" t="s">
        <v>50</v>
      </c>
      <c r="AR1275" s="10" t="s">
        <v>50</v>
      </c>
      <c r="AS1275" s="10" t="s">
        <v>50</v>
      </c>
      <c r="AT1275" s="10" t="s">
        <v>50</v>
      </c>
      <c r="AU1275" s="10" t="s">
        <v>50</v>
      </c>
      <c r="AV1275" s="11"/>
      <c r="AW1275" s="10" t="s">
        <v>66</v>
      </c>
      <c r="AX1275" s="10"/>
      <c r="AY1275" s="10" t="s">
        <v>66</v>
      </c>
    </row>
    <row r="1276" ht="22.5" hidden="1" customHeight="1">
      <c r="A1276" s="9" t="s">
        <v>12941</v>
      </c>
      <c r="B1276" s="10" t="s">
        <v>12942</v>
      </c>
      <c r="C1276" s="10" t="s">
        <v>43</v>
      </c>
      <c r="D1276" s="10" t="s">
        <v>11161</v>
      </c>
      <c r="E1276" s="10" t="s">
        <v>45</v>
      </c>
      <c r="F1276" s="11">
        <v>1.0</v>
      </c>
      <c r="G1276" s="11">
        <v>79.0</v>
      </c>
      <c r="H1276" s="11"/>
      <c r="I1276" s="11">
        <v>-13.43</v>
      </c>
      <c r="J1276" s="11">
        <v>-20.45</v>
      </c>
      <c r="K1276" s="11"/>
      <c r="L1276" s="11">
        <v>45.12</v>
      </c>
      <c r="M1276" s="10" t="s">
        <v>12218</v>
      </c>
      <c r="N1276" s="10" t="s">
        <v>45</v>
      </c>
      <c r="O1276" s="10" t="s">
        <v>160</v>
      </c>
      <c r="P1276" s="10" t="s">
        <v>161</v>
      </c>
      <c r="Q1276" s="10" t="s">
        <v>162</v>
      </c>
      <c r="R1276" s="10" t="s">
        <v>74</v>
      </c>
      <c r="S1276" s="11">
        <v>79.0</v>
      </c>
      <c r="T1276" s="11">
        <v>2.49</v>
      </c>
      <c r="U1276" s="11" t="s">
        <v>51</v>
      </c>
      <c r="V1276" s="10" t="s">
        <v>52</v>
      </c>
      <c r="W1276" s="10" t="s">
        <v>12943</v>
      </c>
      <c r="X1276" s="10" t="s">
        <v>12944</v>
      </c>
      <c r="Y1276" s="10" t="s">
        <v>12945</v>
      </c>
      <c r="Z1276" s="10" t="s">
        <v>50</v>
      </c>
      <c r="AA1276" s="10" t="s">
        <v>50</v>
      </c>
      <c r="AB1276" s="10" t="s">
        <v>12943</v>
      </c>
      <c r="AC1276" s="10" t="s">
        <v>12946</v>
      </c>
      <c r="AD1276" s="10" t="s">
        <v>12947</v>
      </c>
      <c r="AE1276" s="10" t="s">
        <v>12948</v>
      </c>
      <c r="AF1276" s="10" t="s">
        <v>185</v>
      </c>
      <c r="AG1276" s="10" t="s">
        <v>12949</v>
      </c>
      <c r="AH1276" s="10" t="s">
        <v>60</v>
      </c>
      <c r="AI1276" s="10" t="s">
        <v>61</v>
      </c>
      <c r="AJ1276" s="10" t="s">
        <v>12950</v>
      </c>
      <c r="AK1276" s="10" t="s">
        <v>12951</v>
      </c>
      <c r="AL1276" s="10" t="s">
        <v>64</v>
      </c>
      <c r="AM1276" s="10" t="s">
        <v>12952</v>
      </c>
      <c r="AN1276" s="10" t="s">
        <v>50</v>
      </c>
      <c r="AO1276" s="11" t="s">
        <v>50</v>
      </c>
      <c r="AP1276" s="10" t="s">
        <v>50</v>
      </c>
      <c r="AQ1276" s="10" t="s">
        <v>50</v>
      </c>
      <c r="AR1276" s="10" t="s">
        <v>50</v>
      </c>
      <c r="AS1276" s="10" t="s">
        <v>50</v>
      </c>
      <c r="AT1276" s="10" t="s">
        <v>50</v>
      </c>
      <c r="AU1276" s="10" t="s">
        <v>50</v>
      </c>
      <c r="AV1276" s="11"/>
      <c r="AW1276" s="10" t="s">
        <v>66</v>
      </c>
      <c r="AX1276" s="10"/>
      <c r="AY1276" s="10" t="s">
        <v>66</v>
      </c>
    </row>
    <row r="1277" ht="22.5" hidden="1" customHeight="1">
      <c r="A1277" s="9" t="s">
        <v>12953</v>
      </c>
      <c r="B1277" s="10" t="s">
        <v>12954</v>
      </c>
      <c r="C1277" s="10" t="s">
        <v>43</v>
      </c>
      <c r="D1277" s="10" t="s">
        <v>11161</v>
      </c>
      <c r="E1277" s="10" t="s">
        <v>66</v>
      </c>
      <c r="F1277" s="11">
        <v>1.0</v>
      </c>
      <c r="G1277" s="11">
        <v>43.7</v>
      </c>
      <c r="H1277" s="11">
        <v>13.87</v>
      </c>
      <c r="I1277" s="11">
        <v>-13.43</v>
      </c>
      <c r="J1277" s="11">
        <v>-13.87</v>
      </c>
      <c r="K1277" s="11"/>
      <c r="L1277" s="11">
        <v>32.89</v>
      </c>
      <c r="M1277" s="10" t="s">
        <v>12218</v>
      </c>
      <c r="N1277" s="10" t="s">
        <v>50</v>
      </c>
      <c r="O1277" s="10" t="s">
        <v>176</v>
      </c>
      <c r="P1277" s="10" t="s">
        <v>177</v>
      </c>
      <c r="Q1277" s="10" t="s">
        <v>178</v>
      </c>
      <c r="R1277" s="10" t="s">
        <v>74</v>
      </c>
      <c r="S1277" s="11">
        <v>43.7</v>
      </c>
      <c r="T1277" s="11">
        <v>22.58</v>
      </c>
      <c r="U1277" s="11" t="s">
        <v>51</v>
      </c>
      <c r="V1277" s="10" t="s">
        <v>52</v>
      </c>
      <c r="W1277" s="10" t="s">
        <v>12955</v>
      </c>
      <c r="X1277" s="10" t="s">
        <v>12956</v>
      </c>
      <c r="Y1277" s="10" t="s">
        <v>12957</v>
      </c>
      <c r="Z1277" s="10" t="s">
        <v>50</v>
      </c>
      <c r="AA1277" s="10" t="s">
        <v>50</v>
      </c>
      <c r="AB1277" s="10" t="s">
        <v>12955</v>
      </c>
      <c r="AC1277" s="10" t="s">
        <v>12958</v>
      </c>
      <c r="AD1277" s="10" t="s">
        <v>12959</v>
      </c>
      <c r="AE1277" s="10" t="s">
        <v>12960</v>
      </c>
      <c r="AF1277" s="10" t="s">
        <v>185</v>
      </c>
      <c r="AG1277" s="10" t="s">
        <v>12961</v>
      </c>
      <c r="AH1277" s="10" t="s">
        <v>60</v>
      </c>
      <c r="AI1277" s="10" t="s">
        <v>61</v>
      </c>
      <c r="AJ1277" s="10" t="s">
        <v>12902</v>
      </c>
      <c r="AK1277" s="10" t="s">
        <v>12962</v>
      </c>
      <c r="AL1277" s="10" t="s">
        <v>64</v>
      </c>
      <c r="AM1277" s="10" t="s">
        <v>12963</v>
      </c>
      <c r="AN1277" s="10" t="s">
        <v>50</v>
      </c>
      <c r="AO1277" s="11" t="s">
        <v>50</v>
      </c>
      <c r="AP1277" s="10" t="s">
        <v>50</v>
      </c>
      <c r="AQ1277" s="10" t="s">
        <v>50</v>
      </c>
      <c r="AR1277" s="10" t="s">
        <v>50</v>
      </c>
      <c r="AS1277" s="10" t="s">
        <v>50</v>
      </c>
      <c r="AT1277" s="10" t="s">
        <v>50</v>
      </c>
      <c r="AU1277" s="10" t="s">
        <v>50</v>
      </c>
      <c r="AV1277" s="11"/>
      <c r="AW1277" s="10" t="s">
        <v>66</v>
      </c>
      <c r="AX1277" s="10"/>
      <c r="AY1277" s="10" t="s">
        <v>66</v>
      </c>
    </row>
    <row r="1278" ht="22.5" hidden="1" customHeight="1">
      <c r="A1278" s="9" t="s">
        <v>12964</v>
      </c>
      <c r="B1278" s="10" t="s">
        <v>12965</v>
      </c>
      <c r="C1278" s="10" t="s">
        <v>43</v>
      </c>
      <c r="D1278" s="10" t="s">
        <v>9839</v>
      </c>
      <c r="E1278" s="10" t="s">
        <v>66</v>
      </c>
      <c r="F1278" s="11">
        <v>1.0</v>
      </c>
      <c r="G1278" s="11">
        <v>79.2</v>
      </c>
      <c r="H1278" s="11"/>
      <c r="I1278" s="11">
        <v>-13.46</v>
      </c>
      <c r="J1278" s="11">
        <v>-20.45</v>
      </c>
      <c r="K1278" s="11"/>
      <c r="L1278" s="11">
        <v>45.29</v>
      </c>
      <c r="M1278" s="10" t="s">
        <v>46</v>
      </c>
      <c r="N1278" s="10" t="s">
        <v>50</v>
      </c>
      <c r="O1278" s="10" t="s">
        <v>412</v>
      </c>
      <c r="P1278" s="10" t="s">
        <v>413</v>
      </c>
      <c r="Q1278" s="10" t="s">
        <v>414</v>
      </c>
      <c r="R1278" s="10" t="s">
        <v>415</v>
      </c>
      <c r="S1278" s="11">
        <v>79.2</v>
      </c>
      <c r="T1278" s="11">
        <v>10.05</v>
      </c>
      <c r="U1278" s="11" t="s">
        <v>51</v>
      </c>
      <c r="V1278" s="10" t="s">
        <v>52</v>
      </c>
      <c r="W1278" s="10" t="s">
        <v>12966</v>
      </c>
      <c r="X1278" s="10" t="s">
        <v>12967</v>
      </c>
      <c r="Y1278" s="10" t="s">
        <v>12968</v>
      </c>
      <c r="Z1278" s="10" t="s">
        <v>50</v>
      </c>
      <c r="AA1278" s="10" t="s">
        <v>50</v>
      </c>
      <c r="AB1278" s="10" t="s">
        <v>12966</v>
      </c>
      <c r="AC1278" s="10" t="s">
        <v>12969</v>
      </c>
      <c r="AD1278" s="10" t="s">
        <v>12970</v>
      </c>
      <c r="AE1278" s="10" t="s">
        <v>12971</v>
      </c>
      <c r="AF1278" s="10" t="s">
        <v>284</v>
      </c>
      <c r="AG1278" s="10" t="s">
        <v>12972</v>
      </c>
      <c r="AH1278" s="10" t="s">
        <v>60</v>
      </c>
      <c r="AI1278" s="10" t="s">
        <v>61</v>
      </c>
      <c r="AJ1278" s="10" t="s">
        <v>12702</v>
      </c>
      <c r="AK1278" s="10" t="s">
        <v>12973</v>
      </c>
      <c r="AL1278" s="10" t="s">
        <v>64</v>
      </c>
      <c r="AM1278" s="10" t="s">
        <v>12974</v>
      </c>
      <c r="AN1278" s="10" t="s">
        <v>50</v>
      </c>
      <c r="AO1278" s="11" t="s">
        <v>50</v>
      </c>
      <c r="AP1278" s="10" t="s">
        <v>50</v>
      </c>
      <c r="AQ1278" s="10" t="s">
        <v>50</v>
      </c>
      <c r="AR1278" s="10" t="s">
        <v>50</v>
      </c>
      <c r="AS1278" s="10" t="s">
        <v>50</v>
      </c>
      <c r="AT1278" s="10" t="s">
        <v>50</v>
      </c>
      <c r="AU1278" s="10" t="s">
        <v>50</v>
      </c>
      <c r="AV1278" s="11"/>
      <c r="AW1278" s="10" t="s">
        <v>66</v>
      </c>
      <c r="AX1278" s="10"/>
      <c r="AY1278" s="10" t="s">
        <v>66</v>
      </c>
    </row>
    <row r="1279" ht="22.5" hidden="1" customHeight="1">
      <c r="A1279" s="9" t="s">
        <v>12975</v>
      </c>
      <c r="B1279" s="10" t="s">
        <v>12976</v>
      </c>
      <c r="C1279" s="10" t="s">
        <v>43</v>
      </c>
      <c r="D1279" s="10" t="s">
        <v>12217</v>
      </c>
      <c r="E1279" s="10" t="s">
        <v>45</v>
      </c>
      <c r="F1279" s="11">
        <v>2.0</v>
      </c>
      <c r="G1279" s="11">
        <v>87.4</v>
      </c>
      <c r="H1279" s="11"/>
      <c r="I1279" s="11">
        <v>-26.86</v>
      </c>
      <c r="J1279" s="11"/>
      <c r="K1279" s="11"/>
      <c r="L1279" s="11">
        <v>65.78</v>
      </c>
      <c r="M1279" s="10" t="s">
        <v>12218</v>
      </c>
      <c r="N1279" s="10" t="s">
        <v>50</v>
      </c>
      <c r="O1279" s="10" t="s">
        <v>176</v>
      </c>
      <c r="P1279" s="10" t="s">
        <v>177</v>
      </c>
      <c r="Q1279" s="10" t="s">
        <v>178</v>
      </c>
      <c r="R1279" s="10" t="s">
        <v>74</v>
      </c>
      <c r="S1279" s="11">
        <v>43.7</v>
      </c>
      <c r="T1279" s="11">
        <f>2*22.58</f>
        <v>45.16</v>
      </c>
      <c r="U1279" s="11" t="s">
        <v>51</v>
      </c>
      <c r="V1279" s="10" t="s">
        <v>52</v>
      </c>
      <c r="W1279" s="10" t="s">
        <v>12977</v>
      </c>
      <c r="X1279" s="10" t="s">
        <v>12978</v>
      </c>
      <c r="Y1279" s="10" t="s">
        <v>12979</v>
      </c>
      <c r="Z1279" s="10" t="s">
        <v>50</v>
      </c>
      <c r="AA1279" s="10" t="s">
        <v>50</v>
      </c>
      <c r="AB1279" s="10" t="s">
        <v>12977</v>
      </c>
      <c r="AC1279" s="10" t="s">
        <v>12980</v>
      </c>
      <c r="AD1279" s="10" t="s">
        <v>12981</v>
      </c>
      <c r="AE1279" s="10" t="s">
        <v>12982</v>
      </c>
      <c r="AF1279" s="10" t="s">
        <v>58</v>
      </c>
      <c r="AG1279" s="10" t="s">
        <v>12983</v>
      </c>
      <c r="AH1279" s="10" t="s">
        <v>60</v>
      </c>
      <c r="AI1279" s="10" t="s">
        <v>61</v>
      </c>
      <c r="AJ1279" s="10" t="s">
        <v>12984</v>
      </c>
      <c r="AK1279" s="10" t="s">
        <v>12985</v>
      </c>
      <c r="AL1279" s="10" t="s">
        <v>64</v>
      </c>
      <c r="AM1279" s="10" t="s">
        <v>12986</v>
      </c>
      <c r="AN1279" s="10" t="s">
        <v>50</v>
      </c>
      <c r="AO1279" s="11" t="s">
        <v>50</v>
      </c>
      <c r="AP1279" s="10" t="s">
        <v>50</v>
      </c>
      <c r="AQ1279" s="10" t="s">
        <v>50</v>
      </c>
      <c r="AR1279" s="10" t="s">
        <v>50</v>
      </c>
      <c r="AS1279" s="10" t="s">
        <v>50</v>
      </c>
      <c r="AT1279" s="10" t="s">
        <v>50</v>
      </c>
      <c r="AU1279" s="10" t="s">
        <v>50</v>
      </c>
      <c r="AV1279" s="11"/>
      <c r="AW1279" s="10" t="s">
        <v>66</v>
      </c>
      <c r="AX1279" s="10"/>
      <c r="AY1279" s="10" t="s">
        <v>66</v>
      </c>
    </row>
    <row r="1280" ht="22.5" hidden="1" customHeight="1">
      <c r="A1280" s="12" t="s">
        <v>12987</v>
      </c>
      <c r="B1280" s="13" t="s">
        <v>12988</v>
      </c>
      <c r="C1280" s="13" t="s">
        <v>747</v>
      </c>
      <c r="D1280" s="13" t="s">
        <v>50</v>
      </c>
      <c r="E1280" s="13" t="s">
        <v>50</v>
      </c>
      <c r="F1280" s="14"/>
      <c r="G1280" s="14">
        <v>159.3</v>
      </c>
      <c r="H1280" s="14"/>
      <c r="I1280" s="14">
        <v>-27.08</v>
      </c>
      <c r="J1280" s="14">
        <v>-40.9</v>
      </c>
      <c r="K1280" s="14"/>
      <c r="L1280" s="14">
        <v>91.32</v>
      </c>
      <c r="M1280" s="13" t="s">
        <v>46</v>
      </c>
      <c r="N1280" s="13" t="s">
        <v>50</v>
      </c>
      <c r="O1280" s="13" t="s">
        <v>50</v>
      </c>
      <c r="P1280" s="13" t="s">
        <v>50</v>
      </c>
      <c r="Q1280" s="13" t="s">
        <v>50</v>
      </c>
      <c r="R1280" s="13" t="s">
        <v>50</v>
      </c>
      <c r="S1280" s="14"/>
      <c r="T1280" s="11">
        <v>2.49</v>
      </c>
      <c r="U1280" s="14" t="s">
        <v>50</v>
      </c>
      <c r="V1280" s="13" t="s">
        <v>52</v>
      </c>
      <c r="W1280" s="13" t="s">
        <v>12989</v>
      </c>
      <c r="X1280" s="13" t="s">
        <v>12990</v>
      </c>
      <c r="Y1280" s="13" t="s">
        <v>12991</v>
      </c>
      <c r="Z1280" s="13" t="s">
        <v>50</v>
      </c>
      <c r="AA1280" s="13" t="s">
        <v>50</v>
      </c>
      <c r="AB1280" s="13" t="s">
        <v>12989</v>
      </c>
      <c r="AC1280" s="13" t="s">
        <v>12992</v>
      </c>
      <c r="AD1280" s="13" t="s">
        <v>12993</v>
      </c>
      <c r="AE1280" s="13" t="s">
        <v>504</v>
      </c>
      <c r="AF1280" s="13" t="s">
        <v>323</v>
      </c>
      <c r="AG1280" s="13" t="s">
        <v>12994</v>
      </c>
      <c r="AH1280" s="13" t="s">
        <v>60</v>
      </c>
      <c r="AI1280" s="13" t="s">
        <v>61</v>
      </c>
      <c r="AJ1280" s="13" t="s">
        <v>12995</v>
      </c>
      <c r="AK1280" s="13" t="s">
        <v>12996</v>
      </c>
      <c r="AL1280" s="13" t="s">
        <v>64</v>
      </c>
      <c r="AM1280" s="13" t="s">
        <v>12997</v>
      </c>
      <c r="AN1280" s="13" t="s">
        <v>50</v>
      </c>
      <c r="AO1280" s="15" t="s">
        <v>50</v>
      </c>
      <c r="AP1280" s="13" t="s">
        <v>50</v>
      </c>
      <c r="AQ1280" s="13" t="s">
        <v>50</v>
      </c>
      <c r="AR1280" s="13" t="s">
        <v>50</v>
      </c>
      <c r="AS1280" s="13" t="s">
        <v>50</v>
      </c>
      <c r="AT1280" s="13" t="s">
        <v>50</v>
      </c>
      <c r="AU1280" s="13" t="s">
        <v>50</v>
      </c>
      <c r="AV1280" s="15"/>
      <c r="AW1280" s="13" t="s">
        <v>50</v>
      </c>
      <c r="AX1280" s="13"/>
      <c r="AY1280" s="13" t="s">
        <v>50</v>
      </c>
    </row>
    <row r="1281" ht="22.5" hidden="1" customHeight="1">
      <c r="A1281" s="16" t="s">
        <v>12998</v>
      </c>
      <c r="B1281" s="17" t="s">
        <v>12988</v>
      </c>
      <c r="C1281" s="17" t="s">
        <v>43</v>
      </c>
      <c r="D1281" s="17" t="s">
        <v>12217</v>
      </c>
      <c r="E1281" s="17" t="s">
        <v>45</v>
      </c>
      <c r="F1281" s="18">
        <v>1.0</v>
      </c>
      <c r="G1281" s="18"/>
      <c r="H1281" s="18"/>
      <c r="I1281" s="18"/>
      <c r="J1281" s="18"/>
      <c r="K1281" s="18"/>
      <c r="L1281" s="18"/>
      <c r="M1281" s="17" t="s">
        <v>50</v>
      </c>
      <c r="N1281" s="17" t="s">
        <v>45</v>
      </c>
      <c r="O1281" s="17" t="s">
        <v>127</v>
      </c>
      <c r="P1281" s="17" t="s">
        <v>128</v>
      </c>
      <c r="Q1281" s="17" t="s">
        <v>129</v>
      </c>
      <c r="R1281" s="17" t="s">
        <v>74</v>
      </c>
      <c r="S1281" s="18">
        <v>80.3</v>
      </c>
      <c r="T1281" s="18">
        <v>17.68</v>
      </c>
      <c r="U1281" s="18" t="s">
        <v>51</v>
      </c>
      <c r="V1281" s="17" t="s">
        <v>50</v>
      </c>
      <c r="W1281" s="17" t="s">
        <v>50</v>
      </c>
      <c r="X1281" s="17" t="s">
        <v>50</v>
      </c>
      <c r="Y1281" s="17" t="s">
        <v>50</v>
      </c>
      <c r="Z1281" s="17" t="s">
        <v>50</v>
      </c>
      <c r="AA1281" s="17" t="s">
        <v>50</v>
      </c>
      <c r="AB1281" s="17" t="s">
        <v>50</v>
      </c>
      <c r="AC1281" s="17" t="s">
        <v>50</v>
      </c>
      <c r="AD1281" s="17" t="s">
        <v>50</v>
      </c>
      <c r="AE1281" s="17" t="s">
        <v>50</v>
      </c>
      <c r="AF1281" s="17" t="s">
        <v>50</v>
      </c>
      <c r="AG1281" s="17" t="s">
        <v>50</v>
      </c>
      <c r="AH1281" s="17" t="s">
        <v>50</v>
      </c>
      <c r="AI1281" s="17" t="s">
        <v>50</v>
      </c>
      <c r="AJ1281" s="17" t="s">
        <v>50</v>
      </c>
      <c r="AK1281" s="17" t="s">
        <v>50</v>
      </c>
      <c r="AL1281" s="17" t="s">
        <v>50</v>
      </c>
      <c r="AM1281" s="17" t="s">
        <v>50</v>
      </c>
      <c r="AN1281" s="17" t="s">
        <v>50</v>
      </c>
      <c r="AO1281" s="18" t="s">
        <v>50</v>
      </c>
      <c r="AP1281" s="17" t="s">
        <v>50</v>
      </c>
      <c r="AQ1281" s="17" t="s">
        <v>50</v>
      </c>
      <c r="AR1281" s="17" t="s">
        <v>50</v>
      </c>
      <c r="AS1281" s="17" t="s">
        <v>50</v>
      </c>
      <c r="AT1281" s="17" t="s">
        <v>50</v>
      </c>
      <c r="AU1281" s="17" t="s">
        <v>50</v>
      </c>
      <c r="AV1281" s="18"/>
      <c r="AW1281" s="17" t="s">
        <v>66</v>
      </c>
      <c r="AX1281" s="17"/>
      <c r="AY1281" s="17" t="s">
        <v>66</v>
      </c>
    </row>
    <row r="1282" ht="22.5" hidden="1" customHeight="1">
      <c r="A1282" s="16" t="s">
        <v>12999</v>
      </c>
      <c r="B1282" s="17" t="s">
        <v>12988</v>
      </c>
      <c r="C1282" s="17" t="s">
        <v>43</v>
      </c>
      <c r="D1282" s="17" t="s">
        <v>12217</v>
      </c>
      <c r="E1282" s="17" t="s">
        <v>45</v>
      </c>
      <c r="F1282" s="18">
        <v>1.0</v>
      </c>
      <c r="G1282" s="18"/>
      <c r="H1282" s="18"/>
      <c r="I1282" s="18"/>
      <c r="J1282" s="18"/>
      <c r="K1282" s="18"/>
      <c r="L1282" s="18"/>
      <c r="M1282" s="17" t="s">
        <v>50</v>
      </c>
      <c r="N1282" s="17" t="s">
        <v>45</v>
      </c>
      <c r="O1282" s="17" t="s">
        <v>461</v>
      </c>
      <c r="P1282" s="17" t="s">
        <v>462</v>
      </c>
      <c r="Q1282" s="17" t="s">
        <v>463</v>
      </c>
      <c r="R1282" s="17" t="s">
        <v>74</v>
      </c>
      <c r="S1282" s="18">
        <v>79.0</v>
      </c>
      <c r="T1282" s="18">
        <v>10.09</v>
      </c>
      <c r="U1282" s="18" t="s">
        <v>51</v>
      </c>
      <c r="V1282" s="17" t="s">
        <v>50</v>
      </c>
      <c r="W1282" s="17" t="s">
        <v>50</v>
      </c>
      <c r="X1282" s="17" t="s">
        <v>50</v>
      </c>
      <c r="Y1282" s="17" t="s">
        <v>50</v>
      </c>
      <c r="Z1282" s="17" t="s">
        <v>50</v>
      </c>
      <c r="AA1282" s="17" t="s">
        <v>50</v>
      </c>
      <c r="AB1282" s="17" t="s">
        <v>50</v>
      </c>
      <c r="AC1282" s="17" t="s">
        <v>50</v>
      </c>
      <c r="AD1282" s="17" t="s">
        <v>50</v>
      </c>
      <c r="AE1282" s="17" t="s">
        <v>50</v>
      </c>
      <c r="AF1282" s="17" t="s">
        <v>50</v>
      </c>
      <c r="AG1282" s="17" t="s">
        <v>50</v>
      </c>
      <c r="AH1282" s="17" t="s">
        <v>50</v>
      </c>
      <c r="AI1282" s="17" t="s">
        <v>50</v>
      </c>
      <c r="AJ1282" s="17" t="s">
        <v>50</v>
      </c>
      <c r="AK1282" s="17" t="s">
        <v>50</v>
      </c>
      <c r="AL1282" s="17" t="s">
        <v>50</v>
      </c>
      <c r="AM1282" s="17" t="s">
        <v>50</v>
      </c>
      <c r="AN1282" s="17" t="s">
        <v>50</v>
      </c>
      <c r="AO1282" s="18" t="s">
        <v>50</v>
      </c>
      <c r="AP1282" s="17" t="s">
        <v>50</v>
      </c>
      <c r="AQ1282" s="17" t="s">
        <v>50</v>
      </c>
      <c r="AR1282" s="17" t="s">
        <v>50</v>
      </c>
      <c r="AS1282" s="17" t="s">
        <v>50</v>
      </c>
      <c r="AT1282" s="17" t="s">
        <v>50</v>
      </c>
      <c r="AU1282" s="17" t="s">
        <v>50</v>
      </c>
      <c r="AV1282" s="18"/>
      <c r="AW1282" s="17" t="s">
        <v>66</v>
      </c>
      <c r="AX1282" s="17"/>
      <c r="AY1282" s="17" t="s">
        <v>66</v>
      </c>
    </row>
    <row r="1283" ht="22.5" hidden="1" customHeight="1">
      <c r="A1283" s="9" t="s">
        <v>13000</v>
      </c>
      <c r="B1283" s="10" t="s">
        <v>13001</v>
      </c>
      <c r="C1283" s="10" t="s">
        <v>13002</v>
      </c>
      <c r="D1283" s="10" t="s">
        <v>13003</v>
      </c>
      <c r="E1283" s="10" t="s">
        <v>66</v>
      </c>
      <c r="F1283" s="11">
        <v>1.0</v>
      </c>
      <c r="G1283" s="11">
        <v>79.2</v>
      </c>
      <c r="H1283" s="11"/>
      <c r="I1283" s="11">
        <v>-13.46</v>
      </c>
      <c r="J1283" s="11"/>
      <c r="K1283" s="11">
        <v>-65.74</v>
      </c>
      <c r="L1283" s="11">
        <v>0.0</v>
      </c>
      <c r="M1283" s="10" t="s">
        <v>12218</v>
      </c>
      <c r="N1283" s="10" t="s">
        <v>50</v>
      </c>
      <c r="O1283" s="10" t="s">
        <v>892</v>
      </c>
      <c r="P1283" s="10" t="s">
        <v>893</v>
      </c>
      <c r="Q1283" s="10" t="s">
        <v>894</v>
      </c>
      <c r="R1283" s="10" t="s">
        <v>74</v>
      </c>
      <c r="S1283" s="11">
        <v>79.2</v>
      </c>
      <c r="T1283" s="11"/>
      <c r="U1283" s="11" t="s">
        <v>51</v>
      </c>
      <c r="V1283" s="10" t="s">
        <v>50</v>
      </c>
      <c r="W1283" s="10" t="s">
        <v>13004</v>
      </c>
      <c r="X1283" s="10" t="s">
        <v>13005</v>
      </c>
      <c r="Y1283" s="10" t="s">
        <v>50</v>
      </c>
      <c r="Z1283" s="10" t="s">
        <v>50</v>
      </c>
      <c r="AA1283" s="10" t="s">
        <v>50</v>
      </c>
      <c r="AB1283" s="10" t="s">
        <v>13004</v>
      </c>
      <c r="AC1283" s="10" t="s">
        <v>13006</v>
      </c>
      <c r="AD1283" s="10" t="s">
        <v>50</v>
      </c>
      <c r="AE1283" s="10" t="s">
        <v>50</v>
      </c>
      <c r="AF1283" s="10" t="s">
        <v>50</v>
      </c>
      <c r="AG1283" s="10" t="s">
        <v>50</v>
      </c>
      <c r="AH1283" s="10" t="s">
        <v>50</v>
      </c>
      <c r="AI1283" s="10" t="s">
        <v>13007</v>
      </c>
      <c r="AJ1283" s="10" t="s">
        <v>50</v>
      </c>
      <c r="AK1283" s="10" t="s">
        <v>50</v>
      </c>
      <c r="AL1283" s="10" t="s">
        <v>50</v>
      </c>
      <c r="AM1283" s="10" t="s">
        <v>50</v>
      </c>
      <c r="AN1283" s="10" t="s">
        <v>50</v>
      </c>
      <c r="AO1283" s="11" t="s">
        <v>50</v>
      </c>
      <c r="AP1283" s="10" t="s">
        <v>50</v>
      </c>
      <c r="AQ1283" s="10" t="s">
        <v>50</v>
      </c>
      <c r="AR1283" s="10" t="s">
        <v>50</v>
      </c>
      <c r="AS1283" s="10" t="s">
        <v>50</v>
      </c>
      <c r="AT1283" s="10" t="s">
        <v>50</v>
      </c>
      <c r="AU1283" s="10" t="s">
        <v>50</v>
      </c>
      <c r="AV1283" s="11"/>
      <c r="AW1283" s="10" t="s">
        <v>66</v>
      </c>
      <c r="AX1283" s="10">
        <v>1.0</v>
      </c>
      <c r="AY1283" s="10" t="s">
        <v>66</v>
      </c>
    </row>
    <row r="1284" ht="22.5" hidden="1" customHeight="1">
      <c r="A1284" s="9" t="s">
        <v>13008</v>
      </c>
      <c r="B1284" s="10" t="s">
        <v>13009</v>
      </c>
      <c r="C1284" s="10" t="s">
        <v>43</v>
      </c>
      <c r="D1284" s="10" t="s">
        <v>7693</v>
      </c>
      <c r="E1284" s="10" t="s">
        <v>66</v>
      </c>
      <c r="F1284" s="11">
        <v>1.0</v>
      </c>
      <c r="G1284" s="11">
        <v>80.6</v>
      </c>
      <c r="H1284" s="11">
        <v>29.9</v>
      </c>
      <c r="I1284" s="11">
        <v>-13.7</v>
      </c>
      <c r="J1284" s="11">
        <v>-50.35</v>
      </c>
      <c r="K1284" s="11"/>
      <c r="L1284" s="11">
        <v>46.45</v>
      </c>
      <c r="M1284" s="10" t="s">
        <v>46</v>
      </c>
      <c r="N1284" s="10" t="s">
        <v>45</v>
      </c>
      <c r="O1284" s="10" t="s">
        <v>265</v>
      </c>
      <c r="P1284" s="10" t="s">
        <v>266</v>
      </c>
      <c r="Q1284" s="10" t="s">
        <v>267</v>
      </c>
      <c r="R1284" s="10" t="s">
        <v>74</v>
      </c>
      <c r="S1284" s="11">
        <v>80.6</v>
      </c>
      <c r="T1284" s="11">
        <v>26.22</v>
      </c>
      <c r="U1284" s="11" t="s">
        <v>51</v>
      </c>
      <c r="V1284" s="10" t="s">
        <v>52</v>
      </c>
      <c r="W1284" s="10" t="s">
        <v>13010</v>
      </c>
      <c r="X1284" s="10" t="s">
        <v>13011</v>
      </c>
      <c r="Y1284" s="10" t="s">
        <v>13012</v>
      </c>
      <c r="Z1284" s="10" t="s">
        <v>50</v>
      </c>
      <c r="AA1284" s="10" t="s">
        <v>50</v>
      </c>
      <c r="AB1284" s="10" t="s">
        <v>13010</v>
      </c>
      <c r="AC1284" s="10" t="s">
        <v>13013</v>
      </c>
      <c r="AD1284" s="10" t="s">
        <v>13014</v>
      </c>
      <c r="AE1284" s="10" t="s">
        <v>13015</v>
      </c>
      <c r="AF1284" s="10" t="s">
        <v>561</v>
      </c>
      <c r="AG1284" s="10" t="s">
        <v>13016</v>
      </c>
      <c r="AH1284" s="10" t="s">
        <v>60</v>
      </c>
      <c r="AI1284" s="10" t="s">
        <v>61</v>
      </c>
      <c r="AJ1284" s="10" t="s">
        <v>13017</v>
      </c>
      <c r="AK1284" s="10" t="s">
        <v>13018</v>
      </c>
      <c r="AL1284" s="10" t="s">
        <v>2113</v>
      </c>
      <c r="AM1284" s="10" t="s">
        <v>13019</v>
      </c>
      <c r="AN1284" s="10" t="s">
        <v>13020</v>
      </c>
      <c r="AO1284" s="11" t="s">
        <v>50</v>
      </c>
      <c r="AP1284" s="10" t="s">
        <v>50</v>
      </c>
      <c r="AQ1284" s="10" t="s">
        <v>50</v>
      </c>
      <c r="AR1284" s="10" t="s">
        <v>50</v>
      </c>
      <c r="AS1284" s="10" t="s">
        <v>50</v>
      </c>
      <c r="AT1284" s="10" t="s">
        <v>50</v>
      </c>
      <c r="AU1284" s="10" t="s">
        <v>50</v>
      </c>
      <c r="AV1284" s="11"/>
      <c r="AW1284" s="10" t="s">
        <v>66</v>
      </c>
      <c r="AX1284" s="10"/>
      <c r="AY1284" s="10" t="s">
        <v>66</v>
      </c>
    </row>
    <row r="1285" ht="22.5" hidden="1" customHeight="1">
      <c r="A1285" s="9" t="s">
        <v>13021</v>
      </c>
      <c r="B1285" s="10" t="s">
        <v>13022</v>
      </c>
      <c r="C1285" s="10" t="s">
        <v>43</v>
      </c>
      <c r="D1285" s="10" t="s">
        <v>12217</v>
      </c>
      <c r="E1285" s="10" t="s">
        <v>66</v>
      </c>
      <c r="F1285" s="11">
        <v>1.0</v>
      </c>
      <c r="G1285" s="11">
        <v>79.0</v>
      </c>
      <c r="H1285" s="11"/>
      <c r="I1285" s="11">
        <v>-13.43</v>
      </c>
      <c r="J1285" s="11">
        <v>-20.45</v>
      </c>
      <c r="K1285" s="11"/>
      <c r="L1285" s="11">
        <v>45.12</v>
      </c>
      <c r="M1285" s="10" t="s">
        <v>46</v>
      </c>
      <c r="N1285" s="10" t="s">
        <v>50</v>
      </c>
      <c r="O1285" s="10" t="s">
        <v>160</v>
      </c>
      <c r="P1285" s="10" t="s">
        <v>161</v>
      </c>
      <c r="Q1285" s="10" t="s">
        <v>162</v>
      </c>
      <c r="R1285" s="10" t="s">
        <v>74</v>
      </c>
      <c r="S1285" s="11">
        <v>79.0</v>
      </c>
      <c r="T1285" s="11">
        <v>2.49</v>
      </c>
      <c r="U1285" s="11" t="s">
        <v>51</v>
      </c>
      <c r="V1285" s="10" t="s">
        <v>52</v>
      </c>
      <c r="W1285" s="10" t="s">
        <v>13023</v>
      </c>
      <c r="X1285" s="10" t="s">
        <v>13024</v>
      </c>
      <c r="Y1285" s="10" t="s">
        <v>13025</v>
      </c>
      <c r="Z1285" s="10" t="s">
        <v>50</v>
      </c>
      <c r="AA1285" s="10" t="s">
        <v>50</v>
      </c>
      <c r="AB1285" s="10" t="s">
        <v>13023</v>
      </c>
      <c r="AC1285" s="10" t="s">
        <v>13026</v>
      </c>
      <c r="AD1285" s="10" t="s">
        <v>13027</v>
      </c>
      <c r="AE1285" s="10" t="s">
        <v>235</v>
      </c>
      <c r="AF1285" s="10" t="s">
        <v>58</v>
      </c>
      <c r="AG1285" s="10" t="s">
        <v>13028</v>
      </c>
      <c r="AH1285" s="10" t="s">
        <v>60</v>
      </c>
      <c r="AI1285" s="10" t="s">
        <v>61</v>
      </c>
      <c r="AJ1285" s="10" t="s">
        <v>13029</v>
      </c>
      <c r="AK1285" s="10" t="s">
        <v>13030</v>
      </c>
      <c r="AL1285" s="10" t="s">
        <v>64</v>
      </c>
      <c r="AM1285" s="10" t="s">
        <v>13031</v>
      </c>
      <c r="AN1285" s="10" t="s">
        <v>13032</v>
      </c>
      <c r="AO1285" s="11" t="s">
        <v>50</v>
      </c>
      <c r="AP1285" s="10" t="s">
        <v>50</v>
      </c>
      <c r="AQ1285" s="10" t="s">
        <v>50</v>
      </c>
      <c r="AR1285" s="10" t="s">
        <v>50</v>
      </c>
      <c r="AS1285" s="10" t="s">
        <v>50</v>
      </c>
      <c r="AT1285" s="10" t="s">
        <v>50</v>
      </c>
      <c r="AU1285" s="10" t="s">
        <v>50</v>
      </c>
      <c r="AV1285" s="11"/>
      <c r="AW1285" s="10" t="s">
        <v>66</v>
      </c>
      <c r="AX1285" s="10"/>
      <c r="AY1285" s="10" t="s">
        <v>66</v>
      </c>
    </row>
    <row r="1286" ht="22.5" hidden="1" customHeight="1">
      <c r="A1286" s="19" t="s">
        <v>13033</v>
      </c>
      <c r="B1286" s="13" t="s">
        <v>13034</v>
      </c>
      <c r="C1286" s="13" t="s">
        <v>2866</v>
      </c>
      <c r="D1286" s="13" t="s">
        <v>50</v>
      </c>
      <c r="E1286" s="13" t="s">
        <v>50</v>
      </c>
      <c r="F1286" s="14"/>
      <c r="G1286" s="15"/>
      <c r="H1286" s="15"/>
      <c r="I1286" s="15"/>
      <c r="J1286" s="15"/>
      <c r="K1286" s="15"/>
      <c r="L1286" s="15"/>
      <c r="M1286" s="13" t="s">
        <v>12218</v>
      </c>
      <c r="N1286" s="13" t="s">
        <v>50</v>
      </c>
      <c r="O1286" s="13" t="s">
        <v>50</v>
      </c>
      <c r="P1286" s="13" t="s">
        <v>50</v>
      </c>
      <c r="Q1286" s="13" t="s">
        <v>50</v>
      </c>
      <c r="R1286" s="13" t="s">
        <v>50</v>
      </c>
      <c r="S1286" s="14"/>
      <c r="T1286" s="11"/>
      <c r="U1286" s="14" t="s">
        <v>50</v>
      </c>
      <c r="V1286" s="13" t="s">
        <v>52</v>
      </c>
      <c r="W1286" s="13" t="s">
        <v>13035</v>
      </c>
      <c r="X1286" s="13" t="s">
        <v>13036</v>
      </c>
      <c r="Y1286" s="13" t="s">
        <v>13037</v>
      </c>
      <c r="Z1286" s="13" t="s">
        <v>50</v>
      </c>
      <c r="AA1286" s="13" t="s">
        <v>50</v>
      </c>
      <c r="AB1286" s="13" t="s">
        <v>13035</v>
      </c>
      <c r="AC1286" s="13" t="s">
        <v>13038</v>
      </c>
      <c r="AD1286" s="13" t="s">
        <v>13039</v>
      </c>
      <c r="AE1286" s="13" t="s">
        <v>7803</v>
      </c>
      <c r="AF1286" s="13" t="s">
        <v>58</v>
      </c>
      <c r="AG1286" s="13" t="s">
        <v>13040</v>
      </c>
      <c r="AH1286" s="13" t="s">
        <v>60</v>
      </c>
      <c r="AI1286" s="13" t="s">
        <v>61</v>
      </c>
      <c r="AJ1286" s="13" t="s">
        <v>12902</v>
      </c>
      <c r="AK1286" s="13" t="s">
        <v>13041</v>
      </c>
      <c r="AL1286" s="13" t="s">
        <v>64</v>
      </c>
      <c r="AM1286" s="13" t="s">
        <v>13042</v>
      </c>
      <c r="AN1286" s="13" t="s">
        <v>50</v>
      </c>
      <c r="AO1286" s="15" t="s">
        <v>50</v>
      </c>
      <c r="AP1286" s="13" t="s">
        <v>50</v>
      </c>
      <c r="AQ1286" s="13" t="s">
        <v>50</v>
      </c>
      <c r="AR1286" s="13" t="s">
        <v>50</v>
      </c>
      <c r="AS1286" s="13" t="s">
        <v>50</v>
      </c>
      <c r="AT1286" s="13" t="s">
        <v>50</v>
      </c>
      <c r="AU1286" s="13" t="s">
        <v>50</v>
      </c>
      <c r="AV1286" s="15"/>
      <c r="AW1286" s="13" t="s">
        <v>50</v>
      </c>
      <c r="AX1286" s="13"/>
      <c r="AY1286" s="13" t="s">
        <v>50</v>
      </c>
    </row>
    <row r="1287" ht="22.5" hidden="1" customHeight="1">
      <c r="A1287" s="16" t="s">
        <v>13043</v>
      </c>
      <c r="B1287" s="17" t="s">
        <v>13034</v>
      </c>
      <c r="C1287" s="17" t="s">
        <v>43</v>
      </c>
      <c r="D1287" s="17" t="s">
        <v>12217</v>
      </c>
      <c r="E1287" s="17" t="s">
        <v>45</v>
      </c>
      <c r="F1287" s="18">
        <v>1.0</v>
      </c>
      <c r="G1287" s="18"/>
      <c r="H1287" s="18"/>
      <c r="I1287" s="18"/>
      <c r="J1287" s="18"/>
      <c r="K1287" s="18"/>
      <c r="L1287" s="18"/>
      <c r="M1287" s="17" t="s">
        <v>50</v>
      </c>
      <c r="N1287" s="17" t="s">
        <v>45</v>
      </c>
      <c r="O1287" s="17" t="s">
        <v>888</v>
      </c>
      <c r="P1287" s="17" t="s">
        <v>889</v>
      </c>
      <c r="Q1287" s="17" t="s">
        <v>890</v>
      </c>
      <c r="R1287" s="17" t="s">
        <v>74</v>
      </c>
      <c r="S1287" s="18">
        <v>46.55</v>
      </c>
      <c r="T1287" s="18">
        <v>16.46</v>
      </c>
      <c r="U1287" s="18" t="s">
        <v>51</v>
      </c>
      <c r="V1287" s="17" t="s">
        <v>50</v>
      </c>
      <c r="W1287" s="17" t="s">
        <v>50</v>
      </c>
      <c r="X1287" s="17" t="s">
        <v>50</v>
      </c>
      <c r="Y1287" s="17" t="s">
        <v>50</v>
      </c>
      <c r="Z1287" s="17" t="s">
        <v>50</v>
      </c>
      <c r="AA1287" s="17" t="s">
        <v>50</v>
      </c>
      <c r="AB1287" s="17" t="s">
        <v>50</v>
      </c>
      <c r="AC1287" s="17" t="s">
        <v>50</v>
      </c>
      <c r="AD1287" s="17" t="s">
        <v>50</v>
      </c>
      <c r="AE1287" s="17" t="s">
        <v>50</v>
      </c>
      <c r="AF1287" s="17" t="s">
        <v>50</v>
      </c>
      <c r="AG1287" s="17" t="s">
        <v>50</v>
      </c>
      <c r="AH1287" s="17" t="s">
        <v>50</v>
      </c>
      <c r="AI1287" s="17" t="s">
        <v>50</v>
      </c>
      <c r="AJ1287" s="17" t="s">
        <v>50</v>
      </c>
      <c r="AK1287" s="17" t="s">
        <v>50</v>
      </c>
      <c r="AL1287" s="17" t="s">
        <v>50</v>
      </c>
      <c r="AM1287" s="17" t="s">
        <v>50</v>
      </c>
      <c r="AN1287" s="17" t="s">
        <v>50</v>
      </c>
      <c r="AO1287" s="18" t="s">
        <v>50</v>
      </c>
      <c r="AP1287" s="17" t="s">
        <v>50</v>
      </c>
      <c r="AQ1287" s="17" t="s">
        <v>50</v>
      </c>
      <c r="AR1287" s="17" t="s">
        <v>50</v>
      </c>
      <c r="AS1287" s="17" t="s">
        <v>50</v>
      </c>
      <c r="AT1287" s="17" t="s">
        <v>50</v>
      </c>
      <c r="AU1287" s="17" t="s">
        <v>50</v>
      </c>
      <c r="AV1287" s="18"/>
      <c r="AW1287" s="17" t="s">
        <v>66</v>
      </c>
      <c r="AX1287" s="17"/>
      <c r="AY1287" s="17" t="s">
        <v>66</v>
      </c>
    </row>
    <row r="1288" ht="22.5" hidden="1" customHeight="1">
      <c r="A1288" s="16" t="s">
        <v>13044</v>
      </c>
      <c r="B1288" s="17" t="s">
        <v>13034</v>
      </c>
      <c r="C1288" s="17" t="s">
        <v>43</v>
      </c>
      <c r="D1288" s="17" t="s">
        <v>12217</v>
      </c>
      <c r="E1288" s="17" t="s">
        <v>45</v>
      </c>
      <c r="F1288" s="18">
        <v>1.0</v>
      </c>
      <c r="G1288" s="18"/>
      <c r="H1288" s="18"/>
      <c r="I1288" s="18"/>
      <c r="J1288" s="18"/>
      <c r="K1288" s="18"/>
      <c r="L1288" s="18"/>
      <c r="M1288" s="17" t="s">
        <v>50</v>
      </c>
      <c r="N1288" s="17" t="s">
        <v>45</v>
      </c>
      <c r="O1288" s="17" t="s">
        <v>85</v>
      </c>
      <c r="P1288" s="17" t="s">
        <v>86</v>
      </c>
      <c r="Q1288" s="17" t="s">
        <v>87</v>
      </c>
      <c r="R1288" s="17" t="s">
        <v>74</v>
      </c>
      <c r="S1288" s="18">
        <v>120.0</v>
      </c>
      <c r="T1288" s="18">
        <v>65.78</v>
      </c>
      <c r="U1288" s="18" t="s">
        <v>51</v>
      </c>
      <c r="V1288" s="17" t="s">
        <v>50</v>
      </c>
      <c r="W1288" s="17" t="s">
        <v>50</v>
      </c>
      <c r="X1288" s="17" t="s">
        <v>50</v>
      </c>
      <c r="Y1288" s="17" t="s">
        <v>50</v>
      </c>
      <c r="Z1288" s="17" t="s">
        <v>50</v>
      </c>
      <c r="AA1288" s="17" t="s">
        <v>50</v>
      </c>
      <c r="AB1288" s="17" t="s">
        <v>50</v>
      </c>
      <c r="AC1288" s="17" t="s">
        <v>50</v>
      </c>
      <c r="AD1288" s="17" t="s">
        <v>50</v>
      </c>
      <c r="AE1288" s="17" t="s">
        <v>50</v>
      </c>
      <c r="AF1288" s="17" t="s">
        <v>50</v>
      </c>
      <c r="AG1288" s="17" t="s">
        <v>50</v>
      </c>
      <c r="AH1288" s="17" t="s">
        <v>50</v>
      </c>
      <c r="AI1288" s="17" t="s">
        <v>50</v>
      </c>
      <c r="AJ1288" s="17" t="s">
        <v>50</v>
      </c>
      <c r="AK1288" s="17" t="s">
        <v>50</v>
      </c>
      <c r="AL1288" s="17" t="s">
        <v>50</v>
      </c>
      <c r="AM1288" s="17" t="s">
        <v>50</v>
      </c>
      <c r="AN1288" s="17" t="s">
        <v>50</v>
      </c>
      <c r="AO1288" s="18" t="s">
        <v>50</v>
      </c>
      <c r="AP1288" s="17" t="s">
        <v>50</v>
      </c>
      <c r="AQ1288" s="17" t="s">
        <v>50</v>
      </c>
      <c r="AR1288" s="17" t="s">
        <v>50</v>
      </c>
      <c r="AS1288" s="17" t="s">
        <v>50</v>
      </c>
      <c r="AT1288" s="17" t="s">
        <v>50</v>
      </c>
      <c r="AU1288" s="17" t="s">
        <v>50</v>
      </c>
      <c r="AV1288" s="18"/>
      <c r="AW1288" s="17" t="s">
        <v>66</v>
      </c>
      <c r="AX1288" s="17"/>
      <c r="AY1288" s="17" t="s">
        <v>66</v>
      </c>
    </row>
    <row r="1289" ht="22.5" hidden="1" customHeight="1">
      <c r="A1289" s="16" t="s">
        <v>13045</v>
      </c>
      <c r="B1289" s="17" t="s">
        <v>13034</v>
      </c>
      <c r="C1289" s="17" t="s">
        <v>43</v>
      </c>
      <c r="D1289" s="17" t="s">
        <v>12217</v>
      </c>
      <c r="E1289" s="17" t="s">
        <v>45</v>
      </c>
      <c r="F1289" s="18">
        <v>1.0</v>
      </c>
      <c r="G1289" s="18"/>
      <c r="H1289" s="18"/>
      <c r="I1289" s="18"/>
      <c r="J1289" s="18"/>
      <c r="K1289" s="18"/>
      <c r="L1289" s="18"/>
      <c r="M1289" s="17" t="s">
        <v>50</v>
      </c>
      <c r="N1289" s="17" t="s">
        <v>45</v>
      </c>
      <c r="O1289" s="17" t="s">
        <v>892</v>
      </c>
      <c r="P1289" s="17" t="s">
        <v>893</v>
      </c>
      <c r="Q1289" s="17" t="s">
        <v>894</v>
      </c>
      <c r="R1289" s="17" t="s">
        <v>74</v>
      </c>
      <c r="S1289" s="18">
        <v>79.2</v>
      </c>
      <c r="T1289" s="18">
        <v>2.97</v>
      </c>
      <c r="U1289" s="18" t="s">
        <v>51</v>
      </c>
      <c r="V1289" s="17" t="s">
        <v>50</v>
      </c>
      <c r="W1289" s="17" t="s">
        <v>50</v>
      </c>
      <c r="X1289" s="17" t="s">
        <v>50</v>
      </c>
      <c r="Y1289" s="17" t="s">
        <v>50</v>
      </c>
      <c r="Z1289" s="17" t="s">
        <v>50</v>
      </c>
      <c r="AA1289" s="17" t="s">
        <v>50</v>
      </c>
      <c r="AB1289" s="17" t="s">
        <v>50</v>
      </c>
      <c r="AC1289" s="17" t="s">
        <v>50</v>
      </c>
      <c r="AD1289" s="17" t="s">
        <v>50</v>
      </c>
      <c r="AE1289" s="17" t="s">
        <v>50</v>
      </c>
      <c r="AF1289" s="17" t="s">
        <v>50</v>
      </c>
      <c r="AG1289" s="17" t="s">
        <v>50</v>
      </c>
      <c r="AH1289" s="17" t="s">
        <v>50</v>
      </c>
      <c r="AI1289" s="17" t="s">
        <v>50</v>
      </c>
      <c r="AJ1289" s="17" t="s">
        <v>50</v>
      </c>
      <c r="AK1289" s="17" t="s">
        <v>50</v>
      </c>
      <c r="AL1289" s="17" t="s">
        <v>50</v>
      </c>
      <c r="AM1289" s="17" t="s">
        <v>50</v>
      </c>
      <c r="AN1289" s="17" t="s">
        <v>50</v>
      </c>
      <c r="AO1289" s="18" t="s">
        <v>50</v>
      </c>
      <c r="AP1289" s="17" t="s">
        <v>50</v>
      </c>
      <c r="AQ1289" s="17" t="s">
        <v>50</v>
      </c>
      <c r="AR1289" s="17" t="s">
        <v>50</v>
      </c>
      <c r="AS1289" s="17" t="s">
        <v>50</v>
      </c>
      <c r="AT1289" s="17" t="s">
        <v>50</v>
      </c>
      <c r="AU1289" s="17" t="s">
        <v>50</v>
      </c>
      <c r="AV1289" s="18"/>
      <c r="AW1289" s="17" t="s">
        <v>66</v>
      </c>
      <c r="AX1289" s="17"/>
      <c r="AY1289" s="17" t="s">
        <v>66</v>
      </c>
    </row>
    <row r="1290" ht="22.5" hidden="1" customHeight="1">
      <c r="A1290" s="16" t="s">
        <v>13046</v>
      </c>
      <c r="B1290" s="17" t="s">
        <v>13034</v>
      </c>
      <c r="C1290" s="17" t="s">
        <v>43</v>
      </c>
      <c r="D1290" s="17" t="s">
        <v>12217</v>
      </c>
      <c r="E1290" s="17" t="s">
        <v>45</v>
      </c>
      <c r="F1290" s="18">
        <v>1.0</v>
      </c>
      <c r="G1290" s="18"/>
      <c r="H1290" s="18"/>
      <c r="I1290" s="18"/>
      <c r="J1290" s="18"/>
      <c r="K1290" s="18"/>
      <c r="L1290" s="18"/>
      <c r="M1290" s="17" t="s">
        <v>50</v>
      </c>
      <c r="N1290" s="17" t="s">
        <v>45</v>
      </c>
      <c r="O1290" s="17" t="s">
        <v>5094</v>
      </c>
      <c r="P1290" s="17" t="s">
        <v>5095</v>
      </c>
      <c r="Q1290" s="17" t="s">
        <v>5096</v>
      </c>
      <c r="R1290" s="17" t="s">
        <v>74</v>
      </c>
      <c r="S1290" s="18">
        <v>90.0</v>
      </c>
      <c r="T1290" s="18">
        <v>39.99</v>
      </c>
      <c r="U1290" s="18" t="s">
        <v>51</v>
      </c>
      <c r="V1290" s="17" t="s">
        <v>50</v>
      </c>
      <c r="W1290" s="17" t="s">
        <v>50</v>
      </c>
      <c r="X1290" s="17" t="s">
        <v>50</v>
      </c>
      <c r="Y1290" s="17" t="s">
        <v>50</v>
      </c>
      <c r="Z1290" s="17" t="s">
        <v>50</v>
      </c>
      <c r="AA1290" s="17" t="s">
        <v>50</v>
      </c>
      <c r="AB1290" s="17" t="s">
        <v>50</v>
      </c>
      <c r="AC1290" s="17" t="s">
        <v>50</v>
      </c>
      <c r="AD1290" s="17" t="s">
        <v>50</v>
      </c>
      <c r="AE1290" s="17" t="s">
        <v>50</v>
      </c>
      <c r="AF1290" s="17" t="s">
        <v>50</v>
      </c>
      <c r="AG1290" s="17" t="s">
        <v>50</v>
      </c>
      <c r="AH1290" s="17" t="s">
        <v>50</v>
      </c>
      <c r="AI1290" s="17" t="s">
        <v>50</v>
      </c>
      <c r="AJ1290" s="17" t="s">
        <v>50</v>
      </c>
      <c r="AK1290" s="17" t="s">
        <v>50</v>
      </c>
      <c r="AL1290" s="17" t="s">
        <v>50</v>
      </c>
      <c r="AM1290" s="17" t="s">
        <v>50</v>
      </c>
      <c r="AN1290" s="17" t="s">
        <v>50</v>
      </c>
      <c r="AO1290" s="18" t="s">
        <v>50</v>
      </c>
      <c r="AP1290" s="17" t="s">
        <v>50</v>
      </c>
      <c r="AQ1290" s="17" t="s">
        <v>50</v>
      </c>
      <c r="AR1290" s="17" t="s">
        <v>50</v>
      </c>
      <c r="AS1290" s="17" t="s">
        <v>50</v>
      </c>
      <c r="AT1290" s="17" t="s">
        <v>50</v>
      </c>
      <c r="AU1290" s="17" t="s">
        <v>50</v>
      </c>
      <c r="AV1290" s="18"/>
      <c r="AW1290" s="17" t="s">
        <v>66</v>
      </c>
      <c r="AX1290" s="17"/>
      <c r="AY1290" s="17" t="s">
        <v>66</v>
      </c>
    </row>
    <row r="1291" ht="22.5" hidden="1" customHeight="1">
      <c r="A1291" s="9" t="s">
        <v>13047</v>
      </c>
      <c r="B1291" s="10" t="s">
        <v>13048</v>
      </c>
      <c r="C1291" s="10" t="s">
        <v>43</v>
      </c>
      <c r="D1291" s="10" t="s">
        <v>13049</v>
      </c>
      <c r="E1291" s="10" t="s">
        <v>66</v>
      </c>
      <c r="F1291" s="11">
        <v>1.0</v>
      </c>
      <c r="G1291" s="11">
        <v>79.2</v>
      </c>
      <c r="H1291" s="11"/>
      <c r="I1291" s="11">
        <v>-13.46</v>
      </c>
      <c r="J1291" s="11">
        <v>-20.45</v>
      </c>
      <c r="K1291" s="11"/>
      <c r="L1291" s="11">
        <v>45.29</v>
      </c>
      <c r="M1291" s="10" t="s">
        <v>12218</v>
      </c>
      <c r="N1291" s="10" t="s">
        <v>50</v>
      </c>
      <c r="O1291" s="10" t="s">
        <v>412</v>
      </c>
      <c r="P1291" s="10" t="s">
        <v>413</v>
      </c>
      <c r="Q1291" s="10" t="s">
        <v>414</v>
      </c>
      <c r="R1291" s="10" t="s">
        <v>415</v>
      </c>
      <c r="S1291" s="11">
        <v>79.2</v>
      </c>
      <c r="T1291" s="11">
        <v>10.05</v>
      </c>
      <c r="U1291" s="11" t="s">
        <v>51</v>
      </c>
      <c r="V1291" s="10" t="s">
        <v>52</v>
      </c>
      <c r="W1291" s="10" t="s">
        <v>13050</v>
      </c>
      <c r="X1291" s="10" t="s">
        <v>13051</v>
      </c>
      <c r="Y1291" s="10" t="s">
        <v>13052</v>
      </c>
      <c r="Z1291" s="10" t="s">
        <v>50</v>
      </c>
      <c r="AA1291" s="10" t="s">
        <v>50</v>
      </c>
      <c r="AB1291" s="10" t="s">
        <v>13050</v>
      </c>
      <c r="AC1291" s="10" t="s">
        <v>13053</v>
      </c>
      <c r="AD1291" s="10" t="s">
        <v>13054</v>
      </c>
      <c r="AE1291" s="10" t="s">
        <v>322</v>
      </c>
      <c r="AF1291" s="10" t="s">
        <v>323</v>
      </c>
      <c r="AG1291" s="10" t="s">
        <v>13055</v>
      </c>
      <c r="AH1291" s="10" t="s">
        <v>60</v>
      </c>
      <c r="AI1291" s="10" t="s">
        <v>61</v>
      </c>
      <c r="AJ1291" s="10" t="s">
        <v>13056</v>
      </c>
      <c r="AK1291" s="10" t="s">
        <v>13057</v>
      </c>
      <c r="AL1291" s="10" t="s">
        <v>64</v>
      </c>
      <c r="AM1291" s="10" t="s">
        <v>13058</v>
      </c>
      <c r="AN1291" s="10" t="s">
        <v>50</v>
      </c>
      <c r="AO1291" s="11" t="s">
        <v>50</v>
      </c>
      <c r="AP1291" s="10" t="s">
        <v>50</v>
      </c>
      <c r="AQ1291" s="10" t="s">
        <v>50</v>
      </c>
      <c r="AR1291" s="10" t="s">
        <v>50</v>
      </c>
      <c r="AS1291" s="10" t="s">
        <v>50</v>
      </c>
      <c r="AT1291" s="10" t="s">
        <v>50</v>
      </c>
      <c r="AU1291" s="10" t="s">
        <v>50</v>
      </c>
      <c r="AV1291" s="11"/>
      <c r="AW1291" s="10" t="s">
        <v>66</v>
      </c>
      <c r="AX1291" s="10"/>
      <c r="AY1291" s="10" t="s">
        <v>66</v>
      </c>
    </row>
    <row r="1292" ht="22.5" hidden="1" customHeight="1">
      <c r="A1292" s="12" t="s">
        <v>13059</v>
      </c>
      <c r="B1292" s="13" t="s">
        <v>13060</v>
      </c>
      <c r="C1292" s="13" t="s">
        <v>747</v>
      </c>
      <c r="D1292" s="13" t="s">
        <v>50</v>
      </c>
      <c r="E1292" s="13" t="s">
        <v>50</v>
      </c>
      <c r="F1292" s="14"/>
      <c r="G1292" s="14">
        <v>158.2</v>
      </c>
      <c r="H1292" s="14"/>
      <c r="I1292" s="14">
        <v>-26.89</v>
      </c>
      <c r="J1292" s="14">
        <v>-40.9</v>
      </c>
      <c r="K1292" s="14"/>
      <c r="L1292" s="14">
        <v>90.41</v>
      </c>
      <c r="M1292" s="13" t="s">
        <v>12218</v>
      </c>
      <c r="N1292" s="13" t="s">
        <v>50</v>
      </c>
      <c r="O1292" s="13" t="s">
        <v>50</v>
      </c>
      <c r="P1292" s="13" t="s">
        <v>50</v>
      </c>
      <c r="Q1292" s="13" t="s">
        <v>50</v>
      </c>
      <c r="R1292" s="13" t="s">
        <v>50</v>
      </c>
      <c r="S1292" s="14"/>
      <c r="T1292" s="11"/>
      <c r="U1292" s="14" t="s">
        <v>50</v>
      </c>
      <c r="V1292" s="13" t="s">
        <v>52</v>
      </c>
      <c r="W1292" s="13" t="s">
        <v>13061</v>
      </c>
      <c r="X1292" s="13" t="s">
        <v>13062</v>
      </c>
      <c r="Y1292" s="13" t="s">
        <v>13063</v>
      </c>
      <c r="Z1292" s="13" t="s">
        <v>50</v>
      </c>
      <c r="AA1292" s="13" t="s">
        <v>50</v>
      </c>
      <c r="AB1292" s="13" t="s">
        <v>13061</v>
      </c>
      <c r="AC1292" s="13" t="s">
        <v>13064</v>
      </c>
      <c r="AD1292" s="13" t="s">
        <v>13065</v>
      </c>
      <c r="AE1292" s="13" t="s">
        <v>13066</v>
      </c>
      <c r="AF1292" s="13" t="s">
        <v>151</v>
      </c>
      <c r="AG1292" s="13" t="s">
        <v>13067</v>
      </c>
      <c r="AH1292" s="13" t="s">
        <v>60</v>
      </c>
      <c r="AI1292" s="13" t="s">
        <v>61</v>
      </c>
      <c r="AJ1292" s="13" t="s">
        <v>13068</v>
      </c>
      <c r="AK1292" s="13" t="s">
        <v>13069</v>
      </c>
      <c r="AL1292" s="13" t="s">
        <v>64</v>
      </c>
      <c r="AM1292" s="13" t="s">
        <v>13070</v>
      </c>
      <c r="AN1292" s="13" t="s">
        <v>50</v>
      </c>
      <c r="AO1292" s="15" t="s">
        <v>50</v>
      </c>
      <c r="AP1292" s="13" t="s">
        <v>50</v>
      </c>
      <c r="AQ1292" s="13" t="s">
        <v>50</v>
      </c>
      <c r="AR1292" s="13" t="s">
        <v>50</v>
      </c>
      <c r="AS1292" s="13" t="s">
        <v>50</v>
      </c>
      <c r="AT1292" s="13" t="s">
        <v>50</v>
      </c>
      <c r="AU1292" s="13" t="s">
        <v>50</v>
      </c>
      <c r="AV1292" s="15"/>
      <c r="AW1292" s="13" t="s">
        <v>50</v>
      </c>
      <c r="AX1292" s="13"/>
      <c r="AY1292" s="13" t="s">
        <v>50</v>
      </c>
    </row>
    <row r="1293" ht="22.5" hidden="1" customHeight="1">
      <c r="A1293" s="16" t="s">
        <v>13071</v>
      </c>
      <c r="B1293" s="17" t="s">
        <v>13060</v>
      </c>
      <c r="C1293" s="17" t="s">
        <v>43</v>
      </c>
      <c r="D1293" s="17" t="s">
        <v>13049</v>
      </c>
      <c r="E1293" s="17" t="s">
        <v>45</v>
      </c>
      <c r="F1293" s="18">
        <v>1.0</v>
      </c>
      <c r="G1293" s="18"/>
      <c r="H1293" s="18"/>
      <c r="I1293" s="18"/>
      <c r="J1293" s="18"/>
      <c r="K1293" s="18"/>
      <c r="L1293" s="18"/>
      <c r="M1293" s="17" t="s">
        <v>50</v>
      </c>
      <c r="N1293" s="17" t="s">
        <v>45</v>
      </c>
      <c r="O1293" s="17" t="s">
        <v>160</v>
      </c>
      <c r="P1293" s="17" t="s">
        <v>161</v>
      </c>
      <c r="Q1293" s="17" t="s">
        <v>162</v>
      </c>
      <c r="R1293" s="17" t="s">
        <v>74</v>
      </c>
      <c r="S1293" s="18">
        <v>79.0</v>
      </c>
      <c r="T1293" s="11">
        <v>2.49</v>
      </c>
      <c r="U1293" s="18" t="s">
        <v>51</v>
      </c>
      <c r="V1293" s="17" t="s">
        <v>50</v>
      </c>
      <c r="W1293" s="17" t="s">
        <v>50</v>
      </c>
      <c r="X1293" s="17" t="s">
        <v>50</v>
      </c>
      <c r="Y1293" s="17" t="s">
        <v>50</v>
      </c>
      <c r="Z1293" s="17" t="s">
        <v>50</v>
      </c>
      <c r="AA1293" s="17" t="s">
        <v>50</v>
      </c>
      <c r="AB1293" s="17" t="s">
        <v>50</v>
      </c>
      <c r="AC1293" s="17" t="s">
        <v>50</v>
      </c>
      <c r="AD1293" s="17" t="s">
        <v>50</v>
      </c>
      <c r="AE1293" s="17" t="s">
        <v>50</v>
      </c>
      <c r="AF1293" s="17" t="s">
        <v>50</v>
      </c>
      <c r="AG1293" s="17" t="s">
        <v>50</v>
      </c>
      <c r="AH1293" s="17" t="s">
        <v>50</v>
      </c>
      <c r="AI1293" s="17" t="s">
        <v>50</v>
      </c>
      <c r="AJ1293" s="17" t="s">
        <v>50</v>
      </c>
      <c r="AK1293" s="17" t="s">
        <v>50</v>
      </c>
      <c r="AL1293" s="17" t="s">
        <v>50</v>
      </c>
      <c r="AM1293" s="17" t="s">
        <v>50</v>
      </c>
      <c r="AN1293" s="17" t="s">
        <v>50</v>
      </c>
      <c r="AO1293" s="18" t="s">
        <v>50</v>
      </c>
      <c r="AP1293" s="17" t="s">
        <v>50</v>
      </c>
      <c r="AQ1293" s="17" t="s">
        <v>50</v>
      </c>
      <c r="AR1293" s="17" t="s">
        <v>50</v>
      </c>
      <c r="AS1293" s="17" t="s">
        <v>50</v>
      </c>
      <c r="AT1293" s="17" t="s">
        <v>50</v>
      </c>
      <c r="AU1293" s="17" t="s">
        <v>50</v>
      </c>
      <c r="AV1293" s="18"/>
      <c r="AW1293" s="17" t="s">
        <v>66</v>
      </c>
      <c r="AX1293" s="17"/>
      <c r="AY1293" s="17" t="s">
        <v>66</v>
      </c>
    </row>
    <row r="1294" ht="22.5" hidden="1" customHeight="1">
      <c r="A1294" s="16" t="s">
        <v>13072</v>
      </c>
      <c r="B1294" s="17" t="s">
        <v>13060</v>
      </c>
      <c r="C1294" s="17" t="s">
        <v>43</v>
      </c>
      <c r="D1294" s="17" t="s">
        <v>13049</v>
      </c>
      <c r="E1294" s="17" t="s">
        <v>45</v>
      </c>
      <c r="F1294" s="18">
        <v>1.0</v>
      </c>
      <c r="G1294" s="18"/>
      <c r="H1294" s="18"/>
      <c r="I1294" s="18"/>
      <c r="J1294" s="18"/>
      <c r="K1294" s="18"/>
      <c r="L1294" s="18"/>
      <c r="M1294" s="17" t="s">
        <v>50</v>
      </c>
      <c r="N1294" s="17" t="s">
        <v>45</v>
      </c>
      <c r="O1294" s="17" t="s">
        <v>412</v>
      </c>
      <c r="P1294" s="17" t="s">
        <v>413</v>
      </c>
      <c r="Q1294" s="17" t="s">
        <v>414</v>
      </c>
      <c r="R1294" s="17" t="s">
        <v>415</v>
      </c>
      <c r="S1294" s="18">
        <v>79.2</v>
      </c>
      <c r="T1294" s="18">
        <v>10.05</v>
      </c>
      <c r="U1294" s="18" t="s">
        <v>51</v>
      </c>
      <c r="V1294" s="17" t="s">
        <v>50</v>
      </c>
      <c r="W1294" s="17" t="s">
        <v>50</v>
      </c>
      <c r="X1294" s="17" t="s">
        <v>50</v>
      </c>
      <c r="Y1294" s="17" t="s">
        <v>50</v>
      </c>
      <c r="Z1294" s="17" t="s">
        <v>50</v>
      </c>
      <c r="AA1294" s="17" t="s">
        <v>50</v>
      </c>
      <c r="AB1294" s="17" t="s">
        <v>50</v>
      </c>
      <c r="AC1294" s="17" t="s">
        <v>50</v>
      </c>
      <c r="AD1294" s="17" t="s">
        <v>50</v>
      </c>
      <c r="AE1294" s="17" t="s">
        <v>50</v>
      </c>
      <c r="AF1294" s="17" t="s">
        <v>50</v>
      </c>
      <c r="AG1294" s="17" t="s">
        <v>50</v>
      </c>
      <c r="AH1294" s="17" t="s">
        <v>50</v>
      </c>
      <c r="AI1294" s="17" t="s">
        <v>50</v>
      </c>
      <c r="AJ1294" s="17" t="s">
        <v>50</v>
      </c>
      <c r="AK1294" s="17" t="s">
        <v>50</v>
      </c>
      <c r="AL1294" s="17" t="s">
        <v>50</v>
      </c>
      <c r="AM1294" s="17" t="s">
        <v>50</v>
      </c>
      <c r="AN1294" s="17" t="s">
        <v>50</v>
      </c>
      <c r="AO1294" s="18" t="s">
        <v>50</v>
      </c>
      <c r="AP1294" s="17" t="s">
        <v>50</v>
      </c>
      <c r="AQ1294" s="17" t="s">
        <v>50</v>
      </c>
      <c r="AR1294" s="17" t="s">
        <v>50</v>
      </c>
      <c r="AS1294" s="17" t="s">
        <v>50</v>
      </c>
      <c r="AT1294" s="17" t="s">
        <v>50</v>
      </c>
      <c r="AU1294" s="17" t="s">
        <v>50</v>
      </c>
      <c r="AV1294" s="18"/>
      <c r="AW1294" s="17" t="s">
        <v>66</v>
      </c>
      <c r="AX1294" s="17"/>
      <c r="AY1294" s="17" t="s">
        <v>66</v>
      </c>
    </row>
    <row r="1295" ht="22.5" hidden="1" customHeight="1">
      <c r="A1295" s="9" t="s">
        <v>13073</v>
      </c>
      <c r="B1295" s="10" t="s">
        <v>13074</v>
      </c>
      <c r="C1295" s="10" t="s">
        <v>43</v>
      </c>
      <c r="D1295" s="10" t="s">
        <v>13049</v>
      </c>
      <c r="E1295" s="10" t="s">
        <v>66</v>
      </c>
      <c r="F1295" s="11">
        <v>1.0</v>
      </c>
      <c r="G1295" s="11">
        <v>120.0</v>
      </c>
      <c r="H1295" s="11"/>
      <c r="I1295" s="11">
        <v>-20.4</v>
      </c>
      <c r="J1295" s="11">
        <v>-19.95</v>
      </c>
      <c r="K1295" s="11"/>
      <c r="L1295" s="11">
        <v>86.85</v>
      </c>
      <c r="M1295" s="10" t="s">
        <v>12218</v>
      </c>
      <c r="N1295" s="10" t="s">
        <v>50</v>
      </c>
      <c r="O1295" s="10" t="s">
        <v>85</v>
      </c>
      <c r="P1295" s="10" t="s">
        <v>86</v>
      </c>
      <c r="Q1295" s="10" t="s">
        <v>87</v>
      </c>
      <c r="R1295" s="10" t="s">
        <v>74</v>
      </c>
      <c r="S1295" s="11">
        <v>120.0</v>
      </c>
      <c r="T1295" s="11">
        <v>65.78</v>
      </c>
      <c r="U1295" s="11" t="s">
        <v>51</v>
      </c>
      <c r="V1295" s="10" t="s">
        <v>52</v>
      </c>
      <c r="W1295" s="10" t="s">
        <v>13075</v>
      </c>
      <c r="X1295" s="10" t="s">
        <v>13076</v>
      </c>
      <c r="Y1295" s="10" t="s">
        <v>13077</v>
      </c>
      <c r="Z1295" s="10" t="s">
        <v>50</v>
      </c>
      <c r="AA1295" s="10" t="s">
        <v>50</v>
      </c>
      <c r="AB1295" s="10" t="s">
        <v>13075</v>
      </c>
      <c r="AC1295" s="10" t="s">
        <v>13078</v>
      </c>
      <c r="AD1295" s="10" t="s">
        <v>13079</v>
      </c>
      <c r="AE1295" s="10" t="s">
        <v>151</v>
      </c>
      <c r="AF1295" s="10" t="s">
        <v>151</v>
      </c>
      <c r="AG1295" s="10" t="s">
        <v>13080</v>
      </c>
      <c r="AH1295" s="10" t="s">
        <v>60</v>
      </c>
      <c r="AI1295" s="10" t="s">
        <v>61</v>
      </c>
      <c r="AJ1295" s="10" t="s">
        <v>13081</v>
      </c>
      <c r="AK1295" s="10" t="s">
        <v>13082</v>
      </c>
      <c r="AL1295" s="10" t="s">
        <v>64</v>
      </c>
      <c r="AM1295" s="10" t="s">
        <v>13083</v>
      </c>
      <c r="AN1295" s="10" t="s">
        <v>50</v>
      </c>
      <c r="AO1295" s="11" t="s">
        <v>50</v>
      </c>
      <c r="AP1295" s="10" t="s">
        <v>50</v>
      </c>
      <c r="AQ1295" s="10" t="s">
        <v>50</v>
      </c>
      <c r="AR1295" s="10" t="s">
        <v>50</v>
      </c>
      <c r="AS1295" s="10" t="s">
        <v>50</v>
      </c>
      <c r="AT1295" s="10" t="s">
        <v>50</v>
      </c>
      <c r="AU1295" s="10" t="s">
        <v>50</v>
      </c>
      <c r="AV1295" s="11"/>
      <c r="AW1295" s="10" t="s">
        <v>66</v>
      </c>
      <c r="AX1295" s="10"/>
      <c r="AY1295" s="10" t="s">
        <v>66</v>
      </c>
    </row>
    <row r="1296" ht="22.5" hidden="1" customHeight="1">
      <c r="A1296" s="9" t="s">
        <v>13084</v>
      </c>
      <c r="B1296" s="10" t="s">
        <v>13085</v>
      </c>
      <c r="C1296" s="10" t="s">
        <v>43</v>
      </c>
      <c r="D1296" s="10" t="s">
        <v>12217</v>
      </c>
      <c r="E1296" s="10" t="s">
        <v>66</v>
      </c>
      <c r="F1296" s="11">
        <v>1.0</v>
      </c>
      <c r="G1296" s="11">
        <v>42.35</v>
      </c>
      <c r="H1296" s="11">
        <v>20.04</v>
      </c>
      <c r="I1296" s="11">
        <v>-14.05</v>
      </c>
      <c r="J1296" s="11">
        <v>-20.04</v>
      </c>
      <c r="K1296" s="11"/>
      <c r="L1296" s="11">
        <v>28.3</v>
      </c>
      <c r="M1296" s="10" t="s">
        <v>46</v>
      </c>
      <c r="N1296" s="10" t="s">
        <v>45</v>
      </c>
      <c r="O1296" s="10" t="s">
        <v>863</v>
      </c>
      <c r="P1296" s="10" t="s">
        <v>864</v>
      </c>
      <c r="Q1296" s="10" t="s">
        <v>865</v>
      </c>
      <c r="R1296" s="10" t="s">
        <v>50</v>
      </c>
      <c r="S1296" s="11">
        <v>42.35</v>
      </c>
      <c r="T1296" s="11">
        <v>4.15</v>
      </c>
      <c r="U1296" s="11" t="s">
        <v>51</v>
      </c>
      <c r="V1296" s="10" t="s">
        <v>52</v>
      </c>
      <c r="W1296" s="10" t="s">
        <v>13086</v>
      </c>
      <c r="X1296" s="10" t="s">
        <v>13087</v>
      </c>
      <c r="Y1296" s="10" t="s">
        <v>13088</v>
      </c>
      <c r="Z1296" s="10" t="s">
        <v>50</v>
      </c>
      <c r="AA1296" s="10" t="s">
        <v>50</v>
      </c>
      <c r="AB1296" s="10" t="s">
        <v>13086</v>
      </c>
      <c r="AC1296" s="10" t="s">
        <v>13089</v>
      </c>
      <c r="AD1296" s="10" t="s">
        <v>13090</v>
      </c>
      <c r="AE1296" s="10" t="s">
        <v>833</v>
      </c>
      <c r="AF1296" s="10" t="s">
        <v>58</v>
      </c>
      <c r="AG1296" s="10" t="s">
        <v>13091</v>
      </c>
      <c r="AH1296" s="10" t="s">
        <v>60</v>
      </c>
      <c r="AI1296" s="10" t="s">
        <v>61</v>
      </c>
      <c r="AJ1296" s="10" t="s">
        <v>13029</v>
      </c>
      <c r="AK1296" s="10" t="s">
        <v>13092</v>
      </c>
      <c r="AL1296" s="10" t="s">
        <v>64</v>
      </c>
      <c r="AM1296" s="10" t="s">
        <v>13093</v>
      </c>
      <c r="AN1296" s="10" t="s">
        <v>50</v>
      </c>
      <c r="AO1296" s="11" t="s">
        <v>50</v>
      </c>
      <c r="AP1296" s="10" t="s">
        <v>50</v>
      </c>
      <c r="AQ1296" s="10" t="s">
        <v>50</v>
      </c>
      <c r="AR1296" s="10" t="s">
        <v>50</v>
      </c>
      <c r="AS1296" s="10" t="s">
        <v>50</v>
      </c>
      <c r="AT1296" s="10" t="s">
        <v>50</v>
      </c>
      <c r="AU1296" s="10" t="s">
        <v>50</v>
      </c>
      <c r="AV1296" s="11"/>
      <c r="AW1296" s="10" t="s">
        <v>66</v>
      </c>
      <c r="AX1296" s="10"/>
      <c r="AY1296" s="10" t="s">
        <v>66</v>
      </c>
    </row>
    <row r="1297" ht="22.5" hidden="1" customHeight="1">
      <c r="A1297" s="9" t="s">
        <v>13094</v>
      </c>
      <c r="B1297" s="10" t="s">
        <v>13095</v>
      </c>
      <c r="C1297" s="10" t="s">
        <v>43</v>
      </c>
      <c r="D1297" s="10" t="s">
        <v>12217</v>
      </c>
      <c r="E1297" s="10" t="s">
        <v>66</v>
      </c>
      <c r="F1297" s="11">
        <v>1.0</v>
      </c>
      <c r="G1297" s="11">
        <v>90.0</v>
      </c>
      <c r="H1297" s="11"/>
      <c r="I1297" s="11">
        <v>-15.3</v>
      </c>
      <c r="J1297" s="11">
        <v>-20.45</v>
      </c>
      <c r="K1297" s="11"/>
      <c r="L1297" s="11">
        <v>59.65</v>
      </c>
      <c r="M1297" s="10" t="s">
        <v>12218</v>
      </c>
      <c r="N1297" s="10" t="s">
        <v>45</v>
      </c>
      <c r="O1297" s="10" t="s">
        <v>5094</v>
      </c>
      <c r="P1297" s="10" t="s">
        <v>5095</v>
      </c>
      <c r="Q1297" s="10" t="s">
        <v>5096</v>
      </c>
      <c r="R1297" s="10" t="s">
        <v>74</v>
      </c>
      <c r="S1297" s="11">
        <v>90.0</v>
      </c>
      <c r="T1297" s="11">
        <v>39.99</v>
      </c>
      <c r="U1297" s="11" t="s">
        <v>51</v>
      </c>
      <c r="V1297" s="10" t="s">
        <v>52</v>
      </c>
      <c r="W1297" s="10" t="s">
        <v>13096</v>
      </c>
      <c r="X1297" s="10" t="s">
        <v>13097</v>
      </c>
      <c r="Y1297" s="10" t="s">
        <v>13098</v>
      </c>
      <c r="Z1297" s="10" t="s">
        <v>50</v>
      </c>
      <c r="AA1297" s="10" t="s">
        <v>50</v>
      </c>
      <c r="AB1297" s="10" t="s">
        <v>13096</v>
      </c>
      <c r="AC1297" s="10" t="s">
        <v>13099</v>
      </c>
      <c r="AD1297" s="10" t="s">
        <v>13100</v>
      </c>
      <c r="AE1297" s="10" t="s">
        <v>13101</v>
      </c>
      <c r="AF1297" s="10" t="s">
        <v>284</v>
      </c>
      <c r="AG1297" s="10" t="s">
        <v>13102</v>
      </c>
      <c r="AH1297" s="10" t="s">
        <v>60</v>
      </c>
      <c r="AI1297" s="10" t="s">
        <v>61</v>
      </c>
      <c r="AJ1297" s="10" t="s">
        <v>13103</v>
      </c>
      <c r="AK1297" s="10" t="s">
        <v>13104</v>
      </c>
      <c r="AL1297" s="10" t="s">
        <v>64</v>
      </c>
      <c r="AM1297" s="10" t="s">
        <v>13105</v>
      </c>
      <c r="AN1297" s="10" t="s">
        <v>50</v>
      </c>
      <c r="AO1297" s="11" t="s">
        <v>50</v>
      </c>
      <c r="AP1297" s="10" t="s">
        <v>50</v>
      </c>
      <c r="AQ1297" s="10" t="s">
        <v>50</v>
      </c>
      <c r="AR1297" s="10" t="s">
        <v>50</v>
      </c>
      <c r="AS1297" s="10" t="s">
        <v>50</v>
      </c>
      <c r="AT1297" s="10" t="s">
        <v>50</v>
      </c>
      <c r="AU1297" s="10" t="s">
        <v>50</v>
      </c>
      <c r="AV1297" s="11"/>
      <c r="AW1297" s="10" t="s">
        <v>66</v>
      </c>
      <c r="AX1297" s="10"/>
      <c r="AY1297" s="10" t="s">
        <v>66</v>
      </c>
    </row>
    <row r="1298" ht="22.5" hidden="1" customHeight="1">
      <c r="A1298" s="9" t="s">
        <v>13106</v>
      </c>
      <c r="B1298" s="10" t="s">
        <v>13107</v>
      </c>
      <c r="C1298" s="10" t="s">
        <v>43</v>
      </c>
      <c r="D1298" s="10" t="s">
        <v>13108</v>
      </c>
      <c r="E1298" s="10" t="s">
        <v>66</v>
      </c>
      <c r="F1298" s="11">
        <v>1.0</v>
      </c>
      <c r="G1298" s="11">
        <v>43.7</v>
      </c>
      <c r="H1298" s="11">
        <v>15.01</v>
      </c>
      <c r="I1298" s="11">
        <v>-13.43</v>
      </c>
      <c r="J1298" s="11">
        <v>-15.01</v>
      </c>
      <c r="K1298" s="11"/>
      <c r="L1298" s="11">
        <v>32.89</v>
      </c>
      <c r="M1298" s="10" t="s">
        <v>12218</v>
      </c>
      <c r="N1298" s="10" t="s">
        <v>50</v>
      </c>
      <c r="O1298" s="10" t="s">
        <v>176</v>
      </c>
      <c r="P1298" s="10" t="s">
        <v>177</v>
      </c>
      <c r="Q1298" s="10" t="s">
        <v>178</v>
      </c>
      <c r="R1298" s="10" t="s">
        <v>74</v>
      </c>
      <c r="S1298" s="11">
        <v>43.7</v>
      </c>
      <c r="T1298" s="11">
        <v>22.58</v>
      </c>
      <c r="U1298" s="11" t="s">
        <v>51</v>
      </c>
      <c r="V1298" s="10" t="s">
        <v>52</v>
      </c>
      <c r="W1298" s="10" t="s">
        <v>13109</v>
      </c>
      <c r="X1298" s="10" t="s">
        <v>13110</v>
      </c>
      <c r="Y1298" s="10" t="s">
        <v>13111</v>
      </c>
      <c r="Z1298" s="10" t="s">
        <v>50</v>
      </c>
      <c r="AA1298" s="10" t="s">
        <v>50</v>
      </c>
      <c r="AB1298" s="10" t="s">
        <v>13109</v>
      </c>
      <c r="AC1298" s="10" t="s">
        <v>13112</v>
      </c>
      <c r="AD1298" s="10" t="s">
        <v>13113</v>
      </c>
      <c r="AE1298" s="10" t="s">
        <v>8976</v>
      </c>
      <c r="AF1298" s="10" t="s">
        <v>119</v>
      </c>
      <c r="AG1298" s="10" t="s">
        <v>13114</v>
      </c>
      <c r="AH1298" s="10" t="s">
        <v>60</v>
      </c>
      <c r="AI1298" s="10" t="s">
        <v>61</v>
      </c>
      <c r="AJ1298" s="10" t="s">
        <v>13115</v>
      </c>
      <c r="AK1298" s="10" t="s">
        <v>13116</v>
      </c>
      <c r="AL1298" s="10" t="s">
        <v>64</v>
      </c>
      <c r="AM1298" s="10" t="s">
        <v>13117</v>
      </c>
      <c r="AN1298" s="10" t="s">
        <v>50</v>
      </c>
      <c r="AO1298" s="11" t="s">
        <v>50</v>
      </c>
      <c r="AP1298" s="10" t="s">
        <v>50</v>
      </c>
      <c r="AQ1298" s="10" t="s">
        <v>50</v>
      </c>
      <c r="AR1298" s="10" t="s">
        <v>50</v>
      </c>
      <c r="AS1298" s="10" t="s">
        <v>50</v>
      </c>
      <c r="AT1298" s="10" t="s">
        <v>50</v>
      </c>
      <c r="AU1298" s="10" t="s">
        <v>50</v>
      </c>
      <c r="AV1298" s="11"/>
      <c r="AW1298" s="10" t="s">
        <v>66</v>
      </c>
      <c r="AX1298" s="10"/>
      <c r="AY1298" s="10" t="s">
        <v>66</v>
      </c>
    </row>
    <row r="1299" ht="22.5" hidden="1" customHeight="1">
      <c r="A1299" s="9" t="s">
        <v>13118</v>
      </c>
      <c r="B1299" s="10" t="s">
        <v>13119</v>
      </c>
      <c r="C1299" s="10" t="s">
        <v>43</v>
      </c>
      <c r="D1299" s="10" t="s">
        <v>13120</v>
      </c>
      <c r="E1299" s="10" t="s">
        <v>66</v>
      </c>
      <c r="F1299" s="11">
        <v>1.0</v>
      </c>
      <c r="G1299" s="11">
        <v>120.0</v>
      </c>
      <c r="H1299" s="11"/>
      <c r="I1299" s="11">
        <v>-20.4</v>
      </c>
      <c r="J1299" s="11">
        <v>-19.95</v>
      </c>
      <c r="K1299" s="11"/>
      <c r="L1299" s="11">
        <v>86.85</v>
      </c>
      <c r="M1299" s="10" t="s">
        <v>12218</v>
      </c>
      <c r="N1299" s="10" t="s">
        <v>50</v>
      </c>
      <c r="O1299" s="10" t="s">
        <v>85</v>
      </c>
      <c r="P1299" s="10" t="s">
        <v>86</v>
      </c>
      <c r="Q1299" s="10" t="s">
        <v>87</v>
      </c>
      <c r="R1299" s="10" t="s">
        <v>74</v>
      </c>
      <c r="S1299" s="11">
        <v>120.0</v>
      </c>
      <c r="T1299" s="11">
        <v>65.78</v>
      </c>
      <c r="U1299" s="11" t="s">
        <v>51</v>
      </c>
      <c r="V1299" s="10" t="s">
        <v>52</v>
      </c>
      <c r="W1299" s="10" t="s">
        <v>13121</v>
      </c>
      <c r="X1299" s="10" t="s">
        <v>13122</v>
      </c>
      <c r="Y1299" s="10" t="s">
        <v>13123</v>
      </c>
      <c r="Z1299" s="10" t="s">
        <v>50</v>
      </c>
      <c r="AA1299" s="10" t="s">
        <v>50</v>
      </c>
      <c r="AB1299" s="10" t="s">
        <v>13121</v>
      </c>
      <c r="AC1299" s="10" t="s">
        <v>13124</v>
      </c>
      <c r="AD1299" s="10" t="s">
        <v>13125</v>
      </c>
      <c r="AE1299" s="10" t="s">
        <v>10705</v>
      </c>
      <c r="AF1299" s="10" t="s">
        <v>58</v>
      </c>
      <c r="AG1299" s="10" t="s">
        <v>13126</v>
      </c>
      <c r="AH1299" s="10" t="s">
        <v>60</v>
      </c>
      <c r="AI1299" s="10" t="s">
        <v>61</v>
      </c>
      <c r="AJ1299" s="10" t="s">
        <v>13127</v>
      </c>
      <c r="AK1299" s="10" t="s">
        <v>13128</v>
      </c>
      <c r="AL1299" s="10" t="s">
        <v>64</v>
      </c>
      <c r="AM1299" s="10" t="s">
        <v>13129</v>
      </c>
      <c r="AN1299" s="10" t="s">
        <v>50</v>
      </c>
      <c r="AO1299" s="11" t="s">
        <v>50</v>
      </c>
      <c r="AP1299" s="10" t="s">
        <v>50</v>
      </c>
      <c r="AQ1299" s="10" t="s">
        <v>50</v>
      </c>
      <c r="AR1299" s="10" t="s">
        <v>50</v>
      </c>
      <c r="AS1299" s="10" t="s">
        <v>50</v>
      </c>
      <c r="AT1299" s="10" t="s">
        <v>50</v>
      </c>
      <c r="AU1299" s="10" t="s">
        <v>50</v>
      </c>
      <c r="AV1299" s="11"/>
      <c r="AW1299" s="10" t="s">
        <v>66</v>
      </c>
      <c r="AX1299" s="10"/>
      <c r="AY1299" s="10" t="s">
        <v>66</v>
      </c>
    </row>
    <row r="1300" ht="22.5" hidden="1" customHeight="1">
      <c r="A1300" s="9" t="s">
        <v>13130</v>
      </c>
      <c r="B1300" s="10" t="s">
        <v>13131</v>
      </c>
      <c r="C1300" s="10" t="s">
        <v>43</v>
      </c>
      <c r="D1300" s="10" t="s">
        <v>13120</v>
      </c>
      <c r="E1300" s="10" t="s">
        <v>45</v>
      </c>
      <c r="F1300" s="11">
        <v>1.0</v>
      </c>
      <c r="G1300" s="11">
        <v>120.0</v>
      </c>
      <c r="H1300" s="11"/>
      <c r="I1300" s="11">
        <v>-20.4</v>
      </c>
      <c r="J1300" s="11">
        <v>-19.95</v>
      </c>
      <c r="K1300" s="11"/>
      <c r="L1300" s="11">
        <v>86.85</v>
      </c>
      <c r="M1300" s="10" t="s">
        <v>12218</v>
      </c>
      <c r="N1300" s="10" t="s">
        <v>50</v>
      </c>
      <c r="O1300" s="10" t="s">
        <v>85</v>
      </c>
      <c r="P1300" s="10" t="s">
        <v>86</v>
      </c>
      <c r="Q1300" s="10" t="s">
        <v>87</v>
      </c>
      <c r="R1300" s="10" t="s">
        <v>74</v>
      </c>
      <c r="S1300" s="11">
        <v>120.0</v>
      </c>
      <c r="T1300" s="11">
        <v>65.78</v>
      </c>
      <c r="U1300" s="11" t="s">
        <v>51</v>
      </c>
      <c r="V1300" s="10" t="s">
        <v>52</v>
      </c>
      <c r="W1300" s="10" t="s">
        <v>13132</v>
      </c>
      <c r="X1300" s="10" t="s">
        <v>13133</v>
      </c>
      <c r="Y1300" s="10" t="s">
        <v>13134</v>
      </c>
      <c r="Z1300" s="10" t="s">
        <v>50</v>
      </c>
      <c r="AA1300" s="10" t="s">
        <v>50</v>
      </c>
      <c r="AB1300" s="10" t="s">
        <v>13132</v>
      </c>
      <c r="AC1300" s="10" t="s">
        <v>13135</v>
      </c>
      <c r="AD1300" s="10" t="s">
        <v>13136</v>
      </c>
      <c r="AE1300" s="10" t="s">
        <v>1346</v>
      </c>
      <c r="AF1300" s="10" t="s">
        <v>1347</v>
      </c>
      <c r="AG1300" s="10" t="s">
        <v>13137</v>
      </c>
      <c r="AH1300" s="10" t="s">
        <v>60</v>
      </c>
      <c r="AI1300" s="10" t="s">
        <v>61</v>
      </c>
      <c r="AJ1300" s="10" t="s">
        <v>13138</v>
      </c>
      <c r="AK1300" s="10" t="s">
        <v>13139</v>
      </c>
      <c r="AL1300" s="10" t="s">
        <v>64</v>
      </c>
      <c r="AM1300" s="10" t="s">
        <v>13140</v>
      </c>
      <c r="AN1300" s="10" t="s">
        <v>50</v>
      </c>
      <c r="AO1300" s="11" t="s">
        <v>50</v>
      </c>
      <c r="AP1300" s="10" t="s">
        <v>50</v>
      </c>
      <c r="AQ1300" s="10" t="s">
        <v>50</v>
      </c>
      <c r="AR1300" s="10" t="s">
        <v>50</v>
      </c>
      <c r="AS1300" s="10" t="s">
        <v>50</v>
      </c>
      <c r="AT1300" s="10" t="s">
        <v>50</v>
      </c>
      <c r="AU1300" s="10" t="s">
        <v>50</v>
      </c>
      <c r="AV1300" s="11"/>
      <c r="AW1300" s="10" t="s">
        <v>66</v>
      </c>
      <c r="AX1300" s="10"/>
      <c r="AY1300" s="10" t="s">
        <v>66</v>
      </c>
    </row>
    <row r="1301" ht="22.5" hidden="1" customHeight="1">
      <c r="A1301" s="9" t="s">
        <v>13141</v>
      </c>
      <c r="B1301" s="10" t="s">
        <v>13131</v>
      </c>
      <c r="C1301" s="10" t="s">
        <v>947</v>
      </c>
      <c r="D1301" s="10" t="s">
        <v>948</v>
      </c>
      <c r="E1301" s="10" t="s">
        <v>66</v>
      </c>
      <c r="F1301" s="11">
        <v>1.0</v>
      </c>
      <c r="G1301" s="11">
        <v>43.7</v>
      </c>
      <c r="H1301" s="11">
        <v>14.63</v>
      </c>
      <c r="I1301" s="11">
        <v>-13.43</v>
      </c>
      <c r="J1301" s="11">
        <v>-14.63</v>
      </c>
      <c r="K1301" s="11"/>
      <c r="L1301" s="11">
        <v>32.89</v>
      </c>
      <c r="M1301" s="10" t="s">
        <v>12218</v>
      </c>
      <c r="N1301" s="10" t="s">
        <v>45</v>
      </c>
      <c r="O1301" s="10" t="s">
        <v>176</v>
      </c>
      <c r="P1301" s="10" t="s">
        <v>177</v>
      </c>
      <c r="Q1301" s="10" t="s">
        <v>178</v>
      </c>
      <c r="R1301" s="10" t="s">
        <v>74</v>
      </c>
      <c r="S1301" s="11">
        <v>43.7</v>
      </c>
      <c r="T1301" s="11">
        <v>22.58</v>
      </c>
      <c r="U1301" s="11" t="s">
        <v>51</v>
      </c>
      <c r="V1301" s="10" t="s">
        <v>52</v>
      </c>
      <c r="W1301" s="10" t="s">
        <v>13142</v>
      </c>
      <c r="X1301" s="10" t="s">
        <v>13143</v>
      </c>
      <c r="Y1301" s="10" t="s">
        <v>13144</v>
      </c>
      <c r="Z1301" s="10" t="s">
        <v>50</v>
      </c>
      <c r="AA1301" s="10" t="s">
        <v>50</v>
      </c>
      <c r="AB1301" s="10" t="s">
        <v>13142</v>
      </c>
      <c r="AC1301" s="10" t="s">
        <v>13145</v>
      </c>
      <c r="AD1301" s="10" t="s">
        <v>13146</v>
      </c>
      <c r="AE1301" s="10" t="s">
        <v>58</v>
      </c>
      <c r="AF1301" s="10" t="s">
        <v>58</v>
      </c>
      <c r="AG1301" s="10" t="s">
        <v>13147</v>
      </c>
      <c r="AH1301" s="10" t="s">
        <v>60</v>
      </c>
      <c r="AI1301" s="10" t="s">
        <v>61</v>
      </c>
      <c r="AJ1301" s="10" t="s">
        <v>13148</v>
      </c>
      <c r="AK1301" s="10" t="s">
        <v>13149</v>
      </c>
      <c r="AL1301" s="10" t="s">
        <v>64</v>
      </c>
      <c r="AM1301" s="10" t="s">
        <v>13150</v>
      </c>
      <c r="AN1301" s="10" t="s">
        <v>50</v>
      </c>
      <c r="AO1301" s="11" t="s">
        <v>50</v>
      </c>
      <c r="AP1301" s="10" t="s">
        <v>50</v>
      </c>
      <c r="AQ1301" s="10" t="s">
        <v>50</v>
      </c>
      <c r="AR1301" s="10" t="s">
        <v>50</v>
      </c>
      <c r="AS1301" s="10" t="s">
        <v>50</v>
      </c>
      <c r="AT1301" s="10" t="s">
        <v>50</v>
      </c>
      <c r="AU1301" s="10" t="s">
        <v>50</v>
      </c>
      <c r="AV1301" s="11"/>
      <c r="AW1301" s="10" t="s">
        <v>66</v>
      </c>
      <c r="AX1301" s="10">
        <v>1.0</v>
      </c>
      <c r="AY1301" s="10" t="s">
        <v>66</v>
      </c>
    </row>
    <row r="1302" ht="22.5" hidden="1" customHeight="1">
      <c r="A1302" s="9" t="s">
        <v>13151</v>
      </c>
      <c r="B1302" s="10" t="s">
        <v>13152</v>
      </c>
      <c r="C1302" s="10" t="s">
        <v>43</v>
      </c>
      <c r="D1302" s="10" t="s">
        <v>13120</v>
      </c>
      <c r="E1302" s="10" t="s">
        <v>66</v>
      </c>
      <c r="F1302" s="11">
        <v>1.0</v>
      </c>
      <c r="G1302" s="11">
        <v>120.0</v>
      </c>
      <c r="H1302" s="11"/>
      <c r="I1302" s="11">
        <v>-20.4</v>
      </c>
      <c r="J1302" s="11">
        <v>-19.95</v>
      </c>
      <c r="K1302" s="11"/>
      <c r="L1302" s="11">
        <v>86.85</v>
      </c>
      <c r="M1302" s="10" t="s">
        <v>12218</v>
      </c>
      <c r="N1302" s="10" t="s">
        <v>45</v>
      </c>
      <c r="O1302" s="10" t="s">
        <v>85</v>
      </c>
      <c r="P1302" s="10" t="s">
        <v>86</v>
      </c>
      <c r="Q1302" s="10" t="s">
        <v>87</v>
      </c>
      <c r="R1302" s="10" t="s">
        <v>74</v>
      </c>
      <c r="S1302" s="11">
        <v>120.0</v>
      </c>
      <c r="T1302" s="11">
        <v>65.78</v>
      </c>
      <c r="U1302" s="11" t="s">
        <v>51</v>
      </c>
      <c r="V1302" s="10" t="s">
        <v>52</v>
      </c>
      <c r="W1302" s="10" t="s">
        <v>13153</v>
      </c>
      <c r="X1302" s="10" t="s">
        <v>13154</v>
      </c>
      <c r="Y1302" s="10" t="s">
        <v>13155</v>
      </c>
      <c r="Z1302" s="10" t="s">
        <v>50</v>
      </c>
      <c r="AA1302" s="10" t="s">
        <v>50</v>
      </c>
      <c r="AB1302" s="10" t="s">
        <v>13153</v>
      </c>
      <c r="AC1302" s="10" t="s">
        <v>13156</v>
      </c>
      <c r="AD1302" s="10" t="s">
        <v>13157</v>
      </c>
      <c r="AE1302" s="10" t="s">
        <v>774</v>
      </c>
      <c r="AF1302" s="10" t="s">
        <v>775</v>
      </c>
      <c r="AG1302" s="10" t="s">
        <v>13158</v>
      </c>
      <c r="AH1302" s="10" t="s">
        <v>60</v>
      </c>
      <c r="AI1302" s="10" t="s">
        <v>61</v>
      </c>
      <c r="AJ1302" s="10" t="s">
        <v>13159</v>
      </c>
      <c r="AK1302" s="10" t="s">
        <v>13160</v>
      </c>
      <c r="AL1302" s="10" t="s">
        <v>64</v>
      </c>
      <c r="AM1302" s="10" t="s">
        <v>13161</v>
      </c>
      <c r="AN1302" s="10" t="s">
        <v>50</v>
      </c>
      <c r="AO1302" s="11" t="s">
        <v>50</v>
      </c>
      <c r="AP1302" s="10" t="s">
        <v>50</v>
      </c>
      <c r="AQ1302" s="10" t="s">
        <v>50</v>
      </c>
      <c r="AR1302" s="10" t="s">
        <v>50</v>
      </c>
      <c r="AS1302" s="10" t="s">
        <v>50</v>
      </c>
      <c r="AT1302" s="10" t="s">
        <v>50</v>
      </c>
      <c r="AU1302" s="10" t="s">
        <v>50</v>
      </c>
      <c r="AV1302" s="11"/>
      <c r="AW1302" s="10" t="s">
        <v>66</v>
      </c>
      <c r="AX1302" s="10"/>
      <c r="AY1302" s="10" t="s">
        <v>66</v>
      </c>
    </row>
    <row r="1303" ht="22.5" hidden="1" customHeight="1">
      <c r="A1303" s="9" t="s">
        <v>13162</v>
      </c>
      <c r="B1303" s="10" t="s">
        <v>13163</v>
      </c>
      <c r="C1303" s="10" t="s">
        <v>43</v>
      </c>
      <c r="D1303" s="10" t="s">
        <v>12217</v>
      </c>
      <c r="E1303" s="10" t="s">
        <v>66</v>
      </c>
      <c r="F1303" s="11">
        <v>1.0</v>
      </c>
      <c r="G1303" s="11">
        <v>80.6</v>
      </c>
      <c r="H1303" s="11">
        <v>9.0</v>
      </c>
      <c r="I1303" s="11">
        <v>-13.7</v>
      </c>
      <c r="J1303" s="11">
        <v>-29.45</v>
      </c>
      <c r="K1303" s="11"/>
      <c r="L1303" s="11">
        <v>46.45</v>
      </c>
      <c r="M1303" s="10" t="s">
        <v>12218</v>
      </c>
      <c r="N1303" s="10" t="s">
        <v>45</v>
      </c>
      <c r="O1303" s="10" t="s">
        <v>265</v>
      </c>
      <c r="P1303" s="10" t="s">
        <v>266</v>
      </c>
      <c r="Q1303" s="10" t="s">
        <v>267</v>
      </c>
      <c r="R1303" s="10" t="s">
        <v>74</v>
      </c>
      <c r="S1303" s="11">
        <v>80.6</v>
      </c>
      <c r="T1303" s="11">
        <v>26.22</v>
      </c>
      <c r="U1303" s="11" t="s">
        <v>51</v>
      </c>
      <c r="V1303" s="10" t="s">
        <v>52</v>
      </c>
      <c r="W1303" s="10" t="s">
        <v>13164</v>
      </c>
      <c r="X1303" s="10" t="s">
        <v>13165</v>
      </c>
      <c r="Y1303" s="10" t="s">
        <v>13166</v>
      </c>
      <c r="Z1303" s="10" t="s">
        <v>50</v>
      </c>
      <c r="AA1303" s="10" t="s">
        <v>50</v>
      </c>
      <c r="AB1303" s="10" t="s">
        <v>13164</v>
      </c>
      <c r="AC1303" s="10" t="s">
        <v>13167</v>
      </c>
      <c r="AD1303" s="10" t="s">
        <v>13168</v>
      </c>
      <c r="AE1303" s="10" t="s">
        <v>13169</v>
      </c>
      <c r="AF1303" s="10" t="s">
        <v>561</v>
      </c>
      <c r="AG1303" s="10" t="s">
        <v>13170</v>
      </c>
      <c r="AH1303" s="10" t="s">
        <v>60</v>
      </c>
      <c r="AI1303" s="10" t="s">
        <v>61</v>
      </c>
      <c r="AJ1303" s="10" t="s">
        <v>13148</v>
      </c>
      <c r="AK1303" s="10" t="s">
        <v>13171</v>
      </c>
      <c r="AL1303" s="10" t="s">
        <v>64</v>
      </c>
      <c r="AM1303" s="10" t="s">
        <v>13172</v>
      </c>
      <c r="AN1303" s="10" t="s">
        <v>50</v>
      </c>
      <c r="AO1303" s="11" t="s">
        <v>50</v>
      </c>
      <c r="AP1303" s="10" t="s">
        <v>50</v>
      </c>
      <c r="AQ1303" s="10" t="s">
        <v>50</v>
      </c>
      <c r="AR1303" s="10" t="s">
        <v>50</v>
      </c>
      <c r="AS1303" s="10" t="s">
        <v>50</v>
      </c>
      <c r="AT1303" s="10" t="s">
        <v>50</v>
      </c>
      <c r="AU1303" s="10" t="s">
        <v>50</v>
      </c>
      <c r="AV1303" s="11"/>
      <c r="AW1303" s="10" t="s">
        <v>66</v>
      </c>
      <c r="AX1303" s="10"/>
      <c r="AY1303" s="10" t="s">
        <v>66</v>
      </c>
    </row>
    <row r="1304" ht="22.5" hidden="1" customHeight="1">
      <c r="A1304" s="9" t="s">
        <v>13173</v>
      </c>
      <c r="B1304" s="10" t="s">
        <v>13174</v>
      </c>
      <c r="C1304" s="10" t="s">
        <v>43</v>
      </c>
      <c r="D1304" s="10" t="s">
        <v>13175</v>
      </c>
      <c r="E1304" s="10" t="s">
        <v>45</v>
      </c>
      <c r="F1304" s="11">
        <v>1.0</v>
      </c>
      <c r="G1304" s="11">
        <v>120.0</v>
      </c>
      <c r="H1304" s="11"/>
      <c r="I1304" s="11">
        <v>-20.4</v>
      </c>
      <c r="J1304" s="11">
        <v>-19.95</v>
      </c>
      <c r="K1304" s="11"/>
      <c r="L1304" s="11">
        <v>86.85</v>
      </c>
      <c r="M1304" s="10" t="s">
        <v>12218</v>
      </c>
      <c r="N1304" s="10" t="s">
        <v>45</v>
      </c>
      <c r="O1304" s="10" t="s">
        <v>85</v>
      </c>
      <c r="P1304" s="10" t="s">
        <v>86</v>
      </c>
      <c r="Q1304" s="10" t="s">
        <v>87</v>
      </c>
      <c r="R1304" s="10" t="s">
        <v>74</v>
      </c>
      <c r="S1304" s="11">
        <v>120.0</v>
      </c>
      <c r="T1304" s="11">
        <v>65.78</v>
      </c>
      <c r="U1304" s="11" t="s">
        <v>51</v>
      </c>
      <c r="V1304" s="10" t="s">
        <v>52</v>
      </c>
      <c r="W1304" s="10" t="s">
        <v>13176</v>
      </c>
      <c r="X1304" s="10" t="s">
        <v>13177</v>
      </c>
      <c r="Y1304" s="10" t="s">
        <v>13178</v>
      </c>
      <c r="Z1304" s="10" t="s">
        <v>50</v>
      </c>
      <c r="AA1304" s="10" t="s">
        <v>50</v>
      </c>
      <c r="AB1304" s="10" t="s">
        <v>13176</v>
      </c>
      <c r="AC1304" s="10" t="s">
        <v>13179</v>
      </c>
      <c r="AD1304" s="10" t="s">
        <v>13180</v>
      </c>
      <c r="AE1304" s="10" t="s">
        <v>4203</v>
      </c>
      <c r="AF1304" s="10" t="s">
        <v>58</v>
      </c>
      <c r="AG1304" s="10" t="s">
        <v>13181</v>
      </c>
      <c r="AH1304" s="10" t="s">
        <v>60</v>
      </c>
      <c r="AI1304" s="10" t="s">
        <v>61</v>
      </c>
      <c r="AJ1304" s="10" t="s">
        <v>13182</v>
      </c>
      <c r="AK1304" s="10" t="s">
        <v>13183</v>
      </c>
      <c r="AL1304" s="10" t="s">
        <v>64</v>
      </c>
      <c r="AM1304" s="10" t="s">
        <v>13184</v>
      </c>
      <c r="AN1304" s="10" t="s">
        <v>50</v>
      </c>
      <c r="AO1304" s="11" t="s">
        <v>50</v>
      </c>
      <c r="AP1304" s="10" t="s">
        <v>50</v>
      </c>
      <c r="AQ1304" s="10" t="s">
        <v>50</v>
      </c>
      <c r="AR1304" s="10" t="s">
        <v>50</v>
      </c>
      <c r="AS1304" s="10" t="s">
        <v>50</v>
      </c>
      <c r="AT1304" s="10" t="s">
        <v>50</v>
      </c>
      <c r="AU1304" s="10" t="s">
        <v>50</v>
      </c>
      <c r="AV1304" s="11"/>
      <c r="AW1304" s="10" t="s">
        <v>66</v>
      </c>
      <c r="AX1304" s="10"/>
      <c r="AY1304" s="10" t="s">
        <v>66</v>
      </c>
    </row>
    <row r="1305" ht="22.5" hidden="1" customHeight="1">
      <c r="A1305" s="9" t="s">
        <v>13185</v>
      </c>
      <c r="B1305" s="10" t="s">
        <v>13186</v>
      </c>
      <c r="C1305" s="10" t="s">
        <v>43</v>
      </c>
      <c r="D1305" s="10" t="s">
        <v>13120</v>
      </c>
      <c r="E1305" s="10" t="s">
        <v>66</v>
      </c>
      <c r="F1305" s="11">
        <v>1.0</v>
      </c>
      <c r="G1305" s="11">
        <v>120.0</v>
      </c>
      <c r="H1305" s="11"/>
      <c r="I1305" s="11">
        <v>-20.4</v>
      </c>
      <c r="J1305" s="11">
        <v>-19.95</v>
      </c>
      <c r="K1305" s="11"/>
      <c r="L1305" s="11">
        <v>86.85</v>
      </c>
      <c r="M1305" s="10" t="s">
        <v>12218</v>
      </c>
      <c r="N1305" s="10" t="s">
        <v>45</v>
      </c>
      <c r="O1305" s="10" t="s">
        <v>85</v>
      </c>
      <c r="P1305" s="10" t="s">
        <v>86</v>
      </c>
      <c r="Q1305" s="10" t="s">
        <v>87</v>
      </c>
      <c r="R1305" s="10" t="s">
        <v>74</v>
      </c>
      <c r="S1305" s="11">
        <v>120.0</v>
      </c>
      <c r="T1305" s="11">
        <v>65.78</v>
      </c>
      <c r="U1305" s="11" t="s">
        <v>51</v>
      </c>
      <c r="V1305" s="10" t="s">
        <v>52</v>
      </c>
      <c r="W1305" s="10" t="s">
        <v>13187</v>
      </c>
      <c r="X1305" s="10" t="s">
        <v>13188</v>
      </c>
      <c r="Y1305" s="10" t="s">
        <v>13189</v>
      </c>
      <c r="Z1305" s="10" t="s">
        <v>50</v>
      </c>
      <c r="AA1305" s="10" t="s">
        <v>50</v>
      </c>
      <c r="AB1305" s="10" t="s">
        <v>13187</v>
      </c>
      <c r="AC1305" s="10" t="s">
        <v>13190</v>
      </c>
      <c r="AD1305" s="10" t="s">
        <v>13191</v>
      </c>
      <c r="AE1305" s="10" t="s">
        <v>3830</v>
      </c>
      <c r="AF1305" s="10" t="s">
        <v>58</v>
      </c>
      <c r="AG1305" s="10" t="s">
        <v>13192</v>
      </c>
      <c r="AH1305" s="10" t="s">
        <v>60</v>
      </c>
      <c r="AI1305" s="10" t="s">
        <v>61</v>
      </c>
      <c r="AJ1305" s="10" t="s">
        <v>13148</v>
      </c>
      <c r="AK1305" s="10" t="s">
        <v>13193</v>
      </c>
      <c r="AL1305" s="10" t="s">
        <v>64</v>
      </c>
      <c r="AM1305" s="10" t="s">
        <v>13194</v>
      </c>
      <c r="AN1305" s="10" t="s">
        <v>50</v>
      </c>
      <c r="AO1305" s="11" t="s">
        <v>50</v>
      </c>
      <c r="AP1305" s="10" t="s">
        <v>50</v>
      </c>
      <c r="AQ1305" s="10" t="s">
        <v>50</v>
      </c>
      <c r="AR1305" s="10" t="s">
        <v>50</v>
      </c>
      <c r="AS1305" s="10" t="s">
        <v>50</v>
      </c>
      <c r="AT1305" s="10" t="s">
        <v>50</v>
      </c>
      <c r="AU1305" s="10" t="s">
        <v>50</v>
      </c>
      <c r="AV1305" s="11"/>
      <c r="AW1305" s="10" t="s">
        <v>66</v>
      </c>
      <c r="AX1305" s="10"/>
      <c r="AY1305" s="10" t="s">
        <v>66</v>
      </c>
    </row>
    <row r="1306" ht="22.5" hidden="1" customHeight="1">
      <c r="A1306" s="9" t="s">
        <v>13195</v>
      </c>
      <c r="B1306" s="10" t="s">
        <v>13196</v>
      </c>
      <c r="C1306" s="10" t="s">
        <v>43</v>
      </c>
      <c r="D1306" s="10" t="s">
        <v>13120</v>
      </c>
      <c r="E1306" s="10" t="s">
        <v>66</v>
      </c>
      <c r="F1306" s="11">
        <v>1.0</v>
      </c>
      <c r="G1306" s="11">
        <v>80.0</v>
      </c>
      <c r="H1306" s="11">
        <v>10.75</v>
      </c>
      <c r="I1306" s="11">
        <v>-13.6</v>
      </c>
      <c r="J1306" s="11">
        <v>-30.7</v>
      </c>
      <c r="K1306" s="11"/>
      <c r="L1306" s="11">
        <v>50.45</v>
      </c>
      <c r="M1306" s="10" t="s">
        <v>12218</v>
      </c>
      <c r="N1306" s="10" t="s">
        <v>45</v>
      </c>
      <c r="O1306" s="10" t="s">
        <v>143</v>
      </c>
      <c r="P1306" s="10" t="s">
        <v>144</v>
      </c>
      <c r="Q1306" s="10" t="s">
        <v>145</v>
      </c>
      <c r="R1306" s="10" t="s">
        <v>74</v>
      </c>
      <c r="S1306" s="11">
        <v>80.0</v>
      </c>
      <c r="T1306" s="11">
        <v>33.38</v>
      </c>
      <c r="U1306" s="11" t="s">
        <v>51</v>
      </c>
      <c r="V1306" s="10" t="s">
        <v>52</v>
      </c>
      <c r="W1306" s="10" t="s">
        <v>13197</v>
      </c>
      <c r="X1306" s="10" t="s">
        <v>13198</v>
      </c>
      <c r="Y1306" s="10" t="s">
        <v>13199</v>
      </c>
      <c r="Z1306" s="10" t="s">
        <v>50</v>
      </c>
      <c r="AA1306" s="10" t="s">
        <v>50</v>
      </c>
      <c r="AB1306" s="10" t="s">
        <v>13197</v>
      </c>
      <c r="AC1306" s="10" t="s">
        <v>13200</v>
      </c>
      <c r="AD1306" s="10" t="s">
        <v>13201</v>
      </c>
      <c r="AE1306" s="10" t="s">
        <v>13202</v>
      </c>
      <c r="AF1306" s="10" t="s">
        <v>799</v>
      </c>
      <c r="AG1306" s="10" t="s">
        <v>13203</v>
      </c>
      <c r="AH1306" s="10" t="s">
        <v>60</v>
      </c>
      <c r="AI1306" s="10" t="s">
        <v>61</v>
      </c>
      <c r="AJ1306" s="10" t="s">
        <v>13138</v>
      </c>
      <c r="AK1306" s="10" t="s">
        <v>13204</v>
      </c>
      <c r="AL1306" s="10" t="s">
        <v>64</v>
      </c>
      <c r="AM1306" s="10" t="s">
        <v>13205</v>
      </c>
      <c r="AN1306" s="10" t="s">
        <v>50</v>
      </c>
      <c r="AO1306" s="11" t="s">
        <v>50</v>
      </c>
      <c r="AP1306" s="10" t="s">
        <v>50</v>
      </c>
      <c r="AQ1306" s="10" t="s">
        <v>50</v>
      </c>
      <c r="AR1306" s="10" t="s">
        <v>50</v>
      </c>
      <c r="AS1306" s="10" t="s">
        <v>50</v>
      </c>
      <c r="AT1306" s="10" t="s">
        <v>50</v>
      </c>
      <c r="AU1306" s="10" t="s">
        <v>50</v>
      </c>
      <c r="AV1306" s="11"/>
      <c r="AW1306" s="10" t="s">
        <v>66</v>
      </c>
      <c r="AX1306" s="10"/>
      <c r="AY1306" s="10" t="s">
        <v>66</v>
      </c>
    </row>
    <row r="1307" ht="22.5" hidden="1" customHeight="1">
      <c r="A1307" s="9" t="s">
        <v>13206</v>
      </c>
      <c r="B1307" s="10" t="s">
        <v>13207</v>
      </c>
      <c r="C1307" s="10" t="s">
        <v>43</v>
      </c>
      <c r="D1307" s="10" t="s">
        <v>13120</v>
      </c>
      <c r="E1307" s="10" t="s">
        <v>66</v>
      </c>
      <c r="F1307" s="11">
        <v>1.0</v>
      </c>
      <c r="G1307" s="11">
        <v>79.0</v>
      </c>
      <c r="H1307" s="11"/>
      <c r="I1307" s="11">
        <v>-13.43</v>
      </c>
      <c r="J1307" s="11">
        <v>-20.45</v>
      </c>
      <c r="K1307" s="11"/>
      <c r="L1307" s="11">
        <v>45.12</v>
      </c>
      <c r="M1307" s="10" t="s">
        <v>12218</v>
      </c>
      <c r="N1307" s="10" t="s">
        <v>45</v>
      </c>
      <c r="O1307" s="10" t="s">
        <v>160</v>
      </c>
      <c r="P1307" s="10" t="s">
        <v>161</v>
      </c>
      <c r="Q1307" s="10" t="s">
        <v>162</v>
      </c>
      <c r="R1307" s="10" t="s">
        <v>74</v>
      </c>
      <c r="S1307" s="11">
        <v>79.0</v>
      </c>
      <c r="T1307" s="11">
        <v>2.49</v>
      </c>
      <c r="U1307" s="11" t="s">
        <v>51</v>
      </c>
      <c r="V1307" s="10" t="s">
        <v>52</v>
      </c>
      <c r="W1307" s="10" t="s">
        <v>13208</v>
      </c>
      <c r="X1307" s="10" t="s">
        <v>13209</v>
      </c>
      <c r="Y1307" s="10" t="s">
        <v>13210</v>
      </c>
      <c r="Z1307" s="10" t="s">
        <v>50</v>
      </c>
      <c r="AA1307" s="10" t="s">
        <v>50</v>
      </c>
      <c r="AB1307" s="10" t="s">
        <v>13208</v>
      </c>
      <c r="AC1307" s="10" t="s">
        <v>13211</v>
      </c>
      <c r="AD1307" s="10" t="s">
        <v>13212</v>
      </c>
      <c r="AE1307" s="10" t="s">
        <v>833</v>
      </c>
      <c r="AF1307" s="10" t="s">
        <v>58</v>
      </c>
      <c r="AG1307" s="10" t="s">
        <v>13213</v>
      </c>
      <c r="AH1307" s="10" t="s">
        <v>60</v>
      </c>
      <c r="AI1307" s="10" t="s">
        <v>61</v>
      </c>
      <c r="AJ1307" s="10" t="s">
        <v>13127</v>
      </c>
      <c r="AK1307" s="10" t="s">
        <v>13214</v>
      </c>
      <c r="AL1307" s="10" t="s">
        <v>64</v>
      </c>
      <c r="AM1307" s="10" t="s">
        <v>13215</v>
      </c>
      <c r="AN1307" s="10" t="s">
        <v>50</v>
      </c>
      <c r="AO1307" s="11" t="s">
        <v>50</v>
      </c>
      <c r="AP1307" s="10" t="s">
        <v>50</v>
      </c>
      <c r="AQ1307" s="10" t="s">
        <v>50</v>
      </c>
      <c r="AR1307" s="10" t="s">
        <v>50</v>
      </c>
      <c r="AS1307" s="10" t="s">
        <v>50</v>
      </c>
      <c r="AT1307" s="10" t="s">
        <v>50</v>
      </c>
      <c r="AU1307" s="10" t="s">
        <v>50</v>
      </c>
      <c r="AV1307" s="11"/>
      <c r="AW1307" s="10" t="s">
        <v>66</v>
      </c>
      <c r="AX1307" s="10"/>
      <c r="AY1307" s="10" t="s">
        <v>66</v>
      </c>
    </row>
    <row r="1308" ht="22.5" hidden="1" customHeight="1">
      <c r="A1308" s="9" t="s">
        <v>13216</v>
      </c>
      <c r="B1308" s="10" t="s">
        <v>13217</v>
      </c>
      <c r="C1308" s="10" t="s">
        <v>43</v>
      </c>
      <c r="D1308" s="10" t="s">
        <v>13120</v>
      </c>
      <c r="E1308" s="10" t="s">
        <v>45</v>
      </c>
      <c r="F1308" s="11">
        <v>1.0</v>
      </c>
      <c r="G1308" s="11">
        <v>80.3</v>
      </c>
      <c r="H1308" s="11"/>
      <c r="I1308" s="11">
        <v>-13.65</v>
      </c>
      <c r="J1308" s="11">
        <v>-20.45</v>
      </c>
      <c r="K1308" s="11"/>
      <c r="L1308" s="11">
        <v>46.2</v>
      </c>
      <c r="M1308" s="10" t="s">
        <v>12218</v>
      </c>
      <c r="N1308" s="10" t="s">
        <v>45</v>
      </c>
      <c r="O1308" s="10" t="s">
        <v>127</v>
      </c>
      <c r="P1308" s="10" t="s">
        <v>128</v>
      </c>
      <c r="Q1308" s="10" t="s">
        <v>129</v>
      </c>
      <c r="R1308" s="10" t="s">
        <v>74</v>
      </c>
      <c r="S1308" s="11">
        <v>80.3</v>
      </c>
      <c r="T1308" s="11">
        <v>17.68</v>
      </c>
      <c r="U1308" s="11" t="s">
        <v>51</v>
      </c>
      <c r="V1308" s="10" t="s">
        <v>52</v>
      </c>
      <c r="W1308" s="10" t="s">
        <v>13218</v>
      </c>
      <c r="X1308" s="10" t="s">
        <v>13219</v>
      </c>
      <c r="Y1308" s="10" t="s">
        <v>13220</v>
      </c>
      <c r="Z1308" s="10" t="s">
        <v>50</v>
      </c>
      <c r="AA1308" s="10" t="s">
        <v>50</v>
      </c>
      <c r="AB1308" s="10" t="s">
        <v>13218</v>
      </c>
      <c r="AC1308" s="10" t="s">
        <v>13221</v>
      </c>
      <c r="AD1308" s="10" t="s">
        <v>13222</v>
      </c>
      <c r="AE1308" s="10" t="s">
        <v>13223</v>
      </c>
      <c r="AF1308" s="10" t="s">
        <v>323</v>
      </c>
      <c r="AG1308" s="10" t="s">
        <v>13224</v>
      </c>
      <c r="AH1308" s="10" t="s">
        <v>60</v>
      </c>
      <c r="AI1308" s="10" t="s">
        <v>61</v>
      </c>
      <c r="AJ1308" s="10" t="s">
        <v>13225</v>
      </c>
      <c r="AK1308" s="10" t="s">
        <v>13226</v>
      </c>
      <c r="AL1308" s="10" t="s">
        <v>64</v>
      </c>
      <c r="AM1308" s="10" t="s">
        <v>13227</v>
      </c>
      <c r="AN1308" s="10" t="s">
        <v>50</v>
      </c>
      <c r="AO1308" s="11" t="s">
        <v>50</v>
      </c>
      <c r="AP1308" s="10" t="s">
        <v>50</v>
      </c>
      <c r="AQ1308" s="10" t="s">
        <v>50</v>
      </c>
      <c r="AR1308" s="10" t="s">
        <v>50</v>
      </c>
      <c r="AS1308" s="10" t="s">
        <v>50</v>
      </c>
      <c r="AT1308" s="10" t="s">
        <v>50</v>
      </c>
      <c r="AU1308" s="10" t="s">
        <v>50</v>
      </c>
      <c r="AV1308" s="11"/>
      <c r="AW1308" s="10" t="s">
        <v>66</v>
      </c>
      <c r="AX1308" s="10"/>
      <c r="AY1308" s="10" t="s">
        <v>66</v>
      </c>
    </row>
    <row r="1309" ht="22.5" hidden="1" customHeight="1">
      <c r="A1309" s="9" t="s">
        <v>13228</v>
      </c>
      <c r="B1309" s="10" t="s">
        <v>13229</v>
      </c>
      <c r="C1309" s="10" t="s">
        <v>43</v>
      </c>
      <c r="D1309" s="10" t="s">
        <v>13175</v>
      </c>
      <c r="E1309" s="10" t="s">
        <v>66</v>
      </c>
      <c r="F1309" s="11">
        <v>1.0</v>
      </c>
      <c r="G1309" s="11">
        <v>80.0</v>
      </c>
      <c r="H1309" s="11"/>
      <c r="I1309" s="11">
        <v>-13.6</v>
      </c>
      <c r="J1309" s="11">
        <v>-19.95</v>
      </c>
      <c r="K1309" s="11"/>
      <c r="L1309" s="11">
        <v>50.45</v>
      </c>
      <c r="M1309" s="10" t="s">
        <v>12218</v>
      </c>
      <c r="N1309" s="10" t="s">
        <v>45</v>
      </c>
      <c r="O1309" s="10" t="s">
        <v>143</v>
      </c>
      <c r="P1309" s="10" t="s">
        <v>144</v>
      </c>
      <c r="Q1309" s="10" t="s">
        <v>145</v>
      </c>
      <c r="R1309" s="10" t="s">
        <v>74</v>
      </c>
      <c r="S1309" s="11">
        <v>80.0</v>
      </c>
      <c r="T1309" s="11">
        <v>33.38</v>
      </c>
      <c r="U1309" s="11" t="s">
        <v>51</v>
      </c>
      <c r="V1309" s="10" t="s">
        <v>52</v>
      </c>
      <c r="W1309" s="10" t="s">
        <v>13230</v>
      </c>
      <c r="X1309" s="10" t="s">
        <v>13231</v>
      </c>
      <c r="Y1309" s="10" t="s">
        <v>13232</v>
      </c>
      <c r="Z1309" s="10" t="s">
        <v>50</v>
      </c>
      <c r="AA1309" s="10" t="s">
        <v>50</v>
      </c>
      <c r="AB1309" s="10" t="s">
        <v>13230</v>
      </c>
      <c r="AC1309" s="10" t="s">
        <v>13233</v>
      </c>
      <c r="AD1309" s="10" t="s">
        <v>13234</v>
      </c>
      <c r="AE1309" s="10" t="s">
        <v>13235</v>
      </c>
      <c r="AF1309" s="10" t="s">
        <v>58</v>
      </c>
      <c r="AG1309" s="10" t="s">
        <v>13236</v>
      </c>
      <c r="AH1309" s="10" t="s">
        <v>60</v>
      </c>
      <c r="AI1309" s="10" t="s">
        <v>61</v>
      </c>
      <c r="AJ1309" s="10" t="s">
        <v>13148</v>
      </c>
      <c r="AK1309" s="10" t="s">
        <v>13237</v>
      </c>
      <c r="AL1309" s="10" t="s">
        <v>64</v>
      </c>
      <c r="AM1309" s="10" t="s">
        <v>13238</v>
      </c>
      <c r="AN1309" s="10" t="s">
        <v>50</v>
      </c>
      <c r="AO1309" s="11" t="s">
        <v>50</v>
      </c>
      <c r="AP1309" s="10" t="s">
        <v>50</v>
      </c>
      <c r="AQ1309" s="10" t="s">
        <v>50</v>
      </c>
      <c r="AR1309" s="10" t="s">
        <v>50</v>
      </c>
      <c r="AS1309" s="10" t="s">
        <v>50</v>
      </c>
      <c r="AT1309" s="10" t="s">
        <v>50</v>
      </c>
      <c r="AU1309" s="10" t="s">
        <v>50</v>
      </c>
      <c r="AV1309" s="11"/>
      <c r="AW1309" s="10" t="s">
        <v>66</v>
      </c>
      <c r="AX1309" s="10"/>
      <c r="AY1309" s="10" t="s">
        <v>66</v>
      </c>
    </row>
    <row r="1310" ht="22.5" hidden="1" customHeight="1">
      <c r="A1310" s="9" t="s">
        <v>13239</v>
      </c>
      <c r="B1310" s="10" t="s">
        <v>13240</v>
      </c>
      <c r="C1310" s="10" t="s">
        <v>43</v>
      </c>
      <c r="D1310" s="10" t="s">
        <v>13175</v>
      </c>
      <c r="E1310" s="10" t="s">
        <v>66</v>
      </c>
      <c r="F1310" s="11">
        <v>1.0</v>
      </c>
      <c r="G1310" s="11">
        <v>43.7</v>
      </c>
      <c r="H1310" s="11">
        <v>11.11</v>
      </c>
      <c r="I1310" s="11">
        <v>-13.43</v>
      </c>
      <c r="J1310" s="11">
        <v>-11.11</v>
      </c>
      <c r="K1310" s="11"/>
      <c r="L1310" s="11">
        <v>32.89</v>
      </c>
      <c r="M1310" s="10" t="s">
        <v>12218</v>
      </c>
      <c r="N1310" s="10" t="s">
        <v>50</v>
      </c>
      <c r="O1310" s="10" t="s">
        <v>176</v>
      </c>
      <c r="P1310" s="10" t="s">
        <v>177</v>
      </c>
      <c r="Q1310" s="10" t="s">
        <v>178</v>
      </c>
      <c r="R1310" s="10" t="s">
        <v>74</v>
      </c>
      <c r="S1310" s="11">
        <v>43.7</v>
      </c>
      <c r="T1310" s="11">
        <v>22.58</v>
      </c>
      <c r="U1310" s="11" t="s">
        <v>51</v>
      </c>
      <c r="V1310" s="10" t="s">
        <v>52</v>
      </c>
      <c r="W1310" s="10" t="s">
        <v>13241</v>
      </c>
      <c r="X1310" s="10" t="s">
        <v>13242</v>
      </c>
      <c r="Y1310" s="10" t="s">
        <v>13243</v>
      </c>
      <c r="Z1310" s="10" t="s">
        <v>50</v>
      </c>
      <c r="AA1310" s="10" t="s">
        <v>50</v>
      </c>
      <c r="AB1310" s="10" t="s">
        <v>13241</v>
      </c>
      <c r="AC1310" s="10" t="s">
        <v>13244</v>
      </c>
      <c r="AD1310" s="10" t="s">
        <v>13245</v>
      </c>
      <c r="AE1310" s="10" t="s">
        <v>10705</v>
      </c>
      <c r="AF1310" s="10" t="s">
        <v>58</v>
      </c>
      <c r="AG1310" s="10" t="s">
        <v>13246</v>
      </c>
      <c r="AH1310" s="10" t="s">
        <v>60</v>
      </c>
      <c r="AI1310" s="10" t="s">
        <v>61</v>
      </c>
      <c r="AJ1310" s="10" t="s">
        <v>13127</v>
      </c>
      <c r="AK1310" s="10" t="s">
        <v>13247</v>
      </c>
      <c r="AL1310" s="10" t="s">
        <v>64</v>
      </c>
      <c r="AM1310" s="10" t="s">
        <v>13248</v>
      </c>
      <c r="AN1310" s="10" t="s">
        <v>50</v>
      </c>
      <c r="AO1310" s="11" t="s">
        <v>50</v>
      </c>
      <c r="AP1310" s="10" t="s">
        <v>50</v>
      </c>
      <c r="AQ1310" s="10" t="s">
        <v>50</v>
      </c>
      <c r="AR1310" s="10" t="s">
        <v>50</v>
      </c>
      <c r="AS1310" s="10" t="s">
        <v>50</v>
      </c>
      <c r="AT1310" s="10" t="s">
        <v>50</v>
      </c>
      <c r="AU1310" s="10" t="s">
        <v>50</v>
      </c>
      <c r="AV1310" s="11"/>
      <c r="AW1310" s="10" t="s">
        <v>66</v>
      </c>
      <c r="AX1310" s="10"/>
      <c r="AY1310" s="10" t="s">
        <v>66</v>
      </c>
    </row>
    <row r="1311" ht="22.5" hidden="1" customHeight="1">
      <c r="A1311" s="9" t="s">
        <v>13249</v>
      </c>
      <c r="B1311" s="10" t="s">
        <v>13250</v>
      </c>
      <c r="C1311" s="10" t="s">
        <v>43</v>
      </c>
      <c r="D1311" s="10" t="s">
        <v>13049</v>
      </c>
      <c r="E1311" s="10" t="s">
        <v>45</v>
      </c>
      <c r="F1311" s="11">
        <v>3.0</v>
      </c>
      <c r="G1311" s="11">
        <v>131.1</v>
      </c>
      <c r="H1311" s="11"/>
      <c r="I1311" s="11">
        <v>-40.29</v>
      </c>
      <c r="J1311" s="11"/>
      <c r="K1311" s="11"/>
      <c r="L1311" s="11">
        <v>98.67</v>
      </c>
      <c r="M1311" s="10" t="s">
        <v>12218</v>
      </c>
      <c r="N1311" s="10" t="s">
        <v>50</v>
      </c>
      <c r="O1311" s="10" t="s">
        <v>176</v>
      </c>
      <c r="P1311" s="10" t="s">
        <v>177</v>
      </c>
      <c r="Q1311" s="10" t="s">
        <v>178</v>
      </c>
      <c r="R1311" s="10" t="s">
        <v>74</v>
      </c>
      <c r="S1311" s="11">
        <v>43.7</v>
      </c>
      <c r="T1311" s="11">
        <f>3*22.58</f>
        <v>67.74</v>
      </c>
      <c r="U1311" s="11" t="s">
        <v>51</v>
      </c>
      <c r="V1311" s="10" t="s">
        <v>52</v>
      </c>
      <c r="W1311" s="10" t="s">
        <v>13251</v>
      </c>
      <c r="X1311" s="10" t="s">
        <v>13252</v>
      </c>
      <c r="Y1311" s="10" t="s">
        <v>13253</v>
      </c>
      <c r="Z1311" s="10" t="s">
        <v>50</v>
      </c>
      <c r="AA1311" s="10" t="s">
        <v>50</v>
      </c>
      <c r="AB1311" s="10" t="s">
        <v>13251</v>
      </c>
      <c r="AC1311" s="10" t="s">
        <v>13254</v>
      </c>
      <c r="AD1311" s="10" t="s">
        <v>13255</v>
      </c>
      <c r="AE1311" s="10" t="s">
        <v>13256</v>
      </c>
      <c r="AF1311" s="10" t="s">
        <v>323</v>
      </c>
      <c r="AG1311" s="10" t="s">
        <v>13257</v>
      </c>
      <c r="AH1311" s="10" t="s">
        <v>60</v>
      </c>
      <c r="AI1311" s="10" t="s">
        <v>61</v>
      </c>
      <c r="AJ1311" s="10" t="s">
        <v>13258</v>
      </c>
      <c r="AK1311" s="10" t="s">
        <v>13259</v>
      </c>
      <c r="AL1311" s="10" t="s">
        <v>64</v>
      </c>
      <c r="AM1311" s="10" t="s">
        <v>13260</v>
      </c>
      <c r="AN1311" s="10" t="s">
        <v>50</v>
      </c>
      <c r="AO1311" s="11" t="s">
        <v>50</v>
      </c>
      <c r="AP1311" s="10" t="s">
        <v>50</v>
      </c>
      <c r="AQ1311" s="10" t="s">
        <v>50</v>
      </c>
      <c r="AR1311" s="10" t="s">
        <v>50</v>
      </c>
      <c r="AS1311" s="10" t="s">
        <v>50</v>
      </c>
      <c r="AT1311" s="10" t="s">
        <v>50</v>
      </c>
      <c r="AU1311" s="10" t="s">
        <v>50</v>
      </c>
      <c r="AV1311" s="11"/>
      <c r="AW1311" s="10" t="s">
        <v>66</v>
      </c>
      <c r="AX1311" s="10"/>
      <c r="AY1311" s="10" t="s">
        <v>66</v>
      </c>
    </row>
    <row r="1312" ht="22.5" hidden="1" customHeight="1">
      <c r="A1312" s="9" t="s">
        <v>13261</v>
      </c>
      <c r="B1312" s="10" t="s">
        <v>13262</v>
      </c>
      <c r="C1312" s="10" t="s">
        <v>43</v>
      </c>
      <c r="D1312" s="10" t="s">
        <v>13108</v>
      </c>
      <c r="E1312" s="10" t="s">
        <v>66</v>
      </c>
      <c r="F1312" s="11">
        <v>1.0</v>
      </c>
      <c r="G1312" s="11">
        <v>80.0</v>
      </c>
      <c r="H1312" s="11">
        <v>10.75</v>
      </c>
      <c r="I1312" s="11">
        <v>-13.6</v>
      </c>
      <c r="J1312" s="11">
        <v>-30.7</v>
      </c>
      <c r="K1312" s="11"/>
      <c r="L1312" s="11">
        <v>50.45</v>
      </c>
      <c r="M1312" s="10" t="s">
        <v>12218</v>
      </c>
      <c r="N1312" s="10" t="s">
        <v>45</v>
      </c>
      <c r="O1312" s="10" t="s">
        <v>143</v>
      </c>
      <c r="P1312" s="10" t="s">
        <v>144</v>
      </c>
      <c r="Q1312" s="10" t="s">
        <v>145</v>
      </c>
      <c r="R1312" s="10" t="s">
        <v>74</v>
      </c>
      <c r="S1312" s="11">
        <v>80.0</v>
      </c>
      <c r="T1312" s="11">
        <v>33.38</v>
      </c>
      <c r="U1312" s="11" t="s">
        <v>51</v>
      </c>
      <c r="V1312" s="10" t="s">
        <v>52</v>
      </c>
      <c r="W1312" s="10" t="s">
        <v>13263</v>
      </c>
      <c r="X1312" s="10" t="s">
        <v>13264</v>
      </c>
      <c r="Y1312" s="10" t="s">
        <v>13265</v>
      </c>
      <c r="Z1312" s="10" t="s">
        <v>50</v>
      </c>
      <c r="AA1312" s="10" t="s">
        <v>50</v>
      </c>
      <c r="AB1312" s="10" t="s">
        <v>13263</v>
      </c>
      <c r="AC1312" s="10" t="s">
        <v>13266</v>
      </c>
      <c r="AD1312" s="10" t="s">
        <v>13267</v>
      </c>
      <c r="AE1312" s="10" t="s">
        <v>13268</v>
      </c>
      <c r="AF1312" s="10" t="s">
        <v>799</v>
      </c>
      <c r="AG1312" s="10" t="s">
        <v>13269</v>
      </c>
      <c r="AH1312" s="10" t="s">
        <v>60</v>
      </c>
      <c r="AI1312" s="10" t="s">
        <v>61</v>
      </c>
      <c r="AJ1312" s="10" t="s">
        <v>13138</v>
      </c>
      <c r="AK1312" s="10" t="s">
        <v>13270</v>
      </c>
      <c r="AL1312" s="10" t="s">
        <v>64</v>
      </c>
      <c r="AM1312" s="10" t="s">
        <v>13271</v>
      </c>
      <c r="AN1312" s="10" t="s">
        <v>50</v>
      </c>
      <c r="AO1312" s="11" t="s">
        <v>50</v>
      </c>
      <c r="AP1312" s="10" t="s">
        <v>50</v>
      </c>
      <c r="AQ1312" s="10" t="s">
        <v>50</v>
      </c>
      <c r="AR1312" s="10" t="s">
        <v>50</v>
      </c>
      <c r="AS1312" s="10" t="s">
        <v>50</v>
      </c>
      <c r="AT1312" s="10" t="s">
        <v>50</v>
      </c>
      <c r="AU1312" s="10" t="s">
        <v>50</v>
      </c>
      <c r="AV1312" s="11"/>
      <c r="AW1312" s="10" t="s">
        <v>66</v>
      </c>
      <c r="AX1312" s="10"/>
      <c r="AY1312" s="10" t="s">
        <v>66</v>
      </c>
    </row>
    <row r="1313" ht="22.5" hidden="1" customHeight="1">
      <c r="A1313" s="9" t="s">
        <v>13272</v>
      </c>
      <c r="B1313" s="10" t="s">
        <v>13273</v>
      </c>
      <c r="C1313" s="10" t="s">
        <v>43</v>
      </c>
      <c r="D1313" s="10" t="s">
        <v>13108</v>
      </c>
      <c r="E1313" s="10" t="s">
        <v>45</v>
      </c>
      <c r="F1313" s="11">
        <v>1.0</v>
      </c>
      <c r="G1313" s="11">
        <v>92.15</v>
      </c>
      <c r="H1313" s="11"/>
      <c r="I1313" s="11">
        <v>-17.51</v>
      </c>
      <c r="J1313" s="11">
        <v>-20.45</v>
      </c>
      <c r="K1313" s="11"/>
      <c r="L1313" s="11">
        <v>59.72</v>
      </c>
      <c r="M1313" s="10" t="s">
        <v>12218</v>
      </c>
      <c r="N1313" s="10" t="s">
        <v>45</v>
      </c>
      <c r="O1313" s="10" t="s">
        <v>586</v>
      </c>
      <c r="P1313" s="10" t="s">
        <v>587</v>
      </c>
      <c r="Q1313" s="10" t="s">
        <v>588</v>
      </c>
      <c r="R1313" s="10" t="s">
        <v>50</v>
      </c>
      <c r="S1313" s="11">
        <v>92.15</v>
      </c>
      <c r="T1313" s="11">
        <v>20.76</v>
      </c>
      <c r="U1313" s="11" t="s">
        <v>51</v>
      </c>
      <c r="V1313" s="10" t="s">
        <v>52</v>
      </c>
      <c r="W1313" s="10" t="s">
        <v>13274</v>
      </c>
      <c r="X1313" s="10" t="s">
        <v>13275</v>
      </c>
      <c r="Y1313" s="10" t="s">
        <v>13276</v>
      </c>
      <c r="Z1313" s="10" t="s">
        <v>50</v>
      </c>
      <c r="AA1313" s="10" t="s">
        <v>50</v>
      </c>
      <c r="AB1313" s="10" t="s">
        <v>13274</v>
      </c>
      <c r="AC1313" s="10" t="s">
        <v>13277</v>
      </c>
      <c r="AD1313" s="10" t="s">
        <v>13278</v>
      </c>
      <c r="AE1313" s="10" t="s">
        <v>58</v>
      </c>
      <c r="AF1313" s="10" t="s">
        <v>58</v>
      </c>
      <c r="AG1313" s="10" t="s">
        <v>13279</v>
      </c>
      <c r="AH1313" s="10" t="s">
        <v>60</v>
      </c>
      <c r="AI1313" s="10" t="s">
        <v>61</v>
      </c>
      <c r="AJ1313" s="10" t="s">
        <v>13127</v>
      </c>
      <c r="AK1313" s="10" t="s">
        <v>13280</v>
      </c>
      <c r="AL1313" s="10" t="s">
        <v>64</v>
      </c>
      <c r="AM1313" s="10" t="s">
        <v>13281</v>
      </c>
      <c r="AN1313" s="10" t="s">
        <v>50</v>
      </c>
      <c r="AO1313" s="11" t="s">
        <v>50</v>
      </c>
      <c r="AP1313" s="10" t="s">
        <v>50</v>
      </c>
      <c r="AQ1313" s="10" t="s">
        <v>50</v>
      </c>
      <c r="AR1313" s="10" t="s">
        <v>50</v>
      </c>
      <c r="AS1313" s="10" t="s">
        <v>50</v>
      </c>
      <c r="AT1313" s="10" t="s">
        <v>50</v>
      </c>
      <c r="AU1313" s="10" t="s">
        <v>50</v>
      </c>
      <c r="AV1313" s="11"/>
      <c r="AW1313" s="10" t="s">
        <v>66</v>
      </c>
      <c r="AX1313" s="10"/>
      <c r="AY1313" s="10" t="s">
        <v>66</v>
      </c>
    </row>
    <row r="1314" ht="22.5" hidden="1" customHeight="1">
      <c r="A1314" s="9" t="s">
        <v>13282</v>
      </c>
      <c r="B1314" s="10" t="s">
        <v>13283</v>
      </c>
      <c r="C1314" s="10" t="s">
        <v>43</v>
      </c>
      <c r="D1314" s="10" t="s">
        <v>13049</v>
      </c>
      <c r="E1314" s="10" t="s">
        <v>66</v>
      </c>
      <c r="F1314" s="11">
        <v>1.0</v>
      </c>
      <c r="G1314" s="11">
        <v>80.3</v>
      </c>
      <c r="H1314" s="11"/>
      <c r="I1314" s="11">
        <v>-13.65</v>
      </c>
      <c r="J1314" s="11">
        <v>-20.45</v>
      </c>
      <c r="K1314" s="11"/>
      <c r="L1314" s="11">
        <v>46.2</v>
      </c>
      <c r="M1314" s="10" t="s">
        <v>12218</v>
      </c>
      <c r="N1314" s="10" t="s">
        <v>45</v>
      </c>
      <c r="O1314" s="10" t="s">
        <v>127</v>
      </c>
      <c r="P1314" s="10" t="s">
        <v>128</v>
      </c>
      <c r="Q1314" s="10" t="s">
        <v>129</v>
      </c>
      <c r="R1314" s="10" t="s">
        <v>74</v>
      </c>
      <c r="S1314" s="11">
        <v>80.3</v>
      </c>
      <c r="T1314" s="11">
        <v>17.68</v>
      </c>
      <c r="U1314" s="11" t="s">
        <v>51</v>
      </c>
      <c r="V1314" s="10" t="s">
        <v>52</v>
      </c>
      <c r="W1314" s="10" t="s">
        <v>13284</v>
      </c>
      <c r="X1314" s="10" t="s">
        <v>13285</v>
      </c>
      <c r="Y1314" s="10" t="s">
        <v>13286</v>
      </c>
      <c r="Z1314" s="10" t="s">
        <v>50</v>
      </c>
      <c r="AA1314" s="10" t="s">
        <v>50</v>
      </c>
      <c r="AB1314" s="10" t="s">
        <v>13284</v>
      </c>
      <c r="AC1314" s="10" t="s">
        <v>13287</v>
      </c>
      <c r="AD1314" s="10" t="s">
        <v>13288</v>
      </c>
      <c r="AE1314" s="10" t="s">
        <v>13289</v>
      </c>
      <c r="AF1314" s="10" t="s">
        <v>323</v>
      </c>
      <c r="AG1314" s="10" t="s">
        <v>13290</v>
      </c>
      <c r="AH1314" s="10" t="s">
        <v>60</v>
      </c>
      <c r="AI1314" s="10" t="s">
        <v>61</v>
      </c>
      <c r="AJ1314" s="10" t="s">
        <v>13291</v>
      </c>
      <c r="AK1314" s="10" t="s">
        <v>13292</v>
      </c>
      <c r="AL1314" s="10" t="s">
        <v>64</v>
      </c>
      <c r="AM1314" s="10" t="s">
        <v>13293</v>
      </c>
      <c r="AN1314" s="10" t="s">
        <v>50</v>
      </c>
      <c r="AO1314" s="11" t="s">
        <v>50</v>
      </c>
      <c r="AP1314" s="10" t="s">
        <v>50</v>
      </c>
      <c r="AQ1314" s="10" t="s">
        <v>50</v>
      </c>
      <c r="AR1314" s="10" t="s">
        <v>50</v>
      </c>
      <c r="AS1314" s="10" t="s">
        <v>50</v>
      </c>
      <c r="AT1314" s="10" t="s">
        <v>50</v>
      </c>
      <c r="AU1314" s="10" t="s">
        <v>50</v>
      </c>
      <c r="AV1314" s="11"/>
      <c r="AW1314" s="10" t="s">
        <v>66</v>
      </c>
      <c r="AX1314" s="10"/>
      <c r="AY1314" s="10" t="s">
        <v>66</v>
      </c>
    </row>
    <row r="1315" ht="22.5" hidden="1" customHeight="1">
      <c r="A1315" s="9" t="s">
        <v>13294</v>
      </c>
      <c r="B1315" s="10" t="s">
        <v>13295</v>
      </c>
      <c r="C1315" s="10" t="s">
        <v>43</v>
      </c>
      <c r="D1315" s="10" t="s">
        <v>13175</v>
      </c>
      <c r="E1315" s="10" t="s">
        <v>66</v>
      </c>
      <c r="F1315" s="11">
        <v>1.0</v>
      </c>
      <c r="G1315" s="11">
        <v>43.7</v>
      </c>
      <c r="H1315" s="11">
        <v>11.11</v>
      </c>
      <c r="I1315" s="11">
        <v>-13.43</v>
      </c>
      <c r="J1315" s="11">
        <v>-11.11</v>
      </c>
      <c r="K1315" s="11"/>
      <c r="L1315" s="11">
        <v>32.89</v>
      </c>
      <c r="M1315" s="10" t="s">
        <v>12218</v>
      </c>
      <c r="N1315" s="10" t="s">
        <v>45</v>
      </c>
      <c r="O1315" s="10" t="s">
        <v>176</v>
      </c>
      <c r="P1315" s="10" t="s">
        <v>177</v>
      </c>
      <c r="Q1315" s="10" t="s">
        <v>178</v>
      </c>
      <c r="R1315" s="10" t="s">
        <v>74</v>
      </c>
      <c r="S1315" s="11">
        <v>43.7</v>
      </c>
      <c r="T1315" s="11">
        <v>22.58</v>
      </c>
      <c r="U1315" s="11" t="s">
        <v>51</v>
      </c>
      <c r="V1315" s="10" t="s">
        <v>52</v>
      </c>
      <c r="W1315" s="10" t="s">
        <v>13296</v>
      </c>
      <c r="X1315" s="10" t="s">
        <v>13297</v>
      </c>
      <c r="Y1315" s="10" t="s">
        <v>13298</v>
      </c>
      <c r="Z1315" s="10" t="s">
        <v>50</v>
      </c>
      <c r="AA1315" s="10" t="s">
        <v>50</v>
      </c>
      <c r="AB1315" s="10" t="s">
        <v>13296</v>
      </c>
      <c r="AC1315" s="10" t="s">
        <v>13299</v>
      </c>
      <c r="AD1315" s="10" t="s">
        <v>13300</v>
      </c>
      <c r="AE1315" s="10" t="s">
        <v>296</v>
      </c>
      <c r="AF1315" s="10" t="s">
        <v>58</v>
      </c>
      <c r="AG1315" s="10" t="s">
        <v>13301</v>
      </c>
      <c r="AH1315" s="10" t="s">
        <v>60</v>
      </c>
      <c r="AI1315" s="10" t="s">
        <v>61</v>
      </c>
      <c r="AJ1315" s="10" t="s">
        <v>13302</v>
      </c>
      <c r="AK1315" s="10" t="s">
        <v>13303</v>
      </c>
      <c r="AL1315" s="10" t="s">
        <v>64</v>
      </c>
      <c r="AM1315" s="10" t="s">
        <v>13304</v>
      </c>
      <c r="AN1315" s="10" t="s">
        <v>50</v>
      </c>
      <c r="AO1315" s="11" t="s">
        <v>50</v>
      </c>
      <c r="AP1315" s="10" t="s">
        <v>50</v>
      </c>
      <c r="AQ1315" s="10" t="s">
        <v>50</v>
      </c>
      <c r="AR1315" s="10" t="s">
        <v>50</v>
      </c>
      <c r="AS1315" s="10" t="s">
        <v>50</v>
      </c>
      <c r="AT1315" s="10" t="s">
        <v>50</v>
      </c>
      <c r="AU1315" s="10" t="s">
        <v>50</v>
      </c>
      <c r="AV1315" s="11"/>
      <c r="AW1315" s="10" t="s">
        <v>66</v>
      </c>
      <c r="AX1315" s="10"/>
      <c r="AY1315" s="10" t="s">
        <v>66</v>
      </c>
    </row>
    <row r="1316" ht="22.5" hidden="1" customHeight="1">
      <c r="A1316" s="9" t="s">
        <v>13305</v>
      </c>
      <c r="B1316" s="10" t="s">
        <v>13306</v>
      </c>
      <c r="C1316" s="10" t="s">
        <v>43</v>
      </c>
      <c r="D1316" s="10" t="s">
        <v>13175</v>
      </c>
      <c r="E1316" s="10" t="s">
        <v>66</v>
      </c>
      <c r="F1316" s="11">
        <v>1.0</v>
      </c>
      <c r="G1316" s="11">
        <v>43.7</v>
      </c>
      <c r="H1316" s="11">
        <v>14.15</v>
      </c>
      <c r="I1316" s="11">
        <v>-13.43</v>
      </c>
      <c r="J1316" s="11">
        <v>-14.15</v>
      </c>
      <c r="K1316" s="11"/>
      <c r="L1316" s="11">
        <v>32.89</v>
      </c>
      <c r="M1316" s="10" t="s">
        <v>12218</v>
      </c>
      <c r="N1316" s="10" t="s">
        <v>50</v>
      </c>
      <c r="O1316" s="10" t="s">
        <v>176</v>
      </c>
      <c r="P1316" s="10" t="s">
        <v>177</v>
      </c>
      <c r="Q1316" s="10" t="s">
        <v>178</v>
      </c>
      <c r="R1316" s="10" t="s">
        <v>74</v>
      </c>
      <c r="S1316" s="11">
        <v>43.7</v>
      </c>
      <c r="T1316" s="11">
        <v>22.58</v>
      </c>
      <c r="U1316" s="11" t="s">
        <v>51</v>
      </c>
      <c r="V1316" s="10" t="s">
        <v>52</v>
      </c>
      <c r="W1316" s="10" t="s">
        <v>13307</v>
      </c>
      <c r="X1316" s="10" t="s">
        <v>13308</v>
      </c>
      <c r="Y1316" s="10" t="s">
        <v>13309</v>
      </c>
      <c r="Z1316" s="10" t="s">
        <v>50</v>
      </c>
      <c r="AA1316" s="10" t="s">
        <v>50</v>
      </c>
      <c r="AB1316" s="10" t="s">
        <v>13307</v>
      </c>
      <c r="AC1316" s="10" t="s">
        <v>13310</v>
      </c>
      <c r="AD1316" s="10" t="s">
        <v>13311</v>
      </c>
      <c r="AE1316" s="10" t="s">
        <v>7825</v>
      </c>
      <c r="AF1316" s="10" t="s">
        <v>58</v>
      </c>
      <c r="AG1316" s="10" t="s">
        <v>13312</v>
      </c>
      <c r="AH1316" s="10" t="s">
        <v>60</v>
      </c>
      <c r="AI1316" s="10" t="s">
        <v>61</v>
      </c>
      <c r="AJ1316" s="10" t="s">
        <v>13127</v>
      </c>
      <c r="AK1316" s="10" t="s">
        <v>13313</v>
      </c>
      <c r="AL1316" s="10" t="s">
        <v>64</v>
      </c>
      <c r="AM1316" s="10" t="s">
        <v>13314</v>
      </c>
      <c r="AN1316" s="10" t="s">
        <v>50</v>
      </c>
      <c r="AO1316" s="11" t="s">
        <v>50</v>
      </c>
      <c r="AP1316" s="10" t="s">
        <v>50</v>
      </c>
      <c r="AQ1316" s="10" t="s">
        <v>50</v>
      </c>
      <c r="AR1316" s="10" t="s">
        <v>50</v>
      </c>
      <c r="AS1316" s="10" t="s">
        <v>50</v>
      </c>
      <c r="AT1316" s="10" t="s">
        <v>50</v>
      </c>
      <c r="AU1316" s="10" t="s">
        <v>50</v>
      </c>
      <c r="AV1316" s="11"/>
      <c r="AW1316" s="10" t="s">
        <v>66</v>
      </c>
      <c r="AX1316" s="10"/>
      <c r="AY1316" s="10" t="s">
        <v>66</v>
      </c>
    </row>
    <row r="1317" ht="22.5" hidden="1" customHeight="1">
      <c r="A1317" s="9" t="s">
        <v>13315</v>
      </c>
      <c r="B1317" s="10" t="s">
        <v>13316</v>
      </c>
      <c r="C1317" s="10" t="s">
        <v>43</v>
      </c>
      <c r="D1317" s="10" t="s">
        <v>12217</v>
      </c>
      <c r="E1317" s="10" t="s">
        <v>66</v>
      </c>
      <c r="F1317" s="11">
        <v>1.0</v>
      </c>
      <c r="G1317" s="11">
        <v>80.3</v>
      </c>
      <c r="H1317" s="11"/>
      <c r="I1317" s="11">
        <v>-13.65</v>
      </c>
      <c r="J1317" s="11">
        <v>-20.45</v>
      </c>
      <c r="K1317" s="11"/>
      <c r="L1317" s="11">
        <v>46.2</v>
      </c>
      <c r="M1317" s="10" t="s">
        <v>12218</v>
      </c>
      <c r="N1317" s="10" t="s">
        <v>45</v>
      </c>
      <c r="O1317" s="10" t="s">
        <v>127</v>
      </c>
      <c r="P1317" s="10" t="s">
        <v>128</v>
      </c>
      <c r="Q1317" s="10" t="s">
        <v>129</v>
      </c>
      <c r="R1317" s="10" t="s">
        <v>74</v>
      </c>
      <c r="S1317" s="11">
        <v>80.3</v>
      </c>
      <c r="T1317" s="11">
        <v>17.68</v>
      </c>
      <c r="U1317" s="11" t="s">
        <v>51</v>
      </c>
      <c r="V1317" s="10" t="s">
        <v>52</v>
      </c>
      <c r="W1317" s="10" t="s">
        <v>13317</v>
      </c>
      <c r="X1317" s="10" t="s">
        <v>13318</v>
      </c>
      <c r="Y1317" s="10" t="s">
        <v>13319</v>
      </c>
      <c r="Z1317" s="10" t="s">
        <v>50</v>
      </c>
      <c r="AA1317" s="10" t="s">
        <v>50</v>
      </c>
      <c r="AB1317" s="10" t="s">
        <v>13317</v>
      </c>
      <c r="AC1317" s="10" t="s">
        <v>13320</v>
      </c>
      <c r="AD1317" s="10" t="s">
        <v>13321</v>
      </c>
      <c r="AE1317" s="10" t="s">
        <v>6116</v>
      </c>
      <c r="AF1317" s="10" t="s">
        <v>58</v>
      </c>
      <c r="AG1317" s="10" t="s">
        <v>6117</v>
      </c>
      <c r="AH1317" s="10" t="s">
        <v>60</v>
      </c>
      <c r="AI1317" s="10" t="s">
        <v>61</v>
      </c>
      <c r="AJ1317" s="10" t="s">
        <v>12902</v>
      </c>
      <c r="AK1317" s="10" t="s">
        <v>13322</v>
      </c>
      <c r="AL1317" s="10" t="s">
        <v>64</v>
      </c>
      <c r="AM1317" s="10" t="s">
        <v>13323</v>
      </c>
      <c r="AN1317" s="10" t="s">
        <v>50</v>
      </c>
      <c r="AO1317" s="11" t="s">
        <v>50</v>
      </c>
      <c r="AP1317" s="10" t="s">
        <v>50</v>
      </c>
      <c r="AQ1317" s="10" t="s">
        <v>50</v>
      </c>
      <c r="AR1317" s="10" t="s">
        <v>50</v>
      </c>
      <c r="AS1317" s="10" t="s">
        <v>50</v>
      </c>
      <c r="AT1317" s="10" t="s">
        <v>50</v>
      </c>
      <c r="AU1317" s="10" t="s">
        <v>50</v>
      </c>
      <c r="AV1317" s="11"/>
      <c r="AW1317" s="10" t="s">
        <v>66</v>
      </c>
      <c r="AX1317" s="10"/>
      <c r="AY1317" s="10" t="s">
        <v>66</v>
      </c>
    </row>
    <row r="1318" ht="22.5" hidden="1" customHeight="1">
      <c r="A1318" s="9" t="s">
        <v>13324</v>
      </c>
      <c r="B1318" s="10" t="s">
        <v>13325</v>
      </c>
      <c r="C1318" s="10" t="s">
        <v>43</v>
      </c>
      <c r="D1318" s="10" t="s">
        <v>12217</v>
      </c>
      <c r="E1318" s="10" t="s">
        <v>45</v>
      </c>
      <c r="F1318" s="11">
        <v>2.0</v>
      </c>
      <c r="G1318" s="11">
        <v>87.4</v>
      </c>
      <c r="H1318" s="11"/>
      <c r="I1318" s="11">
        <v>-26.86</v>
      </c>
      <c r="J1318" s="11"/>
      <c r="K1318" s="11"/>
      <c r="L1318" s="11">
        <v>65.78</v>
      </c>
      <c r="M1318" s="10" t="s">
        <v>12218</v>
      </c>
      <c r="N1318" s="10" t="s">
        <v>50</v>
      </c>
      <c r="O1318" s="10" t="s">
        <v>176</v>
      </c>
      <c r="P1318" s="10" t="s">
        <v>177</v>
      </c>
      <c r="Q1318" s="10" t="s">
        <v>178</v>
      </c>
      <c r="R1318" s="10" t="s">
        <v>74</v>
      </c>
      <c r="S1318" s="11">
        <v>43.7</v>
      </c>
      <c r="T1318" s="11">
        <f>2*22.58</f>
        <v>45.16</v>
      </c>
      <c r="U1318" s="11" t="s">
        <v>51</v>
      </c>
      <c r="V1318" s="10" t="s">
        <v>52</v>
      </c>
      <c r="W1318" s="10" t="s">
        <v>13326</v>
      </c>
      <c r="X1318" s="10" t="s">
        <v>13327</v>
      </c>
      <c r="Y1318" s="10" t="s">
        <v>13328</v>
      </c>
      <c r="Z1318" s="10" t="s">
        <v>50</v>
      </c>
      <c r="AA1318" s="10" t="s">
        <v>50</v>
      </c>
      <c r="AB1318" s="10" t="s">
        <v>13326</v>
      </c>
      <c r="AC1318" s="10" t="s">
        <v>13329</v>
      </c>
      <c r="AD1318" s="10" t="s">
        <v>13330</v>
      </c>
      <c r="AE1318" s="10" t="s">
        <v>2443</v>
      </c>
      <c r="AF1318" s="10" t="s">
        <v>58</v>
      </c>
      <c r="AG1318" s="10" t="s">
        <v>13331</v>
      </c>
      <c r="AH1318" s="10" t="s">
        <v>60</v>
      </c>
      <c r="AI1318" s="10" t="s">
        <v>61</v>
      </c>
      <c r="AJ1318" s="10" t="s">
        <v>12902</v>
      </c>
      <c r="AK1318" s="10" t="s">
        <v>13332</v>
      </c>
      <c r="AL1318" s="10" t="s">
        <v>64</v>
      </c>
      <c r="AM1318" s="10" t="s">
        <v>13333</v>
      </c>
      <c r="AN1318" s="10" t="s">
        <v>50</v>
      </c>
      <c r="AO1318" s="11" t="s">
        <v>50</v>
      </c>
      <c r="AP1318" s="10" t="s">
        <v>50</v>
      </c>
      <c r="AQ1318" s="10" t="s">
        <v>50</v>
      </c>
      <c r="AR1318" s="10" t="s">
        <v>50</v>
      </c>
      <c r="AS1318" s="10" t="s">
        <v>50</v>
      </c>
      <c r="AT1318" s="10" t="s">
        <v>50</v>
      </c>
      <c r="AU1318" s="10" t="s">
        <v>50</v>
      </c>
      <c r="AV1318" s="11"/>
      <c r="AW1318" s="10" t="s">
        <v>66</v>
      </c>
      <c r="AX1318" s="10"/>
      <c r="AY1318" s="10" t="s">
        <v>66</v>
      </c>
    </row>
    <row r="1319" ht="22.5" hidden="1" customHeight="1">
      <c r="A1319" s="9" t="s">
        <v>13334</v>
      </c>
      <c r="B1319" s="10" t="s">
        <v>13335</v>
      </c>
      <c r="C1319" s="10" t="s">
        <v>43</v>
      </c>
      <c r="D1319" s="10" t="s">
        <v>13049</v>
      </c>
      <c r="E1319" s="10" t="s">
        <v>45</v>
      </c>
      <c r="F1319" s="11">
        <v>1.0</v>
      </c>
      <c r="G1319" s="11">
        <v>43.7</v>
      </c>
      <c r="H1319" s="11">
        <v>20.8</v>
      </c>
      <c r="I1319" s="11">
        <v>-13.43</v>
      </c>
      <c r="J1319" s="11">
        <v>-20.8</v>
      </c>
      <c r="K1319" s="11"/>
      <c r="L1319" s="11">
        <v>32.89</v>
      </c>
      <c r="M1319" s="10" t="s">
        <v>46</v>
      </c>
      <c r="N1319" s="10" t="s">
        <v>50</v>
      </c>
      <c r="O1319" s="10" t="s">
        <v>176</v>
      </c>
      <c r="P1319" s="10" t="s">
        <v>177</v>
      </c>
      <c r="Q1319" s="10" t="s">
        <v>178</v>
      </c>
      <c r="R1319" s="10" t="s">
        <v>74</v>
      </c>
      <c r="S1319" s="11">
        <v>43.7</v>
      </c>
      <c r="T1319" s="11">
        <v>22.58</v>
      </c>
      <c r="U1319" s="11" t="s">
        <v>51</v>
      </c>
      <c r="V1319" s="10" t="s">
        <v>52</v>
      </c>
      <c r="W1319" s="10" t="s">
        <v>13336</v>
      </c>
      <c r="X1319" s="10" t="s">
        <v>13337</v>
      </c>
      <c r="Y1319" s="10" t="s">
        <v>13338</v>
      </c>
      <c r="Z1319" s="10" t="s">
        <v>50</v>
      </c>
      <c r="AA1319" s="10" t="s">
        <v>50</v>
      </c>
      <c r="AB1319" s="10" t="s">
        <v>13336</v>
      </c>
      <c r="AC1319" s="10" t="s">
        <v>13339</v>
      </c>
      <c r="AD1319" s="10" t="s">
        <v>13340</v>
      </c>
      <c r="AE1319" s="10" t="s">
        <v>13341</v>
      </c>
      <c r="AF1319" s="10" t="s">
        <v>151</v>
      </c>
      <c r="AG1319" s="10" t="s">
        <v>13342</v>
      </c>
      <c r="AH1319" s="10" t="s">
        <v>60</v>
      </c>
      <c r="AI1319" s="10" t="s">
        <v>61</v>
      </c>
      <c r="AJ1319" s="10" t="s">
        <v>13068</v>
      </c>
      <c r="AK1319" s="10" t="s">
        <v>13343</v>
      </c>
      <c r="AL1319" s="10" t="s">
        <v>64</v>
      </c>
      <c r="AM1319" s="10" t="s">
        <v>13344</v>
      </c>
      <c r="AN1319" s="10" t="s">
        <v>50</v>
      </c>
      <c r="AO1319" s="11" t="s">
        <v>50</v>
      </c>
      <c r="AP1319" s="10" t="s">
        <v>50</v>
      </c>
      <c r="AQ1319" s="10" t="s">
        <v>50</v>
      </c>
      <c r="AR1319" s="10" t="s">
        <v>50</v>
      </c>
      <c r="AS1319" s="10" t="s">
        <v>50</v>
      </c>
      <c r="AT1319" s="10" t="s">
        <v>50</v>
      </c>
      <c r="AU1319" s="10" t="s">
        <v>50</v>
      </c>
      <c r="AV1319" s="11"/>
      <c r="AW1319" s="10" t="s">
        <v>66</v>
      </c>
      <c r="AX1319" s="10"/>
      <c r="AY1319" s="10" t="s">
        <v>66</v>
      </c>
    </row>
    <row r="1320" ht="22.5" hidden="1" customHeight="1">
      <c r="A1320" s="9" t="s">
        <v>13345</v>
      </c>
      <c r="B1320" s="10" t="s">
        <v>13346</v>
      </c>
      <c r="C1320" s="10" t="s">
        <v>43</v>
      </c>
      <c r="D1320" s="10" t="s">
        <v>10258</v>
      </c>
      <c r="E1320" s="10" t="s">
        <v>66</v>
      </c>
      <c r="F1320" s="11">
        <v>1.0</v>
      </c>
      <c r="G1320" s="11">
        <v>80.6</v>
      </c>
      <c r="H1320" s="11">
        <v>27.0</v>
      </c>
      <c r="I1320" s="11">
        <v>-13.7</v>
      </c>
      <c r="J1320" s="11">
        <v>-47.45</v>
      </c>
      <c r="K1320" s="11"/>
      <c r="L1320" s="11">
        <v>46.45</v>
      </c>
      <c r="M1320" s="10" t="s">
        <v>12218</v>
      </c>
      <c r="N1320" s="10" t="s">
        <v>45</v>
      </c>
      <c r="O1320" s="10" t="s">
        <v>265</v>
      </c>
      <c r="P1320" s="10" t="s">
        <v>266</v>
      </c>
      <c r="Q1320" s="10" t="s">
        <v>267</v>
      </c>
      <c r="R1320" s="10" t="s">
        <v>74</v>
      </c>
      <c r="S1320" s="11">
        <v>80.6</v>
      </c>
      <c r="T1320" s="11">
        <v>26.22</v>
      </c>
      <c r="U1320" s="11" t="s">
        <v>51</v>
      </c>
      <c r="V1320" s="10" t="s">
        <v>52</v>
      </c>
      <c r="W1320" s="10" t="s">
        <v>13347</v>
      </c>
      <c r="X1320" s="10" t="s">
        <v>13348</v>
      </c>
      <c r="Y1320" s="10" t="s">
        <v>13349</v>
      </c>
      <c r="Z1320" s="10" t="s">
        <v>50</v>
      </c>
      <c r="AA1320" s="10" t="s">
        <v>50</v>
      </c>
      <c r="AB1320" s="10" t="s">
        <v>13347</v>
      </c>
      <c r="AC1320" s="10" t="s">
        <v>13350</v>
      </c>
      <c r="AD1320" s="10" t="s">
        <v>13351</v>
      </c>
      <c r="AE1320" s="10" t="s">
        <v>13352</v>
      </c>
      <c r="AF1320" s="10" t="s">
        <v>169</v>
      </c>
      <c r="AG1320" s="10" t="s">
        <v>13353</v>
      </c>
      <c r="AH1320" s="10" t="s">
        <v>60</v>
      </c>
      <c r="AI1320" s="10" t="s">
        <v>61</v>
      </c>
      <c r="AJ1320" s="10" t="s">
        <v>13354</v>
      </c>
      <c r="AK1320" s="10" t="s">
        <v>13355</v>
      </c>
      <c r="AL1320" s="10" t="s">
        <v>64</v>
      </c>
      <c r="AM1320" s="10" t="s">
        <v>13356</v>
      </c>
      <c r="AN1320" s="10" t="s">
        <v>50</v>
      </c>
      <c r="AO1320" s="11" t="s">
        <v>50</v>
      </c>
      <c r="AP1320" s="10" t="s">
        <v>50</v>
      </c>
      <c r="AQ1320" s="10" t="s">
        <v>50</v>
      </c>
      <c r="AR1320" s="10" t="s">
        <v>50</v>
      </c>
      <c r="AS1320" s="10" t="s">
        <v>50</v>
      </c>
      <c r="AT1320" s="10" t="s">
        <v>50</v>
      </c>
      <c r="AU1320" s="10" t="s">
        <v>50</v>
      </c>
      <c r="AV1320" s="11"/>
      <c r="AW1320" s="10" t="s">
        <v>66</v>
      </c>
      <c r="AX1320" s="10"/>
      <c r="AY1320" s="10" t="s">
        <v>66</v>
      </c>
    </row>
    <row r="1321" ht="22.5" hidden="1" customHeight="1">
      <c r="A1321" s="9" t="s">
        <v>13357</v>
      </c>
      <c r="B1321" s="10" t="s">
        <v>13358</v>
      </c>
      <c r="C1321" s="10" t="s">
        <v>43</v>
      </c>
      <c r="D1321" s="10" t="s">
        <v>12217</v>
      </c>
      <c r="E1321" s="10" t="s">
        <v>66</v>
      </c>
      <c r="F1321" s="11">
        <v>1.0</v>
      </c>
      <c r="G1321" s="11">
        <v>120.0</v>
      </c>
      <c r="H1321" s="11"/>
      <c r="I1321" s="11">
        <v>-20.4</v>
      </c>
      <c r="J1321" s="11">
        <v>-19.95</v>
      </c>
      <c r="K1321" s="11"/>
      <c r="L1321" s="11">
        <v>86.85</v>
      </c>
      <c r="M1321" s="10" t="s">
        <v>12218</v>
      </c>
      <c r="N1321" s="10" t="s">
        <v>45</v>
      </c>
      <c r="O1321" s="10" t="s">
        <v>85</v>
      </c>
      <c r="P1321" s="10" t="s">
        <v>86</v>
      </c>
      <c r="Q1321" s="10" t="s">
        <v>87</v>
      </c>
      <c r="R1321" s="10" t="s">
        <v>74</v>
      </c>
      <c r="S1321" s="11">
        <v>120.0</v>
      </c>
      <c r="T1321" s="11">
        <v>65.78</v>
      </c>
      <c r="U1321" s="11" t="s">
        <v>51</v>
      </c>
      <c r="V1321" s="10" t="s">
        <v>52</v>
      </c>
      <c r="W1321" s="10" t="s">
        <v>13359</v>
      </c>
      <c r="X1321" s="10" t="s">
        <v>13360</v>
      </c>
      <c r="Y1321" s="10" t="s">
        <v>13361</v>
      </c>
      <c r="Z1321" s="10" t="s">
        <v>50</v>
      </c>
      <c r="AA1321" s="10" t="s">
        <v>50</v>
      </c>
      <c r="AB1321" s="10" t="s">
        <v>13359</v>
      </c>
      <c r="AC1321" s="10" t="s">
        <v>13362</v>
      </c>
      <c r="AD1321" s="10" t="s">
        <v>13363</v>
      </c>
      <c r="AE1321" s="10" t="s">
        <v>58</v>
      </c>
      <c r="AF1321" s="10" t="s">
        <v>58</v>
      </c>
      <c r="AG1321" s="10" t="s">
        <v>13364</v>
      </c>
      <c r="AH1321" s="10" t="s">
        <v>60</v>
      </c>
      <c r="AI1321" s="10" t="s">
        <v>61</v>
      </c>
      <c r="AJ1321" s="10" t="s">
        <v>13029</v>
      </c>
      <c r="AK1321" s="10" t="s">
        <v>13365</v>
      </c>
      <c r="AL1321" s="10" t="s">
        <v>64</v>
      </c>
      <c r="AM1321" s="10" t="s">
        <v>13366</v>
      </c>
      <c r="AN1321" s="10" t="s">
        <v>50</v>
      </c>
      <c r="AO1321" s="11" t="s">
        <v>50</v>
      </c>
      <c r="AP1321" s="10" t="s">
        <v>50</v>
      </c>
      <c r="AQ1321" s="10" t="s">
        <v>50</v>
      </c>
      <c r="AR1321" s="10" t="s">
        <v>50</v>
      </c>
      <c r="AS1321" s="10" t="s">
        <v>50</v>
      </c>
      <c r="AT1321" s="10" t="s">
        <v>50</v>
      </c>
      <c r="AU1321" s="10" t="s">
        <v>50</v>
      </c>
      <c r="AV1321" s="11"/>
      <c r="AW1321" s="10" t="s">
        <v>66</v>
      </c>
      <c r="AX1321" s="10"/>
      <c r="AY1321" s="10" t="s">
        <v>66</v>
      </c>
    </row>
    <row r="1322" ht="22.5" hidden="1" customHeight="1">
      <c r="A1322" s="9" t="s">
        <v>13367</v>
      </c>
      <c r="B1322" s="10" t="s">
        <v>13368</v>
      </c>
      <c r="C1322" s="10" t="s">
        <v>69</v>
      </c>
      <c r="D1322" s="10" t="s">
        <v>2283</v>
      </c>
      <c r="E1322" s="10" t="s">
        <v>45</v>
      </c>
      <c r="F1322" s="11">
        <v>2.0</v>
      </c>
      <c r="G1322" s="11">
        <v>87.4</v>
      </c>
      <c r="H1322" s="11"/>
      <c r="I1322" s="11">
        <v>-26.86</v>
      </c>
      <c r="J1322" s="11"/>
      <c r="K1322" s="11">
        <v>-65.78</v>
      </c>
      <c r="L1322" s="11">
        <v>0.0</v>
      </c>
      <c r="M1322" s="10" t="s">
        <v>46</v>
      </c>
      <c r="N1322" s="10" t="s">
        <v>45</v>
      </c>
      <c r="O1322" s="10" t="s">
        <v>176</v>
      </c>
      <c r="P1322" s="10" t="s">
        <v>177</v>
      </c>
      <c r="Q1322" s="10" t="s">
        <v>178</v>
      </c>
      <c r="R1322" s="10" t="s">
        <v>74</v>
      </c>
      <c r="S1322" s="11">
        <v>43.7</v>
      </c>
      <c r="T1322" s="11"/>
      <c r="U1322" s="11" t="s">
        <v>51</v>
      </c>
      <c r="V1322" s="10" t="s">
        <v>52</v>
      </c>
      <c r="W1322" s="10" t="s">
        <v>13369</v>
      </c>
      <c r="X1322" s="10" t="s">
        <v>13370</v>
      </c>
      <c r="Y1322" s="10" t="s">
        <v>13371</v>
      </c>
      <c r="Z1322" s="10" t="s">
        <v>50</v>
      </c>
      <c r="AA1322" s="10" t="s">
        <v>50</v>
      </c>
      <c r="AB1322" s="10" t="s">
        <v>13369</v>
      </c>
      <c r="AC1322" s="10" t="s">
        <v>13372</v>
      </c>
      <c r="AD1322" s="10" t="s">
        <v>50</v>
      </c>
      <c r="AE1322" s="10" t="s">
        <v>13373</v>
      </c>
      <c r="AF1322" s="10" t="s">
        <v>214</v>
      </c>
      <c r="AG1322" s="10" t="s">
        <v>13374</v>
      </c>
      <c r="AH1322" s="10" t="s">
        <v>60</v>
      </c>
      <c r="AI1322" s="10" t="s">
        <v>61</v>
      </c>
      <c r="AJ1322" s="10" t="s">
        <v>50</v>
      </c>
      <c r="AK1322" s="10" t="s">
        <v>50</v>
      </c>
      <c r="AL1322" s="10" t="s">
        <v>64</v>
      </c>
      <c r="AM1322" s="10" t="s">
        <v>13375</v>
      </c>
      <c r="AN1322" s="10" t="s">
        <v>50</v>
      </c>
      <c r="AO1322" s="11" t="s">
        <v>50</v>
      </c>
      <c r="AP1322" s="10" t="s">
        <v>50</v>
      </c>
      <c r="AQ1322" s="10" t="s">
        <v>50</v>
      </c>
      <c r="AR1322" s="10" t="s">
        <v>50</v>
      </c>
      <c r="AS1322" s="10" t="s">
        <v>50</v>
      </c>
      <c r="AT1322" s="10" t="s">
        <v>50</v>
      </c>
      <c r="AU1322" s="10" t="s">
        <v>50</v>
      </c>
      <c r="AV1322" s="11"/>
      <c r="AW1322" s="10" t="s">
        <v>66</v>
      </c>
      <c r="AX1322" s="10"/>
      <c r="AY1322" s="10" t="s">
        <v>66</v>
      </c>
    </row>
    <row r="1323" ht="22.5" hidden="1" customHeight="1">
      <c r="A1323" s="9" t="s">
        <v>13376</v>
      </c>
      <c r="B1323" s="10" t="s">
        <v>13377</v>
      </c>
      <c r="C1323" s="10" t="s">
        <v>43</v>
      </c>
      <c r="D1323" s="10" t="s">
        <v>12217</v>
      </c>
      <c r="E1323" s="10" t="s">
        <v>66</v>
      </c>
      <c r="F1323" s="11">
        <v>1.0</v>
      </c>
      <c r="G1323" s="11">
        <v>43.7</v>
      </c>
      <c r="H1323" s="11">
        <v>14.63</v>
      </c>
      <c r="I1323" s="11">
        <v>-13.43</v>
      </c>
      <c r="J1323" s="11">
        <v>-14.63</v>
      </c>
      <c r="K1323" s="11"/>
      <c r="L1323" s="11">
        <v>32.89</v>
      </c>
      <c r="M1323" s="10" t="s">
        <v>12218</v>
      </c>
      <c r="N1323" s="10" t="s">
        <v>50</v>
      </c>
      <c r="O1323" s="10" t="s">
        <v>176</v>
      </c>
      <c r="P1323" s="10" t="s">
        <v>177</v>
      </c>
      <c r="Q1323" s="10" t="s">
        <v>178</v>
      </c>
      <c r="R1323" s="10" t="s">
        <v>74</v>
      </c>
      <c r="S1323" s="11">
        <v>43.7</v>
      </c>
      <c r="T1323" s="11">
        <v>22.58</v>
      </c>
      <c r="U1323" s="11" t="s">
        <v>51</v>
      </c>
      <c r="V1323" s="10" t="s">
        <v>52</v>
      </c>
      <c r="W1323" s="10" t="s">
        <v>13378</v>
      </c>
      <c r="X1323" s="10" t="s">
        <v>13379</v>
      </c>
      <c r="Y1323" s="10" t="s">
        <v>13380</v>
      </c>
      <c r="Z1323" s="10" t="s">
        <v>50</v>
      </c>
      <c r="AA1323" s="10" t="s">
        <v>50</v>
      </c>
      <c r="AB1323" s="10" t="s">
        <v>13378</v>
      </c>
      <c r="AC1323" s="10" t="s">
        <v>13381</v>
      </c>
      <c r="AD1323" s="10" t="s">
        <v>13382</v>
      </c>
      <c r="AE1323" s="10" t="s">
        <v>13383</v>
      </c>
      <c r="AF1323" s="10" t="s">
        <v>58</v>
      </c>
      <c r="AG1323" s="10" t="s">
        <v>13384</v>
      </c>
      <c r="AH1323" s="10" t="s">
        <v>60</v>
      </c>
      <c r="AI1323" s="10" t="s">
        <v>61</v>
      </c>
      <c r="AJ1323" s="10" t="s">
        <v>12902</v>
      </c>
      <c r="AK1323" s="10" t="s">
        <v>13385</v>
      </c>
      <c r="AL1323" s="10" t="s">
        <v>64</v>
      </c>
      <c r="AM1323" s="10" t="s">
        <v>13386</v>
      </c>
      <c r="AN1323" s="10" t="s">
        <v>50</v>
      </c>
      <c r="AO1323" s="11" t="s">
        <v>50</v>
      </c>
      <c r="AP1323" s="10" t="s">
        <v>50</v>
      </c>
      <c r="AQ1323" s="10" t="s">
        <v>50</v>
      </c>
      <c r="AR1323" s="10" t="s">
        <v>50</v>
      </c>
      <c r="AS1323" s="10" t="s">
        <v>50</v>
      </c>
      <c r="AT1323" s="10" t="s">
        <v>50</v>
      </c>
      <c r="AU1323" s="10" t="s">
        <v>50</v>
      </c>
      <c r="AV1323" s="11"/>
      <c r="AW1323" s="10" t="s">
        <v>66</v>
      </c>
      <c r="AX1323" s="10"/>
      <c r="AY1323" s="10" t="s">
        <v>66</v>
      </c>
    </row>
    <row r="1324" ht="22.5" hidden="1" customHeight="1">
      <c r="A1324" s="9" t="s">
        <v>13387</v>
      </c>
      <c r="B1324" s="10" t="s">
        <v>13388</v>
      </c>
      <c r="C1324" s="10" t="s">
        <v>43</v>
      </c>
      <c r="D1324" s="10" t="s">
        <v>12217</v>
      </c>
      <c r="E1324" s="10" t="s">
        <v>45</v>
      </c>
      <c r="F1324" s="11">
        <v>1.0</v>
      </c>
      <c r="G1324" s="11">
        <v>43.7</v>
      </c>
      <c r="H1324" s="11">
        <v>14.63</v>
      </c>
      <c r="I1324" s="11">
        <v>-13.43</v>
      </c>
      <c r="J1324" s="11">
        <v>-14.63</v>
      </c>
      <c r="K1324" s="11"/>
      <c r="L1324" s="11">
        <v>32.89</v>
      </c>
      <c r="M1324" s="10" t="s">
        <v>12218</v>
      </c>
      <c r="N1324" s="10" t="s">
        <v>50</v>
      </c>
      <c r="O1324" s="10" t="s">
        <v>176</v>
      </c>
      <c r="P1324" s="10" t="s">
        <v>177</v>
      </c>
      <c r="Q1324" s="10" t="s">
        <v>178</v>
      </c>
      <c r="R1324" s="10" t="s">
        <v>74</v>
      </c>
      <c r="S1324" s="11">
        <v>43.7</v>
      </c>
      <c r="T1324" s="11">
        <v>22.58</v>
      </c>
      <c r="U1324" s="11" t="s">
        <v>51</v>
      </c>
      <c r="V1324" s="10" t="s">
        <v>52</v>
      </c>
      <c r="W1324" s="10" t="s">
        <v>13389</v>
      </c>
      <c r="X1324" s="10" t="s">
        <v>13390</v>
      </c>
      <c r="Y1324" s="10" t="s">
        <v>13391</v>
      </c>
      <c r="Z1324" s="10" t="s">
        <v>50</v>
      </c>
      <c r="AA1324" s="10" t="s">
        <v>50</v>
      </c>
      <c r="AB1324" s="10" t="s">
        <v>13389</v>
      </c>
      <c r="AC1324" s="10" t="s">
        <v>13392</v>
      </c>
      <c r="AD1324" s="10" t="s">
        <v>13393</v>
      </c>
      <c r="AE1324" s="10" t="s">
        <v>13394</v>
      </c>
      <c r="AF1324" s="10" t="s">
        <v>58</v>
      </c>
      <c r="AG1324" s="10" t="s">
        <v>13395</v>
      </c>
      <c r="AH1324" s="10" t="s">
        <v>60</v>
      </c>
      <c r="AI1324" s="10" t="s">
        <v>61</v>
      </c>
      <c r="AJ1324" s="10" t="s">
        <v>13029</v>
      </c>
      <c r="AK1324" s="10" t="s">
        <v>13396</v>
      </c>
      <c r="AL1324" s="10" t="s">
        <v>64</v>
      </c>
      <c r="AM1324" s="10" t="s">
        <v>13397</v>
      </c>
      <c r="AN1324" s="10" t="s">
        <v>50</v>
      </c>
      <c r="AO1324" s="11" t="s">
        <v>50</v>
      </c>
      <c r="AP1324" s="10" t="s">
        <v>50</v>
      </c>
      <c r="AQ1324" s="10" t="s">
        <v>50</v>
      </c>
      <c r="AR1324" s="10" t="s">
        <v>50</v>
      </c>
      <c r="AS1324" s="10" t="s">
        <v>50</v>
      </c>
      <c r="AT1324" s="10" t="s">
        <v>50</v>
      </c>
      <c r="AU1324" s="10" t="s">
        <v>50</v>
      </c>
      <c r="AV1324" s="11"/>
      <c r="AW1324" s="10" t="s">
        <v>66</v>
      </c>
      <c r="AX1324" s="10"/>
      <c r="AY1324" s="10" t="s">
        <v>66</v>
      </c>
    </row>
    <row r="1325" ht="22.5" hidden="1" customHeight="1">
      <c r="A1325" s="9" t="s">
        <v>13398</v>
      </c>
      <c r="B1325" s="10" t="s">
        <v>13399</v>
      </c>
      <c r="C1325" s="10" t="s">
        <v>43</v>
      </c>
      <c r="D1325" s="10" t="s">
        <v>12217</v>
      </c>
      <c r="E1325" s="10" t="s">
        <v>66</v>
      </c>
      <c r="F1325" s="11">
        <v>1.0</v>
      </c>
      <c r="G1325" s="11">
        <v>79.0</v>
      </c>
      <c r="H1325" s="11"/>
      <c r="I1325" s="11">
        <v>-13.43</v>
      </c>
      <c r="J1325" s="11">
        <v>-19.95</v>
      </c>
      <c r="K1325" s="11"/>
      <c r="L1325" s="11">
        <v>45.62</v>
      </c>
      <c r="M1325" s="10" t="s">
        <v>46</v>
      </c>
      <c r="N1325" s="10" t="s">
        <v>50</v>
      </c>
      <c r="O1325" s="10" t="s">
        <v>766</v>
      </c>
      <c r="P1325" s="10" t="s">
        <v>767</v>
      </c>
      <c r="Q1325" s="10" t="s">
        <v>768</v>
      </c>
      <c r="R1325" s="10" t="s">
        <v>74</v>
      </c>
      <c r="S1325" s="11">
        <v>79.0</v>
      </c>
      <c r="T1325" s="11">
        <v>13.62</v>
      </c>
      <c r="U1325" s="11" t="s">
        <v>51</v>
      </c>
      <c r="V1325" s="10" t="s">
        <v>52</v>
      </c>
      <c r="W1325" s="10" t="s">
        <v>13400</v>
      </c>
      <c r="X1325" s="10" t="s">
        <v>13401</v>
      </c>
      <c r="Y1325" s="10" t="s">
        <v>13402</v>
      </c>
      <c r="Z1325" s="10" t="s">
        <v>50</v>
      </c>
      <c r="AA1325" s="10" t="s">
        <v>50</v>
      </c>
      <c r="AB1325" s="10" t="s">
        <v>13400</v>
      </c>
      <c r="AC1325" s="10" t="s">
        <v>13403</v>
      </c>
      <c r="AD1325" s="10" t="s">
        <v>13404</v>
      </c>
      <c r="AE1325" s="10" t="s">
        <v>504</v>
      </c>
      <c r="AF1325" s="10" t="s">
        <v>323</v>
      </c>
      <c r="AG1325" s="10" t="s">
        <v>13405</v>
      </c>
      <c r="AH1325" s="10" t="s">
        <v>60</v>
      </c>
      <c r="AI1325" s="10" t="s">
        <v>13406</v>
      </c>
      <c r="AJ1325" s="10" t="s">
        <v>12995</v>
      </c>
      <c r="AK1325" s="10" t="s">
        <v>13407</v>
      </c>
      <c r="AL1325" s="10" t="s">
        <v>64</v>
      </c>
      <c r="AM1325" s="10" t="s">
        <v>13408</v>
      </c>
      <c r="AN1325" s="10" t="s">
        <v>50</v>
      </c>
      <c r="AO1325" s="11" t="s">
        <v>50</v>
      </c>
      <c r="AP1325" s="10" t="s">
        <v>50</v>
      </c>
      <c r="AQ1325" s="10" t="s">
        <v>50</v>
      </c>
      <c r="AR1325" s="10" t="s">
        <v>50</v>
      </c>
      <c r="AS1325" s="10" t="s">
        <v>50</v>
      </c>
      <c r="AT1325" s="10" t="s">
        <v>50</v>
      </c>
      <c r="AU1325" s="10" t="s">
        <v>50</v>
      </c>
      <c r="AV1325" s="11"/>
      <c r="AW1325" s="10" t="s">
        <v>66</v>
      </c>
      <c r="AX1325" s="10"/>
      <c r="AY1325" s="10" t="s">
        <v>66</v>
      </c>
    </row>
    <row r="1326" ht="22.5" hidden="1" customHeight="1">
      <c r="A1326" s="9" t="s">
        <v>13409</v>
      </c>
      <c r="B1326" s="10" t="s">
        <v>13410</v>
      </c>
      <c r="C1326" s="10" t="s">
        <v>43</v>
      </c>
      <c r="D1326" s="10" t="s">
        <v>12217</v>
      </c>
      <c r="E1326" s="10" t="s">
        <v>45</v>
      </c>
      <c r="F1326" s="11">
        <v>2.0</v>
      </c>
      <c r="G1326" s="11">
        <v>158.0</v>
      </c>
      <c r="H1326" s="11"/>
      <c r="I1326" s="11">
        <v>-26.86</v>
      </c>
      <c r="J1326" s="11">
        <v>-39.9</v>
      </c>
      <c r="K1326" s="11"/>
      <c r="L1326" s="11">
        <v>91.24</v>
      </c>
      <c r="M1326" s="10" t="s">
        <v>46</v>
      </c>
      <c r="N1326" s="10" t="s">
        <v>45</v>
      </c>
      <c r="O1326" s="10" t="s">
        <v>766</v>
      </c>
      <c r="P1326" s="10" t="s">
        <v>767</v>
      </c>
      <c r="Q1326" s="10" t="s">
        <v>768</v>
      </c>
      <c r="R1326" s="10" t="s">
        <v>74</v>
      </c>
      <c r="S1326" s="11">
        <v>79.0</v>
      </c>
      <c r="T1326" s="11">
        <f>2*13.62</f>
        <v>27.24</v>
      </c>
      <c r="U1326" s="11" t="s">
        <v>51</v>
      </c>
      <c r="V1326" s="10" t="s">
        <v>52</v>
      </c>
      <c r="W1326" s="10" t="s">
        <v>13411</v>
      </c>
      <c r="X1326" s="10" t="s">
        <v>13412</v>
      </c>
      <c r="Y1326" s="10" t="s">
        <v>13413</v>
      </c>
      <c r="Z1326" s="10" t="s">
        <v>50</v>
      </c>
      <c r="AA1326" s="10" t="s">
        <v>50</v>
      </c>
      <c r="AB1326" s="10" t="s">
        <v>13411</v>
      </c>
      <c r="AC1326" s="10" t="s">
        <v>13414</v>
      </c>
      <c r="AD1326" s="10" t="s">
        <v>13415</v>
      </c>
      <c r="AE1326" s="10" t="s">
        <v>151</v>
      </c>
      <c r="AF1326" s="10" t="s">
        <v>151</v>
      </c>
      <c r="AG1326" s="10" t="s">
        <v>13416</v>
      </c>
      <c r="AH1326" s="10" t="s">
        <v>60</v>
      </c>
      <c r="AI1326" s="10" t="s">
        <v>13406</v>
      </c>
      <c r="AJ1326" s="10" t="s">
        <v>13081</v>
      </c>
      <c r="AK1326" s="10" t="s">
        <v>13417</v>
      </c>
      <c r="AL1326" s="10" t="s">
        <v>64</v>
      </c>
      <c r="AM1326" s="10" t="s">
        <v>13418</v>
      </c>
      <c r="AN1326" s="10" t="s">
        <v>13419</v>
      </c>
      <c r="AO1326" s="11" t="s">
        <v>50</v>
      </c>
      <c r="AP1326" s="10" t="s">
        <v>50</v>
      </c>
      <c r="AQ1326" s="10" t="s">
        <v>50</v>
      </c>
      <c r="AR1326" s="10" t="s">
        <v>50</v>
      </c>
      <c r="AS1326" s="10" t="s">
        <v>50</v>
      </c>
      <c r="AT1326" s="10" t="s">
        <v>50</v>
      </c>
      <c r="AU1326" s="10" t="s">
        <v>50</v>
      </c>
      <c r="AV1326" s="11"/>
      <c r="AW1326" s="10" t="s">
        <v>66</v>
      </c>
      <c r="AX1326" s="10"/>
      <c r="AY1326" s="10" t="s">
        <v>66</v>
      </c>
    </row>
    <row r="1327" ht="22.5" hidden="1" customHeight="1">
      <c r="A1327" s="12" t="s">
        <v>13420</v>
      </c>
      <c r="B1327" s="13" t="s">
        <v>13421</v>
      </c>
      <c r="C1327" s="13" t="s">
        <v>747</v>
      </c>
      <c r="D1327" s="13" t="s">
        <v>50</v>
      </c>
      <c r="E1327" s="13" t="s">
        <v>50</v>
      </c>
      <c r="F1327" s="14"/>
      <c r="G1327" s="14">
        <v>167.0</v>
      </c>
      <c r="H1327" s="14"/>
      <c r="I1327" s="14">
        <v>-28.39</v>
      </c>
      <c r="J1327" s="14">
        <v>-41.4</v>
      </c>
      <c r="K1327" s="14"/>
      <c r="L1327" s="14">
        <v>101.61</v>
      </c>
      <c r="M1327" s="13" t="s">
        <v>12218</v>
      </c>
      <c r="N1327" s="13" t="s">
        <v>50</v>
      </c>
      <c r="O1327" s="13" t="s">
        <v>50</v>
      </c>
      <c r="P1327" s="13" t="s">
        <v>50</v>
      </c>
      <c r="Q1327" s="13" t="s">
        <v>50</v>
      </c>
      <c r="R1327" s="13" t="s">
        <v>50</v>
      </c>
      <c r="S1327" s="14"/>
      <c r="T1327" s="14"/>
      <c r="U1327" s="14" t="s">
        <v>50</v>
      </c>
      <c r="V1327" s="13" t="s">
        <v>52</v>
      </c>
      <c r="W1327" s="13" t="s">
        <v>13422</v>
      </c>
      <c r="X1327" s="13" t="s">
        <v>13423</v>
      </c>
      <c r="Y1327" s="13" t="s">
        <v>13424</v>
      </c>
      <c r="Z1327" s="13" t="s">
        <v>50</v>
      </c>
      <c r="AA1327" s="13" t="s">
        <v>50</v>
      </c>
      <c r="AB1327" s="13" t="s">
        <v>13422</v>
      </c>
      <c r="AC1327" s="13" t="s">
        <v>13425</v>
      </c>
      <c r="AD1327" s="13" t="s">
        <v>13426</v>
      </c>
      <c r="AE1327" s="13" t="s">
        <v>13427</v>
      </c>
      <c r="AF1327" s="13" t="s">
        <v>561</v>
      </c>
      <c r="AG1327" s="13" t="s">
        <v>13428</v>
      </c>
      <c r="AH1327" s="13" t="s">
        <v>60</v>
      </c>
      <c r="AI1327" s="13" t="s">
        <v>13406</v>
      </c>
      <c r="AJ1327" s="13" t="s">
        <v>13429</v>
      </c>
      <c r="AK1327" s="13" t="s">
        <v>13430</v>
      </c>
      <c r="AL1327" s="13" t="s">
        <v>64</v>
      </c>
      <c r="AM1327" s="13" t="s">
        <v>13431</v>
      </c>
      <c r="AN1327" s="13" t="s">
        <v>50</v>
      </c>
      <c r="AO1327" s="15" t="s">
        <v>50</v>
      </c>
      <c r="AP1327" s="13" t="s">
        <v>50</v>
      </c>
      <c r="AQ1327" s="13" t="s">
        <v>50</v>
      </c>
      <c r="AR1327" s="13" t="s">
        <v>50</v>
      </c>
      <c r="AS1327" s="13" t="s">
        <v>50</v>
      </c>
      <c r="AT1327" s="13" t="s">
        <v>50</v>
      </c>
      <c r="AU1327" s="13" t="s">
        <v>50</v>
      </c>
      <c r="AV1327" s="15"/>
      <c r="AW1327" s="13" t="s">
        <v>50</v>
      </c>
      <c r="AX1327" s="13"/>
      <c r="AY1327" s="13" t="s">
        <v>50</v>
      </c>
    </row>
    <row r="1328" ht="22.5" hidden="1" customHeight="1">
      <c r="A1328" s="16" t="s">
        <v>13432</v>
      </c>
      <c r="B1328" s="17" t="s">
        <v>13421</v>
      </c>
      <c r="C1328" s="17" t="s">
        <v>43</v>
      </c>
      <c r="D1328" s="17" t="s">
        <v>11519</v>
      </c>
      <c r="E1328" s="17" t="s">
        <v>45</v>
      </c>
      <c r="F1328" s="18">
        <v>1.0</v>
      </c>
      <c r="G1328" s="18"/>
      <c r="H1328" s="18"/>
      <c r="I1328" s="18"/>
      <c r="J1328" s="18"/>
      <c r="K1328" s="18"/>
      <c r="L1328" s="18"/>
      <c r="M1328" s="17" t="s">
        <v>50</v>
      </c>
      <c r="N1328" s="17" t="s">
        <v>45</v>
      </c>
      <c r="O1328" s="17" t="s">
        <v>766</v>
      </c>
      <c r="P1328" s="17" t="s">
        <v>767</v>
      </c>
      <c r="Q1328" s="17" t="s">
        <v>768</v>
      </c>
      <c r="R1328" s="17" t="s">
        <v>74</v>
      </c>
      <c r="S1328" s="18">
        <v>79.0</v>
      </c>
      <c r="T1328" s="18">
        <v>13.62</v>
      </c>
      <c r="U1328" s="18" t="s">
        <v>51</v>
      </c>
      <c r="V1328" s="17" t="s">
        <v>50</v>
      </c>
      <c r="W1328" s="17" t="s">
        <v>50</v>
      </c>
      <c r="X1328" s="17" t="s">
        <v>50</v>
      </c>
      <c r="Y1328" s="17" t="s">
        <v>50</v>
      </c>
      <c r="Z1328" s="17" t="s">
        <v>50</v>
      </c>
      <c r="AA1328" s="17" t="s">
        <v>50</v>
      </c>
      <c r="AB1328" s="17" t="s">
        <v>50</v>
      </c>
      <c r="AC1328" s="17" t="s">
        <v>50</v>
      </c>
      <c r="AD1328" s="17" t="s">
        <v>50</v>
      </c>
      <c r="AE1328" s="17" t="s">
        <v>50</v>
      </c>
      <c r="AF1328" s="17" t="s">
        <v>50</v>
      </c>
      <c r="AG1328" s="17" t="s">
        <v>50</v>
      </c>
      <c r="AH1328" s="17" t="s">
        <v>50</v>
      </c>
      <c r="AI1328" s="17" t="s">
        <v>50</v>
      </c>
      <c r="AJ1328" s="17" t="s">
        <v>50</v>
      </c>
      <c r="AK1328" s="17" t="s">
        <v>50</v>
      </c>
      <c r="AL1328" s="17" t="s">
        <v>50</v>
      </c>
      <c r="AM1328" s="17" t="s">
        <v>50</v>
      </c>
      <c r="AN1328" s="17" t="s">
        <v>50</v>
      </c>
      <c r="AO1328" s="18" t="s">
        <v>50</v>
      </c>
      <c r="AP1328" s="17" t="s">
        <v>50</v>
      </c>
      <c r="AQ1328" s="17" t="s">
        <v>50</v>
      </c>
      <c r="AR1328" s="17" t="s">
        <v>50</v>
      </c>
      <c r="AS1328" s="17" t="s">
        <v>50</v>
      </c>
      <c r="AT1328" s="17" t="s">
        <v>50</v>
      </c>
      <c r="AU1328" s="17" t="s">
        <v>50</v>
      </c>
      <c r="AV1328" s="18"/>
      <c r="AW1328" s="17" t="s">
        <v>66</v>
      </c>
      <c r="AX1328" s="17"/>
      <c r="AY1328" s="17" t="s">
        <v>66</v>
      </c>
    </row>
    <row r="1329" ht="22.5" hidden="1" customHeight="1">
      <c r="A1329" s="16" t="s">
        <v>13433</v>
      </c>
      <c r="B1329" s="17" t="s">
        <v>13421</v>
      </c>
      <c r="C1329" s="17" t="s">
        <v>43</v>
      </c>
      <c r="D1329" s="17" t="s">
        <v>11519</v>
      </c>
      <c r="E1329" s="17" t="s">
        <v>45</v>
      </c>
      <c r="F1329" s="18">
        <v>1.0</v>
      </c>
      <c r="G1329" s="18"/>
      <c r="H1329" s="18"/>
      <c r="I1329" s="18"/>
      <c r="J1329" s="18"/>
      <c r="K1329" s="18"/>
      <c r="L1329" s="18"/>
      <c r="M1329" s="17" t="s">
        <v>50</v>
      </c>
      <c r="N1329" s="17" t="s">
        <v>45</v>
      </c>
      <c r="O1329" s="17" t="s">
        <v>5739</v>
      </c>
      <c r="P1329" s="17" t="s">
        <v>5740</v>
      </c>
      <c r="Q1329" s="17" t="s">
        <v>5741</v>
      </c>
      <c r="R1329" s="17" t="s">
        <v>74</v>
      </c>
      <c r="S1329" s="18">
        <v>88.0</v>
      </c>
      <c r="T1329" s="18">
        <v>3.96</v>
      </c>
      <c r="U1329" s="18" t="s">
        <v>51</v>
      </c>
      <c r="V1329" s="17" t="s">
        <v>50</v>
      </c>
      <c r="W1329" s="17" t="s">
        <v>50</v>
      </c>
      <c r="X1329" s="17" t="s">
        <v>50</v>
      </c>
      <c r="Y1329" s="17" t="s">
        <v>50</v>
      </c>
      <c r="Z1329" s="17" t="s">
        <v>50</v>
      </c>
      <c r="AA1329" s="17" t="s">
        <v>50</v>
      </c>
      <c r="AB1329" s="17" t="s">
        <v>50</v>
      </c>
      <c r="AC1329" s="17" t="s">
        <v>50</v>
      </c>
      <c r="AD1329" s="17" t="s">
        <v>50</v>
      </c>
      <c r="AE1329" s="17" t="s">
        <v>50</v>
      </c>
      <c r="AF1329" s="17" t="s">
        <v>50</v>
      </c>
      <c r="AG1329" s="17" t="s">
        <v>50</v>
      </c>
      <c r="AH1329" s="17" t="s">
        <v>50</v>
      </c>
      <c r="AI1329" s="17" t="s">
        <v>50</v>
      </c>
      <c r="AJ1329" s="17" t="s">
        <v>50</v>
      </c>
      <c r="AK1329" s="17" t="s">
        <v>50</v>
      </c>
      <c r="AL1329" s="17" t="s">
        <v>50</v>
      </c>
      <c r="AM1329" s="17" t="s">
        <v>50</v>
      </c>
      <c r="AN1329" s="17" t="s">
        <v>50</v>
      </c>
      <c r="AO1329" s="18" t="s">
        <v>50</v>
      </c>
      <c r="AP1329" s="17" t="s">
        <v>50</v>
      </c>
      <c r="AQ1329" s="17" t="s">
        <v>50</v>
      </c>
      <c r="AR1329" s="17" t="s">
        <v>50</v>
      </c>
      <c r="AS1329" s="17" t="s">
        <v>50</v>
      </c>
      <c r="AT1329" s="17" t="s">
        <v>50</v>
      </c>
      <c r="AU1329" s="17" t="s">
        <v>50</v>
      </c>
      <c r="AV1329" s="18"/>
      <c r="AW1329" s="17" t="s">
        <v>66</v>
      </c>
      <c r="AX1329" s="17"/>
      <c r="AY1329" s="17" t="s">
        <v>66</v>
      </c>
    </row>
    <row r="1330" ht="22.5" hidden="1" customHeight="1">
      <c r="A1330" s="9" t="s">
        <v>13434</v>
      </c>
      <c r="B1330" s="10" t="s">
        <v>13435</v>
      </c>
      <c r="C1330" s="10" t="s">
        <v>43</v>
      </c>
      <c r="D1330" s="10" t="s">
        <v>12217</v>
      </c>
      <c r="E1330" s="10" t="s">
        <v>66</v>
      </c>
      <c r="F1330" s="11">
        <v>1.0</v>
      </c>
      <c r="G1330" s="11">
        <v>79.35</v>
      </c>
      <c r="H1330" s="11"/>
      <c r="I1330" s="11">
        <v>-15.08</v>
      </c>
      <c r="J1330" s="11">
        <v>-19.95</v>
      </c>
      <c r="K1330" s="11"/>
      <c r="L1330" s="11">
        <v>44.32</v>
      </c>
      <c r="M1330" s="10" t="s">
        <v>12218</v>
      </c>
      <c r="N1330" s="10" t="s">
        <v>45</v>
      </c>
      <c r="O1330" s="10" t="s">
        <v>47</v>
      </c>
      <c r="P1330" s="10" t="s">
        <v>48</v>
      </c>
      <c r="Q1330" s="10" t="s">
        <v>49</v>
      </c>
      <c r="R1330" s="10" t="s">
        <v>50</v>
      </c>
      <c r="S1330" s="11">
        <v>79.35</v>
      </c>
      <c r="T1330" s="11">
        <v>12.45</v>
      </c>
      <c r="U1330" s="11" t="s">
        <v>51</v>
      </c>
      <c r="V1330" s="10" t="s">
        <v>52</v>
      </c>
      <c r="W1330" s="10" t="s">
        <v>13436</v>
      </c>
      <c r="X1330" s="10" t="s">
        <v>13437</v>
      </c>
      <c r="Y1330" s="10" t="s">
        <v>13438</v>
      </c>
      <c r="Z1330" s="10" t="s">
        <v>50</v>
      </c>
      <c r="AA1330" s="10" t="s">
        <v>50</v>
      </c>
      <c r="AB1330" s="10" t="s">
        <v>13436</v>
      </c>
      <c r="AC1330" s="10" t="s">
        <v>13439</v>
      </c>
      <c r="AD1330" s="10" t="s">
        <v>13440</v>
      </c>
      <c r="AE1330" s="10" t="s">
        <v>2098</v>
      </c>
      <c r="AF1330" s="10" t="s">
        <v>58</v>
      </c>
      <c r="AG1330" s="10" t="s">
        <v>13441</v>
      </c>
      <c r="AH1330" s="10" t="s">
        <v>60</v>
      </c>
      <c r="AI1330" s="10" t="s">
        <v>13406</v>
      </c>
      <c r="AJ1330" s="10" t="s">
        <v>12902</v>
      </c>
      <c r="AK1330" s="10" t="s">
        <v>13442</v>
      </c>
      <c r="AL1330" s="10" t="s">
        <v>64</v>
      </c>
      <c r="AM1330" s="10" t="s">
        <v>13443</v>
      </c>
      <c r="AN1330" s="10" t="s">
        <v>50</v>
      </c>
      <c r="AO1330" s="11" t="s">
        <v>50</v>
      </c>
      <c r="AP1330" s="10" t="s">
        <v>50</v>
      </c>
      <c r="AQ1330" s="10" t="s">
        <v>50</v>
      </c>
      <c r="AR1330" s="10" t="s">
        <v>50</v>
      </c>
      <c r="AS1330" s="10" t="s">
        <v>50</v>
      </c>
      <c r="AT1330" s="10" t="s">
        <v>50</v>
      </c>
      <c r="AU1330" s="10" t="s">
        <v>50</v>
      </c>
      <c r="AV1330" s="11"/>
      <c r="AW1330" s="10" t="s">
        <v>66</v>
      </c>
      <c r="AX1330" s="10"/>
      <c r="AY1330" s="10" t="s">
        <v>66</v>
      </c>
    </row>
    <row r="1331" ht="22.5" hidden="1" customHeight="1">
      <c r="A1331" s="9" t="s">
        <v>13444</v>
      </c>
      <c r="B1331" s="10" t="s">
        <v>13445</v>
      </c>
      <c r="C1331" s="10" t="s">
        <v>43</v>
      </c>
      <c r="D1331" s="10" t="s">
        <v>12217</v>
      </c>
      <c r="E1331" s="10" t="s">
        <v>66</v>
      </c>
      <c r="F1331" s="11">
        <v>1.0</v>
      </c>
      <c r="G1331" s="11">
        <v>79.35</v>
      </c>
      <c r="H1331" s="11"/>
      <c r="I1331" s="11">
        <v>-15.08</v>
      </c>
      <c r="J1331" s="11">
        <v>-19.95</v>
      </c>
      <c r="K1331" s="11"/>
      <c r="L1331" s="11">
        <v>44.32</v>
      </c>
      <c r="M1331" s="10" t="s">
        <v>46</v>
      </c>
      <c r="N1331" s="10" t="s">
        <v>50</v>
      </c>
      <c r="O1331" s="10" t="s">
        <v>47</v>
      </c>
      <c r="P1331" s="10" t="s">
        <v>48</v>
      </c>
      <c r="Q1331" s="10" t="s">
        <v>49</v>
      </c>
      <c r="R1331" s="10" t="s">
        <v>50</v>
      </c>
      <c r="S1331" s="11">
        <v>79.35</v>
      </c>
      <c r="T1331" s="11">
        <v>12.45</v>
      </c>
      <c r="U1331" s="11" t="s">
        <v>51</v>
      </c>
      <c r="V1331" s="10" t="s">
        <v>52</v>
      </c>
      <c r="W1331" s="10" t="s">
        <v>13446</v>
      </c>
      <c r="X1331" s="10" t="s">
        <v>13447</v>
      </c>
      <c r="Y1331" s="10" t="s">
        <v>13448</v>
      </c>
      <c r="Z1331" s="10" t="s">
        <v>50</v>
      </c>
      <c r="AA1331" s="10" t="s">
        <v>50</v>
      </c>
      <c r="AB1331" s="10" t="s">
        <v>13446</v>
      </c>
      <c r="AC1331" s="10" t="s">
        <v>13449</v>
      </c>
      <c r="AD1331" s="10" t="s">
        <v>13450</v>
      </c>
      <c r="AE1331" s="10" t="s">
        <v>13451</v>
      </c>
      <c r="AF1331" s="10" t="s">
        <v>58</v>
      </c>
      <c r="AG1331" s="10" t="s">
        <v>13452</v>
      </c>
      <c r="AH1331" s="10" t="s">
        <v>60</v>
      </c>
      <c r="AI1331" s="10" t="s">
        <v>13406</v>
      </c>
      <c r="AJ1331" s="10" t="s">
        <v>13029</v>
      </c>
      <c r="AK1331" s="10" t="s">
        <v>13453</v>
      </c>
      <c r="AL1331" s="10" t="s">
        <v>64</v>
      </c>
      <c r="AM1331" s="10" t="s">
        <v>13454</v>
      </c>
      <c r="AN1331" s="10" t="s">
        <v>50</v>
      </c>
      <c r="AO1331" s="11" t="s">
        <v>50</v>
      </c>
      <c r="AP1331" s="10" t="s">
        <v>50</v>
      </c>
      <c r="AQ1331" s="10" t="s">
        <v>50</v>
      </c>
      <c r="AR1331" s="10" t="s">
        <v>50</v>
      </c>
      <c r="AS1331" s="10" t="s">
        <v>50</v>
      </c>
      <c r="AT1331" s="10" t="s">
        <v>50</v>
      </c>
      <c r="AU1331" s="10" t="s">
        <v>50</v>
      </c>
      <c r="AV1331" s="11"/>
      <c r="AW1331" s="10" t="s">
        <v>66</v>
      </c>
      <c r="AX1331" s="10"/>
      <c r="AY1331" s="10" t="s">
        <v>66</v>
      </c>
    </row>
    <row r="1332" ht="22.5" hidden="1" customHeight="1">
      <c r="A1332" s="9" t="s">
        <v>13455</v>
      </c>
      <c r="B1332" s="10" t="s">
        <v>13456</v>
      </c>
      <c r="C1332" s="10" t="s">
        <v>43</v>
      </c>
      <c r="D1332" s="10" t="s">
        <v>11519</v>
      </c>
      <c r="E1332" s="10" t="s">
        <v>66</v>
      </c>
      <c r="F1332" s="11">
        <v>1.0</v>
      </c>
      <c r="G1332" s="11">
        <v>81.25</v>
      </c>
      <c r="H1332" s="11">
        <v>16.55</v>
      </c>
      <c r="I1332" s="11">
        <v>-13.81</v>
      </c>
      <c r="J1332" s="11">
        <v>-36.5</v>
      </c>
      <c r="K1332" s="11"/>
      <c r="L1332" s="11">
        <v>47.49</v>
      </c>
      <c r="M1332" s="10" t="s">
        <v>12218</v>
      </c>
      <c r="N1332" s="10" t="s">
        <v>45</v>
      </c>
      <c r="O1332" s="10" t="s">
        <v>920</v>
      </c>
      <c r="P1332" s="10" t="s">
        <v>921</v>
      </c>
      <c r="Q1332" s="10" t="s">
        <v>922</v>
      </c>
      <c r="R1332" s="10" t="s">
        <v>74</v>
      </c>
      <c r="S1332" s="11">
        <v>81.25</v>
      </c>
      <c r="T1332" s="11">
        <v>26.22</v>
      </c>
      <c r="U1332" s="11" t="s">
        <v>51</v>
      </c>
      <c r="V1332" s="10" t="s">
        <v>52</v>
      </c>
      <c r="W1332" s="10" t="s">
        <v>13457</v>
      </c>
      <c r="X1332" s="10" t="s">
        <v>13458</v>
      </c>
      <c r="Y1332" s="10" t="s">
        <v>13459</v>
      </c>
      <c r="Z1332" s="10" t="s">
        <v>50</v>
      </c>
      <c r="AA1332" s="10" t="s">
        <v>50</v>
      </c>
      <c r="AB1332" s="10" t="s">
        <v>13457</v>
      </c>
      <c r="AC1332" s="10" t="s">
        <v>13460</v>
      </c>
      <c r="AD1332" s="10" t="s">
        <v>13461</v>
      </c>
      <c r="AE1332" s="10" t="s">
        <v>4547</v>
      </c>
      <c r="AF1332" s="10" t="s">
        <v>2648</v>
      </c>
      <c r="AG1332" s="10" t="s">
        <v>13462</v>
      </c>
      <c r="AH1332" s="10" t="s">
        <v>60</v>
      </c>
      <c r="AI1332" s="10" t="s">
        <v>13406</v>
      </c>
      <c r="AJ1332" s="10" t="s">
        <v>13354</v>
      </c>
      <c r="AK1332" s="10" t="s">
        <v>13463</v>
      </c>
      <c r="AL1332" s="10" t="s">
        <v>64</v>
      </c>
      <c r="AM1332" s="10" t="s">
        <v>13464</v>
      </c>
      <c r="AN1332" s="10" t="s">
        <v>50</v>
      </c>
      <c r="AO1332" s="11" t="s">
        <v>50</v>
      </c>
      <c r="AP1332" s="10" t="s">
        <v>50</v>
      </c>
      <c r="AQ1332" s="10" t="s">
        <v>50</v>
      </c>
      <c r="AR1332" s="10" t="s">
        <v>50</v>
      </c>
      <c r="AS1332" s="10" t="s">
        <v>50</v>
      </c>
      <c r="AT1332" s="10" t="s">
        <v>50</v>
      </c>
      <c r="AU1332" s="10" t="s">
        <v>50</v>
      </c>
      <c r="AV1332" s="11"/>
      <c r="AW1332" s="10" t="s">
        <v>66</v>
      </c>
      <c r="AX1332" s="10"/>
      <c r="AY1332" s="10" t="s">
        <v>66</v>
      </c>
    </row>
    <row r="1333" ht="22.5" hidden="1" customHeight="1">
      <c r="A1333" s="9" t="s">
        <v>13465</v>
      </c>
      <c r="B1333" s="10" t="s">
        <v>13466</v>
      </c>
      <c r="C1333" s="10" t="s">
        <v>43</v>
      </c>
      <c r="D1333" s="10" t="s">
        <v>13049</v>
      </c>
      <c r="E1333" s="10" t="s">
        <v>66</v>
      </c>
      <c r="F1333" s="11">
        <v>1.0</v>
      </c>
      <c r="G1333" s="11">
        <v>79.2</v>
      </c>
      <c r="H1333" s="11"/>
      <c r="I1333" s="11">
        <v>-13.46</v>
      </c>
      <c r="J1333" s="11">
        <v>-20.45</v>
      </c>
      <c r="K1333" s="11"/>
      <c r="L1333" s="11">
        <v>45.29</v>
      </c>
      <c r="M1333" s="10" t="s">
        <v>46</v>
      </c>
      <c r="N1333" s="10" t="s">
        <v>45</v>
      </c>
      <c r="O1333" s="10" t="s">
        <v>412</v>
      </c>
      <c r="P1333" s="10" t="s">
        <v>413</v>
      </c>
      <c r="Q1333" s="10" t="s">
        <v>414</v>
      </c>
      <c r="R1333" s="10" t="s">
        <v>415</v>
      </c>
      <c r="S1333" s="11">
        <v>79.2</v>
      </c>
      <c r="T1333" s="11">
        <v>10.05</v>
      </c>
      <c r="U1333" s="11" t="s">
        <v>51</v>
      </c>
      <c r="V1333" s="10" t="s">
        <v>52</v>
      </c>
      <c r="W1333" s="10" t="s">
        <v>13467</v>
      </c>
      <c r="X1333" s="10" t="s">
        <v>13468</v>
      </c>
      <c r="Y1333" s="10" t="s">
        <v>13469</v>
      </c>
      <c r="Z1333" s="10" t="s">
        <v>50</v>
      </c>
      <c r="AA1333" s="10" t="s">
        <v>50</v>
      </c>
      <c r="AB1333" s="10" t="s">
        <v>13467</v>
      </c>
      <c r="AC1333" s="10" t="s">
        <v>13470</v>
      </c>
      <c r="AD1333" s="10" t="s">
        <v>13471</v>
      </c>
      <c r="AE1333" s="10" t="s">
        <v>151</v>
      </c>
      <c r="AF1333" s="10" t="s">
        <v>151</v>
      </c>
      <c r="AG1333" s="10" t="s">
        <v>13472</v>
      </c>
      <c r="AH1333" s="10" t="s">
        <v>60</v>
      </c>
      <c r="AI1333" s="10" t="s">
        <v>13406</v>
      </c>
      <c r="AJ1333" s="10" t="s">
        <v>13473</v>
      </c>
      <c r="AK1333" s="10" t="s">
        <v>13474</v>
      </c>
      <c r="AL1333" s="10" t="s">
        <v>64</v>
      </c>
      <c r="AM1333" s="10" t="s">
        <v>13475</v>
      </c>
      <c r="AN1333" s="10" t="s">
        <v>50</v>
      </c>
      <c r="AO1333" s="11" t="s">
        <v>50</v>
      </c>
      <c r="AP1333" s="10" t="s">
        <v>50</v>
      </c>
      <c r="AQ1333" s="10" t="s">
        <v>50</v>
      </c>
      <c r="AR1333" s="10" t="s">
        <v>50</v>
      </c>
      <c r="AS1333" s="10" t="s">
        <v>50</v>
      </c>
      <c r="AT1333" s="10" t="s">
        <v>50</v>
      </c>
      <c r="AU1333" s="10" t="s">
        <v>50</v>
      </c>
      <c r="AV1333" s="11"/>
      <c r="AW1333" s="10" t="s">
        <v>66</v>
      </c>
      <c r="AX1333" s="10"/>
      <c r="AY1333" s="10" t="s">
        <v>66</v>
      </c>
    </row>
    <row r="1334" ht="22.5" hidden="1" customHeight="1">
      <c r="A1334" s="9" t="s">
        <v>13476</v>
      </c>
      <c r="B1334" s="10" t="s">
        <v>13477</v>
      </c>
      <c r="C1334" s="10" t="s">
        <v>43</v>
      </c>
      <c r="D1334" s="10" t="s">
        <v>11161</v>
      </c>
      <c r="E1334" s="10" t="s">
        <v>45</v>
      </c>
      <c r="F1334" s="11">
        <v>1.0</v>
      </c>
      <c r="G1334" s="11">
        <v>79.35</v>
      </c>
      <c r="H1334" s="11"/>
      <c r="I1334" s="11">
        <v>-15.08</v>
      </c>
      <c r="J1334" s="11">
        <v>-19.95</v>
      </c>
      <c r="K1334" s="11"/>
      <c r="L1334" s="11">
        <v>44.32</v>
      </c>
      <c r="M1334" s="10" t="s">
        <v>46</v>
      </c>
      <c r="N1334" s="10" t="s">
        <v>50</v>
      </c>
      <c r="O1334" s="10" t="s">
        <v>47</v>
      </c>
      <c r="P1334" s="10" t="s">
        <v>48</v>
      </c>
      <c r="Q1334" s="10" t="s">
        <v>49</v>
      </c>
      <c r="R1334" s="10" t="s">
        <v>50</v>
      </c>
      <c r="S1334" s="11">
        <v>79.35</v>
      </c>
      <c r="T1334" s="11">
        <v>12.45</v>
      </c>
      <c r="U1334" s="11" t="s">
        <v>51</v>
      </c>
      <c r="V1334" s="10" t="s">
        <v>52</v>
      </c>
      <c r="W1334" s="10" t="s">
        <v>13478</v>
      </c>
      <c r="X1334" s="10" t="s">
        <v>13479</v>
      </c>
      <c r="Y1334" s="10" t="s">
        <v>13480</v>
      </c>
      <c r="Z1334" s="10" t="s">
        <v>50</v>
      </c>
      <c r="AA1334" s="10" t="s">
        <v>50</v>
      </c>
      <c r="AB1334" s="10" t="s">
        <v>13478</v>
      </c>
      <c r="AC1334" s="10" t="s">
        <v>13481</v>
      </c>
      <c r="AD1334" s="10" t="s">
        <v>13482</v>
      </c>
      <c r="AE1334" s="10" t="s">
        <v>13483</v>
      </c>
      <c r="AF1334" s="10" t="s">
        <v>185</v>
      </c>
      <c r="AG1334" s="10" t="s">
        <v>13484</v>
      </c>
      <c r="AH1334" s="10" t="s">
        <v>60</v>
      </c>
      <c r="AI1334" s="10" t="s">
        <v>13406</v>
      </c>
      <c r="AJ1334" s="10" t="s">
        <v>12902</v>
      </c>
      <c r="AK1334" s="10" t="s">
        <v>13485</v>
      </c>
      <c r="AL1334" s="10" t="s">
        <v>64</v>
      </c>
      <c r="AM1334" s="10" t="s">
        <v>13486</v>
      </c>
      <c r="AN1334" s="10" t="s">
        <v>50</v>
      </c>
      <c r="AO1334" s="11" t="s">
        <v>50</v>
      </c>
      <c r="AP1334" s="10" t="s">
        <v>50</v>
      </c>
      <c r="AQ1334" s="10" t="s">
        <v>50</v>
      </c>
      <c r="AR1334" s="10" t="s">
        <v>50</v>
      </c>
      <c r="AS1334" s="10" t="s">
        <v>50</v>
      </c>
      <c r="AT1334" s="10" t="s">
        <v>50</v>
      </c>
      <c r="AU1334" s="10" t="s">
        <v>50</v>
      </c>
      <c r="AV1334" s="11"/>
      <c r="AW1334" s="10" t="s">
        <v>66</v>
      </c>
      <c r="AX1334" s="10"/>
      <c r="AY1334" s="10" t="s">
        <v>66</v>
      </c>
    </row>
    <row r="1335" ht="22.5" hidden="1" customHeight="1">
      <c r="A1335" s="9" t="s">
        <v>13487</v>
      </c>
      <c r="B1335" s="10" t="s">
        <v>13488</v>
      </c>
      <c r="C1335" s="10" t="s">
        <v>43</v>
      </c>
      <c r="D1335" s="10" t="s">
        <v>11161</v>
      </c>
      <c r="E1335" s="10" t="s">
        <v>45</v>
      </c>
      <c r="F1335" s="11">
        <v>1.0</v>
      </c>
      <c r="G1335" s="11">
        <v>79.35</v>
      </c>
      <c r="H1335" s="11"/>
      <c r="I1335" s="11">
        <v>-15.08</v>
      </c>
      <c r="J1335" s="11">
        <v>-19.95</v>
      </c>
      <c r="K1335" s="11"/>
      <c r="L1335" s="11">
        <v>44.32</v>
      </c>
      <c r="M1335" s="10" t="s">
        <v>12218</v>
      </c>
      <c r="N1335" s="10" t="s">
        <v>50</v>
      </c>
      <c r="O1335" s="10" t="s">
        <v>47</v>
      </c>
      <c r="P1335" s="10" t="s">
        <v>48</v>
      </c>
      <c r="Q1335" s="10" t="s">
        <v>49</v>
      </c>
      <c r="R1335" s="10" t="s">
        <v>50</v>
      </c>
      <c r="S1335" s="11">
        <v>79.35</v>
      </c>
      <c r="T1335" s="11">
        <v>12.45</v>
      </c>
      <c r="U1335" s="11" t="s">
        <v>51</v>
      </c>
      <c r="V1335" s="10" t="s">
        <v>52</v>
      </c>
      <c r="W1335" s="10" t="s">
        <v>13489</v>
      </c>
      <c r="X1335" s="10" t="s">
        <v>13490</v>
      </c>
      <c r="Y1335" s="10" t="s">
        <v>13491</v>
      </c>
      <c r="Z1335" s="10" t="s">
        <v>50</v>
      </c>
      <c r="AA1335" s="10" t="s">
        <v>50</v>
      </c>
      <c r="AB1335" s="10" t="s">
        <v>13489</v>
      </c>
      <c r="AC1335" s="10" t="s">
        <v>13492</v>
      </c>
      <c r="AD1335" s="10" t="s">
        <v>13493</v>
      </c>
      <c r="AE1335" s="10" t="s">
        <v>13494</v>
      </c>
      <c r="AF1335" s="10" t="s">
        <v>214</v>
      </c>
      <c r="AG1335" s="10" t="s">
        <v>13495</v>
      </c>
      <c r="AH1335" s="10" t="s">
        <v>60</v>
      </c>
      <c r="AI1335" s="10" t="s">
        <v>13406</v>
      </c>
      <c r="AJ1335" s="10" t="s">
        <v>12702</v>
      </c>
      <c r="AK1335" s="10" t="s">
        <v>13496</v>
      </c>
      <c r="AL1335" s="10" t="s">
        <v>64</v>
      </c>
      <c r="AM1335" s="10" t="s">
        <v>13497</v>
      </c>
      <c r="AN1335" s="10" t="s">
        <v>50</v>
      </c>
      <c r="AO1335" s="11" t="s">
        <v>50</v>
      </c>
      <c r="AP1335" s="10" t="s">
        <v>50</v>
      </c>
      <c r="AQ1335" s="10" t="s">
        <v>50</v>
      </c>
      <c r="AR1335" s="10" t="s">
        <v>50</v>
      </c>
      <c r="AS1335" s="10" t="s">
        <v>50</v>
      </c>
      <c r="AT1335" s="10" t="s">
        <v>50</v>
      </c>
      <c r="AU1335" s="10" t="s">
        <v>50</v>
      </c>
      <c r="AV1335" s="11"/>
      <c r="AW1335" s="10" t="s">
        <v>66</v>
      </c>
      <c r="AX1335" s="10"/>
      <c r="AY1335" s="10" t="s">
        <v>66</v>
      </c>
    </row>
    <row r="1336" ht="22.5" hidden="1" customHeight="1">
      <c r="A1336" s="9" t="s">
        <v>13498</v>
      </c>
      <c r="B1336" s="10" t="s">
        <v>13499</v>
      </c>
      <c r="C1336" s="10" t="s">
        <v>43</v>
      </c>
      <c r="D1336" s="10" t="s">
        <v>7518</v>
      </c>
      <c r="E1336" s="10" t="s">
        <v>66</v>
      </c>
      <c r="F1336" s="11">
        <v>1.0</v>
      </c>
      <c r="G1336" s="11">
        <v>43.7</v>
      </c>
      <c r="H1336" s="11">
        <v>17.0</v>
      </c>
      <c r="I1336" s="11">
        <v>-13.43</v>
      </c>
      <c r="J1336" s="11">
        <v>-17.0</v>
      </c>
      <c r="K1336" s="11"/>
      <c r="L1336" s="11">
        <v>32.89</v>
      </c>
      <c r="M1336" s="10" t="s">
        <v>12218</v>
      </c>
      <c r="N1336" s="10" t="s">
        <v>50</v>
      </c>
      <c r="O1336" s="10" t="s">
        <v>176</v>
      </c>
      <c r="P1336" s="10" t="s">
        <v>177</v>
      </c>
      <c r="Q1336" s="10" t="s">
        <v>178</v>
      </c>
      <c r="R1336" s="10" t="s">
        <v>74</v>
      </c>
      <c r="S1336" s="11">
        <v>43.7</v>
      </c>
      <c r="T1336" s="11">
        <v>22.58</v>
      </c>
      <c r="U1336" s="11" t="s">
        <v>51</v>
      </c>
      <c r="V1336" s="10" t="s">
        <v>52</v>
      </c>
      <c r="W1336" s="10" t="s">
        <v>13500</v>
      </c>
      <c r="X1336" s="10" t="s">
        <v>13501</v>
      </c>
      <c r="Y1336" s="10" t="s">
        <v>13502</v>
      </c>
      <c r="Z1336" s="10" t="s">
        <v>50</v>
      </c>
      <c r="AA1336" s="10" t="s">
        <v>50</v>
      </c>
      <c r="AB1336" s="10" t="s">
        <v>13500</v>
      </c>
      <c r="AC1336" s="10" t="s">
        <v>13503</v>
      </c>
      <c r="AD1336" s="10" t="s">
        <v>13504</v>
      </c>
      <c r="AE1336" s="10" t="s">
        <v>4324</v>
      </c>
      <c r="AF1336" s="10" t="s">
        <v>119</v>
      </c>
      <c r="AG1336" s="10" t="s">
        <v>13505</v>
      </c>
      <c r="AH1336" s="10" t="s">
        <v>60</v>
      </c>
      <c r="AI1336" s="10" t="s">
        <v>13406</v>
      </c>
      <c r="AJ1336" s="10" t="s">
        <v>13506</v>
      </c>
      <c r="AK1336" s="10" t="s">
        <v>13507</v>
      </c>
      <c r="AL1336" s="10" t="s">
        <v>64</v>
      </c>
      <c r="AM1336" s="10" t="s">
        <v>13508</v>
      </c>
      <c r="AN1336" s="10" t="s">
        <v>13509</v>
      </c>
      <c r="AO1336" s="11" t="s">
        <v>50</v>
      </c>
      <c r="AP1336" s="10" t="s">
        <v>50</v>
      </c>
      <c r="AQ1336" s="10" t="s">
        <v>50</v>
      </c>
      <c r="AR1336" s="10" t="s">
        <v>50</v>
      </c>
      <c r="AS1336" s="10" t="s">
        <v>50</v>
      </c>
      <c r="AT1336" s="10" t="s">
        <v>50</v>
      </c>
      <c r="AU1336" s="10" t="s">
        <v>50</v>
      </c>
      <c r="AV1336" s="11"/>
      <c r="AW1336" s="10" t="s">
        <v>66</v>
      </c>
      <c r="AX1336" s="10"/>
      <c r="AY1336" s="10" t="s">
        <v>66</v>
      </c>
    </row>
    <row r="1337" ht="22.5" hidden="1" customHeight="1">
      <c r="A1337" s="9" t="s">
        <v>13510</v>
      </c>
      <c r="B1337" s="10" t="s">
        <v>13511</v>
      </c>
      <c r="C1337" s="10" t="s">
        <v>43</v>
      </c>
      <c r="D1337" s="10" t="s">
        <v>12217</v>
      </c>
      <c r="E1337" s="10" t="s">
        <v>66</v>
      </c>
      <c r="F1337" s="11">
        <v>1.0</v>
      </c>
      <c r="G1337" s="11">
        <v>80.6</v>
      </c>
      <c r="H1337" s="11"/>
      <c r="I1337" s="11">
        <v>-13.7</v>
      </c>
      <c r="J1337" s="11">
        <v>-20.45</v>
      </c>
      <c r="K1337" s="11"/>
      <c r="L1337" s="11">
        <v>46.45</v>
      </c>
      <c r="M1337" s="10" t="s">
        <v>12218</v>
      </c>
      <c r="N1337" s="10" t="s">
        <v>45</v>
      </c>
      <c r="O1337" s="10" t="s">
        <v>265</v>
      </c>
      <c r="P1337" s="10" t="s">
        <v>266</v>
      </c>
      <c r="Q1337" s="10" t="s">
        <v>267</v>
      </c>
      <c r="R1337" s="10" t="s">
        <v>74</v>
      </c>
      <c r="S1337" s="11">
        <v>80.6</v>
      </c>
      <c r="T1337" s="11">
        <v>26.22</v>
      </c>
      <c r="U1337" s="11" t="s">
        <v>51</v>
      </c>
      <c r="V1337" s="10" t="s">
        <v>52</v>
      </c>
      <c r="W1337" s="10" t="s">
        <v>13512</v>
      </c>
      <c r="X1337" s="10" t="s">
        <v>13513</v>
      </c>
      <c r="Y1337" s="10" t="s">
        <v>13514</v>
      </c>
      <c r="Z1337" s="10" t="s">
        <v>50</v>
      </c>
      <c r="AA1337" s="10" t="s">
        <v>50</v>
      </c>
      <c r="AB1337" s="10" t="s">
        <v>13512</v>
      </c>
      <c r="AC1337" s="10" t="s">
        <v>13515</v>
      </c>
      <c r="AD1337" s="10" t="s">
        <v>13516</v>
      </c>
      <c r="AE1337" s="10" t="s">
        <v>4203</v>
      </c>
      <c r="AF1337" s="10" t="s">
        <v>58</v>
      </c>
      <c r="AG1337" s="10" t="s">
        <v>13517</v>
      </c>
      <c r="AH1337" s="10" t="s">
        <v>60</v>
      </c>
      <c r="AI1337" s="10" t="s">
        <v>13406</v>
      </c>
      <c r="AJ1337" s="10" t="s">
        <v>13029</v>
      </c>
      <c r="AK1337" s="10" t="s">
        <v>13518</v>
      </c>
      <c r="AL1337" s="10" t="s">
        <v>64</v>
      </c>
      <c r="AM1337" s="10" t="s">
        <v>13519</v>
      </c>
      <c r="AN1337" s="10" t="s">
        <v>50</v>
      </c>
      <c r="AO1337" s="11" t="s">
        <v>50</v>
      </c>
      <c r="AP1337" s="10" t="s">
        <v>50</v>
      </c>
      <c r="AQ1337" s="10" t="s">
        <v>50</v>
      </c>
      <c r="AR1337" s="10" t="s">
        <v>50</v>
      </c>
      <c r="AS1337" s="10" t="s">
        <v>50</v>
      </c>
      <c r="AT1337" s="10" t="s">
        <v>50</v>
      </c>
      <c r="AU1337" s="10" t="s">
        <v>50</v>
      </c>
      <c r="AV1337" s="11"/>
      <c r="AW1337" s="10" t="s">
        <v>66</v>
      </c>
      <c r="AX1337" s="10"/>
      <c r="AY1337" s="10" t="s">
        <v>66</v>
      </c>
    </row>
    <row r="1338" ht="22.5" hidden="1" customHeight="1">
      <c r="A1338" s="9" t="s">
        <v>13520</v>
      </c>
      <c r="B1338" s="10" t="s">
        <v>13521</v>
      </c>
      <c r="C1338" s="10" t="s">
        <v>43</v>
      </c>
      <c r="D1338" s="10" t="s">
        <v>9839</v>
      </c>
      <c r="E1338" s="10" t="s">
        <v>66</v>
      </c>
      <c r="F1338" s="11">
        <v>1.0</v>
      </c>
      <c r="G1338" s="11">
        <v>120.0</v>
      </c>
      <c r="H1338" s="11"/>
      <c r="I1338" s="11">
        <v>-20.4</v>
      </c>
      <c r="J1338" s="11">
        <v>-19.95</v>
      </c>
      <c r="K1338" s="11"/>
      <c r="L1338" s="11">
        <v>86.85</v>
      </c>
      <c r="M1338" s="10" t="s">
        <v>12218</v>
      </c>
      <c r="N1338" s="10" t="s">
        <v>50</v>
      </c>
      <c r="O1338" s="10" t="s">
        <v>85</v>
      </c>
      <c r="P1338" s="10" t="s">
        <v>86</v>
      </c>
      <c r="Q1338" s="10" t="s">
        <v>87</v>
      </c>
      <c r="R1338" s="10" t="s">
        <v>74</v>
      </c>
      <c r="S1338" s="11">
        <v>120.0</v>
      </c>
      <c r="T1338" s="11">
        <v>65.78</v>
      </c>
      <c r="U1338" s="11" t="s">
        <v>51</v>
      </c>
      <c r="V1338" s="10" t="s">
        <v>52</v>
      </c>
      <c r="W1338" s="10" t="s">
        <v>13522</v>
      </c>
      <c r="X1338" s="10" t="s">
        <v>13523</v>
      </c>
      <c r="Y1338" s="10" t="s">
        <v>13524</v>
      </c>
      <c r="Z1338" s="10" t="s">
        <v>50</v>
      </c>
      <c r="AA1338" s="10" t="s">
        <v>50</v>
      </c>
      <c r="AB1338" s="10" t="s">
        <v>13522</v>
      </c>
      <c r="AC1338" s="10" t="s">
        <v>13525</v>
      </c>
      <c r="AD1338" s="10" t="s">
        <v>13526</v>
      </c>
      <c r="AE1338" s="10" t="s">
        <v>13527</v>
      </c>
      <c r="AF1338" s="10" t="s">
        <v>214</v>
      </c>
      <c r="AG1338" s="10" t="s">
        <v>13528</v>
      </c>
      <c r="AH1338" s="10" t="s">
        <v>60</v>
      </c>
      <c r="AI1338" s="10" t="s">
        <v>13406</v>
      </c>
      <c r="AJ1338" s="10" t="s">
        <v>12702</v>
      </c>
      <c r="AK1338" s="10" t="s">
        <v>13529</v>
      </c>
      <c r="AL1338" s="10" t="s">
        <v>64</v>
      </c>
      <c r="AM1338" s="10" t="s">
        <v>13530</v>
      </c>
      <c r="AN1338" s="10" t="s">
        <v>50</v>
      </c>
      <c r="AO1338" s="11" t="s">
        <v>50</v>
      </c>
      <c r="AP1338" s="10" t="s">
        <v>50</v>
      </c>
      <c r="AQ1338" s="10" t="s">
        <v>50</v>
      </c>
      <c r="AR1338" s="10" t="s">
        <v>50</v>
      </c>
      <c r="AS1338" s="10" t="s">
        <v>50</v>
      </c>
      <c r="AT1338" s="10" t="s">
        <v>50</v>
      </c>
      <c r="AU1338" s="10" t="s">
        <v>50</v>
      </c>
      <c r="AV1338" s="11"/>
      <c r="AW1338" s="10" t="s">
        <v>66</v>
      </c>
      <c r="AX1338" s="10"/>
      <c r="AY1338" s="10" t="s">
        <v>66</v>
      </c>
    </row>
    <row r="1339" ht="22.5" hidden="1" customHeight="1">
      <c r="A1339" s="9" t="s">
        <v>13531</v>
      </c>
      <c r="B1339" s="10" t="s">
        <v>13532</v>
      </c>
      <c r="C1339" s="10" t="s">
        <v>43</v>
      </c>
      <c r="D1339" s="10" t="s">
        <v>12217</v>
      </c>
      <c r="E1339" s="10" t="s">
        <v>66</v>
      </c>
      <c r="F1339" s="11">
        <v>1.0</v>
      </c>
      <c r="G1339" s="11">
        <v>80.6</v>
      </c>
      <c r="H1339" s="11"/>
      <c r="I1339" s="11">
        <v>-13.7</v>
      </c>
      <c r="J1339" s="11">
        <v>-20.45</v>
      </c>
      <c r="K1339" s="11"/>
      <c r="L1339" s="11">
        <v>46.45</v>
      </c>
      <c r="M1339" s="10" t="s">
        <v>12218</v>
      </c>
      <c r="N1339" s="10" t="s">
        <v>45</v>
      </c>
      <c r="O1339" s="10" t="s">
        <v>265</v>
      </c>
      <c r="P1339" s="10" t="s">
        <v>266</v>
      </c>
      <c r="Q1339" s="10" t="s">
        <v>267</v>
      </c>
      <c r="R1339" s="10" t="s">
        <v>74</v>
      </c>
      <c r="S1339" s="11">
        <v>80.6</v>
      </c>
      <c r="T1339" s="11">
        <v>26.22</v>
      </c>
      <c r="U1339" s="11" t="s">
        <v>51</v>
      </c>
      <c r="V1339" s="10" t="s">
        <v>52</v>
      </c>
      <c r="W1339" s="10" t="s">
        <v>13533</v>
      </c>
      <c r="X1339" s="10" t="s">
        <v>13534</v>
      </c>
      <c r="Y1339" s="10" t="s">
        <v>13535</v>
      </c>
      <c r="Z1339" s="10" t="s">
        <v>50</v>
      </c>
      <c r="AA1339" s="10" t="s">
        <v>50</v>
      </c>
      <c r="AB1339" s="10" t="s">
        <v>13533</v>
      </c>
      <c r="AC1339" s="10" t="s">
        <v>13536</v>
      </c>
      <c r="AD1339" s="10" t="s">
        <v>13537</v>
      </c>
      <c r="AE1339" s="10" t="s">
        <v>58</v>
      </c>
      <c r="AF1339" s="10" t="s">
        <v>58</v>
      </c>
      <c r="AG1339" s="10" t="s">
        <v>13538</v>
      </c>
      <c r="AH1339" s="10" t="s">
        <v>60</v>
      </c>
      <c r="AI1339" s="10" t="s">
        <v>13406</v>
      </c>
      <c r="AJ1339" s="10" t="s">
        <v>13029</v>
      </c>
      <c r="AK1339" s="10" t="s">
        <v>13539</v>
      </c>
      <c r="AL1339" s="10" t="s">
        <v>64</v>
      </c>
      <c r="AM1339" s="10" t="s">
        <v>13540</v>
      </c>
      <c r="AN1339" s="10" t="s">
        <v>50</v>
      </c>
      <c r="AO1339" s="11" t="s">
        <v>50</v>
      </c>
      <c r="AP1339" s="10" t="s">
        <v>50</v>
      </c>
      <c r="AQ1339" s="10" t="s">
        <v>50</v>
      </c>
      <c r="AR1339" s="10" t="s">
        <v>50</v>
      </c>
      <c r="AS1339" s="10" t="s">
        <v>50</v>
      </c>
      <c r="AT1339" s="10" t="s">
        <v>50</v>
      </c>
      <c r="AU1339" s="10" t="s">
        <v>50</v>
      </c>
      <c r="AV1339" s="11"/>
      <c r="AW1339" s="10" t="s">
        <v>66</v>
      </c>
      <c r="AX1339" s="10"/>
      <c r="AY1339" s="10" t="s">
        <v>66</v>
      </c>
    </row>
    <row r="1340" ht="22.5" hidden="1" customHeight="1">
      <c r="A1340" s="9" t="s">
        <v>13541</v>
      </c>
      <c r="B1340" s="10" t="s">
        <v>13542</v>
      </c>
      <c r="C1340" s="10" t="s">
        <v>43</v>
      </c>
      <c r="D1340" s="10" t="s">
        <v>13049</v>
      </c>
      <c r="E1340" s="10" t="s">
        <v>66</v>
      </c>
      <c r="F1340" s="11">
        <v>1.0</v>
      </c>
      <c r="G1340" s="11">
        <v>80.3</v>
      </c>
      <c r="H1340" s="11"/>
      <c r="I1340" s="11">
        <v>-13.65</v>
      </c>
      <c r="J1340" s="11">
        <v>-20.45</v>
      </c>
      <c r="K1340" s="11"/>
      <c r="L1340" s="11">
        <v>46.2</v>
      </c>
      <c r="M1340" s="10" t="s">
        <v>12218</v>
      </c>
      <c r="N1340" s="10" t="s">
        <v>45</v>
      </c>
      <c r="O1340" s="10" t="s">
        <v>127</v>
      </c>
      <c r="P1340" s="10" t="s">
        <v>128</v>
      </c>
      <c r="Q1340" s="10" t="s">
        <v>129</v>
      </c>
      <c r="R1340" s="10" t="s">
        <v>74</v>
      </c>
      <c r="S1340" s="11">
        <v>80.3</v>
      </c>
      <c r="T1340" s="11">
        <v>17.68</v>
      </c>
      <c r="U1340" s="11" t="s">
        <v>51</v>
      </c>
      <c r="V1340" s="10" t="s">
        <v>52</v>
      </c>
      <c r="W1340" s="10" t="s">
        <v>13543</v>
      </c>
      <c r="X1340" s="10" t="s">
        <v>13544</v>
      </c>
      <c r="Y1340" s="10" t="s">
        <v>13545</v>
      </c>
      <c r="Z1340" s="10" t="s">
        <v>50</v>
      </c>
      <c r="AA1340" s="10" t="s">
        <v>50</v>
      </c>
      <c r="AB1340" s="10" t="s">
        <v>13543</v>
      </c>
      <c r="AC1340" s="10" t="s">
        <v>13546</v>
      </c>
      <c r="AD1340" s="10" t="s">
        <v>13547</v>
      </c>
      <c r="AE1340" s="10" t="s">
        <v>2076</v>
      </c>
      <c r="AF1340" s="10" t="s">
        <v>151</v>
      </c>
      <c r="AG1340" s="10" t="s">
        <v>13548</v>
      </c>
      <c r="AH1340" s="10" t="s">
        <v>60</v>
      </c>
      <c r="AI1340" s="10" t="s">
        <v>13406</v>
      </c>
      <c r="AJ1340" s="10" t="s">
        <v>13549</v>
      </c>
      <c r="AK1340" s="10" t="s">
        <v>13550</v>
      </c>
      <c r="AL1340" s="10" t="s">
        <v>64</v>
      </c>
      <c r="AM1340" s="10" t="s">
        <v>13551</v>
      </c>
      <c r="AN1340" s="10" t="s">
        <v>50</v>
      </c>
      <c r="AO1340" s="11" t="s">
        <v>50</v>
      </c>
      <c r="AP1340" s="10" t="s">
        <v>50</v>
      </c>
      <c r="AQ1340" s="10" t="s">
        <v>50</v>
      </c>
      <c r="AR1340" s="10" t="s">
        <v>50</v>
      </c>
      <c r="AS1340" s="10" t="s">
        <v>50</v>
      </c>
      <c r="AT1340" s="10" t="s">
        <v>50</v>
      </c>
      <c r="AU1340" s="10" t="s">
        <v>50</v>
      </c>
      <c r="AV1340" s="11"/>
      <c r="AW1340" s="10" t="s">
        <v>66</v>
      </c>
      <c r="AX1340" s="10"/>
      <c r="AY1340" s="10" t="s">
        <v>66</v>
      </c>
    </row>
    <row r="1341" ht="22.5" hidden="1" customHeight="1">
      <c r="A1341" s="9" t="s">
        <v>13552</v>
      </c>
      <c r="B1341" s="10" t="s">
        <v>13553</v>
      </c>
      <c r="C1341" s="10" t="s">
        <v>43</v>
      </c>
      <c r="D1341" s="10" t="s">
        <v>12217</v>
      </c>
      <c r="E1341" s="10" t="s">
        <v>45</v>
      </c>
      <c r="F1341" s="11">
        <v>1.0</v>
      </c>
      <c r="G1341" s="11">
        <v>79.0</v>
      </c>
      <c r="H1341" s="11"/>
      <c r="I1341" s="11">
        <v>-13.43</v>
      </c>
      <c r="J1341" s="11">
        <v>-20.45</v>
      </c>
      <c r="K1341" s="11"/>
      <c r="L1341" s="11">
        <v>45.12</v>
      </c>
      <c r="M1341" s="10" t="s">
        <v>46</v>
      </c>
      <c r="N1341" s="10" t="s">
        <v>50</v>
      </c>
      <c r="O1341" s="10" t="s">
        <v>160</v>
      </c>
      <c r="P1341" s="10" t="s">
        <v>161</v>
      </c>
      <c r="Q1341" s="10" t="s">
        <v>162</v>
      </c>
      <c r="R1341" s="10" t="s">
        <v>74</v>
      </c>
      <c r="S1341" s="11">
        <v>79.0</v>
      </c>
      <c r="T1341" s="11">
        <v>2.49</v>
      </c>
      <c r="U1341" s="11" t="s">
        <v>51</v>
      </c>
      <c r="V1341" s="10" t="s">
        <v>52</v>
      </c>
      <c r="W1341" s="10" t="s">
        <v>13554</v>
      </c>
      <c r="X1341" s="10" t="s">
        <v>13555</v>
      </c>
      <c r="Y1341" s="10" t="s">
        <v>13556</v>
      </c>
      <c r="Z1341" s="10" t="s">
        <v>50</v>
      </c>
      <c r="AA1341" s="10" t="s">
        <v>50</v>
      </c>
      <c r="AB1341" s="10" t="s">
        <v>13554</v>
      </c>
      <c r="AC1341" s="10" t="s">
        <v>13557</v>
      </c>
      <c r="AD1341" s="10" t="s">
        <v>13558</v>
      </c>
      <c r="AE1341" s="10" t="s">
        <v>6951</v>
      </c>
      <c r="AF1341" s="10" t="s">
        <v>58</v>
      </c>
      <c r="AG1341" s="10" t="s">
        <v>13559</v>
      </c>
      <c r="AH1341" s="10" t="s">
        <v>60</v>
      </c>
      <c r="AI1341" s="10" t="s">
        <v>13406</v>
      </c>
      <c r="AJ1341" s="10" t="s">
        <v>13560</v>
      </c>
      <c r="AK1341" s="10" t="s">
        <v>13561</v>
      </c>
      <c r="AL1341" s="10" t="s">
        <v>64</v>
      </c>
      <c r="AM1341" s="10" t="s">
        <v>13562</v>
      </c>
      <c r="AN1341" s="10" t="s">
        <v>50</v>
      </c>
      <c r="AO1341" s="11" t="s">
        <v>50</v>
      </c>
      <c r="AP1341" s="10" t="s">
        <v>50</v>
      </c>
      <c r="AQ1341" s="10" t="s">
        <v>50</v>
      </c>
      <c r="AR1341" s="10" t="s">
        <v>50</v>
      </c>
      <c r="AS1341" s="10" t="s">
        <v>50</v>
      </c>
      <c r="AT1341" s="10" t="s">
        <v>50</v>
      </c>
      <c r="AU1341" s="10" t="s">
        <v>50</v>
      </c>
      <c r="AV1341" s="11"/>
      <c r="AW1341" s="10" t="s">
        <v>66</v>
      </c>
      <c r="AX1341" s="10"/>
      <c r="AY1341" s="10" t="s">
        <v>66</v>
      </c>
    </row>
    <row r="1342" ht="22.5" hidden="1" customHeight="1">
      <c r="A1342" s="9" t="s">
        <v>13563</v>
      </c>
      <c r="B1342" s="10" t="s">
        <v>13564</v>
      </c>
      <c r="C1342" s="10" t="s">
        <v>43</v>
      </c>
      <c r="D1342" s="10" t="s">
        <v>9839</v>
      </c>
      <c r="E1342" s="10" t="s">
        <v>66</v>
      </c>
      <c r="F1342" s="11">
        <v>1.0</v>
      </c>
      <c r="G1342" s="11">
        <v>92.15</v>
      </c>
      <c r="H1342" s="11">
        <v>8.08</v>
      </c>
      <c r="I1342" s="11">
        <v>-17.51</v>
      </c>
      <c r="J1342" s="11">
        <v>-28.53</v>
      </c>
      <c r="K1342" s="11"/>
      <c r="L1342" s="11">
        <v>59.72</v>
      </c>
      <c r="M1342" s="10" t="s">
        <v>46</v>
      </c>
      <c r="N1342" s="10" t="s">
        <v>50</v>
      </c>
      <c r="O1342" s="10" t="s">
        <v>586</v>
      </c>
      <c r="P1342" s="10" t="s">
        <v>587</v>
      </c>
      <c r="Q1342" s="10" t="s">
        <v>588</v>
      </c>
      <c r="R1342" s="10" t="s">
        <v>50</v>
      </c>
      <c r="S1342" s="11">
        <v>92.15</v>
      </c>
      <c r="T1342" s="11">
        <v>20.76</v>
      </c>
      <c r="U1342" s="11" t="s">
        <v>51</v>
      </c>
      <c r="V1342" s="10" t="s">
        <v>52</v>
      </c>
      <c r="W1342" s="10" t="s">
        <v>13565</v>
      </c>
      <c r="X1342" s="10" t="s">
        <v>13566</v>
      </c>
      <c r="Y1342" s="10" t="s">
        <v>13567</v>
      </c>
      <c r="Z1342" s="10" t="s">
        <v>50</v>
      </c>
      <c r="AA1342" s="10" t="s">
        <v>50</v>
      </c>
      <c r="AB1342" s="10" t="s">
        <v>13565</v>
      </c>
      <c r="AC1342" s="10" t="s">
        <v>13568</v>
      </c>
      <c r="AD1342" s="10" t="s">
        <v>13569</v>
      </c>
      <c r="AE1342" s="10" t="s">
        <v>200</v>
      </c>
      <c r="AF1342" s="10" t="s">
        <v>201</v>
      </c>
      <c r="AG1342" s="10" t="s">
        <v>202</v>
      </c>
      <c r="AH1342" s="10" t="s">
        <v>60</v>
      </c>
      <c r="AI1342" s="10" t="s">
        <v>13406</v>
      </c>
      <c r="AJ1342" s="10" t="s">
        <v>12902</v>
      </c>
      <c r="AK1342" s="10" t="s">
        <v>13570</v>
      </c>
      <c r="AL1342" s="10" t="s">
        <v>64</v>
      </c>
      <c r="AM1342" s="10" t="s">
        <v>13571</v>
      </c>
      <c r="AN1342" s="10" t="s">
        <v>50</v>
      </c>
      <c r="AO1342" s="11" t="s">
        <v>50</v>
      </c>
      <c r="AP1342" s="10" t="s">
        <v>50</v>
      </c>
      <c r="AQ1342" s="10" t="s">
        <v>50</v>
      </c>
      <c r="AR1342" s="10" t="s">
        <v>50</v>
      </c>
      <c r="AS1342" s="10" t="s">
        <v>50</v>
      </c>
      <c r="AT1342" s="10" t="s">
        <v>50</v>
      </c>
      <c r="AU1342" s="10" t="s">
        <v>50</v>
      </c>
      <c r="AV1342" s="11"/>
      <c r="AW1342" s="10" t="s">
        <v>66</v>
      </c>
      <c r="AX1342" s="10"/>
      <c r="AY1342" s="10" t="s">
        <v>66</v>
      </c>
    </row>
    <row r="1343" ht="22.5" hidden="1" customHeight="1">
      <c r="A1343" s="9" t="s">
        <v>13572</v>
      </c>
      <c r="B1343" s="10" t="s">
        <v>13573</v>
      </c>
      <c r="C1343" s="10" t="s">
        <v>43</v>
      </c>
      <c r="D1343" s="10" t="s">
        <v>13049</v>
      </c>
      <c r="E1343" s="10" t="s">
        <v>66</v>
      </c>
      <c r="F1343" s="11">
        <v>1.0</v>
      </c>
      <c r="G1343" s="11">
        <v>79.0</v>
      </c>
      <c r="H1343" s="11"/>
      <c r="I1343" s="11">
        <v>-13.43</v>
      </c>
      <c r="J1343" s="11">
        <v>-20.45</v>
      </c>
      <c r="K1343" s="11"/>
      <c r="L1343" s="11">
        <v>45.12</v>
      </c>
      <c r="M1343" s="10" t="s">
        <v>46</v>
      </c>
      <c r="N1343" s="10" t="s">
        <v>45</v>
      </c>
      <c r="O1343" s="10" t="s">
        <v>160</v>
      </c>
      <c r="P1343" s="10" t="s">
        <v>161</v>
      </c>
      <c r="Q1343" s="10" t="s">
        <v>162</v>
      </c>
      <c r="R1343" s="10" t="s">
        <v>74</v>
      </c>
      <c r="S1343" s="11">
        <v>79.0</v>
      </c>
      <c r="T1343" s="11">
        <v>2.49</v>
      </c>
      <c r="U1343" s="11" t="s">
        <v>51</v>
      </c>
      <c r="V1343" s="10" t="s">
        <v>52</v>
      </c>
      <c r="W1343" s="10" t="s">
        <v>13574</v>
      </c>
      <c r="X1343" s="10" t="s">
        <v>13575</v>
      </c>
      <c r="Y1343" s="10" t="s">
        <v>13576</v>
      </c>
      <c r="Z1343" s="10" t="s">
        <v>50</v>
      </c>
      <c r="AA1343" s="10" t="s">
        <v>50</v>
      </c>
      <c r="AB1343" s="10" t="s">
        <v>13574</v>
      </c>
      <c r="AC1343" s="10" t="s">
        <v>13577</v>
      </c>
      <c r="AD1343" s="10" t="s">
        <v>13578</v>
      </c>
      <c r="AE1343" s="10" t="s">
        <v>7470</v>
      </c>
      <c r="AF1343" s="10" t="s">
        <v>151</v>
      </c>
      <c r="AG1343" s="10" t="s">
        <v>13579</v>
      </c>
      <c r="AH1343" s="10" t="s">
        <v>60</v>
      </c>
      <c r="AI1343" s="10" t="s">
        <v>13406</v>
      </c>
      <c r="AJ1343" s="10" t="s">
        <v>13580</v>
      </c>
      <c r="AK1343" s="10" t="s">
        <v>13581</v>
      </c>
      <c r="AL1343" s="10" t="s">
        <v>64</v>
      </c>
      <c r="AM1343" s="10" t="s">
        <v>13582</v>
      </c>
      <c r="AN1343" s="10" t="s">
        <v>50</v>
      </c>
      <c r="AO1343" s="11" t="s">
        <v>50</v>
      </c>
      <c r="AP1343" s="10" t="s">
        <v>50</v>
      </c>
      <c r="AQ1343" s="10" t="s">
        <v>50</v>
      </c>
      <c r="AR1343" s="10" t="s">
        <v>50</v>
      </c>
      <c r="AS1343" s="10" t="s">
        <v>50</v>
      </c>
      <c r="AT1343" s="10" t="s">
        <v>50</v>
      </c>
      <c r="AU1343" s="10" t="s">
        <v>50</v>
      </c>
      <c r="AV1343" s="11"/>
      <c r="AW1343" s="10" t="s">
        <v>66</v>
      </c>
      <c r="AX1343" s="10"/>
      <c r="AY1343" s="10" t="s">
        <v>66</v>
      </c>
    </row>
    <row r="1344" ht="22.5" hidden="1" customHeight="1">
      <c r="A1344" s="9" t="s">
        <v>13583</v>
      </c>
      <c r="B1344" s="10" t="s">
        <v>13584</v>
      </c>
      <c r="C1344" s="10" t="s">
        <v>69</v>
      </c>
      <c r="D1344" s="10" t="s">
        <v>70</v>
      </c>
      <c r="E1344" s="10" t="s">
        <v>66</v>
      </c>
      <c r="F1344" s="11">
        <v>1.0</v>
      </c>
      <c r="G1344" s="11">
        <v>79.35</v>
      </c>
      <c r="H1344" s="11"/>
      <c r="I1344" s="11">
        <v>-15.08</v>
      </c>
      <c r="J1344" s="11">
        <v>-19.95</v>
      </c>
      <c r="K1344" s="11">
        <v>-44.32</v>
      </c>
      <c r="L1344" s="11">
        <v>0.0</v>
      </c>
      <c r="M1344" s="10" t="s">
        <v>12218</v>
      </c>
      <c r="N1344" s="10" t="s">
        <v>45</v>
      </c>
      <c r="O1344" s="10" t="s">
        <v>47</v>
      </c>
      <c r="P1344" s="10" t="s">
        <v>48</v>
      </c>
      <c r="Q1344" s="10" t="s">
        <v>49</v>
      </c>
      <c r="R1344" s="10" t="s">
        <v>50</v>
      </c>
      <c r="S1344" s="11">
        <v>79.35</v>
      </c>
      <c r="T1344" s="11"/>
      <c r="U1344" s="11" t="s">
        <v>51</v>
      </c>
      <c r="V1344" s="10" t="s">
        <v>2284</v>
      </c>
      <c r="W1344" s="10" t="s">
        <v>13585</v>
      </c>
      <c r="X1344" s="10" t="s">
        <v>13586</v>
      </c>
      <c r="Y1344" s="10" t="s">
        <v>13587</v>
      </c>
      <c r="Z1344" s="10" t="s">
        <v>50</v>
      </c>
      <c r="AA1344" s="10" t="s">
        <v>50</v>
      </c>
      <c r="AB1344" s="10" t="s">
        <v>13585</v>
      </c>
      <c r="AC1344" s="10" t="s">
        <v>13588</v>
      </c>
      <c r="AD1344" s="10" t="s">
        <v>50</v>
      </c>
      <c r="AE1344" s="10" t="s">
        <v>322</v>
      </c>
      <c r="AF1344" s="10" t="s">
        <v>323</v>
      </c>
      <c r="AG1344" s="10" t="s">
        <v>13589</v>
      </c>
      <c r="AH1344" s="10" t="s">
        <v>60</v>
      </c>
      <c r="AI1344" s="10" t="s">
        <v>13406</v>
      </c>
      <c r="AJ1344" s="10" t="s">
        <v>50</v>
      </c>
      <c r="AK1344" s="10" t="s">
        <v>50</v>
      </c>
      <c r="AL1344" s="10" t="s">
        <v>64</v>
      </c>
      <c r="AM1344" s="10" t="s">
        <v>13590</v>
      </c>
      <c r="AN1344" s="10" t="s">
        <v>50</v>
      </c>
      <c r="AO1344" s="11" t="s">
        <v>50</v>
      </c>
      <c r="AP1344" s="10" t="s">
        <v>50</v>
      </c>
      <c r="AQ1344" s="10" t="s">
        <v>50</v>
      </c>
      <c r="AR1344" s="10" t="s">
        <v>50</v>
      </c>
      <c r="AS1344" s="10" t="s">
        <v>50</v>
      </c>
      <c r="AT1344" s="10" t="s">
        <v>50</v>
      </c>
      <c r="AU1344" s="10" t="s">
        <v>50</v>
      </c>
      <c r="AV1344" s="11"/>
      <c r="AW1344" s="10" t="s">
        <v>66</v>
      </c>
      <c r="AX1344" s="10"/>
      <c r="AY1344" s="10" t="s">
        <v>66</v>
      </c>
    </row>
    <row r="1345" ht="22.5" hidden="1" customHeight="1">
      <c r="A1345" s="9" t="s">
        <v>13591</v>
      </c>
      <c r="B1345" s="10" t="s">
        <v>13592</v>
      </c>
      <c r="C1345" s="10" t="s">
        <v>43</v>
      </c>
      <c r="D1345" s="10" t="s">
        <v>13049</v>
      </c>
      <c r="E1345" s="10" t="s">
        <v>45</v>
      </c>
      <c r="F1345" s="11">
        <v>1.0</v>
      </c>
      <c r="G1345" s="11">
        <v>79.35</v>
      </c>
      <c r="H1345" s="11"/>
      <c r="I1345" s="11">
        <v>-15.08</v>
      </c>
      <c r="J1345" s="11">
        <v>-19.95</v>
      </c>
      <c r="K1345" s="11"/>
      <c r="L1345" s="11">
        <v>44.32</v>
      </c>
      <c r="M1345" s="10" t="s">
        <v>46</v>
      </c>
      <c r="N1345" s="10" t="s">
        <v>45</v>
      </c>
      <c r="O1345" s="10" t="s">
        <v>47</v>
      </c>
      <c r="P1345" s="10" t="s">
        <v>48</v>
      </c>
      <c r="Q1345" s="10" t="s">
        <v>49</v>
      </c>
      <c r="R1345" s="10" t="s">
        <v>50</v>
      </c>
      <c r="S1345" s="11">
        <v>79.35</v>
      </c>
      <c r="T1345" s="11">
        <v>12.45</v>
      </c>
      <c r="U1345" s="11" t="s">
        <v>51</v>
      </c>
      <c r="V1345" s="10" t="s">
        <v>52</v>
      </c>
      <c r="W1345" s="10" t="s">
        <v>13593</v>
      </c>
      <c r="X1345" s="10" t="s">
        <v>13594</v>
      </c>
      <c r="Y1345" s="10" t="s">
        <v>13595</v>
      </c>
      <c r="Z1345" s="10" t="s">
        <v>50</v>
      </c>
      <c r="AA1345" s="10" t="s">
        <v>50</v>
      </c>
      <c r="AB1345" s="10" t="s">
        <v>13593</v>
      </c>
      <c r="AC1345" s="10" t="s">
        <v>13596</v>
      </c>
      <c r="AD1345" s="10" t="s">
        <v>13597</v>
      </c>
      <c r="AE1345" s="10" t="s">
        <v>151</v>
      </c>
      <c r="AF1345" s="10" t="s">
        <v>151</v>
      </c>
      <c r="AG1345" s="10" t="s">
        <v>10845</v>
      </c>
      <c r="AH1345" s="10" t="s">
        <v>60</v>
      </c>
      <c r="AI1345" s="10" t="s">
        <v>13406</v>
      </c>
      <c r="AJ1345" s="10" t="s">
        <v>12925</v>
      </c>
      <c r="AK1345" s="10" t="s">
        <v>13598</v>
      </c>
      <c r="AL1345" s="10" t="s">
        <v>64</v>
      </c>
      <c r="AM1345" s="10" t="s">
        <v>13599</v>
      </c>
      <c r="AN1345" s="10" t="s">
        <v>50</v>
      </c>
      <c r="AO1345" s="11" t="s">
        <v>50</v>
      </c>
      <c r="AP1345" s="10" t="s">
        <v>50</v>
      </c>
      <c r="AQ1345" s="10" t="s">
        <v>50</v>
      </c>
      <c r="AR1345" s="10" t="s">
        <v>50</v>
      </c>
      <c r="AS1345" s="10" t="s">
        <v>50</v>
      </c>
      <c r="AT1345" s="10" t="s">
        <v>50</v>
      </c>
      <c r="AU1345" s="10" t="s">
        <v>50</v>
      </c>
      <c r="AV1345" s="11"/>
      <c r="AW1345" s="10" t="s">
        <v>66</v>
      </c>
      <c r="AX1345" s="10"/>
      <c r="AY1345" s="10" t="s">
        <v>66</v>
      </c>
    </row>
    <row r="1346" ht="22.5" hidden="1" customHeight="1">
      <c r="A1346" s="9" t="s">
        <v>13600</v>
      </c>
      <c r="B1346" s="10" t="s">
        <v>13601</v>
      </c>
      <c r="C1346" s="10" t="s">
        <v>43</v>
      </c>
      <c r="D1346" s="10" t="s">
        <v>12217</v>
      </c>
      <c r="E1346" s="10" t="s">
        <v>66</v>
      </c>
      <c r="F1346" s="11">
        <v>1.0</v>
      </c>
      <c r="G1346" s="11">
        <v>79.35</v>
      </c>
      <c r="H1346" s="11"/>
      <c r="I1346" s="11">
        <v>-15.08</v>
      </c>
      <c r="J1346" s="11">
        <v>-19.95</v>
      </c>
      <c r="K1346" s="11"/>
      <c r="L1346" s="11">
        <v>44.32</v>
      </c>
      <c r="M1346" s="10" t="s">
        <v>12218</v>
      </c>
      <c r="N1346" s="10" t="s">
        <v>50</v>
      </c>
      <c r="O1346" s="10" t="s">
        <v>47</v>
      </c>
      <c r="P1346" s="10" t="s">
        <v>48</v>
      </c>
      <c r="Q1346" s="10" t="s">
        <v>49</v>
      </c>
      <c r="R1346" s="10" t="s">
        <v>50</v>
      </c>
      <c r="S1346" s="11">
        <v>79.35</v>
      </c>
      <c r="T1346" s="11">
        <v>12.45</v>
      </c>
      <c r="U1346" s="11" t="s">
        <v>51</v>
      </c>
      <c r="V1346" s="10" t="s">
        <v>52</v>
      </c>
      <c r="W1346" s="10" t="s">
        <v>13602</v>
      </c>
      <c r="X1346" s="10" t="s">
        <v>13603</v>
      </c>
      <c r="Y1346" s="10" t="s">
        <v>13604</v>
      </c>
      <c r="Z1346" s="10" t="s">
        <v>50</v>
      </c>
      <c r="AA1346" s="10" t="s">
        <v>50</v>
      </c>
      <c r="AB1346" s="10" t="s">
        <v>13602</v>
      </c>
      <c r="AC1346" s="10" t="s">
        <v>13605</v>
      </c>
      <c r="AD1346" s="10" t="s">
        <v>13606</v>
      </c>
      <c r="AE1346" s="10" t="s">
        <v>10705</v>
      </c>
      <c r="AF1346" s="10" t="s">
        <v>58</v>
      </c>
      <c r="AG1346" s="10" t="s">
        <v>13607</v>
      </c>
      <c r="AH1346" s="10" t="s">
        <v>60</v>
      </c>
      <c r="AI1346" s="10" t="s">
        <v>13406</v>
      </c>
      <c r="AJ1346" s="10" t="s">
        <v>13608</v>
      </c>
      <c r="AK1346" s="10" t="s">
        <v>13609</v>
      </c>
      <c r="AL1346" s="10" t="s">
        <v>64</v>
      </c>
      <c r="AM1346" s="10" t="s">
        <v>13610</v>
      </c>
      <c r="AN1346" s="10" t="s">
        <v>50</v>
      </c>
      <c r="AO1346" s="11" t="s">
        <v>50</v>
      </c>
      <c r="AP1346" s="10" t="s">
        <v>50</v>
      </c>
      <c r="AQ1346" s="10" t="s">
        <v>50</v>
      </c>
      <c r="AR1346" s="10" t="s">
        <v>50</v>
      </c>
      <c r="AS1346" s="10" t="s">
        <v>50</v>
      </c>
      <c r="AT1346" s="10" t="s">
        <v>50</v>
      </c>
      <c r="AU1346" s="10" t="s">
        <v>50</v>
      </c>
      <c r="AV1346" s="11"/>
      <c r="AW1346" s="10" t="s">
        <v>66</v>
      </c>
      <c r="AX1346" s="10"/>
      <c r="AY1346" s="10" t="s">
        <v>66</v>
      </c>
    </row>
    <row r="1347" ht="22.5" hidden="1" customHeight="1">
      <c r="A1347" s="9" t="s">
        <v>13611</v>
      </c>
      <c r="B1347" s="10" t="s">
        <v>13612</v>
      </c>
      <c r="C1347" s="10" t="s">
        <v>43</v>
      </c>
      <c r="D1347" s="10" t="s">
        <v>12217</v>
      </c>
      <c r="E1347" s="10" t="s">
        <v>66</v>
      </c>
      <c r="F1347" s="11">
        <v>1.0</v>
      </c>
      <c r="G1347" s="11">
        <v>79.0</v>
      </c>
      <c r="H1347" s="11"/>
      <c r="I1347" s="11">
        <v>-13.43</v>
      </c>
      <c r="J1347" s="11">
        <v>-19.95</v>
      </c>
      <c r="K1347" s="11"/>
      <c r="L1347" s="11">
        <v>45.62</v>
      </c>
      <c r="M1347" s="10" t="s">
        <v>12218</v>
      </c>
      <c r="N1347" s="10" t="s">
        <v>45</v>
      </c>
      <c r="O1347" s="10" t="s">
        <v>766</v>
      </c>
      <c r="P1347" s="10" t="s">
        <v>767</v>
      </c>
      <c r="Q1347" s="10" t="s">
        <v>768</v>
      </c>
      <c r="R1347" s="10" t="s">
        <v>74</v>
      </c>
      <c r="S1347" s="11">
        <v>79.0</v>
      </c>
      <c r="T1347" s="11">
        <v>13.62</v>
      </c>
      <c r="U1347" s="11" t="s">
        <v>51</v>
      </c>
      <c r="V1347" s="10" t="s">
        <v>52</v>
      </c>
      <c r="W1347" s="10" t="s">
        <v>13613</v>
      </c>
      <c r="X1347" s="10" t="s">
        <v>13614</v>
      </c>
      <c r="Y1347" s="10" t="s">
        <v>13615</v>
      </c>
      <c r="Z1347" s="10" t="s">
        <v>50</v>
      </c>
      <c r="AA1347" s="10" t="s">
        <v>50</v>
      </c>
      <c r="AB1347" s="10" t="s">
        <v>13613</v>
      </c>
      <c r="AC1347" s="10" t="s">
        <v>13616</v>
      </c>
      <c r="AD1347" s="10" t="s">
        <v>13617</v>
      </c>
      <c r="AE1347" s="10" t="s">
        <v>58</v>
      </c>
      <c r="AF1347" s="10" t="s">
        <v>58</v>
      </c>
      <c r="AG1347" s="10" t="s">
        <v>13618</v>
      </c>
      <c r="AH1347" s="10" t="s">
        <v>60</v>
      </c>
      <c r="AI1347" s="10" t="s">
        <v>13406</v>
      </c>
      <c r="AJ1347" s="10" t="s">
        <v>13029</v>
      </c>
      <c r="AK1347" s="10" t="s">
        <v>13619</v>
      </c>
      <c r="AL1347" s="10" t="s">
        <v>64</v>
      </c>
      <c r="AM1347" s="10" t="s">
        <v>13620</v>
      </c>
      <c r="AN1347" s="10" t="s">
        <v>50</v>
      </c>
      <c r="AO1347" s="11" t="s">
        <v>50</v>
      </c>
      <c r="AP1347" s="10" t="s">
        <v>50</v>
      </c>
      <c r="AQ1347" s="10" t="s">
        <v>50</v>
      </c>
      <c r="AR1347" s="10" t="s">
        <v>50</v>
      </c>
      <c r="AS1347" s="10" t="s">
        <v>50</v>
      </c>
      <c r="AT1347" s="10" t="s">
        <v>50</v>
      </c>
      <c r="AU1347" s="10" t="s">
        <v>50</v>
      </c>
      <c r="AV1347" s="11"/>
      <c r="AW1347" s="10" t="s">
        <v>66</v>
      </c>
      <c r="AX1347" s="10"/>
      <c r="AY1347" s="10" t="s">
        <v>66</v>
      </c>
    </row>
    <row r="1348" ht="22.5" hidden="1" customHeight="1">
      <c r="A1348" s="12" t="s">
        <v>13621</v>
      </c>
      <c r="B1348" s="13" t="s">
        <v>13622</v>
      </c>
      <c r="C1348" s="13" t="s">
        <v>1976</v>
      </c>
      <c r="D1348" s="13" t="s">
        <v>50</v>
      </c>
      <c r="E1348" s="13" t="s">
        <v>50</v>
      </c>
      <c r="F1348" s="14"/>
      <c r="G1348" s="14">
        <v>206.45</v>
      </c>
      <c r="H1348" s="14"/>
      <c r="I1348" s="14">
        <v>-42.07</v>
      </c>
      <c r="J1348" s="14">
        <v>-40.4</v>
      </c>
      <c r="K1348" s="14"/>
      <c r="L1348" s="14">
        <v>126.89</v>
      </c>
      <c r="M1348" s="13" t="s">
        <v>12218</v>
      </c>
      <c r="N1348" s="13" t="s">
        <v>50</v>
      </c>
      <c r="O1348" s="13" t="s">
        <v>50</v>
      </c>
      <c r="P1348" s="13" t="s">
        <v>50</v>
      </c>
      <c r="Q1348" s="13" t="s">
        <v>50</v>
      </c>
      <c r="R1348" s="13" t="s">
        <v>50</v>
      </c>
      <c r="S1348" s="14"/>
      <c r="T1348" s="14"/>
      <c r="U1348" s="14" t="s">
        <v>50</v>
      </c>
      <c r="V1348" s="13" t="s">
        <v>52</v>
      </c>
      <c r="W1348" s="13" t="s">
        <v>13623</v>
      </c>
      <c r="X1348" s="13" t="s">
        <v>13624</v>
      </c>
      <c r="Y1348" s="13" t="s">
        <v>13625</v>
      </c>
      <c r="Z1348" s="13" t="s">
        <v>50</v>
      </c>
      <c r="AA1348" s="13" t="s">
        <v>50</v>
      </c>
      <c r="AB1348" s="13" t="s">
        <v>13623</v>
      </c>
      <c r="AC1348" s="13" t="s">
        <v>13626</v>
      </c>
      <c r="AD1348" s="13" t="s">
        <v>13627</v>
      </c>
      <c r="AE1348" s="13" t="s">
        <v>2032</v>
      </c>
      <c r="AF1348" s="13" t="s">
        <v>58</v>
      </c>
      <c r="AG1348" s="13" t="s">
        <v>13628</v>
      </c>
      <c r="AH1348" s="13" t="s">
        <v>60</v>
      </c>
      <c r="AI1348" s="13" t="s">
        <v>13406</v>
      </c>
      <c r="AJ1348" s="13" t="s">
        <v>12902</v>
      </c>
      <c r="AK1348" s="13" t="s">
        <v>13322</v>
      </c>
      <c r="AL1348" s="13" t="s">
        <v>64</v>
      </c>
      <c r="AM1348" s="13" t="s">
        <v>13629</v>
      </c>
      <c r="AN1348" s="13" t="s">
        <v>50</v>
      </c>
      <c r="AO1348" s="15" t="s">
        <v>50</v>
      </c>
      <c r="AP1348" s="13" t="s">
        <v>50</v>
      </c>
      <c r="AQ1348" s="13" t="s">
        <v>50</v>
      </c>
      <c r="AR1348" s="13" t="s">
        <v>50</v>
      </c>
      <c r="AS1348" s="13" t="s">
        <v>50</v>
      </c>
      <c r="AT1348" s="13" t="s">
        <v>50</v>
      </c>
      <c r="AU1348" s="13" t="s">
        <v>50</v>
      </c>
      <c r="AV1348" s="15"/>
      <c r="AW1348" s="13" t="s">
        <v>50</v>
      </c>
      <c r="AX1348" s="13"/>
      <c r="AY1348" s="13" t="s">
        <v>50</v>
      </c>
    </row>
    <row r="1349" ht="22.5" hidden="1" customHeight="1">
      <c r="A1349" s="16" t="s">
        <v>13630</v>
      </c>
      <c r="B1349" s="17" t="s">
        <v>13622</v>
      </c>
      <c r="C1349" s="17" t="s">
        <v>43</v>
      </c>
      <c r="D1349" s="17" t="s">
        <v>12217</v>
      </c>
      <c r="E1349" s="17" t="s">
        <v>45</v>
      </c>
      <c r="F1349" s="18">
        <v>1.0</v>
      </c>
      <c r="G1349" s="18"/>
      <c r="H1349" s="18"/>
      <c r="I1349" s="18"/>
      <c r="J1349" s="18"/>
      <c r="K1349" s="18"/>
      <c r="L1349" s="18"/>
      <c r="M1349" s="17" t="s">
        <v>50</v>
      </c>
      <c r="N1349" s="17" t="s">
        <v>45</v>
      </c>
      <c r="O1349" s="17" t="s">
        <v>160</v>
      </c>
      <c r="P1349" s="17" t="s">
        <v>161</v>
      </c>
      <c r="Q1349" s="17" t="s">
        <v>162</v>
      </c>
      <c r="R1349" s="17" t="s">
        <v>74</v>
      </c>
      <c r="S1349" s="18">
        <v>79.0</v>
      </c>
      <c r="T1349" s="18">
        <v>2.49</v>
      </c>
      <c r="U1349" s="18" t="s">
        <v>51</v>
      </c>
      <c r="V1349" s="17" t="s">
        <v>50</v>
      </c>
      <c r="W1349" s="17" t="s">
        <v>50</v>
      </c>
      <c r="X1349" s="17" t="s">
        <v>50</v>
      </c>
      <c r="Y1349" s="17" t="s">
        <v>50</v>
      </c>
      <c r="Z1349" s="17" t="s">
        <v>50</v>
      </c>
      <c r="AA1349" s="17" t="s">
        <v>50</v>
      </c>
      <c r="AB1349" s="17" t="s">
        <v>50</v>
      </c>
      <c r="AC1349" s="17" t="s">
        <v>50</v>
      </c>
      <c r="AD1349" s="17" t="s">
        <v>50</v>
      </c>
      <c r="AE1349" s="17" t="s">
        <v>50</v>
      </c>
      <c r="AF1349" s="17" t="s">
        <v>50</v>
      </c>
      <c r="AG1349" s="17" t="s">
        <v>50</v>
      </c>
      <c r="AH1349" s="17" t="s">
        <v>50</v>
      </c>
      <c r="AI1349" s="17" t="s">
        <v>50</v>
      </c>
      <c r="AJ1349" s="17" t="s">
        <v>50</v>
      </c>
      <c r="AK1349" s="17" t="s">
        <v>50</v>
      </c>
      <c r="AL1349" s="17" t="s">
        <v>50</v>
      </c>
      <c r="AM1349" s="17" t="s">
        <v>50</v>
      </c>
      <c r="AN1349" s="17" t="s">
        <v>50</v>
      </c>
      <c r="AO1349" s="18" t="s">
        <v>50</v>
      </c>
      <c r="AP1349" s="17" t="s">
        <v>50</v>
      </c>
      <c r="AQ1349" s="17" t="s">
        <v>50</v>
      </c>
      <c r="AR1349" s="17" t="s">
        <v>50</v>
      </c>
      <c r="AS1349" s="17" t="s">
        <v>50</v>
      </c>
      <c r="AT1349" s="17" t="s">
        <v>50</v>
      </c>
      <c r="AU1349" s="17" t="s">
        <v>50</v>
      </c>
      <c r="AV1349" s="18"/>
      <c r="AW1349" s="17" t="s">
        <v>66</v>
      </c>
      <c r="AX1349" s="17"/>
      <c r="AY1349" s="17" t="s">
        <v>66</v>
      </c>
    </row>
    <row r="1350" ht="22.5" hidden="1" customHeight="1">
      <c r="A1350" s="16" t="s">
        <v>13631</v>
      </c>
      <c r="B1350" s="17" t="s">
        <v>13622</v>
      </c>
      <c r="C1350" s="17" t="s">
        <v>43</v>
      </c>
      <c r="D1350" s="17" t="s">
        <v>12217</v>
      </c>
      <c r="E1350" s="17" t="s">
        <v>45</v>
      </c>
      <c r="F1350" s="18">
        <v>1.0</v>
      </c>
      <c r="G1350" s="18"/>
      <c r="H1350" s="18"/>
      <c r="I1350" s="18"/>
      <c r="J1350" s="18"/>
      <c r="K1350" s="18"/>
      <c r="L1350" s="18"/>
      <c r="M1350" s="17" t="s">
        <v>50</v>
      </c>
      <c r="N1350" s="17" t="s">
        <v>45</v>
      </c>
      <c r="O1350" s="17" t="s">
        <v>766</v>
      </c>
      <c r="P1350" s="17" t="s">
        <v>767</v>
      </c>
      <c r="Q1350" s="17" t="s">
        <v>768</v>
      </c>
      <c r="R1350" s="17" t="s">
        <v>74</v>
      </c>
      <c r="S1350" s="18">
        <v>79.0</v>
      </c>
      <c r="T1350" s="18">
        <v>13.62</v>
      </c>
      <c r="U1350" s="18" t="s">
        <v>51</v>
      </c>
      <c r="V1350" s="17" t="s">
        <v>50</v>
      </c>
      <c r="W1350" s="17" t="s">
        <v>50</v>
      </c>
      <c r="X1350" s="17" t="s">
        <v>50</v>
      </c>
      <c r="Y1350" s="17" t="s">
        <v>50</v>
      </c>
      <c r="Z1350" s="17" t="s">
        <v>50</v>
      </c>
      <c r="AA1350" s="17" t="s">
        <v>50</v>
      </c>
      <c r="AB1350" s="17" t="s">
        <v>50</v>
      </c>
      <c r="AC1350" s="17" t="s">
        <v>50</v>
      </c>
      <c r="AD1350" s="17" t="s">
        <v>50</v>
      </c>
      <c r="AE1350" s="17" t="s">
        <v>50</v>
      </c>
      <c r="AF1350" s="17" t="s">
        <v>50</v>
      </c>
      <c r="AG1350" s="17" t="s">
        <v>50</v>
      </c>
      <c r="AH1350" s="17" t="s">
        <v>50</v>
      </c>
      <c r="AI1350" s="17" t="s">
        <v>50</v>
      </c>
      <c r="AJ1350" s="17" t="s">
        <v>50</v>
      </c>
      <c r="AK1350" s="17" t="s">
        <v>50</v>
      </c>
      <c r="AL1350" s="17" t="s">
        <v>50</v>
      </c>
      <c r="AM1350" s="17" t="s">
        <v>50</v>
      </c>
      <c r="AN1350" s="17" t="s">
        <v>50</v>
      </c>
      <c r="AO1350" s="18" t="s">
        <v>50</v>
      </c>
      <c r="AP1350" s="17" t="s">
        <v>50</v>
      </c>
      <c r="AQ1350" s="17" t="s">
        <v>50</v>
      </c>
      <c r="AR1350" s="17" t="s">
        <v>50</v>
      </c>
      <c r="AS1350" s="17" t="s">
        <v>50</v>
      </c>
      <c r="AT1350" s="17" t="s">
        <v>50</v>
      </c>
      <c r="AU1350" s="17" t="s">
        <v>50</v>
      </c>
      <c r="AV1350" s="18"/>
      <c r="AW1350" s="17" t="s">
        <v>66</v>
      </c>
      <c r="AX1350" s="17"/>
      <c r="AY1350" s="17" t="s">
        <v>66</v>
      </c>
    </row>
    <row r="1351" ht="22.5" hidden="1" customHeight="1">
      <c r="A1351" s="16" t="s">
        <v>13632</v>
      </c>
      <c r="B1351" s="17" t="s">
        <v>13622</v>
      </c>
      <c r="C1351" s="17" t="s">
        <v>43</v>
      </c>
      <c r="D1351" s="17" t="s">
        <v>12217</v>
      </c>
      <c r="E1351" s="17" t="s">
        <v>45</v>
      </c>
      <c r="F1351" s="18">
        <v>1.0</v>
      </c>
      <c r="G1351" s="18"/>
      <c r="H1351" s="18"/>
      <c r="I1351" s="18"/>
      <c r="J1351" s="18"/>
      <c r="K1351" s="18"/>
      <c r="L1351" s="18"/>
      <c r="M1351" s="17" t="s">
        <v>50</v>
      </c>
      <c r="N1351" s="17" t="s">
        <v>45</v>
      </c>
      <c r="O1351" s="17" t="s">
        <v>2482</v>
      </c>
      <c r="P1351" s="17" t="s">
        <v>2483</v>
      </c>
      <c r="Q1351" s="17" t="s">
        <v>2484</v>
      </c>
      <c r="R1351" s="17" t="s">
        <v>50</v>
      </c>
      <c r="S1351" s="18">
        <v>48.45</v>
      </c>
      <c r="T1351" s="18">
        <v>9.28</v>
      </c>
      <c r="U1351" s="18" t="s">
        <v>51</v>
      </c>
      <c r="V1351" s="17" t="s">
        <v>50</v>
      </c>
      <c r="W1351" s="17" t="s">
        <v>50</v>
      </c>
      <c r="X1351" s="17" t="s">
        <v>50</v>
      </c>
      <c r="Y1351" s="17" t="s">
        <v>50</v>
      </c>
      <c r="Z1351" s="17" t="s">
        <v>50</v>
      </c>
      <c r="AA1351" s="17" t="s">
        <v>50</v>
      </c>
      <c r="AB1351" s="17" t="s">
        <v>50</v>
      </c>
      <c r="AC1351" s="17" t="s">
        <v>50</v>
      </c>
      <c r="AD1351" s="17" t="s">
        <v>50</v>
      </c>
      <c r="AE1351" s="17" t="s">
        <v>50</v>
      </c>
      <c r="AF1351" s="17" t="s">
        <v>50</v>
      </c>
      <c r="AG1351" s="17" t="s">
        <v>50</v>
      </c>
      <c r="AH1351" s="17" t="s">
        <v>50</v>
      </c>
      <c r="AI1351" s="17" t="s">
        <v>50</v>
      </c>
      <c r="AJ1351" s="17" t="s">
        <v>50</v>
      </c>
      <c r="AK1351" s="17" t="s">
        <v>50</v>
      </c>
      <c r="AL1351" s="17" t="s">
        <v>50</v>
      </c>
      <c r="AM1351" s="17" t="s">
        <v>50</v>
      </c>
      <c r="AN1351" s="17" t="s">
        <v>50</v>
      </c>
      <c r="AO1351" s="18" t="s">
        <v>50</v>
      </c>
      <c r="AP1351" s="17" t="s">
        <v>50</v>
      </c>
      <c r="AQ1351" s="17" t="s">
        <v>50</v>
      </c>
      <c r="AR1351" s="17" t="s">
        <v>50</v>
      </c>
      <c r="AS1351" s="17" t="s">
        <v>50</v>
      </c>
      <c r="AT1351" s="17" t="s">
        <v>50</v>
      </c>
      <c r="AU1351" s="17" t="s">
        <v>50</v>
      </c>
      <c r="AV1351" s="18"/>
      <c r="AW1351" s="17" t="s">
        <v>66</v>
      </c>
      <c r="AX1351" s="17"/>
      <c r="AY1351" s="17" t="s">
        <v>66</v>
      </c>
    </row>
    <row r="1352" ht="22.5" hidden="1" customHeight="1">
      <c r="A1352" s="9" t="s">
        <v>13633</v>
      </c>
      <c r="B1352" s="10" t="s">
        <v>13634</v>
      </c>
      <c r="C1352" s="10" t="s">
        <v>43</v>
      </c>
      <c r="D1352" s="10" t="s">
        <v>8227</v>
      </c>
      <c r="E1352" s="10" t="s">
        <v>66</v>
      </c>
      <c r="F1352" s="11">
        <v>1.0</v>
      </c>
      <c r="G1352" s="11">
        <v>79.2</v>
      </c>
      <c r="H1352" s="11"/>
      <c r="I1352" s="11">
        <v>-13.46</v>
      </c>
      <c r="J1352" s="11">
        <v>-20.45</v>
      </c>
      <c r="K1352" s="11"/>
      <c r="L1352" s="11">
        <v>45.29</v>
      </c>
      <c r="M1352" s="10" t="s">
        <v>46</v>
      </c>
      <c r="N1352" s="10" t="s">
        <v>45</v>
      </c>
      <c r="O1352" s="10" t="s">
        <v>892</v>
      </c>
      <c r="P1352" s="10" t="s">
        <v>893</v>
      </c>
      <c r="Q1352" s="10" t="s">
        <v>894</v>
      </c>
      <c r="R1352" s="10" t="s">
        <v>74</v>
      </c>
      <c r="S1352" s="11">
        <v>79.2</v>
      </c>
      <c r="T1352" s="11">
        <v>2.97</v>
      </c>
      <c r="U1352" s="11" t="s">
        <v>51</v>
      </c>
      <c r="V1352" s="10" t="s">
        <v>52</v>
      </c>
      <c r="W1352" s="10" t="s">
        <v>13635</v>
      </c>
      <c r="X1352" s="10" t="s">
        <v>13636</v>
      </c>
      <c r="Y1352" s="10" t="s">
        <v>13637</v>
      </c>
      <c r="Z1352" s="10" t="s">
        <v>50</v>
      </c>
      <c r="AA1352" s="10" t="s">
        <v>50</v>
      </c>
      <c r="AB1352" s="10" t="s">
        <v>13635</v>
      </c>
      <c r="AC1352" s="10" t="s">
        <v>13638</v>
      </c>
      <c r="AD1352" s="10" t="s">
        <v>13639</v>
      </c>
      <c r="AE1352" s="10" t="s">
        <v>322</v>
      </c>
      <c r="AF1352" s="10" t="s">
        <v>323</v>
      </c>
      <c r="AG1352" s="10" t="s">
        <v>13640</v>
      </c>
      <c r="AH1352" s="10" t="s">
        <v>60</v>
      </c>
      <c r="AI1352" s="10" t="s">
        <v>13406</v>
      </c>
      <c r="AJ1352" s="10" t="s">
        <v>13056</v>
      </c>
      <c r="AK1352" s="10" t="s">
        <v>13641</v>
      </c>
      <c r="AL1352" s="10" t="s">
        <v>64</v>
      </c>
      <c r="AM1352" s="10" t="s">
        <v>13642</v>
      </c>
      <c r="AN1352" s="10" t="s">
        <v>13643</v>
      </c>
      <c r="AO1352" s="11" t="s">
        <v>50</v>
      </c>
      <c r="AP1352" s="10" t="s">
        <v>50</v>
      </c>
      <c r="AQ1352" s="10" t="s">
        <v>50</v>
      </c>
      <c r="AR1352" s="10" t="s">
        <v>50</v>
      </c>
      <c r="AS1352" s="10" t="s">
        <v>50</v>
      </c>
      <c r="AT1352" s="10" t="s">
        <v>50</v>
      </c>
      <c r="AU1352" s="10" t="s">
        <v>50</v>
      </c>
      <c r="AV1352" s="11"/>
      <c r="AW1352" s="10" t="s">
        <v>66</v>
      </c>
      <c r="AX1352" s="10"/>
      <c r="AY1352" s="10" t="s">
        <v>66</v>
      </c>
    </row>
    <row r="1353" ht="22.5" hidden="1" customHeight="1">
      <c r="A1353" s="9" t="s">
        <v>13644</v>
      </c>
      <c r="B1353" s="10" t="s">
        <v>13645</v>
      </c>
      <c r="C1353" s="10" t="s">
        <v>43</v>
      </c>
      <c r="D1353" s="10" t="s">
        <v>12217</v>
      </c>
      <c r="E1353" s="10" t="s">
        <v>66</v>
      </c>
      <c r="F1353" s="11">
        <v>1.0</v>
      </c>
      <c r="G1353" s="11">
        <v>79.35</v>
      </c>
      <c r="H1353" s="11"/>
      <c r="I1353" s="11">
        <v>-15.08</v>
      </c>
      <c r="J1353" s="11">
        <v>-19.95</v>
      </c>
      <c r="K1353" s="11"/>
      <c r="L1353" s="11">
        <v>44.32</v>
      </c>
      <c r="M1353" s="10" t="s">
        <v>12218</v>
      </c>
      <c r="N1353" s="10" t="s">
        <v>45</v>
      </c>
      <c r="O1353" s="10" t="s">
        <v>47</v>
      </c>
      <c r="P1353" s="10" t="s">
        <v>48</v>
      </c>
      <c r="Q1353" s="10" t="s">
        <v>49</v>
      </c>
      <c r="R1353" s="10" t="s">
        <v>50</v>
      </c>
      <c r="S1353" s="11">
        <v>79.35</v>
      </c>
      <c r="T1353" s="11">
        <v>12.45</v>
      </c>
      <c r="U1353" s="11" t="s">
        <v>51</v>
      </c>
      <c r="V1353" s="10" t="s">
        <v>52</v>
      </c>
      <c r="W1353" s="10" t="s">
        <v>13646</v>
      </c>
      <c r="X1353" s="10" t="s">
        <v>13647</v>
      </c>
      <c r="Y1353" s="10" t="s">
        <v>13648</v>
      </c>
      <c r="Z1353" s="10" t="s">
        <v>50</v>
      </c>
      <c r="AA1353" s="10" t="s">
        <v>50</v>
      </c>
      <c r="AB1353" s="10" t="s">
        <v>13646</v>
      </c>
      <c r="AC1353" s="10" t="s">
        <v>13649</v>
      </c>
      <c r="AD1353" s="10" t="s">
        <v>13650</v>
      </c>
      <c r="AE1353" s="10" t="s">
        <v>13651</v>
      </c>
      <c r="AF1353" s="10" t="s">
        <v>58</v>
      </c>
      <c r="AG1353" s="10" t="s">
        <v>13652</v>
      </c>
      <c r="AH1353" s="10" t="s">
        <v>60</v>
      </c>
      <c r="AI1353" s="10" t="s">
        <v>13406</v>
      </c>
      <c r="AJ1353" s="10" t="s">
        <v>12902</v>
      </c>
      <c r="AK1353" s="10" t="s">
        <v>13653</v>
      </c>
      <c r="AL1353" s="10" t="s">
        <v>64</v>
      </c>
      <c r="AM1353" s="10" t="s">
        <v>13654</v>
      </c>
      <c r="AN1353" s="10" t="s">
        <v>50</v>
      </c>
      <c r="AO1353" s="11" t="s">
        <v>50</v>
      </c>
      <c r="AP1353" s="10" t="s">
        <v>50</v>
      </c>
      <c r="AQ1353" s="10" t="s">
        <v>50</v>
      </c>
      <c r="AR1353" s="10" t="s">
        <v>50</v>
      </c>
      <c r="AS1353" s="10" t="s">
        <v>50</v>
      </c>
      <c r="AT1353" s="10" t="s">
        <v>50</v>
      </c>
      <c r="AU1353" s="10" t="s">
        <v>50</v>
      </c>
      <c r="AV1353" s="11"/>
      <c r="AW1353" s="10" t="s">
        <v>66</v>
      </c>
      <c r="AX1353" s="10"/>
      <c r="AY1353" s="10" t="s">
        <v>66</v>
      </c>
    </row>
    <row r="1354" ht="22.5" hidden="1" customHeight="1">
      <c r="A1354" s="9" t="s">
        <v>13655</v>
      </c>
      <c r="B1354" s="10" t="s">
        <v>13656</v>
      </c>
      <c r="C1354" s="10" t="s">
        <v>43</v>
      </c>
      <c r="D1354" s="10" t="s">
        <v>13120</v>
      </c>
      <c r="E1354" s="10" t="s">
        <v>66</v>
      </c>
      <c r="F1354" s="11">
        <v>1.0</v>
      </c>
      <c r="G1354" s="11">
        <v>79.0</v>
      </c>
      <c r="H1354" s="11">
        <v>11.33</v>
      </c>
      <c r="I1354" s="11">
        <v>-13.43</v>
      </c>
      <c r="J1354" s="11">
        <v>-31.78</v>
      </c>
      <c r="K1354" s="11"/>
      <c r="L1354" s="11">
        <v>45.12</v>
      </c>
      <c r="M1354" s="10" t="s">
        <v>12218</v>
      </c>
      <c r="N1354" s="10" t="s">
        <v>45</v>
      </c>
      <c r="O1354" s="10" t="s">
        <v>160</v>
      </c>
      <c r="P1354" s="10" t="s">
        <v>161</v>
      </c>
      <c r="Q1354" s="10" t="s">
        <v>162</v>
      </c>
      <c r="R1354" s="10" t="s">
        <v>74</v>
      </c>
      <c r="S1354" s="11">
        <v>79.0</v>
      </c>
      <c r="T1354" s="11">
        <v>2.49</v>
      </c>
      <c r="U1354" s="11" t="s">
        <v>51</v>
      </c>
      <c r="V1354" s="10" t="s">
        <v>52</v>
      </c>
      <c r="W1354" s="10" t="s">
        <v>13657</v>
      </c>
      <c r="X1354" s="10" t="s">
        <v>13658</v>
      </c>
      <c r="Y1354" s="10" t="s">
        <v>13659</v>
      </c>
      <c r="Z1354" s="10" t="s">
        <v>50</v>
      </c>
      <c r="AA1354" s="10" t="s">
        <v>50</v>
      </c>
      <c r="AB1354" s="10" t="s">
        <v>13657</v>
      </c>
      <c r="AC1354" s="10" t="s">
        <v>13660</v>
      </c>
      <c r="AD1354" s="10" t="s">
        <v>13661</v>
      </c>
      <c r="AE1354" s="10" t="s">
        <v>13662</v>
      </c>
      <c r="AF1354" s="10" t="s">
        <v>775</v>
      </c>
      <c r="AG1354" s="10" t="s">
        <v>13663</v>
      </c>
      <c r="AH1354" s="10" t="s">
        <v>60</v>
      </c>
      <c r="AI1354" s="10" t="s">
        <v>13406</v>
      </c>
      <c r="AJ1354" s="10" t="s">
        <v>13159</v>
      </c>
      <c r="AK1354" s="10" t="s">
        <v>13664</v>
      </c>
      <c r="AL1354" s="10" t="s">
        <v>64</v>
      </c>
      <c r="AM1354" s="10" t="s">
        <v>13665</v>
      </c>
      <c r="AN1354" s="10" t="s">
        <v>50</v>
      </c>
      <c r="AO1354" s="11" t="s">
        <v>50</v>
      </c>
      <c r="AP1354" s="10" t="s">
        <v>50</v>
      </c>
      <c r="AQ1354" s="10" t="s">
        <v>50</v>
      </c>
      <c r="AR1354" s="10" t="s">
        <v>50</v>
      </c>
      <c r="AS1354" s="10" t="s">
        <v>50</v>
      </c>
      <c r="AT1354" s="10" t="s">
        <v>50</v>
      </c>
      <c r="AU1354" s="10" t="s">
        <v>50</v>
      </c>
      <c r="AV1354" s="11"/>
      <c r="AW1354" s="10" t="s">
        <v>66</v>
      </c>
      <c r="AX1354" s="10"/>
      <c r="AY1354" s="10" t="s">
        <v>66</v>
      </c>
    </row>
    <row r="1355" ht="22.5" hidden="1" customHeight="1">
      <c r="A1355" s="9" t="s">
        <v>13666</v>
      </c>
      <c r="B1355" s="10" t="s">
        <v>13667</v>
      </c>
      <c r="C1355" s="10" t="s">
        <v>43</v>
      </c>
      <c r="D1355" s="10" t="s">
        <v>12217</v>
      </c>
      <c r="E1355" s="10" t="s">
        <v>66</v>
      </c>
      <c r="F1355" s="11">
        <v>1.0</v>
      </c>
      <c r="G1355" s="11">
        <v>79.35</v>
      </c>
      <c r="H1355" s="11">
        <v>16.7</v>
      </c>
      <c r="I1355" s="11">
        <v>-15.08</v>
      </c>
      <c r="J1355" s="11">
        <v>-36.65</v>
      </c>
      <c r="K1355" s="11"/>
      <c r="L1355" s="11">
        <v>44.32</v>
      </c>
      <c r="M1355" s="10" t="s">
        <v>12218</v>
      </c>
      <c r="N1355" s="10" t="s">
        <v>45</v>
      </c>
      <c r="O1355" s="10" t="s">
        <v>47</v>
      </c>
      <c r="P1355" s="10" t="s">
        <v>48</v>
      </c>
      <c r="Q1355" s="10" t="s">
        <v>49</v>
      </c>
      <c r="R1355" s="10" t="s">
        <v>50</v>
      </c>
      <c r="S1355" s="11">
        <v>79.35</v>
      </c>
      <c r="T1355" s="11">
        <v>12.45</v>
      </c>
      <c r="U1355" s="11" t="s">
        <v>51</v>
      </c>
      <c r="V1355" s="10" t="s">
        <v>52</v>
      </c>
      <c r="W1355" s="10" t="s">
        <v>13668</v>
      </c>
      <c r="X1355" s="10" t="s">
        <v>13669</v>
      </c>
      <c r="Y1355" s="10" t="s">
        <v>13670</v>
      </c>
      <c r="Z1355" s="10" t="s">
        <v>9619</v>
      </c>
      <c r="AA1355" s="10" t="s">
        <v>50</v>
      </c>
      <c r="AB1355" s="10" t="s">
        <v>13668</v>
      </c>
      <c r="AC1355" s="10" t="s">
        <v>13671</v>
      </c>
      <c r="AD1355" s="10" t="s">
        <v>13672</v>
      </c>
      <c r="AE1355" s="10" t="s">
        <v>4547</v>
      </c>
      <c r="AF1355" s="10" t="s">
        <v>2648</v>
      </c>
      <c r="AG1355" s="10" t="s">
        <v>13673</v>
      </c>
      <c r="AH1355" s="10" t="s">
        <v>60</v>
      </c>
      <c r="AI1355" s="10" t="s">
        <v>13406</v>
      </c>
      <c r="AJ1355" s="10" t="s">
        <v>13138</v>
      </c>
      <c r="AK1355" s="10" t="s">
        <v>13674</v>
      </c>
      <c r="AL1355" s="10" t="s">
        <v>64</v>
      </c>
      <c r="AM1355" s="10" t="s">
        <v>13675</v>
      </c>
      <c r="AN1355" s="10" t="s">
        <v>50</v>
      </c>
      <c r="AO1355" s="11" t="s">
        <v>50</v>
      </c>
      <c r="AP1355" s="10" t="s">
        <v>50</v>
      </c>
      <c r="AQ1355" s="10" t="s">
        <v>50</v>
      </c>
      <c r="AR1355" s="10" t="s">
        <v>50</v>
      </c>
      <c r="AS1355" s="10" t="s">
        <v>50</v>
      </c>
      <c r="AT1355" s="10" t="s">
        <v>50</v>
      </c>
      <c r="AU1355" s="10" t="s">
        <v>50</v>
      </c>
      <c r="AV1355" s="11"/>
      <c r="AW1355" s="10" t="s">
        <v>66</v>
      </c>
      <c r="AX1355" s="10"/>
      <c r="AY1355" s="10" t="s">
        <v>66</v>
      </c>
    </row>
    <row r="1356" ht="22.5" hidden="1" customHeight="1">
      <c r="A1356" s="9" t="s">
        <v>13676</v>
      </c>
      <c r="B1356" s="10" t="s">
        <v>13677</v>
      </c>
      <c r="C1356" s="10" t="s">
        <v>43</v>
      </c>
      <c r="D1356" s="10" t="s">
        <v>13108</v>
      </c>
      <c r="E1356" s="10" t="s">
        <v>66</v>
      </c>
      <c r="F1356" s="11">
        <v>1.0</v>
      </c>
      <c r="G1356" s="11">
        <v>43.7</v>
      </c>
      <c r="H1356" s="11">
        <v>14.6</v>
      </c>
      <c r="I1356" s="11">
        <v>-13.43</v>
      </c>
      <c r="J1356" s="11">
        <v>-14.6</v>
      </c>
      <c r="K1356" s="11"/>
      <c r="L1356" s="11">
        <v>32.89</v>
      </c>
      <c r="M1356" s="10" t="s">
        <v>12218</v>
      </c>
      <c r="N1356" s="10" t="s">
        <v>50</v>
      </c>
      <c r="O1356" s="10" t="s">
        <v>176</v>
      </c>
      <c r="P1356" s="10" t="s">
        <v>177</v>
      </c>
      <c r="Q1356" s="10" t="s">
        <v>178</v>
      </c>
      <c r="R1356" s="10" t="s">
        <v>74</v>
      </c>
      <c r="S1356" s="11">
        <v>43.7</v>
      </c>
      <c r="T1356" s="11">
        <v>22.58</v>
      </c>
      <c r="U1356" s="11" t="s">
        <v>51</v>
      </c>
      <c r="V1356" s="10" t="s">
        <v>52</v>
      </c>
      <c r="W1356" s="10" t="s">
        <v>13678</v>
      </c>
      <c r="X1356" s="10" t="s">
        <v>13679</v>
      </c>
      <c r="Y1356" s="10" t="s">
        <v>13680</v>
      </c>
      <c r="Z1356" s="10" t="s">
        <v>50</v>
      </c>
      <c r="AA1356" s="10" t="s">
        <v>50</v>
      </c>
      <c r="AB1356" s="10" t="s">
        <v>13678</v>
      </c>
      <c r="AC1356" s="10" t="s">
        <v>13681</v>
      </c>
      <c r="AD1356" s="10" t="s">
        <v>13682</v>
      </c>
      <c r="AE1356" s="10" t="s">
        <v>9098</v>
      </c>
      <c r="AF1356" s="10" t="s">
        <v>185</v>
      </c>
      <c r="AG1356" s="10" t="s">
        <v>9099</v>
      </c>
      <c r="AH1356" s="10" t="s">
        <v>60</v>
      </c>
      <c r="AI1356" s="10" t="s">
        <v>13406</v>
      </c>
      <c r="AJ1356" s="10" t="s">
        <v>13683</v>
      </c>
      <c r="AK1356" s="10" t="s">
        <v>13684</v>
      </c>
      <c r="AL1356" s="10" t="s">
        <v>64</v>
      </c>
      <c r="AM1356" s="10" t="s">
        <v>13685</v>
      </c>
      <c r="AN1356" s="10" t="s">
        <v>50</v>
      </c>
      <c r="AO1356" s="11" t="s">
        <v>50</v>
      </c>
      <c r="AP1356" s="10" t="s">
        <v>50</v>
      </c>
      <c r="AQ1356" s="10" t="s">
        <v>50</v>
      </c>
      <c r="AR1356" s="10" t="s">
        <v>50</v>
      </c>
      <c r="AS1356" s="10" t="s">
        <v>50</v>
      </c>
      <c r="AT1356" s="10" t="s">
        <v>50</v>
      </c>
      <c r="AU1356" s="10" t="s">
        <v>50</v>
      </c>
      <c r="AV1356" s="11"/>
      <c r="AW1356" s="10" t="s">
        <v>66</v>
      </c>
      <c r="AX1356" s="10"/>
      <c r="AY1356" s="10" t="s">
        <v>66</v>
      </c>
    </row>
    <row r="1357" ht="22.5" hidden="1" customHeight="1">
      <c r="A1357" s="9" t="s">
        <v>13686</v>
      </c>
      <c r="B1357" s="10" t="s">
        <v>13687</v>
      </c>
      <c r="C1357" s="10" t="s">
        <v>43</v>
      </c>
      <c r="D1357" s="10" t="s">
        <v>13108</v>
      </c>
      <c r="E1357" s="10" t="s">
        <v>45</v>
      </c>
      <c r="F1357" s="11">
        <v>1.0</v>
      </c>
      <c r="G1357" s="11">
        <v>105.0</v>
      </c>
      <c r="H1357" s="11"/>
      <c r="I1357" s="11">
        <v>-19.95</v>
      </c>
      <c r="J1357" s="11">
        <v>-19.95</v>
      </c>
      <c r="K1357" s="11"/>
      <c r="L1357" s="11">
        <v>65.1</v>
      </c>
      <c r="M1357" s="10" t="s">
        <v>12218</v>
      </c>
      <c r="N1357" s="10" t="s">
        <v>45</v>
      </c>
      <c r="O1357" s="10" t="s">
        <v>100</v>
      </c>
      <c r="P1357" s="10" t="s">
        <v>101</v>
      </c>
      <c r="Q1357" s="10" t="s">
        <v>102</v>
      </c>
      <c r="R1357" s="10" t="s">
        <v>50</v>
      </c>
      <c r="S1357" s="11">
        <v>105.0</v>
      </c>
      <c r="T1357" s="11">
        <v>38.61</v>
      </c>
      <c r="U1357" s="11" t="s">
        <v>51</v>
      </c>
      <c r="V1357" s="10" t="s">
        <v>52</v>
      </c>
      <c r="W1357" s="10" t="s">
        <v>13688</v>
      </c>
      <c r="X1357" s="10" t="s">
        <v>13689</v>
      </c>
      <c r="Y1357" s="10" t="s">
        <v>13690</v>
      </c>
      <c r="Z1357" s="10" t="s">
        <v>50</v>
      </c>
      <c r="AA1357" s="10" t="s">
        <v>50</v>
      </c>
      <c r="AB1357" s="10" t="s">
        <v>13688</v>
      </c>
      <c r="AC1357" s="10" t="s">
        <v>13691</v>
      </c>
      <c r="AD1357" s="10" t="s">
        <v>13692</v>
      </c>
      <c r="AE1357" s="10" t="s">
        <v>3359</v>
      </c>
      <c r="AF1357" s="10" t="s">
        <v>185</v>
      </c>
      <c r="AG1357" s="10" t="s">
        <v>13693</v>
      </c>
      <c r="AH1357" s="10" t="s">
        <v>60</v>
      </c>
      <c r="AI1357" s="10" t="s">
        <v>13406</v>
      </c>
      <c r="AJ1357" s="10" t="s">
        <v>13694</v>
      </c>
      <c r="AK1357" s="10" t="s">
        <v>13695</v>
      </c>
      <c r="AL1357" s="10" t="s">
        <v>64</v>
      </c>
      <c r="AM1357" s="10" t="s">
        <v>13696</v>
      </c>
      <c r="AN1357" s="10" t="s">
        <v>50</v>
      </c>
      <c r="AO1357" s="11" t="s">
        <v>50</v>
      </c>
      <c r="AP1357" s="10" t="s">
        <v>50</v>
      </c>
      <c r="AQ1357" s="10" t="s">
        <v>50</v>
      </c>
      <c r="AR1357" s="10" t="s">
        <v>50</v>
      </c>
      <c r="AS1357" s="10" t="s">
        <v>50</v>
      </c>
      <c r="AT1357" s="10" t="s">
        <v>50</v>
      </c>
      <c r="AU1357" s="10" t="s">
        <v>50</v>
      </c>
      <c r="AV1357" s="11"/>
      <c r="AW1357" s="10" t="s">
        <v>66</v>
      </c>
      <c r="AX1357" s="10"/>
      <c r="AY1357" s="10" t="s">
        <v>66</v>
      </c>
    </row>
    <row r="1358" ht="22.5" hidden="1" customHeight="1">
      <c r="A1358" s="9" t="s">
        <v>13697</v>
      </c>
      <c r="B1358" s="10" t="s">
        <v>13698</v>
      </c>
      <c r="C1358" s="10" t="s">
        <v>43</v>
      </c>
      <c r="D1358" s="10" t="s">
        <v>13120</v>
      </c>
      <c r="E1358" s="10" t="s">
        <v>66</v>
      </c>
      <c r="F1358" s="11">
        <v>1.0</v>
      </c>
      <c r="G1358" s="11">
        <v>90.0</v>
      </c>
      <c r="H1358" s="11">
        <v>26.25</v>
      </c>
      <c r="I1358" s="11">
        <v>-15.3</v>
      </c>
      <c r="J1358" s="11">
        <v>-46.7</v>
      </c>
      <c r="K1358" s="11"/>
      <c r="L1358" s="11">
        <v>59.65</v>
      </c>
      <c r="M1358" s="10" t="s">
        <v>12218</v>
      </c>
      <c r="N1358" s="10" t="s">
        <v>45</v>
      </c>
      <c r="O1358" s="10" t="s">
        <v>5094</v>
      </c>
      <c r="P1358" s="10" t="s">
        <v>5095</v>
      </c>
      <c r="Q1358" s="10" t="s">
        <v>5096</v>
      </c>
      <c r="R1358" s="10" t="s">
        <v>74</v>
      </c>
      <c r="S1358" s="11">
        <v>90.0</v>
      </c>
      <c r="T1358" s="11">
        <v>39.99</v>
      </c>
      <c r="U1358" s="11" t="s">
        <v>51</v>
      </c>
      <c r="V1358" s="10" t="s">
        <v>52</v>
      </c>
      <c r="W1358" s="10" t="s">
        <v>13699</v>
      </c>
      <c r="X1358" s="10" t="s">
        <v>13700</v>
      </c>
      <c r="Y1358" s="10" t="s">
        <v>13701</v>
      </c>
      <c r="Z1358" s="10" t="s">
        <v>50</v>
      </c>
      <c r="AA1358" s="10" t="s">
        <v>50</v>
      </c>
      <c r="AB1358" s="10" t="s">
        <v>13699</v>
      </c>
      <c r="AC1358" s="10" t="s">
        <v>13702</v>
      </c>
      <c r="AD1358" s="10" t="s">
        <v>13703</v>
      </c>
      <c r="AE1358" s="10" t="s">
        <v>13704</v>
      </c>
      <c r="AF1358" s="10" t="s">
        <v>6728</v>
      </c>
      <c r="AG1358" s="10" t="s">
        <v>13705</v>
      </c>
      <c r="AH1358" s="10" t="s">
        <v>60</v>
      </c>
      <c r="AI1358" s="10" t="s">
        <v>13406</v>
      </c>
      <c r="AJ1358" s="10" t="s">
        <v>13127</v>
      </c>
      <c r="AK1358" s="10" t="s">
        <v>13706</v>
      </c>
      <c r="AL1358" s="10" t="s">
        <v>64</v>
      </c>
      <c r="AM1358" s="10" t="s">
        <v>13707</v>
      </c>
      <c r="AN1358" s="10" t="s">
        <v>50</v>
      </c>
      <c r="AO1358" s="11" t="s">
        <v>50</v>
      </c>
      <c r="AP1358" s="10" t="s">
        <v>50</v>
      </c>
      <c r="AQ1358" s="10" t="s">
        <v>50</v>
      </c>
      <c r="AR1358" s="10" t="s">
        <v>50</v>
      </c>
      <c r="AS1358" s="10" t="s">
        <v>50</v>
      </c>
      <c r="AT1358" s="10" t="s">
        <v>50</v>
      </c>
      <c r="AU1358" s="10" t="s">
        <v>50</v>
      </c>
      <c r="AV1358" s="11"/>
      <c r="AW1358" s="10" t="s">
        <v>66</v>
      </c>
      <c r="AX1358" s="10"/>
      <c r="AY1358" s="10" t="s">
        <v>66</v>
      </c>
    </row>
    <row r="1359" ht="22.5" hidden="1" customHeight="1">
      <c r="A1359" s="9" t="s">
        <v>13708</v>
      </c>
      <c r="B1359" s="10" t="s">
        <v>13709</v>
      </c>
      <c r="C1359" s="10" t="s">
        <v>43</v>
      </c>
      <c r="D1359" s="10" t="s">
        <v>10258</v>
      </c>
      <c r="E1359" s="10" t="s">
        <v>45</v>
      </c>
      <c r="F1359" s="11">
        <v>2.0</v>
      </c>
      <c r="G1359" s="11">
        <v>87.4</v>
      </c>
      <c r="H1359" s="11"/>
      <c r="I1359" s="11">
        <v>-26.86</v>
      </c>
      <c r="J1359" s="11"/>
      <c r="K1359" s="11"/>
      <c r="L1359" s="11">
        <v>65.78</v>
      </c>
      <c r="M1359" s="10" t="s">
        <v>12218</v>
      </c>
      <c r="N1359" s="10" t="s">
        <v>50</v>
      </c>
      <c r="O1359" s="10" t="s">
        <v>176</v>
      </c>
      <c r="P1359" s="10" t="s">
        <v>177</v>
      </c>
      <c r="Q1359" s="10" t="s">
        <v>178</v>
      </c>
      <c r="R1359" s="10" t="s">
        <v>74</v>
      </c>
      <c r="S1359" s="11">
        <v>43.7</v>
      </c>
      <c r="T1359" s="11">
        <f>2*22.58</f>
        <v>45.16</v>
      </c>
      <c r="U1359" s="11" t="s">
        <v>51</v>
      </c>
      <c r="V1359" s="10" t="s">
        <v>52</v>
      </c>
      <c r="W1359" s="10" t="s">
        <v>13710</v>
      </c>
      <c r="X1359" s="10" t="s">
        <v>13711</v>
      </c>
      <c r="Y1359" s="10" t="s">
        <v>13712</v>
      </c>
      <c r="Z1359" s="10" t="s">
        <v>50</v>
      </c>
      <c r="AA1359" s="10" t="s">
        <v>50</v>
      </c>
      <c r="AB1359" s="10" t="s">
        <v>13710</v>
      </c>
      <c r="AC1359" s="10" t="s">
        <v>13713</v>
      </c>
      <c r="AD1359" s="10" t="s">
        <v>13714</v>
      </c>
      <c r="AE1359" s="10" t="s">
        <v>1697</v>
      </c>
      <c r="AF1359" s="10" t="s">
        <v>323</v>
      </c>
      <c r="AG1359" s="10" t="s">
        <v>13715</v>
      </c>
      <c r="AH1359" s="10" t="s">
        <v>60</v>
      </c>
      <c r="AI1359" s="10" t="s">
        <v>13406</v>
      </c>
      <c r="AJ1359" s="10" t="s">
        <v>13056</v>
      </c>
      <c r="AK1359" s="10" t="s">
        <v>13716</v>
      </c>
      <c r="AL1359" s="10" t="s">
        <v>64</v>
      </c>
      <c r="AM1359" s="10" t="s">
        <v>13717</v>
      </c>
      <c r="AN1359" s="10" t="s">
        <v>13718</v>
      </c>
      <c r="AO1359" s="11" t="s">
        <v>50</v>
      </c>
      <c r="AP1359" s="10" t="s">
        <v>50</v>
      </c>
      <c r="AQ1359" s="10" t="s">
        <v>50</v>
      </c>
      <c r="AR1359" s="10" t="s">
        <v>50</v>
      </c>
      <c r="AS1359" s="10" t="s">
        <v>50</v>
      </c>
      <c r="AT1359" s="10" t="s">
        <v>50</v>
      </c>
      <c r="AU1359" s="10" t="s">
        <v>50</v>
      </c>
      <c r="AV1359" s="11"/>
      <c r="AW1359" s="10" t="s">
        <v>66</v>
      </c>
      <c r="AX1359" s="10"/>
      <c r="AY1359" s="10" t="s">
        <v>66</v>
      </c>
    </row>
    <row r="1360" ht="22.5" hidden="1" customHeight="1">
      <c r="A1360" s="9" t="s">
        <v>13719</v>
      </c>
      <c r="B1360" s="10" t="s">
        <v>13720</v>
      </c>
      <c r="C1360" s="10" t="s">
        <v>43</v>
      </c>
      <c r="D1360" s="10" t="s">
        <v>13049</v>
      </c>
      <c r="E1360" s="10" t="s">
        <v>66</v>
      </c>
      <c r="F1360" s="11">
        <v>1.0</v>
      </c>
      <c r="G1360" s="11">
        <v>48.0</v>
      </c>
      <c r="H1360" s="11">
        <v>17.95</v>
      </c>
      <c r="I1360" s="11">
        <v>-14.16</v>
      </c>
      <c r="J1360" s="11">
        <v>-17.95</v>
      </c>
      <c r="K1360" s="11"/>
      <c r="L1360" s="11">
        <v>33.84</v>
      </c>
      <c r="M1360" s="10" t="s">
        <v>12218</v>
      </c>
      <c r="N1360" s="10" t="s">
        <v>50</v>
      </c>
      <c r="O1360" s="10" t="s">
        <v>4556</v>
      </c>
      <c r="P1360" s="10" t="s">
        <v>4557</v>
      </c>
      <c r="Q1360" s="10" t="s">
        <v>4558</v>
      </c>
      <c r="R1360" s="10" t="s">
        <v>74</v>
      </c>
      <c r="S1360" s="11">
        <v>48.0</v>
      </c>
      <c r="T1360" s="11">
        <v>8.73</v>
      </c>
      <c r="U1360" s="11" t="s">
        <v>51</v>
      </c>
      <c r="V1360" s="10" t="s">
        <v>52</v>
      </c>
      <c r="W1360" s="10" t="s">
        <v>13721</v>
      </c>
      <c r="X1360" s="10" t="s">
        <v>13722</v>
      </c>
      <c r="Y1360" s="10" t="s">
        <v>13723</v>
      </c>
      <c r="Z1360" s="10" t="s">
        <v>50</v>
      </c>
      <c r="AA1360" s="10" t="s">
        <v>50</v>
      </c>
      <c r="AB1360" s="10" t="s">
        <v>13721</v>
      </c>
      <c r="AC1360" s="10" t="s">
        <v>13724</v>
      </c>
      <c r="AD1360" s="10" t="s">
        <v>13725</v>
      </c>
      <c r="AE1360" s="10" t="s">
        <v>3030</v>
      </c>
      <c r="AF1360" s="10" t="s">
        <v>151</v>
      </c>
      <c r="AG1360" s="10" t="s">
        <v>13726</v>
      </c>
      <c r="AH1360" s="10" t="s">
        <v>60</v>
      </c>
      <c r="AI1360" s="10" t="s">
        <v>13406</v>
      </c>
      <c r="AJ1360" s="10" t="s">
        <v>13580</v>
      </c>
      <c r="AK1360" s="10" t="s">
        <v>13727</v>
      </c>
      <c r="AL1360" s="10" t="s">
        <v>64</v>
      </c>
      <c r="AM1360" s="10" t="s">
        <v>13728</v>
      </c>
      <c r="AN1360" s="10" t="s">
        <v>13729</v>
      </c>
      <c r="AO1360" s="11" t="s">
        <v>50</v>
      </c>
      <c r="AP1360" s="10" t="s">
        <v>50</v>
      </c>
      <c r="AQ1360" s="10" t="s">
        <v>50</v>
      </c>
      <c r="AR1360" s="10" t="s">
        <v>50</v>
      </c>
      <c r="AS1360" s="10" t="s">
        <v>50</v>
      </c>
      <c r="AT1360" s="10" t="s">
        <v>50</v>
      </c>
      <c r="AU1360" s="10" t="s">
        <v>50</v>
      </c>
      <c r="AV1360" s="11"/>
      <c r="AW1360" s="10" t="s">
        <v>66</v>
      </c>
      <c r="AX1360" s="10"/>
      <c r="AY1360" s="10" t="s">
        <v>66</v>
      </c>
    </row>
    <row r="1361" ht="22.5" hidden="1" customHeight="1">
      <c r="A1361" s="9" t="s">
        <v>13730</v>
      </c>
      <c r="B1361" s="10" t="s">
        <v>13731</v>
      </c>
      <c r="C1361" s="10" t="s">
        <v>43</v>
      </c>
      <c r="D1361" s="10" t="s">
        <v>9839</v>
      </c>
      <c r="E1361" s="10" t="s">
        <v>45</v>
      </c>
      <c r="F1361" s="11">
        <v>2.0</v>
      </c>
      <c r="G1361" s="11">
        <v>240.0</v>
      </c>
      <c r="H1361" s="11"/>
      <c r="I1361" s="11">
        <v>-40.8</v>
      </c>
      <c r="J1361" s="11">
        <v>-39.9</v>
      </c>
      <c r="K1361" s="11"/>
      <c r="L1361" s="11">
        <v>173.7</v>
      </c>
      <c r="M1361" s="10" t="s">
        <v>12218</v>
      </c>
      <c r="N1361" s="10" t="s">
        <v>50</v>
      </c>
      <c r="O1361" s="10" t="s">
        <v>85</v>
      </c>
      <c r="P1361" s="10" t="s">
        <v>86</v>
      </c>
      <c r="Q1361" s="10" t="s">
        <v>87</v>
      </c>
      <c r="R1361" s="10" t="s">
        <v>74</v>
      </c>
      <c r="S1361" s="11">
        <v>120.0</v>
      </c>
      <c r="T1361" s="11">
        <f>2*65.78</f>
        <v>131.56</v>
      </c>
      <c r="U1361" s="11" t="s">
        <v>51</v>
      </c>
      <c r="V1361" s="10" t="s">
        <v>52</v>
      </c>
      <c r="W1361" s="10" t="s">
        <v>13732</v>
      </c>
      <c r="X1361" s="10" t="s">
        <v>13733</v>
      </c>
      <c r="Y1361" s="10" t="s">
        <v>13734</v>
      </c>
      <c r="Z1361" s="10" t="s">
        <v>50</v>
      </c>
      <c r="AA1361" s="10" t="s">
        <v>50</v>
      </c>
      <c r="AB1361" s="10" t="s">
        <v>13732</v>
      </c>
      <c r="AC1361" s="10" t="s">
        <v>13735</v>
      </c>
      <c r="AD1361" s="10" t="s">
        <v>13736</v>
      </c>
      <c r="AE1361" s="10" t="s">
        <v>13737</v>
      </c>
      <c r="AF1361" s="10" t="s">
        <v>119</v>
      </c>
      <c r="AG1361" s="10" t="s">
        <v>13738</v>
      </c>
      <c r="AH1361" s="10" t="s">
        <v>60</v>
      </c>
      <c r="AI1361" s="10" t="s">
        <v>13406</v>
      </c>
      <c r="AJ1361" s="10" t="s">
        <v>12702</v>
      </c>
      <c r="AK1361" s="10" t="s">
        <v>13739</v>
      </c>
      <c r="AL1361" s="10" t="s">
        <v>64</v>
      </c>
      <c r="AM1361" s="10" t="s">
        <v>13740</v>
      </c>
      <c r="AN1361" s="10" t="s">
        <v>50</v>
      </c>
      <c r="AO1361" s="11" t="s">
        <v>50</v>
      </c>
      <c r="AP1361" s="10" t="s">
        <v>50</v>
      </c>
      <c r="AQ1361" s="10" t="s">
        <v>50</v>
      </c>
      <c r="AR1361" s="10" t="s">
        <v>50</v>
      </c>
      <c r="AS1361" s="10" t="s">
        <v>50</v>
      </c>
      <c r="AT1361" s="10" t="s">
        <v>50</v>
      </c>
      <c r="AU1361" s="10" t="s">
        <v>50</v>
      </c>
      <c r="AV1361" s="11"/>
      <c r="AW1361" s="10" t="s">
        <v>66</v>
      </c>
      <c r="AX1361" s="10"/>
      <c r="AY1361" s="10" t="s">
        <v>66</v>
      </c>
    </row>
    <row r="1362" ht="22.5" hidden="1" customHeight="1">
      <c r="A1362" s="9" t="s">
        <v>13741</v>
      </c>
      <c r="B1362" s="10" t="s">
        <v>13742</v>
      </c>
      <c r="C1362" s="10" t="s">
        <v>43</v>
      </c>
      <c r="D1362" s="10" t="s">
        <v>9839</v>
      </c>
      <c r="E1362" s="10" t="s">
        <v>45</v>
      </c>
      <c r="F1362" s="11">
        <v>2.0</v>
      </c>
      <c r="G1362" s="11">
        <v>87.4</v>
      </c>
      <c r="H1362" s="11"/>
      <c r="I1362" s="11">
        <v>-26.86</v>
      </c>
      <c r="J1362" s="11"/>
      <c r="K1362" s="11"/>
      <c r="L1362" s="11">
        <v>65.78</v>
      </c>
      <c r="M1362" s="10" t="s">
        <v>12218</v>
      </c>
      <c r="N1362" s="10" t="s">
        <v>50</v>
      </c>
      <c r="O1362" s="10" t="s">
        <v>176</v>
      </c>
      <c r="P1362" s="10" t="s">
        <v>177</v>
      </c>
      <c r="Q1362" s="10" t="s">
        <v>178</v>
      </c>
      <c r="R1362" s="10" t="s">
        <v>74</v>
      </c>
      <c r="S1362" s="11">
        <v>43.7</v>
      </c>
      <c r="T1362" s="11">
        <f>2*22.58</f>
        <v>45.16</v>
      </c>
      <c r="U1362" s="11" t="s">
        <v>51</v>
      </c>
      <c r="V1362" s="10" t="s">
        <v>52</v>
      </c>
      <c r="W1362" s="10" t="s">
        <v>13743</v>
      </c>
      <c r="X1362" s="10" t="s">
        <v>13744</v>
      </c>
      <c r="Y1362" s="10" t="s">
        <v>13745</v>
      </c>
      <c r="Z1362" s="10" t="s">
        <v>50</v>
      </c>
      <c r="AA1362" s="10" t="s">
        <v>50</v>
      </c>
      <c r="AB1362" s="10" t="s">
        <v>13743</v>
      </c>
      <c r="AC1362" s="10" t="s">
        <v>13746</v>
      </c>
      <c r="AD1362" s="10" t="s">
        <v>13747</v>
      </c>
      <c r="AE1362" s="10" t="s">
        <v>3212</v>
      </c>
      <c r="AF1362" s="10" t="s">
        <v>119</v>
      </c>
      <c r="AG1362" s="10" t="s">
        <v>13748</v>
      </c>
      <c r="AH1362" s="10" t="s">
        <v>60</v>
      </c>
      <c r="AI1362" s="10" t="s">
        <v>13406</v>
      </c>
      <c r="AJ1362" s="10" t="s">
        <v>13506</v>
      </c>
      <c r="AK1362" s="10" t="s">
        <v>13749</v>
      </c>
      <c r="AL1362" s="10" t="s">
        <v>64</v>
      </c>
      <c r="AM1362" s="10" t="s">
        <v>13750</v>
      </c>
      <c r="AN1362" s="10" t="s">
        <v>50</v>
      </c>
      <c r="AO1362" s="11" t="s">
        <v>50</v>
      </c>
      <c r="AP1362" s="10" t="s">
        <v>50</v>
      </c>
      <c r="AQ1362" s="10" t="s">
        <v>50</v>
      </c>
      <c r="AR1362" s="10" t="s">
        <v>50</v>
      </c>
      <c r="AS1362" s="10" t="s">
        <v>50</v>
      </c>
      <c r="AT1362" s="10" t="s">
        <v>50</v>
      </c>
      <c r="AU1362" s="10" t="s">
        <v>50</v>
      </c>
      <c r="AV1362" s="11"/>
      <c r="AW1362" s="10" t="s">
        <v>66</v>
      </c>
      <c r="AX1362" s="10"/>
      <c r="AY1362" s="10" t="s">
        <v>66</v>
      </c>
    </row>
    <row r="1363" ht="22.5" hidden="1" customHeight="1">
      <c r="A1363" s="9" t="s">
        <v>13751</v>
      </c>
      <c r="B1363" s="10" t="s">
        <v>13752</v>
      </c>
      <c r="C1363" s="10" t="s">
        <v>43</v>
      </c>
      <c r="D1363" s="10" t="s">
        <v>11161</v>
      </c>
      <c r="E1363" s="10" t="s">
        <v>66</v>
      </c>
      <c r="F1363" s="11">
        <v>1.0</v>
      </c>
      <c r="G1363" s="11">
        <v>79.0</v>
      </c>
      <c r="H1363" s="11">
        <v>27.13</v>
      </c>
      <c r="I1363" s="11">
        <v>-13.43</v>
      </c>
      <c r="J1363" s="11">
        <v>-47.58</v>
      </c>
      <c r="K1363" s="11"/>
      <c r="L1363" s="11">
        <v>45.12</v>
      </c>
      <c r="M1363" s="10" t="s">
        <v>12218</v>
      </c>
      <c r="N1363" s="10" t="s">
        <v>45</v>
      </c>
      <c r="O1363" s="10" t="s">
        <v>160</v>
      </c>
      <c r="P1363" s="10" t="s">
        <v>161</v>
      </c>
      <c r="Q1363" s="10" t="s">
        <v>162</v>
      </c>
      <c r="R1363" s="10" t="s">
        <v>74</v>
      </c>
      <c r="S1363" s="11">
        <v>79.0</v>
      </c>
      <c r="T1363" s="11">
        <v>2.49</v>
      </c>
      <c r="U1363" s="11" t="s">
        <v>51</v>
      </c>
      <c r="V1363" s="10" t="s">
        <v>52</v>
      </c>
      <c r="W1363" s="10" t="s">
        <v>13753</v>
      </c>
      <c r="X1363" s="10" t="s">
        <v>13754</v>
      </c>
      <c r="Y1363" s="10" t="s">
        <v>13755</v>
      </c>
      <c r="Z1363" s="10" t="s">
        <v>50</v>
      </c>
      <c r="AA1363" s="10" t="s">
        <v>50</v>
      </c>
      <c r="AB1363" s="10" t="s">
        <v>13753</v>
      </c>
      <c r="AC1363" s="10" t="s">
        <v>13756</v>
      </c>
      <c r="AD1363" s="10" t="s">
        <v>13757</v>
      </c>
      <c r="AE1363" s="10" t="s">
        <v>13758</v>
      </c>
      <c r="AF1363" s="10" t="s">
        <v>169</v>
      </c>
      <c r="AG1363" s="10" t="s">
        <v>13759</v>
      </c>
      <c r="AH1363" s="10" t="s">
        <v>60</v>
      </c>
      <c r="AI1363" s="10" t="s">
        <v>13406</v>
      </c>
      <c r="AJ1363" s="10" t="s">
        <v>13354</v>
      </c>
      <c r="AK1363" s="10" t="s">
        <v>13760</v>
      </c>
      <c r="AL1363" s="10" t="s">
        <v>64</v>
      </c>
      <c r="AM1363" s="10" t="s">
        <v>13761</v>
      </c>
      <c r="AN1363" s="10" t="s">
        <v>50</v>
      </c>
      <c r="AO1363" s="11" t="s">
        <v>50</v>
      </c>
      <c r="AP1363" s="10" t="s">
        <v>50</v>
      </c>
      <c r="AQ1363" s="10" t="s">
        <v>50</v>
      </c>
      <c r="AR1363" s="10" t="s">
        <v>50</v>
      </c>
      <c r="AS1363" s="10" t="s">
        <v>50</v>
      </c>
      <c r="AT1363" s="10" t="s">
        <v>50</v>
      </c>
      <c r="AU1363" s="10" t="s">
        <v>50</v>
      </c>
      <c r="AV1363" s="11"/>
      <c r="AW1363" s="10" t="s">
        <v>66</v>
      </c>
      <c r="AX1363" s="10"/>
      <c r="AY1363" s="10" t="s">
        <v>66</v>
      </c>
    </row>
    <row r="1364" ht="22.5" hidden="1" customHeight="1">
      <c r="A1364" s="9" t="s">
        <v>13762</v>
      </c>
      <c r="B1364" s="10" t="s">
        <v>13763</v>
      </c>
      <c r="C1364" s="10" t="s">
        <v>43</v>
      </c>
      <c r="D1364" s="10" t="s">
        <v>11161</v>
      </c>
      <c r="E1364" s="10" t="s">
        <v>66</v>
      </c>
      <c r="F1364" s="11">
        <v>1.0</v>
      </c>
      <c r="G1364" s="11">
        <v>79.0</v>
      </c>
      <c r="H1364" s="11"/>
      <c r="I1364" s="11">
        <v>-13.43</v>
      </c>
      <c r="J1364" s="11">
        <v>-20.45</v>
      </c>
      <c r="K1364" s="11"/>
      <c r="L1364" s="11">
        <v>45.12</v>
      </c>
      <c r="M1364" s="10" t="s">
        <v>12218</v>
      </c>
      <c r="N1364" s="10" t="s">
        <v>45</v>
      </c>
      <c r="O1364" s="10" t="s">
        <v>160</v>
      </c>
      <c r="P1364" s="10" t="s">
        <v>161</v>
      </c>
      <c r="Q1364" s="10" t="s">
        <v>162</v>
      </c>
      <c r="R1364" s="10" t="s">
        <v>74</v>
      </c>
      <c r="S1364" s="11">
        <v>79.0</v>
      </c>
      <c r="T1364" s="11">
        <v>2.49</v>
      </c>
      <c r="U1364" s="11" t="s">
        <v>51</v>
      </c>
      <c r="V1364" s="10" t="s">
        <v>52</v>
      </c>
      <c r="W1364" s="10" t="s">
        <v>13764</v>
      </c>
      <c r="X1364" s="10" t="s">
        <v>13765</v>
      </c>
      <c r="Y1364" s="10" t="s">
        <v>13766</v>
      </c>
      <c r="Z1364" s="10" t="s">
        <v>50</v>
      </c>
      <c r="AA1364" s="10" t="s">
        <v>50</v>
      </c>
      <c r="AB1364" s="10" t="s">
        <v>13764</v>
      </c>
      <c r="AC1364" s="10" t="s">
        <v>13767</v>
      </c>
      <c r="AD1364" s="10" t="s">
        <v>13768</v>
      </c>
      <c r="AE1364" s="10" t="s">
        <v>13769</v>
      </c>
      <c r="AF1364" s="10" t="s">
        <v>284</v>
      </c>
      <c r="AG1364" s="10" t="s">
        <v>13770</v>
      </c>
      <c r="AH1364" s="10" t="s">
        <v>60</v>
      </c>
      <c r="AI1364" s="10" t="s">
        <v>13406</v>
      </c>
      <c r="AJ1364" s="10" t="s">
        <v>12702</v>
      </c>
      <c r="AK1364" s="10" t="s">
        <v>13771</v>
      </c>
      <c r="AL1364" s="10" t="s">
        <v>64</v>
      </c>
      <c r="AM1364" s="10" t="s">
        <v>13772</v>
      </c>
      <c r="AN1364" s="10" t="s">
        <v>50</v>
      </c>
      <c r="AO1364" s="11" t="s">
        <v>50</v>
      </c>
      <c r="AP1364" s="10" t="s">
        <v>50</v>
      </c>
      <c r="AQ1364" s="10" t="s">
        <v>50</v>
      </c>
      <c r="AR1364" s="10" t="s">
        <v>50</v>
      </c>
      <c r="AS1364" s="10" t="s">
        <v>50</v>
      </c>
      <c r="AT1364" s="10" t="s">
        <v>50</v>
      </c>
      <c r="AU1364" s="10" t="s">
        <v>50</v>
      </c>
      <c r="AV1364" s="11"/>
      <c r="AW1364" s="10" t="s">
        <v>66</v>
      </c>
      <c r="AX1364" s="10"/>
      <c r="AY1364" s="10" t="s">
        <v>66</v>
      </c>
    </row>
    <row r="1365" ht="22.5" hidden="1" customHeight="1">
      <c r="A1365" s="9" t="s">
        <v>13773</v>
      </c>
      <c r="B1365" s="10" t="s">
        <v>13774</v>
      </c>
      <c r="C1365" s="10" t="s">
        <v>43</v>
      </c>
      <c r="D1365" s="10" t="s">
        <v>12217</v>
      </c>
      <c r="E1365" s="10" t="s">
        <v>45</v>
      </c>
      <c r="F1365" s="11">
        <v>2.0</v>
      </c>
      <c r="G1365" s="11">
        <v>87.4</v>
      </c>
      <c r="H1365" s="11">
        <v>5.21</v>
      </c>
      <c r="I1365" s="11">
        <v>-26.86</v>
      </c>
      <c r="J1365" s="11">
        <v>-5.21</v>
      </c>
      <c r="K1365" s="11"/>
      <c r="L1365" s="11">
        <v>65.78</v>
      </c>
      <c r="M1365" s="10" t="s">
        <v>12218</v>
      </c>
      <c r="N1365" s="10" t="s">
        <v>45</v>
      </c>
      <c r="O1365" s="10" t="s">
        <v>176</v>
      </c>
      <c r="P1365" s="10" t="s">
        <v>177</v>
      </c>
      <c r="Q1365" s="10" t="s">
        <v>178</v>
      </c>
      <c r="R1365" s="10" t="s">
        <v>74</v>
      </c>
      <c r="S1365" s="11">
        <v>43.7</v>
      </c>
      <c r="T1365" s="11">
        <f>2*22.58</f>
        <v>45.16</v>
      </c>
      <c r="U1365" s="11" t="s">
        <v>51</v>
      </c>
      <c r="V1365" s="10" t="s">
        <v>52</v>
      </c>
      <c r="W1365" s="10" t="s">
        <v>13775</v>
      </c>
      <c r="X1365" s="10" t="s">
        <v>13776</v>
      </c>
      <c r="Y1365" s="10" t="s">
        <v>13777</v>
      </c>
      <c r="Z1365" s="10" t="s">
        <v>50</v>
      </c>
      <c r="AA1365" s="10" t="s">
        <v>50</v>
      </c>
      <c r="AB1365" s="10" t="s">
        <v>13775</v>
      </c>
      <c r="AC1365" s="10" t="s">
        <v>13778</v>
      </c>
      <c r="AD1365" s="10" t="s">
        <v>13779</v>
      </c>
      <c r="AE1365" s="10" t="s">
        <v>1617</v>
      </c>
      <c r="AF1365" s="10" t="s">
        <v>58</v>
      </c>
      <c r="AG1365" s="10" t="s">
        <v>13780</v>
      </c>
      <c r="AH1365" s="10" t="s">
        <v>60</v>
      </c>
      <c r="AI1365" s="10" t="s">
        <v>13406</v>
      </c>
      <c r="AJ1365" s="10" t="s">
        <v>13029</v>
      </c>
      <c r="AK1365" s="10" t="s">
        <v>13781</v>
      </c>
      <c r="AL1365" s="10" t="s">
        <v>64</v>
      </c>
      <c r="AM1365" s="10" t="s">
        <v>13782</v>
      </c>
      <c r="AN1365" s="10" t="s">
        <v>50</v>
      </c>
      <c r="AO1365" s="11" t="s">
        <v>50</v>
      </c>
      <c r="AP1365" s="10" t="s">
        <v>50</v>
      </c>
      <c r="AQ1365" s="10" t="s">
        <v>50</v>
      </c>
      <c r="AR1365" s="10" t="s">
        <v>50</v>
      </c>
      <c r="AS1365" s="10" t="s">
        <v>50</v>
      </c>
      <c r="AT1365" s="10" t="s">
        <v>50</v>
      </c>
      <c r="AU1365" s="10" t="s">
        <v>50</v>
      </c>
      <c r="AV1365" s="11"/>
      <c r="AW1365" s="10" t="s">
        <v>66</v>
      </c>
      <c r="AX1365" s="10"/>
      <c r="AY1365" s="10" t="s">
        <v>66</v>
      </c>
    </row>
    <row r="1366" ht="22.5" hidden="1" customHeight="1">
      <c r="A1366" s="9" t="s">
        <v>13783</v>
      </c>
      <c r="B1366" s="10" t="s">
        <v>13784</v>
      </c>
      <c r="C1366" s="10" t="s">
        <v>43</v>
      </c>
      <c r="D1366" s="10" t="s">
        <v>12217</v>
      </c>
      <c r="E1366" s="10" t="s">
        <v>66</v>
      </c>
      <c r="F1366" s="11">
        <v>1.0</v>
      </c>
      <c r="G1366" s="11">
        <v>79.0</v>
      </c>
      <c r="H1366" s="11"/>
      <c r="I1366" s="11">
        <v>-13.43</v>
      </c>
      <c r="J1366" s="11">
        <v>-20.45</v>
      </c>
      <c r="K1366" s="11"/>
      <c r="L1366" s="11">
        <v>45.12</v>
      </c>
      <c r="M1366" s="10" t="s">
        <v>46</v>
      </c>
      <c r="N1366" s="10" t="s">
        <v>45</v>
      </c>
      <c r="O1366" s="10" t="s">
        <v>461</v>
      </c>
      <c r="P1366" s="10" t="s">
        <v>462</v>
      </c>
      <c r="Q1366" s="10" t="s">
        <v>463</v>
      </c>
      <c r="R1366" s="10" t="s">
        <v>74</v>
      </c>
      <c r="S1366" s="11">
        <v>79.0</v>
      </c>
      <c r="T1366" s="11">
        <v>10.09</v>
      </c>
      <c r="U1366" s="11" t="s">
        <v>51</v>
      </c>
      <c r="V1366" s="10" t="s">
        <v>52</v>
      </c>
      <c r="W1366" s="10" t="s">
        <v>13785</v>
      </c>
      <c r="X1366" s="10" t="s">
        <v>13786</v>
      </c>
      <c r="Y1366" s="10" t="s">
        <v>13787</v>
      </c>
      <c r="Z1366" s="10" t="s">
        <v>50</v>
      </c>
      <c r="AA1366" s="10" t="s">
        <v>50</v>
      </c>
      <c r="AB1366" s="10" t="s">
        <v>13785</v>
      </c>
      <c r="AC1366" s="10" t="s">
        <v>13788</v>
      </c>
      <c r="AD1366" s="10" t="s">
        <v>13789</v>
      </c>
      <c r="AE1366" s="10" t="s">
        <v>235</v>
      </c>
      <c r="AF1366" s="10" t="s">
        <v>58</v>
      </c>
      <c r="AG1366" s="10" t="s">
        <v>13790</v>
      </c>
      <c r="AH1366" s="10" t="s">
        <v>60</v>
      </c>
      <c r="AI1366" s="10" t="s">
        <v>13406</v>
      </c>
      <c r="AJ1366" s="10" t="s">
        <v>12902</v>
      </c>
      <c r="AK1366" s="10" t="s">
        <v>12396</v>
      </c>
      <c r="AL1366" s="10" t="s">
        <v>64</v>
      </c>
      <c r="AM1366" s="10" t="s">
        <v>13791</v>
      </c>
      <c r="AN1366" s="10" t="s">
        <v>13792</v>
      </c>
      <c r="AO1366" s="11" t="s">
        <v>50</v>
      </c>
      <c r="AP1366" s="10" t="s">
        <v>50</v>
      </c>
      <c r="AQ1366" s="10" t="s">
        <v>50</v>
      </c>
      <c r="AR1366" s="10" t="s">
        <v>50</v>
      </c>
      <c r="AS1366" s="10" t="s">
        <v>50</v>
      </c>
      <c r="AT1366" s="10" t="s">
        <v>50</v>
      </c>
      <c r="AU1366" s="10" t="s">
        <v>50</v>
      </c>
      <c r="AV1366" s="11"/>
      <c r="AW1366" s="10" t="s">
        <v>66</v>
      </c>
      <c r="AX1366" s="10"/>
      <c r="AY1366" s="10" t="s">
        <v>66</v>
      </c>
    </row>
    <row r="1367" ht="22.5" hidden="1" customHeight="1">
      <c r="A1367" s="9" t="s">
        <v>13793</v>
      </c>
      <c r="B1367" s="10" t="s">
        <v>13794</v>
      </c>
      <c r="C1367" s="10" t="s">
        <v>43</v>
      </c>
      <c r="D1367" s="10" t="s">
        <v>13049</v>
      </c>
      <c r="E1367" s="10" t="s">
        <v>45</v>
      </c>
      <c r="F1367" s="11">
        <v>1.0</v>
      </c>
      <c r="G1367" s="11">
        <v>43.7</v>
      </c>
      <c r="H1367" s="11">
        <v>13.77</v>
      </c>
      <c r="I1367" s="11">
        <v>-13.43</v>
      </c>
      <c r="J1367" s="11">
        <v>-13.77</v>
      </c>
      <c r="K1367" s="11"/>
      <c r="L1367" s="11">
        <v>32.89</v>
      </c>
      <c r="M1367" s="10" t="s">
        <v>46</v>
      </c>
      <c r="N1367" s="10" t="s">
        <v>50</v>
      </c>
      <c r="O1367" s="10" t="s">
        <v>176</v>
      </c>
      <c r="P1367" s="10" t="s">
        <v>177</v>
      </c>
      <c r="Q1367" s="10" t="s">
        <v>178</v>
      </c>
      <c r="R1367" s="10" t="s">
        <v>74</v>
      </c>
      <c r="S1367" s="11">
        <v>43.7</v>
      </c>
      <c r="T1367" s="11">
        <v>22.58</v>
      </c>
      <c r="U1367" s="11" t="s">
        <v>51</v>
      </c>
      <c r="V1367" s="10" t="s">
        <v>52</v>
      </c>
      <c r="W1367" s="10" t="s">
        <v>13795</v>
      </c>
      <c r="X1367" s="10" t="s">
        <v>13796</v>
      </c>
      <c r="Y1367" s="10" t="s">
        <v>13797</v>
      </c>
      <c r="Z1367" s="10" t="s">
        <v>50</v>
      </c>
      <c r="AA1367" s="10" t="s">
        <v>50</v>
      </c>
      <c r="AB1367" s="10" t="s">
        <v>13795</v>
      </c>
      <c r="AC1367" s="10" t="s">
        <v>13798</v>
      </c>
      <c r="AD1367" s="10" t="s">
        <v>13799</v>
      </c>
      <c r="AE1367" s="10" t="s">
        <v>13800</v>
      </c>
      <c r="AF1367" s="10" t="s">
        <v>323</v>
      </c>
      <c r="AG1367" s="10" t="s">
        <v>13801</v>
      </c>
      <c r="AH1367" s="10" t="s">
        <v>60</v>
      </c>
      <c r="AI1367" s="10" t="s">
        <v>13406</v>
      </c>
      <c r="AJ1367" s="10" t="s">
        <v>13056</v>
      </c>
      <c r="AK1367" s="10" t="s">
        <v>13802</v>
      </c>
      <c r="AL1367" s="10" t="s">
        <v>64</v>
      </c>
      <c r="AM1367" s="10" t="s">
        <v>13803</v>
      </c>
      <c r="AN1367" s="10" t="s">
        <v>50</v>
      </c>
      <c r="AO1367" s="11" t="s">
        <v>50</v>
      </c>
      <c r="AP1367" s="10" t="s">
        <v>50</v>
      </c>
      <c r="AQ1367" s="10" t="s">
        <v>50</v>
      </c>
      <c r="AR1367" s="10" t="s">
        <v>50</v>
      </c>
      <c r="AS1367" s="10" t="s">
        <v>50</v>
      </c>
      <c r="AT1367" s="10" t="s">
        <v>50</v>
      </c>
      <c r="AU1367" s="10" t="s">
        <v>50</v>
      </c>
      <c r="AV1367" s="11"/>
      <c r="AW1367" s="10" t="s">
        <v>66</v>
      </c>
      <c r="AX1367" s="10"/>
      <c r="AY1367" s="10" t="s">
        <v>66</v>
      </c>
    </row>
    <row r="1368" ht="22.5" hidden="1" customHeight="1">
      <c r="A1368" s="9" t="s">
        <v>13804</v>
      </c>
      <c r="B1368" s="10" t="s">
        <v>13805</v>
      </c>
      <c r="C1368" s="10" t="s">
        <v>43</v>
      </c>
      <c r="D1368" s="10" t="s">
        <v>9839</v>
      </c>
      <c r="E1368" s="10" t="s">
        <v>45</v>
      </c>
      <c r="F1368" s="11">
        <v>1.0</v>
      </c>
      <c r="G1368" s="11">
        <v>80.3</v>
      </c>
      <c r="H1368" s="11"/>
      <c r="I1368" s="11">
        <v>-13.65</v>
      </c>
      <c r="J1368" s="11">
        <v>-20.45</v>
      </c>
      <c r="K1368" s="11"/>
      <c r="L1368" s="11">
        <v>46.2</v>
      </c>
      <c r="M1368" s="10" t="s">
        <v>46</v>
      </c>
      <c r="N1368" s="10" t="s">
        <v>50</v>
      </c>
      <c r="O1368" s="10" t="s">
        <v>127</v>
      </c>
      <c r="P1368" s="10" t="s">
        <v>128</v>
      </c>
      <c r="Q1368" s="10" t="s">
        <v>129</v>
      </c>
      <c r="R1368" s="10" t="s">
        <v>74</v>
      </c>
      <c r="S1368" s="11">
        <v>80.3</v>
      </c>
      <c r="T1368" s="11">
        <v>17.68</v>
      </c>
      <c r="U1368" s="11" t="s">
        <v>51</v>
      </c>
      <c r="V1368" s="10" t="s">
        <v>52</v>
      </c>
      <c r="W1368" s="10" t="s">
        <v>13806</v>
      </c>
      <c r="X1368" s="10" t="s">
        <v>13807</v>
      </c>
      <c r="Y1368" s="10" t="s">
        <v>13808</v>
      </c>
      <c r="Z1368" s="10" t="s">
        <v>50</v>
      </c>
      <c r="AA1368" s="10" t="s">
        <v>50</v>
      </c>
      <c r="AB1368" s="10" t="s">
        <v>13806</v>
      </c>
      <c r="AC1368" s="10" t="s">
        <v>13809</v>
      </c>
      <c r="AD1368" s="10" t="s">
        <v>13810</v>
      </c>
      <c r="AE1368" s="10" t="s">
        <v>12971</v>
      </c>
      <c r="AF1368" s="10" t="s">
        <v>284</v>
      </c>
      <c r="AG1368" s="10" t="s">
        <v>13811</v>
      </c>
      <c r="AH1368" s="10" t="s">
        <v>60</v>
      </c>
      <c r="AI1368" s="10" t="s">
        <v>13406</v>
      </c>
      <c r="AJ1368" s="10" t="s">
        <v>12702</v>
      </c>
      <c r="AK1368" s="10" t="s">
        <v>13812</v>
      </c>
      <c r="AL1368" s="10" t="s">
        <v>64</v>
      </c>
      <c r="AM1368" s="10" t="s">
        <v>13813</v>
      </c>
      <c r="AN1368" s="10" t="s">
        <v>50</v>
      </c>
      <c r="AO1368" s="11" t="s">
        <v>50</v>
      </c>
      <c r="AP1368" s="10" t="s">
        <v>50</v>
      </c>
      <c r="AQ1368" s="10" t="s">
        <v>50</v>
      </c>
      <c r="AR1368" s="10" t="s">
        <v>50</v>
      </c>
      <c r="AS1368" s="10" t="s">
        <v>50</v>
      </c>
      <c r="AT1368" s="10" t="s">
        <v>50</v>
      </c>
      <c r="AU1368" s="10" t="s">
        <v>50</v>
      </c>
      <c r="AV1368" s="11"/>
      <c r="AW1368" s="10" t="s">
        <v>66</v>
      </c>
      <c r="AX1368" s="10"/>
      <c r="AY1368" s="10" t="s">
        <v>66</v>
      </c>
    </row>
    <row r="1369" ht="22.5" hidden="1" customHeight="1">
      <c r="A1369" s="9" t="s">
        <v>13814</v>
      </c>
      <c r="B1369" s="10" t="s">
        <v>13815</v>
      </c>
      <c r="C1369" s="10" t="s">
        <v>43</v>
      </c>
      <c r="D1369" s="10" t="s">
        <v>13049</v>
      </c>
      <c r="E1369" s="10" t="s">
        <v>66</v>
      </c>
      <c r="F1369" s="11">
        <v>1.0</v>
      </c>
      <c r="G1369" s="11">
        <v>79.35</v>
      </c>
      <c r="H1369" s="11"/>
      <c r="I1369" s="11">
        <v>-15.08</v>
      </c>
      <c r="J1369" s="11">
        <v>-19.95</v>
      </c>
      <c r="K1369" s="11"/>
      <c r="L1369" s="11">
        <v>44.32</v>
      </c>
      <c r="M1369" s="10" t="s">
        <v>12218</v>
      </c>
      <c r="N1369" s="10" t="s">
        <v>45</v>
      </c>
      <c r="O1369" s="10" t="s">
        <v>47</v>
      </c>
      <c r="P1369" s="10" t="s">
        <v>48</v>
      </c>
      <c r="Q1369" s="10" t="s">
        <v>49</v>
      </c>
      <c r="R1369" s="10" t="s">
        <v>50</v>
      </c>
      <c r="S1369" s="11">
        <v>79.35</v>
      </c>
      <c r="T1369" s="11">
        <v>12.45</v>
      </c>
      <c r="U1369" s="11" t="s">
        <v>51</v>
      </c>
      <c r="V1369" s="10" t="s">
        <v>52</v>
      </c>
      <c r="W1369" s="10" t="s">
        <v>13816</v>
      </c>
      <c r="X1369" s="10" t="s">
        <v>13817</v>
      </c>
      <c r="Y1369" s="10" t="s">
        <v>13818</v>
      </c>
      <c r="Z1369" s="10" t="s">
        <v>50</v>
      </c>
      <c r="AA1369" s="10" t="s">
        <v>50</v>
      </c>
      <c r="AB1369" s="10" t="s">
        <v>13816</v>
      </c>
      <c r="AC1369" s="10" t="s">
        <v>13819</v>
      </c>
      <c r="AD1369" s="10" t="s">
        <v>13820</v>
      </c>
      <c r="AE1369" s="10" t="s">
        <v>13821</v>
      </c>
      <c r="AF1369" s="10" t="s">
        <v>151</v>
      </c>
      <c r="AG1369" s="10" t="s">
        <v>13822</v>
      </c>
      <c r="AH1369" s="10" t="s">
        <v>60</v>
      </c>
      <c r="AI1369" s="10" t="s">
        <v>13406</v>
      </c>
      <c r="AJ1369" s="10" t="s">
        <v>13081</v>
      </c>
      <c r="AK1369" s="10" t="s">
        <v>13823</v>
      </c>
      <c r="AL1369" s="10" t="s">
        <v>64</v>
      </c>
      <c r="AM1369" s="10" t="s">
        <v>13824</v>
      </c>
      <c r="AN1369" s="10" t="s">
        <v>50</v>
      </c>
      <c r="AO1369" s="11" t="s">
        <v>50</v>
      </c>
      <c r="AP1369" s="10" t="s">
        <v>50</v>
      </c>
      <c r="AQ1369" s="10" t="s">
        <v>50</v>
      </c>
      <c r="AR1369" s="10" t="s">
        <v>50</v>
      </c>
      <c r="AS1369" s="10" t="s">
        <v>50</v>
      </c>
      <c r="AT1369" s="10" t="s">
        <v>50</v>
      </c>
      <c r="AU1369" s="10" t="s">
        <v>50</v>
      </c>
      <c r="AV1369" s="11"/>
      <c r="AW1369" s="10" t="s">
        <v>66</v>
      </c>
      <c r="AX1369" s="10"/>
      <c r="AY1369" s="10" t="s">
        <v>66</v>
      </c>
    </row>
    <row r="1370" ht="22.5" hidden="1" customHeight="1">
      <c r="A1370" s="9" t="s">
        <v>13825</v>
      </c>
      <c r="B1370" s="10" t="s">
        <v>13826</v>
      </c>
      <c r="C1370" s="10" t="s">
        <v>43</v>
      </c>
      <c r="D1370" s="10" t="s">
        <v>9839</v>
      </c>
      <c r="E1370" s="10" t="s">
        <v>66</v>
      </c>
      <c r="F1370" s="11">
        <v>1.0</v>
      </c>
      <c r="G1370" s="11">
        <v>120.0</v>
      </c>
      <c r="H1370" s="11"/>
      <c r="I1370" s="11">
        <v>-20.4</v>
      </c>
      <c r="J1370" s="11">
        <v>-19.95</v>
      </c>
      <c r="K1370" s="11"/>
      <c r="L1370" s="11">
        <v>86.85</v>
      </c>
      <c r="M1370" s="10" t="s">
        <v>12218</v>
      </c>
      <c r="N1370" s="10" t="s">
        <v>45</v>
      </c>
      <c r="O1370" s="10" t="s">
        <v>85</v>
      </c>
      <c r="P1370" s="10" t="s">
        <v>86</v>
      </c>
      <c r="Q1370" s="10" t="s">
        <v>87</v>
      </c>
      <c r="R1370" s="10" t="s">
        <v>74</v>
      </c>
      <c r="S1370" s="11">
        <v>120.0</v>
      </c>
      <c r="T1370" s="11">
        <v>65.78</v>
      </c>
      <c r="U1370" s="11" t="s">
        <v>51</v>
      </c>
      <c r="V1370" s="10" t="s">
        <v>52</v>
      </c>
      <c r="W1370" s="10" t="s">
        <v>13827</v>
      </c>
      <c r="X1370" s="10" t="s">
        <v>13828</v>
      </c>
      <c r="Y1370" s="10" t="s">
        <v>13829</v>
      </c>
      <c r="Z1370" s="10" t="s">
        <v>50</v>
      </c>
      <c r="AA1370" s="10" t="s">
        <v>50</v>
      </c>
      <c r="AB1370" s="10" t="s">
        <v>13827</v>
      </c>
      <c r="AC1370" s="10" t="s">
        <v>13830</v>
      </c>
      <c r="AD1370" s="10" t="s">
        <v>13831</v>
      </c>
      <c r="AE1370" s="10" t="s">
        <v>1291</v>
      </c>
      <c r="AF1370" s="10" t="s">
        <v>201</v>
      </c>
      <c r="AG1370" s="10" t="s">
        <v>13832</v>
      </c>
      <c r="AH1370" s="10" t="s">
        <v>60</v>
      </c>
      <c r="AI1370" s="10" t="s">
        <v>13406</v>
      </c>
      <c r="AJ1370" s="10" t="s">
        <v>12902</v>
      </c>
      <c r="AK1370" s="10" t="s">
        <v>13833</v>
      </c>
      <c r="AL1370" s="10" t="s">
        <v>64</v>
      </c>
      <c r="AM1370" s="10" t="s">
        <v>13834</v>
      </c>
      <c r="AN1370" s="10" t="s">
        <v>50</v>
      </c>
      <c r="AO1370" s="11" t="s">
        <v>50</v>
      </c>
      <c r="AP1370" s="10" t="s">
        <v>50</v>
      </c>
      <c r="AQ1370" s="10" t="s">
        <v>50</v>
      </c>
      <c r="AR1370" s="10" t="s">
        <v>50</v>
      </c>
      <c r="AS1370" s="10" t="s">
        <v>50</v>
      </c>
      <c r="AT1370" s="10" t="s">
        <v>50</v>
      </c>
      <c r="AU1370" s="10" t="s">
        <v>50</v>
      </c>
      <c r="AV1370" s="11"/>
      <c r="AW1370" s="10" t="s">
        <v>66</v>
      </c>
      <c r="AX1370" s="10"/>
      <c r="AY1370" s="10" t="s">
        <v>66</v>
      </c>
    </row>
    <row r="1371" ht="22.5" hidden="1" customHeight="1">
      <c r="A1371" s="9" t="s">
        <v>13835</v>
      </c>
      <c r="B1371" s="10" t="s">
        <v>13836</v>
      </c>
      <c r="C1371" s="10" t="s">
        <v>43</v>
      </c>
      <c r="D1371" s="10" t="s">
        <v>11519</v>
      </c>
      <c r="E1371" s="10" t="s">
        <v>45</v>
      </c>
      <c r="F1371" s="11">
        <v>1.0</v>
      </c>
      <c r="G1371" s="11">
        <v>79.0</v>
      </c>
      <c r="H1371" s="11"/>
      <c r="I1371" s="11">
        <v>-13.43</v>
      </c>
      <c r="J1371" s="11">
        <v>-20.45</v>
      </c>
      <c r="K1371" s="11"/>
      <c r="L1371" s="11">
        <v>45.12</v>
      </c>
      <c r="M1371" s="10" t="s">
        <v>46</v>
      </c>
      <c r="N1371" s="10" t="s">
        <v>45</v>
      </c>
      <c r="O1371" s="10" t="s">
        <v>160</v>
      </c>
      <c r="P1371" s="10" t="s">
        <v>161</v>
      </c>
      <c r="Q1371" s="10" t="s">
        <v>162</v>
      </c>
      <c r="R1371" s="10" t="s">
        <v>74</v>
      </c>
      <c r="S1371" s="11">
        <v>79.0</v>
      </c>
      <c r="T1371" s="11">
        <v>2.49</v>
      </c>
      <c r="U1371" s="11" t="s">
        <v>51</v>
      </c>
      <c r="V1371" s="10" t="s">
        <v>52</v>
      </c>
      <c r="W1371" s="10" t="s">
        <v>13837</v>
      </c>
      <c r="X1371" s="10" t="s">
        <v>13838</v>
      </c>
      <c r="Y1371" s="10" t="s">
        <v>13839</v>
      </c>
      <c r="Z1371" s="10" t="s">
        <v>50</v>
      </c>
      <c r="AA1371" s="10" t="s">
        <v>50</v>
      </c>
      <c r="AB1371" s="10" t="s">
        <v>13837</v>
      </c>
      <c r="AC1371" s="10" t="s">
        <v>13840</v>
      </c>
      <c r="AD1371" s="10" t="s">
        <v>13841</v>
      </c>
      <c r="AE1371" s="10" t="s">
        <v>13842</v>
      </c>
      <c r="AF1371" s="10" t="s">
        <v>214</v>
      </c>
      <c r="AG1371" s="10" t="s">
        <v>13843</v>
      </c>
      <c r="AH1371" s="10" t="s">
        <v>60</v>
      </c>
      <c r="AI1371" s="10" t="s">
        <v>13406</v>
      </c>
      <c r="AJ1371" s="10" t="s">
        <v>13844</v>
      </c>
      <c r="AK1371" s="10" t="s">
        <v>13845</v>
      </c>
      <c r="AL1371" s="10" t="s">
        <v>13846</v>
      </c>
      <c r="AM1371" s="10" t="s">
        <v>13847</v>
      </c>
      <c r="AN1371" s="10" t="s">
        <v>13848</v>
      </c>
      <c r="AO1371" s="11" t="s">
        <v>50</v>
      </c>
      <c r="AP1371" s="10" t="s">
        <v>50</v>
      </c>
      <c r="AQ1371" s="10" t="s">
        <v>50</v>
      </c>
      <c r="AR1371" s="10" t="s">
        <v>50</v>
      </c>
      <c r="AS1371" s="10" t="s">
        <v>50</v>
      </c>
      <c r="AT1371" s="10" t="s">
        <v>50</v>
      </c>
      <c r="AU1371" s="10" t="s">
        <v>50</v>
      </c>
      <c r="AV1371" s="11"/>
      <c r="AW1371" s="10" t="s">
        <v>66</v>
      </c>
      <c r="AX1371" s="10"/>
      <c r="AY1371" s="10" t="s">
        <v>66</v>
      </c>
    </row>
    <row r="1372" ht="22.5" hidden="1" customHeight="1">
      <c r="A1372" s="12" t="s">
        <v>13849</v>
      </c>
      <c r="B1372" s="13" t="s">
        <v>13850</v>
      </c>
      <c r="C1372" s="13" t="s">
        <v>747</v>
      </c>
      <c r="D1372" s="13" t="s">
        <v>50</v>
      </c>
      <c r="E1372" s="13" t="s">
        <v>50</v>
      </c>
      <c r="F1372" s="14"/>
      <c r="G1372" s="14">
        <v>122.7</v>
      </c>
      <c r="H1372" s="14"/>
      <c r="I1372" s="14">
        <v>-22.91</v>
      </c>
      <c r="J1372" s="14">
        <v>-20.45</v>
      </c>
      <c r="K1372" s="14"/>
      <c r="L1372" s="14">
        <v>81.96</v>
      </c>
      <c r="M1372" s="13" t="s">
        <v>12218</v>
      </c>
      <c r="N1372" s="13" t="s">
        <v>50</v>
      </c>
      <c r="O1372" s="13" t="s">
        <v>50</v>
      </c>
      <c r="P1372" s="13" t="s">
        <v>50</v>
      </c>
      <c r="Q1372" s="13" t="s">
        <v>50</v>
      </c>
      <c r="R1372" s="13" t="s">
        <v>50</v>
      </c>
      <c r="S1372" s="14"/>
      <c r="T1372" s="11"/>
      <c r="U1372" s="14" t="s">
        <v>50</v>
      </c>
      <c r="V1372" s="13" t="s">
        <v>52</v>
      </c>
      <c r="W1372" s="13" t="s">
        <v>13851</v>
      </c>
      <c r="X1372" s="13" t="s">
        <v>13852</v>
      </c>
      <c r="Y1372" s="13" t="s">
        <v>13853</v>
      </c>
      <c r="Z1372" s="13" t="s">
        <v>50</v>
      </c>
      <c r="AA1372" s="13" t="s">
        <v>50</v>
      </c>
      <c r="AB1372" s="13" t="s">
        <v>13851</v>
      </c>
      <c r="AC1372" s="13" t="s">
        <v>13854</v>
      </c>
      <c r="AD1372" s="13" t="s">
        <v>13855</v>
      </c>
      <c r="AE1372" s="13" t="s">
        <v>8187</v>
      </c>
      <c r="AF1372" s="13" t="s">
        <v>284</v>
      </c>
      <c r="AG1372" s="13" t="s">
        <v>13856</v>
      </c>
      <c r="AH1372" s="13" t="s">
        <v>60</v>
      </c>
      <c r="AI1372" s="13" t="s">
        <v>13406</v>
      </c>
      <c r="AJ1372" s="13" t="s">
        <v>12258</v>
      </c>
      <c r="AK1372" s="13" t="s">
        <v>13857</v>
      </c>
      <c r="AL1372" s="13" t="s">
        <v>64</v>
      </c>
      <c r="AM1372" s="13" t="s">
        <v>13858</v>
      </c>
      <c r="AN1372" s="13" t="s">
        <v>13859</v>
      </c>
      <c r="AO1372" s="15" t="s">
        <v>50</v>
      </c>
      <c r="AP1372" s="13" t="s">
        <v>50</v>
      </c>
      <c r="AQ1372" s="13" t="s">
        <v>50</v>
      </c>
      <c r="AR1372" s="13" t="s">
        <v>50</v>
      </c>
      <c r="AS1372" s="13" t="s">
        <v>50</v>
      </c>
      <c r="AT1372" s="13" t="s">
        <v>50</v>
      </c>
      <c r="AU1372" s="13" t="s">
        <v>50</v>
      </c>
      <c r="AV1372" s="15"/>
      <c r="AW1372" s="13" t="s">
        <v>50</v>
      </c>
      <c r="AX1372" s="13"/>
      <c r="AY1372" s="13" t="s">
        <v>50</v>
      </c>
    </row>
    <row r="1373" ht="22.5" hidden="1" customHeight="1">
      <c r="A1373" s="16" t="s">
        <v>13860</v>
      </c>
      <c r="B1373" s="17" t="s">
        <v>13850</v>
      </c>
      <c r="C1373" s="17" t="s">
        <v>43</v>
      </c>
      <c r="D1373" s="17" t="s">
        <v>8227</v>
      </c>
      <c r="E1373" s="17" t="s">
        <v>45</v>
      </c>
      <c r="F1373" s="18">
        <v>1.0</v>
      </c>
      <c r="G1373" s="18"/>
      <c r="H1373" s="18"/>
      <c r="I1373" s="18"/>
      <c r="J1373" s="18"/>
      <c r="K1373" s="18"/>
      <c r="L1373" s="18"/>
      <c r="M1373" s="17" t="s">
        <v>50</v>
      </c>
      <c r="N1373" s="17" t="s">
        <v>50</v>
      </c>
      <c r="O1373" s="17" t="s">
        <v>192</v>
      </c>
      <c r="P1373" s="17" t="s">
        <v>193</v>
      </c>
      <c r="Q1373" s="17" t="s">
        <v>162</v>
      </c>
      <c r="R1373" s="17" t="s">
        <v>74</v>
      </c>
      <c r="S1373" s="18">
        <v>79.0</v>
      </c>
      <c r="T1373" s="11">
        <v>2.49</v>
      </c>
      <c r="U1373" s="18" t="s">
        <v>194</v>
      </c>
      <c r="V1373" s="17" t="s">
        <v>50</v>
      </c>
      <c r="W1373" s="17" t="s">
        <v>50</v>
      </c>
      <c r="X1373" s="17" t="s">
        <v>50</v>
      </c>
      <c r="Y1373" s="17" t="s">
        <v>50</v>
      </c>
      <c r="Z1373" s="17" t="s">
        <v>50</v>
      </c>
      <c r="AA1373" s="17" t="s">
        <v>50</v>
      </c>
      <c r="AB1373" s="17" t="s">
        <v>50</v>
      </c>
      <c r="AC1373" s="17" t="s">
        <v>50</v>
      </c>
      <c r="AD1373" s="17" t="s">
        <v>50</v>
      </c>
      <c r="AE1373" s="17" t="s">
        <v>50</v>
      </c>
      <c r="AF1373" s="17" t="s">
        <v>50</v>
      </c>
      <c r="AG1373" s="17" t="s">
        <v>50</v>
      </c>
      <c r="AH1373" s="17" t="s">
        <v>50</v>
      </c>
      <c r="AI1373" s="17" t="s">
        <v>50</v>
      </c>
      <c r="AJ1373" s="17" t="s">
        <v>50</v>
      </c>
      <c r="AK1373" s="17" t="s">
        <v>50</v>
      </c>
      <c r="AL1373" s="17" t="s">
        <v>50</v>
      </c>
      <c r="AM1373" s="17" t="s">
        <v>50</v>
      </c>
      <c r="AN1373" s="17" t="s">
        <v>50</v>
      </c>
      <c r="AO1373" s="18" t="s">
        <v>50</v>
      </c>
      <c r="AP1373" s="17" t="s">
        <v>50</v>
      </c>
      <c r="AQ1373" s="17" t="s">
        <v>50</v>
      </c>
      <c r="AR1373" s="17" t="s">
        <v>50</v>
      </c>
      <c r="AS1373" s="17" t="s">
        <v>50</v>
      </c>
      <c r="AT1373" s="17" t="s">
        <v>50</v>
      </c>
      <c r="AU1373" s="17" t="s">
        <v>50</v>
      </c>
      <c r="AV1373" s="18"/>
      <c r="AW1373" s="17" t="s">
        <v>66</v>
      </c>
      <c r="AX1373" s="17"/>
      <c r="AY1373" s="17" t="s">
        <v>66</v>
      </c>
    </row>
    <row r="1374" ht="22.5" hidden="1" customHeight="1">
      <c r="A1374" s="16" t="s">
        <v>13861</v>
      </c>
      <c r="B1374" s="17" t="s">
        <v>13850</v>
      </c>
      <c r="C1374" s="17" t="s">
        <v>43</v>
      </c>
      <c r="D1374" s="17" t="s">
        <v>8227</v>
      </c>
      <c r="E1374" s="17" t="s">
        <v>45</v>
      </c>
      <c r="F1374" s="18">
        <v>1.0</v>
      </c>
      <c r="G1374" s="18"/>
      <c r="H1374" s="18"/>
      <c r="I1374" s="18"/>
      <c r="J1374" s="18"/>
      <c r="K1374" s="18"/>
      <c r="L1374" s="18"/>
      <c r="M1374" s="17" t="s">
        <v>50</v>
      </c>
      <c r="N1374" s="17" t="s">
        <v>50</v>
      </c>
      <c r="O1374" s="17" t="s">
        <v>176</v>
      </c>
      <c r="P1374" s="17" t="s">
        <v>177</v>
      </c>
      <c r="Q1374" s="17" t="s">
        <v>178</v>
      </c>
      <c r="R1374" s="17" t="s">
        <v>74</v>
      </c>
      <c r="S1374" s="18">
        <v>43.7</v>
      </c>
      <c r="T1374" s="18">
        <v>22.58</v>
      </c>
      <c r="U1374" s="18" t="s">
        <v>51</v>
      </c>
      <c r="V1374" s="17" t="s">
        <v>50</v>
      </c>
      <c r="W1374" s="17" t="s">
        <v>50</v>
      </c>
      <c r="X1374" s="17" t="s">
        <v>50</v>
      </c>
      <c r="Y1374" s="17" t="s">
        <v>50</v>
      </c>
      <c r="Z1374" s="17" t="s">
        <v>50</v>
      </c>
      <c r="AA1374" s="17" t="s">
        <v>50</v>
      </c>
      <c r="AB1374" s="17" t="s">
        <v>50</v>
      </c>
      <c r="AC1374" s="17" t="s">
        <v>50</v>
      </c>
      <c r="AD1374" s="17" t="s">
        <v>50</v>
      </c>
      <c r="AE1374" s="17" t="s">
        <v>50</v>
      </c>
      <c r="AF1374" s="17" t="s">
        <v>50</v>
      </c>
      <c r="AG1374" s="17" t="s">
        <v>50</v>
      </c>
      <c r="AH1374" s="17" t="s">
        <v>50</v>
      </c>
      <c r="AI1374" s="17" t="s">
        <v>50</v>
      </c>
      <c r="AJ1374" s="17" t="s">
        <v>50</v>
      </c>
      <c r="AK1374" s="17" t="s">
        <v>50</v>
      </c>
      <c r="AL1374" s="17" t="s">
        <v>50</v>
      </c>
      <c r="AM1374" s="17" t="s">
        <v>50</v>
      </c>
      <c r="AN1374" s="17" t="s">
        <v>50</v>
      </c>
      <c r="AO1374" s="18" t="s">
        <v>50</v>
      </c>
      <c r="AP1374" s="17" t="s">
        <v>50</v>
      </c>
      <c r="AQ1374" s="17" t="s">
        <v>50</v>
      </c>
      <c r="AR1374" s="17" t="s">
        <v>50</v>
      </c>
      <c r="AS1374" s="17" t="s">
        <v>50</v>
      </c>
      <c r="AT1374" s="17" t="s">
        <v>50</v>
      </c>
      <c r="AU1374" s="17" t="s">
        <v>50</v>
      </c>
      <c r="AV1374" s="18"/>
      <c r="AW1374" s="17" t="s">
        <v>66</v>
      </c>
      <c r="AX1374" s="17"/>
      <c r="AY1374" s="17" t="s">
        <v>66</v>
      </c>
    </row>
    <row r="1375" ht="22.5" hidden="1" customHeight="1">
      <c r="A1375" s="9" t="s">
        <v>13862</v>
      </c>
      <c r="B1375" s="10" t="s">
        <v>13863</v>
      </c>
      <c r="C1375" s="10" t="s">
        <v>43</v>
      </c>
      <c r="D1375" s="10" t="s">
        <v>8227</v>
      </c>
      <c r="E1375" s="10" t="s">
        <v>66</v>
      </c>
      <c r="F1375" s="11">
        <v>1.0</v>
      </c>
      <c r="G1375" s="11">
        <v>120.0</v>
      </c>
      <c r="H1375" s="11"/>
      <c r="I1375" s="11">
        <v>-20.4</v>
      </c>
      <c r="J1375" s="11">
        <v>-19.95</v>
      </c>
      <c r="K1375" s="11"/>
      <c r="L1375" s="11">
        <v>86.85</v>
      </c>
      <c r="M1375" s="10" t="s">
        <v>46</v>
      </c>
      <c r="N1375" s="10" t="s">
        <v>45</v>
      </c>
      <c r="O1375" s="10" t="s">
        <v>85</v>
      </c>
      <c r="P1375" s="10" t="s">
        <v>86</v>
      </c>
      <c r="Q1375" s="10" t="s">
        <v>87</v>
      </c>
      <c r="R1375" s="10" t="s">
        <v>74</v>
      </c>
      <c r="S1375" s="11">
        <v>120.0</v>
      </c>
      <c r="T1375" s="11">
        <v>65.78</v>
      </c>
      <c r="U1375" s="11" t="s">
        <v>51</v>
      </c>
      <c r="V1375" s="10" t="s">
        <v>52</v>
      </c>
      <c r="W1375" s="10" t="s">
        <v>13864</v>
      </c>
      <c r="X1375" s="10" t="s">
        <v>13865</v>
      </c>
      <c r="Y1375" s="10" t="s">
        <v>13866</v>
      </c>
      <c r="Z1375" s="10" t="s">
        <v>50</v>
      </c>
      <c r="AA1375" s="10" t="s">
        <v>50</v>
      </c>
      <c r="AB1375" s="10" t="s">
        <v>13864</v>
      </c>
      <c r="AC1375" s="10" t="s">
        <v>13867</v>
      </c>
      <c r="AD1375" s="10" t="s">
        <v>13868</v>
      </c>
      <c r="AE1375" s="10" t="s">
        <v>58</v>
      </c>
      <c r="AF1375" s="10" t="s">
        <v>58</v>
      </c>
      <c r="AG1375" s="10" t="s">
        <v>13869</v>
      </c>
      <c r="AH1375" s="10" t="s">
        <v>60</v>
      </c>
      <c r="AI1375" s="10" t="s">
        <v>13406</v>
      </c>
      <c r="AJ1375" s="10" t="s">
        <v>13870</v>
      </c>
      <c r="AK1375" s="10" t="s">
        <v>13871</v>
      </c>
      <c r="AL1375" s="10" t="s">
        <v>64</v>
      </c>
      <c r="AM1375" s="10" t="s">
        <v>13872</v>
      </c>
      <c r="AN1375" s="10" t="s">
        <v>13873</v>
      </c>
      <c r="AO1375" s="11" t="s">
        <v>50</v>
      </c>
      <c r="AP1375" s="10" t="s">
        <v>50</v>
      </c>
      <c r="AQ1375" s="10" t="s">
        <v>50</v>
      </c>
      <c r="AR1375" s="10" t="s">
        <v>50</v>
      </c>
      <c r="AS1375" s="10" t="s">
        <v>50</v>
      </c>
      <c r="AT1375" s="10" t="s">
        <v>50</v>
      </c>
      <c r="AU1375" s="10" t="s">
        <v>50</v>
      </c>
      <c r="AV1375" s="11"/>
      <c r="AW1375" s="10" t="s">
        <v>66</v>
      </c>
      <c r="AX1375" s="10"/>
      <c r="AY1375" s="10" t="s">
        <v>66</v>
      </c>
    </row>
    <row r="1376" ht="22.5" hidden="1" customHeight="1">
      <c r="A1376" s="9" t="s">
        <v>13874</v>
      </c>
      <c r="B1376" s="10" t="s">
        <v>13875</v>
      </c>
      <c r="C1376" s="10" t="s">
        <v>43</v>
      </c>
      <c r="D1376" s="10" t="s">
        <v>12217</v>
      </c>
      <c r="E1376" s="10" t="s">
        <v>45</v>
      </c>
      <c r="F1376" s="11">
        <v>1.0</v>
      </c>
      <c r="G1376" s="11">
        <v>43.7</v>
      </c>
      <c r="H1376" s="11">
        <v>17.0</v>
      </c>
      <c r="I1376" s="11">
        <v>-13.43</v>
      </c>
      <c r="J1376" s="11">
        <v>-17.0</v>
      </c>
      <c r="K1376" s="11"/>
      <c r="L1376" s="11">
        <v>32.89</v>
      </c>
      <c r="M1376" s="10" t="s">
        <v>46</v>
      </c>
      <c r="N1376" s="10" t="s">
        <v>50</v>
      </c>
      <c r="O1376" s="10" t="s">
        <v>176</v>
      </c>
      <c r="P1376" s="10" t="s">
        <v>177</v>
      </c>
      <c r="Q1376" s="10" t="s">
        <v>178</v>
      </c>
      <c r="R1376" s="10" t="s">
        <v>74</v>
      </c>
      <c r="S1376" s="11">
        <v>43.7</v>
      </c>
      <c r="T1376" s="11">
        <v>22.58</v>
      </c>
      <c r="U1376" s="11" t="s">
        <v>51</v>
      </c>
      <c r="V1376" s="10" t="s">
        <v>52</v>
      </c>
      <c r="W1376" s="10" t="s">
        <v>13876</v>
      </c>
      <c r="X1376" s="10" t="s">
        <v>13877</v>
      </c>
      <c r="Y1376" s="10" t="s">
        <v>13878</v>
      </c>
      <c r="Z1376" s="10" t="s">
        <v>50</v>
      </c>
      <c r="AA1376" s="10" t="s">
        <v>50</v>
      </c>
      <c r="AB1376" s="10" t="s">
        <v>13876</v>
      </c>
      <c r="AC1376" s="10" t="s">
        <v>13879</v>
      </c>
      <c r="AD1376" s="10" t="s">
        <v>13880</v>
      </c>
      <c r="AE1376" s="10" t="s">
        <v>13881</v>
      </c>
      <c r="AF1376" s="10" t="s">
        <v>58</v>
      </c>
      <c r="AG1376" s="10" t="s">
        <v>13882</v>
      </c>
      <c r="AH1376" s="10" t="s">
        <v>60</v>
      </c>
      <c r="AI1376" s="10" t="s">
        <v>13406</v>
      </c>
      <c r="AJ1376" s="10" t="s">
        <v>13883</v>
      </c>
      <c r="AK1376" s="10" t="s">
        <v>13884</v>
      </c>
      <c r="AL1376" s="10" t="s">
        <v>64</v>
      </c>
      <c r="AM1376" s="10" t="s">
        <v>13885</v>
      </c>
      <c r="AN1376" s="10" t="s">
        <v>50</v>
      </c>
      <c r="AO1376" s="11" t="s">
        <v>50</v>
      </c>
      <c r="AP1376" s="10" t="s">
        <v>50</v>
      </c>
      <c r="AQ1376" s="10" t="s">
        <v>50</v>
      </c>
      <c r="AR1376" s="10" t="s">
        <v>50</v>
      </c>
      <c r="AS1376" s="10" t="s">
        <v>50</v>
      </c>
      <c r="AT1376" s="10" t="s">
        <v>50</v>
      </c>
      <c r="AU1376" s="10" t="s">
        <v>50</v>
      </c>
      <c r="AV1376" s="11"/>
      <c r="AW1376" s="10" t="s">
        <v>66</v>
      </c>
      <c r="AX1376" s="10"/>
      <c r="AY1376" s="10" t="s">
        <v>66</v>
      </c>
    </row>
    <row r="1377" ht="22.5" hidden="1" customHeight="1">
      <c r="A1377" s="12" t="s">
        <v>13886</v>
      </c>
      <c r="B1377" s="13" t="s">
        <v>13887</v>
      </c>
      <c r="C1377" s="13" t="s">
        <v>747</v>
      </c>
      <c r="D1377" s="13" t="s">
        <v>50</v>
      </c>
      <c r="E1377" s="13" t="s">
        <v>50</v>
      </c>
      <c r="F1377" s="14"/>
      <c r="G1377" s="14">
        <v>86.05</v>
      </c>
      <c r="H1377" s="14">
        <v>5.92</v>
      </c>
      <c r="I1377" s="14">
        <v>-27.48</v>
      </c>
      <c r="J1377" s="14">
        <v>-5.92</v>
      </c>
      <c r="K1377" s="14"/>
      <c r="L1377" s="14">
        <v>61.19</v>
      </c>
      <c r="M1377" s="13" t="s">
        <v>46</v>
      </c>
      <c r="N1377" s="13" t="s">
        <v>50</v>
      </c>
      <c r="O1377" s="13" t="s">
        <v>50</v>
      </c>
      <c r="P1377" s="13" t="s">
        <v>50</v>
      </c>
      <c r="Q1377" s="13" t="s">
        <v>50</v>
      </c>
      <c r="R1377" s="13" t="s">
        <v>50</v>
      </c>
      <c r="S1377" s="14"/>
      <c r="T1377" s="11"/>
      <c r="U1377" s="14" t="s">
        <v>50</v>
      </c>
      <c r="V1377" s="13" t="s">
        <v>52</v>
      </c>
      <c r="W1377" s="13" t="s">
        <v>13888</v>
      </c>
      <c r="X1377" s="13" t="s">
        <v>13889</v>
      </c>
      <c r="Y1377" s="13" t="s">
        <v>13890</v>
      </c>
      <c r="Z1377" s="13" t="s">
        <v>50</v>
      </c>
      <c r="AA1377" s="13" t="s">
        <v>50</v>
      </c>
      <c r="AB1377" s="13" t="s">
        <v>13888</v>
      </c>
      <c r="AC1377" s="13" t="s">
        <v>13891</v>
      </c>
      <c r="AD1377" s="13" t="s">
        <v>13892</v>
      </c>
      <c r="AE1377" s="13" t="s">
        <v>108</v>
      </c>
      <c r="AF1377" s="13" t="s">
        <v>58</v>
      </c>
      <c r="AG1377" s="13" t="s">
        <v>13893</v>
      </c>
      <c r="AH1377" s="13" t="s">
        <v>60</v>
      </c>
      <c r="AI1377" s="13" t="s">
        <v>13406</v>
      </c>
      <c r="AJ1377" s="13" t="s">
        <v>13844</v>
      </c>
      <c r="AK1377" s="13" t="s">
        <v>13894</v>
      </c>
      <c r="AL1377" s="13" t="s">
        <v>64</v>
      </c>
      <c r="AM1377" s="13" t="s">
        <v>13895</v>
      </c>
      <c r="AN1377" s="13" t="s">
        <v>50</v>
      </c>
      <c r="AO1377" s="15" t="s">
        <v>50</v>
      </c>
      <c r="AP1377" s="13" t="s">
        <v>50</v>
      </c>
      <c r="AQ1377" s="13" t="s">
        <v>50</v>
      </c>
      <c r="AR1377" s="13" t="s">
        <v>50</v>
      </c>
      <c r="AS1377" s="13" t="s">
        <v>50</v>
      </c>
      <c r="AT1377" s="13" t="s">
        <v>50</v>
      </c>
      <c r="AU1377" s="13" t="s">
        <v>50</v>
      </c>
      <c r="AV1377" s="15"/>
      <c r="AW1377" s="13" t="s">
        <v>50</v>
      </c>
      <c r="AX1377" s="13"/>
      <c r="AY1377" s="13" t="s">
        <v>50</v>
      </c>
    </row>
    <row r="1378" ht="22.5" hidden="1" customHeight="1">
      <c r="A1378" s="16" t="s">
        <v>13896</v>
      </c>
      <c r="B1378" s="17" t="s">
        <v>13887</v>
      </c>
      <c r="C1378" s="17" t="s">
        <v>43</v>
      </c>
      <c r="D1378" s="17" t="s">
        <v>13049</v>
      </c>
      <c r="E1378" s="17" t="s">
        <v>45</v>
      </c>
      <c r="F1378" s="18">
        <v>1.0</v>
      </c>
      <c r="G1378" s="18"/>
      <c r="H1378" s="18"/>
      <c r="I1378" s="18"/>
      <c r="J1378" s="18"/>
      <c r="K1378" s="18"/>
      <c r="L1378" s="18"/>
      <c r="M1378" s="17" t="s">
        <v>50</v>
      </c>
      <c r="N1378" s="17" t="s">
        <v>50</v>
      </c>
      <c r="O1378" s="17" t="s">
        <v>176</v>
      </c>
      <c r="P1378" s="17" t="s">
        <v>177</v>
      </c>
      <c r="Q1378" s="17" t="s">
        <v>178</v>
      </c>
      <c r="R1378" s="17" t="s">
        <v>74</v>
      </c>
      <c r="S1378" s="18">
        <v>43.7</v>
      </c>
      <c r="T1378" s="18">
        <v>22.58</v>
      </c>
      <c r="U1378" s="18" t="s">
        <v>51</v>
      </c>
      <c r="V1378" s="17" t="s">
        <v>50</v>
      </c>
      <c r="W1378" s="17" t="s">
        <v>50</v>
      </c>
      <c r="X1378" s="17" t="s">
        <v>50</v>
      </c>
      <c r="Y1378" s="17" t="s">
        <v>50</v>
      </c>
      <c r="Z1378" s="17" t="s">
        <v>50</v>
      </c>
      <c r="AA1378" s="17" t="s">
        <v>50</v>
      </c>
      <c r="AB1378" s="17" t="s">
        <v>50</v>
      </c>
      <c r="AC1378" s="17" t="s">
        <v>50</v>
      </c>
      <c r="AD1378" s="17" t="s">
        <v>50</v>
      </c>
      <c r="AE1378" s="17" t="s">
        <v>50</v>
      </c>
      <c r="AF1378" s="17" t="s">
        <v>50</v>
      </c>
      <c r="AG1378" s="17" t="s">
        <v>50</v>
      </c>
      <c r="AH1378" s="17" t="s">
        <v>50</v>
      </c>
      <c r="AI1378" s="17" t="s">
        <v>50</v>
      </c>
      <c r="AJ1378" s="17" t="s">
        <v>50</v>
      </c>
      <c r="AK1378" s="17" t="s">
        <v>50</v>
      </c>
      <c r="AL1378" s="17" t="s">
        <v>50</v>
      </c>
      <c r="AM1378" s="17" t="s">
        <v>50</v>
      </c>
      <c r="AN1378" s="17" t="s">
        <v>50</v>
      </c>
      <c r="AO1378" s="18" t="s">
        <v>50</v>
      </c>
      <c r="AP1378" s="17" t="s">
        <v>50</v>
      </c>
      <c r="AQ1378" s="17" t="s">
        <v>50</v>
      </c>
      <c r="AR1378" s="17" t="s">
        <v>50</v>
      </c>
      <c r="AS1378" s="17" t="s">
        <v>50</v>
      </c>
      <c r="AT1378" s="17" t="s">
        <v>50</v>
      </c>
      <c r="AU1378" s="17" t="s">
        <v>50</v>
      </c>
      <c r="AV1378" s="18"/>
      <c r="AW1378" s="17" t="s">
        <v>66</v>
      </c>
      <c r="AX1378" s="17"/>
      <c r="AY1378" s="17" t="s">
        <v>66</v>
      </c>
    </row>
    <row r="1379" ht="22.5" hidden="1" customHeight="1">
      <c r="A1379" s="16" t="s">
        <v>13897</v>
      </c>
      <c r="B1379" s="17" t="s">
        <v>13887</v>
      </c>
      <c r="C1379" s="17" t="s">
        <v>43</v>
      </c>
      <c r="D1379" s="17" t="s">
        <v>13049</v>
      </c>
      <c r="E1379" s="17" t="s">
        <v>45</v>
      </c>
      <c r="F1379" s="18">
        <v>1.0</v>
      </c>
      <c r="G1379" s="18"/>
      <c r="H1379" s="18"/>
      <c r="I1379" s="18"/>
      <c r="J1379" s="18"/>
      <c r="K1379" s="18"/>
      <c r="L1379" s="18"/>
      <c r="M1379" s="17" t="s">
        <v>50</v>
      </c>
      <c r="N1379" s="17" t="s">
        <v>50</v>
      </c>
      <c r="O1379" s="17" t="s">
        <v>863</v>
      </c>
      <c r="P1379" s="17" t="s">
        <v>864</v>
      </c>
      <c r="Q1379" s="17" t="s">
        <v>865</v>
      </c>
      <c r="R1379" s="17" t="s">
        <v>50</v>
      </c>
      <c r="S1379" s="18">
        <v>42.35</v>
      </c>
      <c r="T1379" s="18">
        <v>4.15</v>
      </c>
      <c r="U1379" s="18" t="s">
        <v>51</v>
      </c>
      <c r="V1379" s="17" t="s">
        <v>50</v>
      </c>
      <c r="W1379" s="17" t="s">
        <v>50</v>
      </c>
      <c r="X1379" s="17" t="s">
        <v>50</v>
      </c>
      <c r="Y1379" s="17" t="s">
        <v>50</v>
      </c>
      <c r="Z1379" s="17" t="s">
        <v>50</v>
      </c>
      <c r="AA1379" s="17" t="s">
        <v>50</v>
      </c>
      <c r="AB1379" s="17" t="s">
        <v>50</v>
      </c>
      <c r="AC1379" s="17" t="s">
        <v>50</v>
      </c>
      <c r="AD1379" s="17" t="s">
        <v>50</v>
      </c>
      <c r="AE1379" s="17" t="s">
        <v>50</v>
      </c>
      <c r="AF1379" s="17" t="s">
        <v>50</v>
      </c>
      <c r="AG1379" s="17" t="s">
        <v>50</v>
      </c>
      <c r="AH1379" s="17" t="s">
        <v>50</v>
      </c>
      <c r="AI1379" s="17" t="s">
        <v>50</v>
      </c>
      <c r="AJ1379" s="17" t="s">
        <v>50</v>
      </c>
      <c r="AK1379" s="17" t="s">
        <v>50</v>
      </c>
      <c r="AL1379" s="17" t="s">
        <v>50</v>
      </c>
      <c r="AM1379" s="17" t="s">
        <v>50</v>
      </c>
      <c r="AN1379" s="17" t="s">
        <v>50</v>
      </c>
      <c r="AO1379" s="18" t="s">
        <v>50</v>
      </c>
      <c r="AP1379" s="17" t="s">
        <v>50</v>
      </c>
      <c r="AQ1379" s="17" t="s">
        <v>50</v>
      </c>
      <c r="AR1379" s="17" t="s">
        <v>50</v>
      </c>
      <c r="AS1379" s="17" t="s">
        <v>50</v>
      </c>
      <c r="AT1379" s="17" t="s">
        <v>50</v>
      </c>
      <c r="AU1379" s="17" t="s">
        <v>50</v>
      </c>
      <c r="AV1379" s="18"/>
      <c r="AW1379" s="17" t="s">
        <v>66</v>
      </c>
      <c r="AX1379" s="17"/>
      <c r="AY1379" s="17" t="s">
        <v>66</v>
      </c>
    </row>
    <row r="1380" ht="22.5" hidden="1" customHeight="1">
      <c r="A1380" s="9" t="s">
        <v>13898</v>
      </c>
      <c r="B1380" s="10" t="s">
        <v>13899</v>
      </c>
      <c r="C1380" s="10" t="s">
        <v>43</v>
      </c>
      <c r="D1380" s="10" t="s">
        <v>13049</v>
      </c>
      <c r="E1380" s="10" t="s">
        <v>66</v>
      </c>
      <c r="F1380" s="11">
        <v>1.0</v>
      </c>
      <c r="G1380" s="11">
        <v>80.0</v>
      </c>
      <c r="H1380" s="11"/>
      <c r="I1380" s="11">
        <v>-13.6</v>
      </c>
      <c r="J1380" s="11">
        <v>-19.95</v>
      </c>
      <c r="K1380" s="11"/>
      <c r="L1380" s="11">
        <v>50.45</v>
      </c>
      <c r="M1380" s="10" t="s">
        <v>46</v>
      </c>
      <c r="N1380" s="10" t="s">
        <v>45</v>
      </c>
      <c r="O1380" s="10" t="s">
        <v>143</v>
      </c>
      <c r="P1380" s="10" t="s">
        <v>144</v>
      </c>
      <c r="Q1380" s="10" t="s">
        <v>145</v>
      </c>
      <c r="R1380" s="10" t="s">
        <v>74</v>
      </c>
      <c r="S1380" s="11">
        <v>80.0</v>
      </c>
      <c r="T1380" s="11">
        <v>33.38</v>
      </c>
      <c r="U1380" s="11" t="s">
        <v>51</v>
      </c>
      <c r="V1380" s="10" t="s">
        <v>52</v>
      </c>
      <c r="W1380" s="10" t="s">
        <v>13900</v>
      </c>
      <c r="X1380" s="10" t="s">
        <v>13901</v>
      </c>
      <c r="Y1380" s="10" t="s">
        <v>13902</v>
      </c>
      <c r="Z1380" s="10" t="s">
        <v>50</v>
      </c>
      <c r="AA1380" s="10" t="s">
        <v>50</v>
      </c>
      <c r="AB1380" s="10" t="s">
        <v>13900</v>
      </c>
      <c r="AC1380" s="10" t="s">
        <v>13903</v>
      </c>
      <c r="AD1380" s="10" t="s">
        <v>13904</v>
      </c>
      <c r="AE1380" s="10" t="s">
        <v>2999</v>
      </c>
      <c r="AF1380" s="10" t="s">
        <v>58</v>
      </c>
      <c r="AG1380" s="10" t="s">
        <v>13905</v>
      </c>
      <c r="AH1380" s="10" t="s">
        <v>60</v>
      </c>
      <c r="AI1380" s="10" t="s">
        <v>13406</v>
      </c>
      <c r="AJ1380" s="10" t="s">
        <v>13844</v>
      </c>
      <c r="AK1380" s="10" t="s">
        <v>13906</v>
      </c>
      <c r="AL1380" s="10" t="s">
        <v>64</v>
      </c>
      <c r="AM1380" s="10" t="s">
        <v>13907</v>
      </c>
      <c r="AN1380" s="10" t="s">
        <v>50</v>
      </c>
      <c r="AO1380" s="11" t="s">
        <v>50</v>
      </c>
      <c r="AP1380" s="10" t="s">
        <v>50</v>
      </c>
      <c r="AQ1380" s="10" t="s">
        <v>50</v>
      </c>
      <c r="AR1380" s="10" t="s">
        <v>50</v>
      </c>
      <c r="AS1380" s="10" t="s">
        <v>50</v>
      </c>
      <c r="AT1380" s="10" t="s">
        <v>50</v>
      </c>
      <c r="AU1380" s="10" t="s">
        <v>50</v>
      </c>
      <c r="AV1380" s="11"/>
      <c r="AW1380" s="10" t="s">
        <v>66</v>
      </c>
      <c r="AX1380" s="10"/>
      <c r="AY1380" s="10" t="s">
        <v>66</v>
      </c>
    </row>
    <row r="1381" ht="22.5" hidden="1" customHeight="1">
      <c r="A1381" s="9" t="s">
        <v>13908</v>
      </c>
      <c r="B1381" s="10" t="s">
        <v>13909</v>
      </c>
      <c r="C1381" s="10" t="s">
        <v>43</v>
      </c>
      <c r="D1381" s="10" t="s">
        <v>12217</v>
      </c>
      <c r="E1381" s="10" t="s">
        <v>45</v>
      </c>
      <c r="F1381" s="11">
        <v>3.0</v>
      </c>
      <c r="G1381" s="11">
        <v>131.1</v>
      </c>
      <c r="H1381" s="11"/>
      <c r="I1381" s="11">
        <v>-40.29</v>
      </c>
      <c r="J1381" s="11"/>
      <c r="K1381" s="11"/>
      <c r="L1381" s="11">
        <v>98.67</v>
      </c>
      <c r="M1381" s="10" t="s">
        <v>12218</v>
      </c>
      <c r="N1381" s="10" t="s">
        <v>50</v>
      </c>
      <c r="O1381" s="10" t="s">
        <v>176</v>
      </c>
      <c r="P1381" s="10" t="s">
        <v>177</v>
      </c>
      <c r="Q1381" s="10" t="s">
        <v>178</v>
      </c>
      <c r="R1381" s="10" t="s">
        <v>74</v>
      </c>
      <c r="S1381" s="11">
        <v>43.7</v>
      </c>
      <c r="T1381" s="11">
        <f>3*22.58</f>
        <v>67.74</v>
      </c>
      <c r="U1381" s="11" t="s">
        <v>51</v>
      </c>
      <c r="V1381" s="10" t="s">
        <v>52</v>
      </c>
      <c r="W1381" s="10" t="s">
        <v>13910</v>
      </c>
      <c r="X1381" s="10" t="s">
        <v>13911</v>
      </c>
      <c r="Y1381" s="10" t="s">
        <v>13912</v>
      </c>
      <c r="Z1381" s="10" t="s">
        <v>50</v>
      </c>
      <c r="AA1381" s="10" t="s">
        <v>50</v>
      </c>
      <c r="AB1381" s="10" t="s">
        <v>13910</v>
      </c>
      <c r="AC1381" s="10" t="s">
        <v>13913</v>
      </c>
      <c r="AD1381" s="10" t="s">
        <v>13914</v>
      </c>
      <c r="AE1381" s="10" t="s">
        <v>740</v>
      </c>
      <c r="AF1381" s="10" t="s">
        <v>119</v>
      </c>
      <c r="AG1381" s="10" t="s">
        <v>13915</v>
      </c>
      <c r="AH1381" s="10" t="s">
        <v>60</v>
      </c>
      <c r="AI1381" s="10" t="s">
        <v>13406</v>
      </c>
      <c r="AJ1381" s="10" t="s">
        <v>12258</v>
      </c>
      <c r="AK1381" s="10" t="s">
        <v>13916</v>
      </c>
      <c r="AL1381" s="10" t="s">
        <v>64</v>
      </c>
      <c r="AM1381" s="10" t="s">
        <v>13917</v>
      </c>
      <c r="AN1381" s="10" t="s">
        <v>50</v>
      </c>
      <c r="AO1381" s="11" t="s">
        <v>50</v>
      </c>
      <c r="AP1381" s="10" t="s">
        <v>50</v>
      </c>
      <c r="AQ1381" s="10" t="s">
        <v>50</v>
      </c>
      <c r="AR1381" s="10" t="s">
        <v>50</v>
      </c>
      <c r="AS1381" s="10" t="s">
        <v>50</v>
      </c>
      <c r="AT1381" s="10" t="s">
        <v>50</v>
      </c>
      <c r="AU1381" s="10" t="s">
        <v>50</v>
      </c>
      <c r="AV1381" s="11"/>
      <c r="AW1381" s="10" t="s">
        <v>66</v>
      </c>
      <c r="AX1381" s="10"/>
      <c r="AY1381" s="10" t="s">
        <v>66</v>
      </c>
    </row>
    <row r="1382" ht="22.5" hidden="1" customHeight="1">
      <c r="A1382" s="9" t="s">
        <v>13918</v>
      </c>
      <c r="B1382" s="10" t="s">
        <v>13919</v>
      </c>
      <c r="C1382" s="10" t="s">
        <v>43</v>
      </c>
      <c r="D1382" s="10" t="s">
        <v>13108</v>
      </c>
      <c r="E1382" s="10" t="s">
        <v>66</v>
      </c>
      <c r="F1382" s="11">
        <v>1.0</v>
      </c>
      <c r="G1382" s="11">
        <v>43.7</v>
      </c>
      <c r="H1382" s="11">
        <v>18.9</v>
      </c>
      <c r="I1382" s="11">
        <v>-13.43</v>
      </c>
      <c r="J1382" s="11">
        <v>-18.9</v>
      </c>
      <c r="K1382" s="11"/>
      <c r="L1382" s="11">
        <v>32.89</v>
      </c>
      <c r="M1382" s="10" t="s">
        <v>12218</v>
      </c>
      <c r="N1382" s="10" t="s">
        <v>50</v>
      </c>
      <c r="O1382" s="10" t="s">
        <v>176</v>
      </c>
      <c r="P1382" s="10" t="s">
        <v>177</v>
      </c>
      <c r="Q1382" s="10" t="s">
        <v>178</v>
      </c>
      <c r="R1382" s="10" t="s">
        <v>74</v>
      </c>
      <c r="S1382" s="11">
        <v>43.7</v>
      </c>
      <c r="T1382" s="11">
        <v>22.58</v>
      </c>
      <c r="U1382" s="11" t="s">
        <v>51</v>
      </c>
      <c r="V1382" s="10" t="s">
        <v>52</v>
      </c>
      <c r="W1382" s="10" t="s">
        <v>13920</v>
      </c>
      <c r="X1382" s="10" t="s">
        <v>13921</v>
      </c>
      <c r="Y1382" s="10" t="s">
        <v>13922</v>
      </c>
      <c r="Z1382" s="10" t="s">
        <v>50</v>
      </c>
      <c r="AA1382" s="10" t="s">
        <v>50</v>
      </c>
      <c r="AB1382" s="10" t="s">
        <v>13920</v>
      </c>
      <c r="AC1382" s="10" t="s">
        <v>13923</v>
      </c>
      <c r="AD1382" s="10" t="s">
        <v>13924</v>
      </c>
      <c r="AE1382" s="10" t="s">
        <v>5821</v>
      </c>
      <c r="AF1382" s="10" t="s">
        <v>151</v>
      </c>
      <c r="AG1382" s="10" t="s">
        <v>13925</v>
      </c>
      <c r="AH1382" s="10" t="s">
        <v>60</v>
      </c>
      <c r="AI1382" s="10" t="s">
        <v>13406</v>
      </c>
      <c r="AJ1382" s="10" t="s">
        <v>13926</v>
      </c>
      <c r="AK1382" s="10" t="s">
        <v>13927</v>
      </c>
      <c r="AL1382" s="10" t="s">
        <v>64</v>
      </c>
      <c r="AM1382" s="10" t="s">
        <v>13928</v>
      </c>
      <c r="AN1382" s="10" t="s">
        <v>50</v>
      </c>
      <c r="AO1382" s="11" t="s">
        <v>50</v>
      </c>
      <c r="AP1382" s="10" t="s">
        <v>50</v>
      </c>
      <c r="AQ1382" s="10" t="s">
        <v>50</v>
      </c>
      <c r="AR1382" s="10" t="s">
        <v>50</v>
      </c>
      <c r="AS1382" s="10" t="s">
        <v>50</v>
      </c>
      <c r="AT1382" s="10" t="s">
        <v>50</v>
      </c>
      <c r="AU1382" s="10" t="s">
        <v>50</v>
      </c>
      <c r="AV1382" s="11"/>
      <c r="AW1382" s="10" t="s">
        <v>66</v>
      </c>
      <c r="AX1382" s="10"/>
      <c r="AY1382" s="10" t="s">
        <v>66</v>
      </c>
    </row>
    <row r="1383" ht="22.5" hidden="1" customHeight="1">
      <c r="A1383" s="9" t="s">
        <v>13929</v>
      </c>
      <c r="B1383" s="10" t="s">
        <v>13930</v>
      </c>
      <c r="C1383" s="10" t="s">
        <v>43</v>
      </c>
      <c r="D1383" s="10" t="s">
        <v>12217</v>
      </c>
      <c r="E1383" s="10" t="s">
        <v>66</v>
      </c>
      <c r="F1383" s="11">
        <v>1.0</v>
      </c>
      <c r="G1383" s="11">
        <v>80.0</v>
      </c>
      <c r="H1383" s="11"/>
      <c r="I1383" s="11">
        <v>-13.6</v>
      </c>
      <c r="J1383" s="11">
        <v>-19.95</v>
      </c>
      <c r="K1383" s="11"/>
      <c r="L1383" s="11">
        <v>50.45</v>
      </c>
      <c r="M1383" s="10" t="s">
        <v>46</v>
      </c>
      <c r="N1383" s="10" t="s">
        <v>45</v>
      </c>
      <c r="O1383" s="10" t="s">
        <v>143</v>
      </c>
      <c r="P1383" s="10" t="s">
        <v>144</v>
      </c>
      <c r="Q1383" s="10" t="s">
        <v>145</v>
      </c>
      <c r="R1383" s="10" t="s">
        <v>74</v>
      </c>
      <c r="S1383" s="11">
        <v>80.0</v>
      </c>
      <c r="T1383" s="11">
        <v>33.38</v>
      </c>
      <c r="U1383" s="11" t="s">
        <v>51</v>
      </c>
      <c r="V1383" s="10" t="s">
        <v>52</v>
      </c>
      <c r="W1383" s="10" t="s">
        <v>13931</v>
      </c>
      <c r="X1383" s="10" t="s">
        <v>13932</v>
      </c>
      <c r="Y1383" s="10" t="s">
        <v>13933</v>
      </c>
      <c r="Z1383" s="10" t="s">
        <v>50</v>
      </c>
      <c r="AA1383" s="10" t="s">
        <v>50</v>
      </c>
      <c r="AB1383" s="10" t="s">
        <v>13931</v>
      </c>
      <c r="AC1383" s="10" t="s">
        <v>13934</v>
      </c>
      <c r="AD1383" s="10" t="s">
        <v>13935</v>
      </c>
      <c r="AE1383" s="10" t="s">
        <v>13936</v>
      </c>
      <c r="AF1383" s="10" t="s">
        <v>119</v>
      </c>
      <c r="AG1383" s="10" t="s">
        <v>13937</v>
      </c>
      <c r="AH1383" s="10" t="s">
        <v>60</v>
      </c>
      <c r="AI1383" s="10" t="s">
        <v>13406</v>
      </c>
      <c r="AJ1383" s="10" t="s">
        <v>13938</v>
      </c>
      <c r="AK1383" s="10" t="s">
        <v>13939</v>
      </c>
      <c r="AL1383" s="10" t="s">
        <v>64</v>
      </c>
      <c r="AM1383" s="10" t="s">
        <v>13940</v>
      </c>
      <c r="AN1383" s="10" t="s">
        <v>50</v>
      </c>
      <c r="AO1383" s="11" t="s">
        <v>50</v>
      </c>
      <c r="AP1383" s="10" t="s">
        <v>50</v>
      </c>
      <c r="AQ1383" s="10" t="s">
        <v>50</v>
      </c>
      <c r="AR1383" s="10" t="s">
        <v>50</v>
      </c>
      <c r="AS1383" s="10" t="s">
        <v>50</v>
      </c>
      <c r="AT1383" s="10" t="s">
        <v>50</v>
      </c>
      <c r="AU1383" s="10" t="s">
        <v>50</v>
      </c>
      <c r="AV1383" s="11"/>
      <c r="AW1383" s="10" t="s">
        <v>66</v>
      </c>
      <c r="AX1383" s="10"/>
      <c r="AY1383" s="10" t="s">
        <v>66</v>
      </c>
    </row>
    <row r="1384" ht="22.5" hidden="1" customHeight="1">
      <c r="A1384" s="9" t="s">
        <v>13941</v>
      </c>
      <c r="B1384" s="10" t="s">
        <v>13942</v>
      </c>
      <c r="C1384" s="10" t="s">
        <v>69</v>
      </c>
      <c r="D1384" s="10" t="s">
        <v>2283</v>
      </c>
      <c r="E1384" s="10" t="s">
        <v>66</v>
      </c>
      <c r="F1384" s="11">
        <v>1.0</v>
      </c>
      <c r="G1384" s="11">
        <v>80.6</v>
      </c>
      <c r="H1384" s="11">
        <v>27.0</v>
      </c>
      <c r="I1384" s="11">
        <v>-13.7</v>
      </c>
      <c r="J1384" s="11">
        <v>-47.45</v>
      </c>
      <c r="K1384" s="11">
        <v>-46.45</v>
      </c>
      <c r="L1384" s="11">
        <v>0.0</v>
      </c>
      <c r="M1384" s="10" t="s">
        <v>12218</v>
      </c>
      <c r="N1384" s="10" t="s">
        <v>45</v>
      </c>
      <c r="O1384" s="10" t="s">
        <v>265</v>
      </c>
      <c r="P1384" s="10" t="s">
        <v>266</v>
      </c>
      <c r="Q1384" s="10" t="s">
        <v>267</v>
      </c>
      <c r="R1384" s="10" t="s">
        <v>74</v>
      </c>
      <c r="S1384" s="11">
        <v>80.6</v>
      </c>
      <c r="T1384" s="11"/>
      <c r="U1384" s="11" t="s">
        <v>51</v>
      </c>
      <c r="V1384" s="10" t="s">
        <v>2284</v>
      </c>
      <c r="W1384" s="10" t="s">
        <v>13943</v>
      </c>
      <c r="X1384" s="10" t="s">
        <v>13944</v>
      </c>
      <c r="Y1384" s="10" t="s">
        <v>13945</v>
      </c>
      <c r="Z1384" s="10" t="s">
        <v>50</v>
      </c>
      <c r="AA1384" s="10" t="s">
        <v>50</v>
      </c>
      <c r="AB1384" s="10" t="s">
        <v>13943</v>
      </c>
      <c r="AC1384" s="10" t="s">
        <v>13946</v>
      </c>
      <c r="AD1384" s="10" t="s">
        <v>50</v>
      </c>
      <c r="AE1384" s="10" t="s">
        <v>13947</v>
      </c>
      <c r="AF1384" s="10" t="s">
        <v>929</v>
      </c>
      <c r="AG1384" s="10" t="s">
        <v>13948</v>
      </c>
      <c r="AH1384" s="10" t="s">
        <v>60</v>
      </c>
      <c r="AI1384" s="10" t="s">
        <v>13406</v>
      </c>
      <c r="AJ1384" s="10" t="s">
        <v>50</v>
      </c>
      <c r="AK1384" s="10" t="s">
        <v>50</v>
      </c>
      <c r="AL1384" s="10" t="s">
        <v>64</v>
      </c>
      <c r="AM1384" s="10" t="s">
        <v>13949</v>
      </c>
      <c r="AN1384" s="10" t="s">
        <v>50</v>
      </c>
      <c r="AO1384" s="11" t="s">
        <v>50</v>
      </c>
      <c r="AP1384" s="10" t="s">
        <v>50</v>
      </c>
      <c r="AQ1384" s="10" t="s">
        <v>50</v>
      </c>
      <c r="AR1384" s="10" t="s">
        <v>50</v>
      </c>
      <c r="AS1384" s="10" t="s">
        <v>50</v>
      </c>
      <c r="AT1384" s="10" t="s">
        <v>50</v>
      </c>
      <c r="AU1384" s="10" t="s">
        <v>50</v>
      </c>
      <c r="AV1384" s="11"/>
      <c r="AW1384" s="10" t="s">
        <v>66</v>
      </c>
      <c r="AX1384" s="10"/>
      <c r="AY1384" s="10" t="s">
        <v>66</v>
      </c>
    </row>
    <row r="1385" ht="22.5" hidden="1" customHeight="1">
      <c r="A1385" s="9" t="s">
        <v>13950</v>
      </c>
      <c r="B1385" s="10" t="s">
        <v>13951</v>
      </c>
      <c r="C1385" s="10" t="s">
        <v>43</v>
      </c>
      <c r="D1385" s="10" t="s">
        <v>13049</v>
      </c>
      <c r="E1385" s="10" t="s">
        <v>66</v>
      </c>
      <c r="F1385" s="11">
        <v>1.0</v>
      </c>
      <c r="G1385" s="11">
        <v>120.0</v>
      </c>
      <c r="H1385" s="11"/>
      <c r="I1385" s="11">
        <v>-20.4</v>
      </c>
      <c r="J1385" s="11">
        <v>-19.95</v>
      </c>
      <c r="K1385" s="11"/>
      <c r="L1385" s="11">
        <v>86.85</v>
      </c>
      <c r="M1385" s="10" t="s">
        <v>12218</v>
      </c>
      <c r="N1385" s="10" t="s">
        <v>50</v>
      </c>
      <c r="O1385" s="10" t="s">
        <v>85</v>
      </c>
      <c r="P1385" s="10" t="s">
        <v>86</v>
      </c>
      <c r="Q1385" s="10" t="s">
        <v>87</v>
      </c>
      <c r="R1385" s="10" t="s">
        <v>74</v>
      </c>
      <c r="S1385" s="11">
        <v>120.0</v>
      </c>
      <c r="T1385" s="11">
        <v>65.78</v>
      </c>
      <c r="U1385" s="11" t="s">
        <v>51</v>
      </c>
      <c r="V1385" s="10" t="s">
        <v>52</v>
      </c>
      <c r="W1385" s="10" t="s">
        <v>13952</v>
      </c>
      <c r="X1385" s="10" t="s">
        <v>13953</v>
      </c>
      <c r="Y1385" s="10" t="s">
        <v>13954</v>
      </c>
      <c r="Z1385" s="10" t="s">
        <v>50</v>
      </c>
      <c r="AA1385" s="10" t="s">
        <v>50</v>
      </c>
      <c r="AB1385" s="10" t="s">
        <v>13952</v>
      </c>
      <c r="AC1385" s="10" t="s">
        <v>13955</v>
      </c>
      <c r="AD1385" s="10" t="s">
        <v>13956</v>
      </c>
      <c r="AE1385" s="10" t="s">
        <v>13957</v>
      </c>
      <c r="AF1385" s="10" t="s">
        <v>119</v>
      </c>
      <c r="AG1385" s="10" t="s">
        <v>13958</v>
      </c>
      <c r="AH1385" s="10" t="s">
        <v>60</v>
      </c>
      <c r="AI1385" s="10" t="s">
        <v>13406</v>
      </c>
      <c r="AJ1385" s="10" t="s">
        <v>13938</v>
      </c>
      <c r="AK1385" s="10" t="s">
        <v>13959</v>
      </c>
      <c r="AL1385" s="10" t="s">
        <v>64</v>
      </c>
      <c r="AM1385" s="10" t="s">
        <v>13960</v>
      </c>
      <c r="AN1385" s="10" t="s">
        <v>50</v>
      </c>
      <c r="AO1385" s="11" t="s">
        <v>50</v>
      </c>
      <c r="AP1385" s="10" t="s">
        <v>50</v>
      </c>
      <c r="AQ1385" s="10" t="s">
        <v>50</v>
      </c>
      <c r="AR1385" s="10" t="s">
        <v>50</v>
      </c>
      <c r="AS1385" s="10" t="s">
        <v>50</v>
      </c>
      <c r="AT1385" s="10" t="s">
        <v>50</v>
      </c>
      <c r="AU1385" s="10" t="s">
        <v>50</v>
      </c>
      <c r="AV1385" s="11"/>
      <c r="AW1385" s="10" t="s">
        <v>66</v>
      </c>
      <c r="AX1385" s="10"/>
      <c r="AY1385" s="10" t="s">
        <v>66</v>
      </c>
    </row>
    <row r="1386" ht="22.5" hidden="1" customHeight="1">
      <c r="A1386" s="9" t="s">
        <v>13961</v>
      </c>
      <c r="B1386" s="10" t="s">
        <v>13951</v>
      </c>
      <c r="C1386" s="10" t="s">
        <v>43</v>
      </c>
      <c r="D1386" s="10" t="s">
        <v>13049</v>
      </c>
      <c r="E1386" s="10" t="s">
        <v>66</v>
      </c>
      <c r="F1386" s="11">
        <v>1.0</v>
      </c>
      <c r="G1386" s="11">
        <v>79.0</v>
      </c>
      <c r="H1386" s="11"/>
      <c r="I1386" s="11">
        <v>-13.43</v>
      </c>
      <c r="J1386" s="11">
        <v>-20.45</v>
      </c>
      <c r="K1386" s="11"/>
      <c r="L1386" s="11">
        <v>45.12</v>
      </c>
      <c r="M1386" s="10" t="s">
        <v>12218</v>
      </c>
      <c r="N1386" s="10" t="s">
        <v>45</v>
      </c>
      <c r="O1386" s="10" t="s">
        <v>160</v>
      </c>
      <c r="P1386" s="10" t="s">
        <v>161</v>
      </c>
      <c r="Q1386" s="10" t="s">
        <v>162</v>
      </c>
      <c r="R1386" s="10" t="s">
        <v>74</v>
      </c>
      <c r="S1386" s="11">
        <v>79.0</v>
      </c>
      <c r="T1386" s="11">
        <v>2.49</v>
      </c>
      <c r="U1386" s="11" t="s">
        <v>51</v>
      </c>
      <c r="V1386" s="10" t="s">
        <v>52</v>
      </c>
      <c r="W1386" s="10" t="s">
        <v>13962</v>
      </c>
      <c r="X1386" s="10" t="s">
        <v>13963</v>
      </c>
      <c r="Y1386" s="10" t="s">
        <v>13964</v>
      </c>
      <c r="Z1386" s="10" t="s">
        <v>50</v>
      </c>
      <c r="AA1386" s="10" t="s">
        <v>50</v>
      </c>
      <c r="AB1386" s="10" t="s">
        <v>13962</v>
      </c>
      <c r="AC1386" s="10" t="s">
        <v>13965</v>
      </c>
      <c r="AD1386" s="10" t="s">
        <v>13966</v>
      </c>
      <c r="AE1386" s="10" t="s">
        <v>13967</v>
      </c>
      <c r="AF1386" s="10" t="s">
        <v>58</v>
      </c>
      <c r="AG1386" s="10" t="s">
        <v>13968</v>
      </c>
      <c r="AH1386" s="10" t="s">
        <v>60</v>
      </c>
      <c r="AI1386" s="10" t="s">
        <v>13406</v>
      </c>
      <c r="AJ1386" s="10" t="s">
        <v>13883</v>
      </c>
      <c r="AK1386" s="10" t="s">
        <v>13969</v>
      </c>
      <c r="AL1386" s="10" t="s">
        <v>64</v>
      </c>
      <c r="AM1386" s="10" t="s">
        <v>13970</v>
      </c>
      <c r="AN1386" s="10" t="s">
        <v>50</v>
      </c>
      <c r="AO1386" s="11" t="s">
        <v>50</v>
      </c>
      <c r="AP1386" s="10" t="s">
        <v>50</v>
      </c>
      <c r="AQ1386" s="10" t="s">
        <v>50</v>
      </c>
      <c r="AR1386" s="10" t="s">
        <v>50</v>
      </c>
      <c r="AS1386" s="10" t="s">
        <v>50</v>
      </c>
      <c r="AT1386" s="10" t="s">
        <v>50</v>
      </c>
      <c r="AU1386" s="10" t="s">
        <v>50</v>
      </c>
      <c r="AV1386" s="11"/>
      <c r="AW1386" s="10" t="s">
        <v>66</v>
      </c>
      <c r="AX1386" s="10"/>
      <c r="AY1386" s="10" t="s">
        <v>66</v>
      </c>
    </row>
    <row r="1387" ht="22.5" hidden="1" customHeight="1">
      <c r="A1387" s="9" t="s">
        <v>13971</v>
      </c>
      <c r="B1387" s="10" t="s">
        <v>13972</v>
      </c>
      <c r="C1387" s="10" t="s">
        <v>43</v>
      </c>
      <c r="D1387" s="10" t="s">
        <v>13049</v>
      </c>
      <c r="E1387" s="10" t="s">
        <v>45</v>
      </c>
      <c r="F1387" s="11">
        <v>3.0</v>
      </c>
      <c r="G1387" s="11">
        <v>131.1</v>
      </c>
      <c r="H1387" s="11"/>
      <c r="I1387" s="11">
        <v>-40.29</v>
      </c>
      <c r="J1387" s="11"/>
      <c r="K1387" s="11"/>
      <c r="L1387" s="11">
        <v>98.67</v>
      </c>
      <c r="M1387" s="10" t="s">
        <v>12218</v>
      </c>
      <c r="N1387" s="10" t="s">
        <v>50</v>
      </c>
      <c r="O1387" s="10" t="s">
        <v>176</v>
      </c>
      <c r="P1387" s="10" t="s">
        <v>177</v>
      </c>
      <c r="Q1387" s="10" t="s">
        <v>178</v>
      </c>
      <c r="R1387" s="10" t="s">
        <v>74</v>
      </c>
      <c r="S1387" s="11">
        <v>43.7</v>
      </c>
      <c r="T1387" s="11">
        <f>3*22.58</f>
        <v>67.74</v>
      </c>
      <c r="U1387" s="11" t="s">
        <v>51</v>
      </c>
      <c r="V1387" s="10" t="s">
        <v>52</v>
      </c>
      <c r="W1387" s="10" t="s">
        <v>13973</v>
      </c>
      <c r="X1387" s="10" t="s">
        <v>13974</v>
      </c>
      <c r="Y1387" s="10" t="s">
        <v>13975</v>
      </c>
      <c r="Z1387" s="10" t="s">
        <v>50</v>
      </c>
      <c r="AA1387" s="10" t="s">
        <v>50</v>
      </c>
      <c r="AB1387" s="10" t="s">
        <v>13973</v>
      </c>
      <c r="AC1387" s="10" t="s">
        <v>13976</v>
      </c>
      <c r="AD1387" s="10" t="s">
        <v>13977</v>
      </c>
      <c r="AE1387" s="10" t="s">
        <v>833</v>
      </c>
      <c r="AF1387" s="10" t="s">
        <v>58</v>
      </c>
      <c r="AG1387" s="10" t="s">
        <v>13978</v>
      </c>
      <c r="AH1387" s="10" t="s">
        <v>60</v>
      </c>
      <c r="AI1387" s="10" t="s">
        <v>13406</v>
      </c>
      <c r="AJ1387" s="10" t="s">
        <v>13883</v>
      </c>
      <c r="AK1387" s="10" t="s">
        <v>13979</v>
      </c>
      <c r="AL1387" s="10" t="s">
        <v>64</v>
      </c>
      <c r="AM1387" s="10" t="s">
        <v>13980</v>
      </c>
      <c r="AN1387" s="10" t="s">
        <v>50</v>
      </c>
      <c r="AO1387" s="11" t="s">
        <v>50</v>
      </c>
      <c r="AP1387" s="10" t="s">
        <v>50</v>
      </c>
      <c r="AQ1387" s="10" t="s">
        <v>50</v>
      </c>
      <c r="AR1387" s="10" t="s">
        <v>50</v>
      </c>
      <c r="AS1387" s="10" t="s">
        <v>50</v>
      </c>
      <c r="AT1387" s="10" t="s">
        <v>50</v>
      </c>
      <c r="AU1387" s="10" t="s">
        <v>50</v>
      </c>
      <c r="AV1387" s="11"/>
      <c r="AW1387" s="10" t="s">
        <v>66</v>
      </c>
      <c r="AX1387" s="10"/>
      <c r="AY1387" s="10" t="s">
        <v>66</v>
      </c>
    </row>
    <row r="1388" ht="22.5" hidden="1" customHeight="1">
      <c r="A1388" s="9" t="s">
        <v>13981</v>
      </c>
      <c r="B1388" s="10" t="s">
        <v>13982</v>
      </c>
      <c r="C1388" s="10" t="s">
        <v>43</v>
      </c>
      <c r="D1388" s="10" t="s">
        <v>13108</v>
      </c>
      <c r="E1388" s="10" t="s">
        <v>66</v>
      </c>
      <c r="F1388" s="11">
        <v>1.0</v>
      </c>
      <c r="G1388" s="11">
        <v>120.0</v>
      </c>
      <c r="H1388" s="11"/>
      <c r="I1388" s="11">
        <v>-20.4</v>
      </c>
      <c r="J1388" s="11">
        <v>-19.95</v>
      </c>
      <c r="K1388" s="11"/>
      <c r="L1388" s="11">
        <v>86.85</v>
      </c>
      <c r="M1388" s="10" t="s">
        <v>12218</v>
      </c>
      <c r="N1388" s="10" t="s">
        <v>50</v>
      </c>
      <c r="O1388" s="10" t="s">
        <v>85</v>
      </c>
      <c r="P1388" s="10" t="s">
        <v>86</v>
      </c>
      <c r="Q1388" s="10" t="s">
        <v>87</v>
      </c>
      <c r="R1388" s="10" t="s">
        <v>74</v>
      </c>
      <c r="S1388" s="11">
        <v>120.0</v>
      </c>
      <c r="T1388" s="11">
        <v>65.78</v>
      </c>
      <c r="U1388" s="11" t="s">
        <v>51</v>
      </c>
      <c r="V1388" s="10" t="s">
        <v>52</v>
      </c>
      <c r="W1388" s="10" t="s">
        <v>13983</v>
      </c>
      <c r="X1388" s="10" t="s">
        <v>13984</v>
      </c>
      <c r="Y1388" s="10" t="s">
        <v>13985</v>
      </c>
      <c r="Z1388" s="10" t="s">
        <v>50</v>
      </c>
      <c r="AA1388" s="10" t="s">
        <v>50</v>
      </c>
      <c r="AB1388" s="10" t="s">
        <v>13983</v>
      </c>
      <c r="AC1388" s="10" t="s">
        <v>13986</v>
      </c>
      <c r="AD1388" s="10" t="s">
        <v>13987</v>
      </c>
      <c r="AE1388" s="10" t="s">
        <v>13988</v>
      </c>
      <c r="AF1388" s="10" t="s">
        <v>136</v>
      </c>
      <c r="AG1388" s="10" t="s">
        <v>13989</v>
      </c>
      <c r="AH1388" s="10" t="s">
        <v>60</v>
      </c>
      <c r="AI1388" s="10" t="s">
        <v>13406</v>
      </c>
      <c r="AJ1388" s="10" t="s">
        <v>13990</v>
      </c>
      <c r="AK1388" s="10" t="s">
        <v>13991</v>
      </c>
      <c r="AL1388" s="10" t="s">
        <v>64</v>
      </c>
      <c r="AM1388" s="10" t="s">
        <v>13992</v>
      </c>
      <c r="AN1388" s="10" t="s">
        <v>50</v>
      </c>
      <c r="AO1388" s="11" t="s">
        <v>50</v>
      </c>
      <c r="AP1388" s="10" t="s">
        <v>50</v>
      </c>
      <c r="AQ1388" s="10" t="s">
        <v>50</v>
      </c>
      <c r="AR1388" s="10" t="s">
        <v>50</v>
      </c>
      <c r="AS1388" s="10" t="s">
        <v>50</v>
      </c>
      <c r="AT1388" s="10" t="s">
        <v>50</v>
      </c>
      <c r="AU1388" s="10" t="s">
        <v>50</v>
      </c>
      <c r="AV1388" s="11"/>
      <c r="AW1388" s="10" t="s">
        <v>66</v>
      </c>
      <c r="AX1388" s="10"/>
      <c r="AY1388" s="10" t="s">
        <v>66</v>
      </c>
    </row>
    <row r="1389" ht="22.5" hidden="1" customHeight="1">
      <c r="A1389" s="9" t="s">
        <v>13993</v>
      </c>
      <c r="B1389" s="10" t="s">
        <v>13982</v>
      </c>
      <c r="C1389" s="10" t="s">
        <v>43</v>
      </c>
      <c r="D1389" s="10" t="s">
        <v>13049</v>
      </c>
      <c r="E1389" s="10" t="s">
        <v>66</v>
      </c>
      <c r="F1389" s="11">
        <v>1.0</v>
      </c>
      <c r="G1389" s="11">
        <v>48.0</v>
      </c>
      <c r="H1389" s="11">
        <v>15.01</v>
      </c>
      <c r="I1389" s="11">
        <v>-14.16</v>
      </c>
      <c r="J1389" s="11">
        <v>-15.01</v>
      </c>
      <c r="K1389" s="11"/>
      <c r="L1389" s="11">
        <v>36.24</v>
      </c>
      <c r="M1389" s="10" t="s">
        <v>12218</v>
      </c>
      <c r="N1389" s="10" t="s">
        <v>45</v>
      </c>
      <c r="O1389" s="10" t="s">
        <v>1821</v>
      </c>
      <c r="P1389" s="10" t="s">
        <v>1822</v>
      </c>
      <c r="Q1389" s="10" t="s">
        <v>1823</v>
      </c>
      <c r="R1389" s="10" t="s">
        <v>74</v>
      </c>
      <c r="S1389" s="11">
        <v>48.0</v>
      </c>
      <c r="T1389" s="11">
        <v>6.28</v>
      </c>
      <c r="U1389" s="11" t="s">
        <v>51</v>
      </c>
      <c r="V1389" s="10" t="s">
        <v>52</v>
      </c>
      <c r="W1389" s="10" t="s">
        <v>13994</v>
      </c>
      <c r="X1389" s="10" t="s">
        <v>13995</v>
      </c>
      <c r="Y1389" s="10" t="s">
        <v>13996</v>
      </c>
      <c r="Z1389" s="10" t="s">
        <v>50</v>
      </c>
      <c r="AA1389" s="10" t="s">
        <v>50</v>
      </c>
      <c r="AB1389" s="10" t="s">
        <v>13994</v>
      </c>
      <c r="AC1389" s="10" t="s">
        <v>13997</v>
      </c>
      <c r="AD1389" s="10" t="s">
        <v>13998</v>
      </c>
      <c r="AE1389" s="10" t="s">
        <v>8561</v>
      </c>
      <c r="AF1389" s="10" t="s">
        <v>214</v>
      </c>
      <c r="AG1389" s="10" t="s">
        <v>13999</v>
      </c>
      <c r="AH1389" s="10" t="s">
        <v>60</v>
      </c>
      <c r="AI1389" s="10" t="s">
        <v>13406</v>
      </c>
      <c r="AJ1389" s="10" t="s">
        <v>12258</v>
      </c>
      <c r="AK1389" s="10" t="s">
        <v>14000</v>
      </c>
      <c r="AL1389" s="10" t="s">
        <v>64</v>
      </c>
      <c r="AM1389" s="10" t="s">
        <v>14001</v>
      </c>
      <c r="AN1389" s="10" t="s">
        <v>50</v>
      </c>
      <c r="AO1389" s="11" t="s">
        <v>50</v>
      </c>
      <c r="AP1389" s="10" t="s">
        <v>50</v>
      </c>
      <c r="AQ1389" s="10" t="s">
        <v>50</v>
      </c>
      <c r="AR1389" s="10" t="s">
        <v>50</v>
      </c>
      <c r="AS1389" s="10" t="s">
        <v>50</v>
      </c>
      <c r="AT1389" s="10" t="s">
        <v>50</v>
      </c>
      <c r="AU1389" s="10" t="s">
        <v>50</v>
      </c>
      <c r="AV1389" s="11"/>
      <c r="AW1389" s="10" t="s">
        <v>66</v>
      </c>
      <c r="AX1389" s="10"/>
      <c r="AY1389" s="10" t="s">
        <v>66</v>
      </c>
    </row>
    <row r="1390" ht="22.5" hidden="1" customHeight="1">
      <c r="A1390" s="9" t="s">
        <v>14002</v>
      </c>
      <c r="B1390" s="10" t="s">
        <v>14003</v>
      </c>
      <c r="C1390" s="10" t="s">
        <v>43</v>
      </c>
      <c r="D1390" s="10" t="s">
        <v>9839</v>
      </c>
      <c r="E1390" s="10" t="s">
        <v>45</v>
      </c>
      <c r="F1390" s="11">
        <v>1.0</v>
      </c>
      <c r="G1390" s="11">
        <v>80.0</v>
      </c>
      <c r="H1390" s="11"/>
      <c r="I1390" s="11">
        <v>-13.6</v>
      </c>
      <c r="J1390" s="11">
        <v>-19.95</v>
      </c>
      <c r="K1390" s="11"/>
      <c r="L1390" s="11">
        <v>50.45</v>
      </c>
      <c r="M1390" s="10" t="s">
        <v>46</v>
      </c>
      <c r="N1390" s="10" t="s">
        <v>45</v>
      </c>
      <c r="O1390" s="10" t="s">
        <v>143</v>
      </c>
      <c r="P1390" s="10" t="s">
        <v>144</v>
      </c>
      <c r="Q1390" s="10" t="s">
        <v>145</v>
      </c>
      <c r="R1390" s="10" t="s">
        <v>74</v>
      </c>
      <c r="S1390" s="11">
        <v>80.0</v>
      </c>
      <c r="T1390" s="11">
        <v>33.38</v>
      </c>
      <c r="U1390" s="11" t="s">
        <v>51</v>
      </c>
      <c r="V1390" s="10" t="s">
        <v>52</v>
      </c>
      <c r="W1390" s="10" t="s">
        <v>14004</v>
      </c>
      <c r="X1390" s="10" t="s">
        <v>14005</v>
      </c>
      <c r="Y1390" s="10" t="s">
        <v>14006</v>
      </c>
      <c r="Z1390" s="10" t="s">
        <v>50</v>
      </c>
      <c r="AA1390" s="10" t="s">
        <v>50</v>
      </c>
      <c r="AB1390" s="10" t="s">
        <v>14004</v>
      </c>
      <c r="AC1390" s="10" t="s">
        <v>14007</v>
      </c>
      <c r="AD1390" s="10" t="s">
        <v>14008</v>
      </c>
      <c r="AE1390" s="10" t="s">
        <v>9382</v>
      </c>
      <c r="AF1390" s="10" t="s">
        <v>119</v>
      </c>
      <c r="AG1390" s="10" t="s">
        <v>9383</v>
      </c>
      <c r="AH1390" s="10" t="s">
        <v>60</v>
      </c>
      <c r="AI1390" s="10" t="s">
        <v>13406</v>
      </c>
      <c r="AJ1390" s="10" t="s">
        <v>12258</v>
      </c>
      <c r="AK1390" s="10" t="s">
        <v>14009</v>
      </c>
      <c r="AL1390" s="10" t="s">
        <v>64</v>
      </c>
      <c r="AM1390" s="10" t="s">
        <v>14010</v>
      </c>
      <c r="AN1390" s="10" t="s">
        <v>50</v>
      </c>
      <c r="AO1390" s="11" t="s">
        <v>50</v>
      </c>
      <c r="AP1390" s="10" t="s">
        <v>50</v>
      </c>
      <c r="AQ1390" s="10" t="s">
        <v>50</v>
      </c>
      <c r="AR1390" s="10" t="s">
        <v>50</v>
      </c>
      <c r="AS1390" s="10" t="s">
        <v>50</v>
      </c>
      <c r="AT1390" s="10" t="s">
        <v>50</v>
      </c>
      <c r="AU1390" s="10" t="s">
        <v>50</v>
      </c>
      <c r="AV1390" s="11"/>
      <c r="AW1390" s="10" t="s">
        <v>66</v>
      </c>
      <c r="AX1390" s="10"/>
      <c r="AY1390" s="10" t="s">
        <v>66</v>
      </c>
    </row>
    <row r="1391" ht="22.5" hidden="1" customHeight="1">
      <c r="A1391" s="9" t="s">
        <v>14011</v>
      </c>
      <c r="B1391" s="10" t="s">
        <v>14012</v>
      </c>
      <c r="C1391" s="10" t="s">
        <v>43</v>
      </c>
      <c r="D1391" s="10" t="s">
        <v>13049</v>
      </c>
      <c r="E1391" s="10" t="s">
        <v>66</v>
      </c>
      <c r="F1391" s="11">
        <v>1.0</v>
      </c>
      <c r="G1391" s="11">
        <v>80.0</v>
      </c>
      <c r="H1391" s="11"/>
      <c r="I1391" s="11">
        <v>-13.6</v>
      </c>
      <c r="J1391" s="11">
        <v>-19.95</v>
      </c>
      <c r="K1391" s="11"/>
      <c r="L1391" s="11">
        <v>50.45</v>
      </c>
      <c r="M1391" s="10" t="s">
        <v>46</v>
      </c>
      <c r="N1391" s="10" t="s">
        <v>45</v>
      </c>
      <c r="O1391" s="10" t="s">
        <v>143</v>
      </c>
      <c r="P1391" s="10" t="s">
        <v>144</v>
      </c>
      <c r="Q1391" s="10" t="s">
        <v>145</v>
      </c>
      <c r="R1391" s="10" t="s">
        <v>74</v>
      </c>
      <c r="S1391" s="11">
        <v>80.0</v>
      </c>
      <c r="T1391" s="11">
        <v>33.38</v>
      </c>
      <c r="U1391" s="11" t="s">
        <v>51</v>
      </c>
      <c r="V1391" s="10" t="s">
        <v>52</v>
      </c>
      <c r="W1391" s="10" t="s">
        <v>14013</v>
      </c>
      <c r="X1391" s="10" t="s">
        <v>14014</v>
      </c>
      <c r="Y1391" s="10" t="s">
        <v>14015</v>
      </c>
      <c r="Z1391" s="10" t="s">
        <v>50</v>
      </c>
      <c r="AA1391" s="10" t="s">
        <v>50</v>
      </c>
      <c r="AB1391" s="10" t="s">
        <v>14013</v>
      </c>
      <c r="AC1391" s="10" t="s">
        <v>14016</v>
      </c>
      <c r="AD1391" s="10" t="s">
        <v>14017</v>
      </c>
      <c r="AE1391" s="10" t="s">
        <v>4203</v>
      </c>
      <c r="AF1391" s="10" t="s">
        <v>58</v>
      </c>
      <c r="AG1391" s="10" t="s">
        <v>14018</v>
      </c>
      <c r="AH1391" s="10" t="s">
        <v>60</v>
      </c>
      <c r="AI1391" s="10" t="s">
        <v>13406</v>
      </c>
      <c r="AJ1391" s="10" t="s">
        <v>14019</v>
      </c>
      <c r="AK1391" s="10" t="s">
        <v>14020</v>
      </c>
      <c r="AL1391" s="10" t="s">
        <v>64</v>
      </c>
      <c r="AM1391" s="10" t="s">
        <v>14021</v>
      </c>
      <c r="AN1391" s="10" t="s">
        <v>50</v>
      </c>
      <c r="AO1391" s="11" t="s">
        <v>50</v>
      </c>
      <c r="AP1391" s="10" t="s">
        <v>50</v>
      </c>
      <c r="AQ1391" s="10" t="s">
        <v>50</v>
      </c>
      <c r="AR1391" s="10" t="s">
        <v>50</v>
      </c>
      <c r="AS1391" s="10" t="s">
        <v>50</v>
      </c>
      <c r="AT1391" s="10" t="s">
        <v>50</v>
      </c>
      <c r="AU1391" s="10" t="s">
        <v>50</v>
      </c>
      <c r="AV1391" s="11"/>
      <c r="AW1391" s="10" t="s">
        <v>66</v>
      </c>
      <c r="AX1391" s="10"/>
      <c r="AY1391" s="10" t="s">
        <v>66</v>
      </c>
    </row>
    <row r="1392" ht="22.5" hidden="1" customHeight="1">
      <c r="A1392" s="9" t="s">
        <v>14022</v>
      </c>
      <c r="B1392" s="10" t="s">
        <v>14023</v>
      </c>
      <c r="C1392" s="10" t="s">
        <v>43</v>
      </c>
      <c r="D1392" s="10" t="s">
        <v>13049</v>
      </c>
      <c r="E1392" s="10" t="s">
        <v>45</v>
      </c>
      <c r="F1392" s="11">
        <v>1.0</v>
      </c>
      <c r="G1392" s="11">
        <v>79.35</v>
      </c>
      <c r="H1392" s="11"/>
      <c r="I1392" s="11">
        <v>-15.08</v>
      </c>
      <c r="J1392" s="11">
        <v>-19.95</v>
      </c>
      <c r="K1392" s="11"/>
      <c r="L1392" s="11">
        <v>44.32</v>
      </c>
      <c r="M1392" s="10" t="s">
        <v>46</v>
      </c>
      <c r="N1392" s="10" t="s">
        <v>45</v>
      </c>
      <c r="O1392" s="10" t="s">
        <v>47</v>
      </c>
      <c r="P1392" s="10" t="s">
        <v>48</v>
      </c>
      <c r="Q1392" s="10" t="s">
        <v>49</v>
      </c>
      <c r="R1392" s="10" t="s">
        <v>50</v>
      </c>
      <c r="S1392" s="11">
        <v>79.35</v>
      </c>
      <c r="T1392" s="11">
        <v>12.45</v>
      </c>
      <c r="U1392" s="11" t="s">
        <v>51</v>
      </c>
      <c r="V1392" s="10" t="s">
        <v>52</v>
      </c>
      <c r="W1392" s="10" t="s">
        <v>14024</v>
      </c>
      <c r="X1392" s="10" t="s">
        <v>14025</v>
      </c>
      <c r="Y1392" s="10" t="s">
        <v>14026</v>
      </c>
      <c r="Z1392" s="10" t="s">
        <v>50</v>
      </c>
      <c r="AA1392" s="10" t="s">
        <v>50</v>
      </c>
      <c r="AB1392" s="10" t="s">
        <v>14024</v>
      </c>
      <c r="AC1392" s="10" t="s">
        <v>14027</v>
      </c>
      <c r="AD1392" s="10" t="s">
        <v>14028</v>
      </c>
      <c r="AE1392" s="10" t="s">
        <v>14029</v>
      </c>
      <c r="AF1392" s="10" t="s">
        <v>323</v>
      </c>
      <c r="AG1392" s="10" t="s">
        <v>14030</v>
      </c>
      <c r="AH1392" s="10" t="s">
        <v>60</v>
      </c>
      <c r="AI1392" s="10" t="s">
        <v>13406</v>
      </c>
      <c r="AJ1392" s="10" t="s">
        <v>14031</v>
      </c>
      <c r="AK1392" s="10" t="s">
        <v>14032</v>
      </c>
      <c r="AL1392" s="10" t="s">
        <v>64</v>
      </c>
      <c r="AM1392" s="10" t="s">
        <v>14033</v>
      </c>
      <c r="AN1392" s="10" t="s">
        <v>50</v>
      </c>
      <c r="AO1392" s="11" t="s">
        <v>50</v>
      </c>
      <c r="AP1392" s="10" t="s">
        <v>50</v>
      </c>
      <c r="AQ1392" s="10" t="s">
        <v>50</v>
      </c>
      <c r="AR1392" s="10" t="s">
        <v>50</v>
      </c>
      <c r="AS1392" s="10" t="s">
        <v>50</v>
      </c>
      <c r="AT1392" s="10" t="s">
        <v>50</v>
      </c>
      <c r="AU1392" s="10" t="s">
        <v>50</v>
      </c>
      <c r="AV1392" s="11"/>
      <c r="AW1392" s="10" t="s">
        <v>66</v>
      </c>
      <c r="AX1392" s="10"/>
      <c r="AY1392" s="10" t="s">
        <v>66</v>
      </c>
    </row>
    <row r="1393" ht="22.5" hidden="1" customHeight="1">
      <c r="A1393" s="9" t="s">
        <v>14034</v>
      </c>
      <c r="B1393" s="10" t="s">
        <v>14035</v>
      </c>
      <c r="C1393" s="10" t="s">
        <v>43</v>
      </c>
      <c r="D1393" s="10" t="s">
        <v>11161</v>
      </c>
      <c r="E1393" s="10" t="s">
        <v>45</v>
      </c>
      <c r="F1393" s="11">
        <v>1.0</v>
      </c>
      <c r="G1393" s="11">
        <v>80.0</v>
      </c>
      <c r="H1393" s="11">
        <v>10.75</v>
      </c>
      <c r="I1393" s="11">
        <v>-13.6</v>
      </c>
      <c r="J1393" s="11">
        <v>-30.7</v>
      </c>
      <c r="K1393" s="11"/>
      <c r="L1393" s="11">
        <v>50.45</v>
      </c>
      <c r="M1393" s="10" t="s">
        <v>46</v>
      </c>
      <c r="N1393" s="10" t="s">
        <v>50</v>
      </c>
      <c r="O1393" s="10" t="s">
        <v>1990</v>
      </c>
      <c r="P1393" s="10" t="s">
        <v>1991</v>
      </c>
      <c r="Q1393" s="10" t="s">
        <v>1992</v>
      </c>
      <c r="R1393" s="10" t="s">
        <v>74</v>
      </c>
      <c r="S1393" s="11">
        <v>80.0</v>
      </c>
      <c r="T1393" s="11">
        <v>7.11</v>
      </c>
      <c r="U1393" s="11" t="s">
        <v>51</v>
      </c>
      <c r="V1393" s="10" t="s">
        <v>52</v>
      </c>
      <c r="W1393" s="10" t="s">
        <v>14036</v>
      </c>
      <c r="X1393" s="10" t="s">
        <v>14037</v>
      </c>
      <c r="Y1393" s="10" t="s">
        <v>14038</v>
      </c>
      <c r="Z1393" s="10" t="s">
        <v>50</v>
      </c>
      <c r="AA1393" s="10" t="s">
        <v>50</v>
      </c>
      <c r="AB1393" s="10" t="s">
        <v>14036</v>
      </c>
      <c r="AC1393" s="10" t="s">
        <v>14039</v>
      </c>
      <c r="AD1393" s="10" t="s">
        <v>14040</v>
      </c>
      <c r="AE1393" s="10" t="s">
        <v>2872</v>
      </c>
      <c r="AF1393" s="10" t="s">
        <v>2873</v>
      </c>
      <c r="AG1393" s="10" t="s">
        <v>14041</v>
      </c>
      <c r="AH1393" s="10" t="s">
        <v>60</v>
      </c>
      <c r="AI1393" s="10" t="s">
        <v>13406</v>
      </c>
      <c r="AJ1393" s="10" t="s">
        <v>13844</v>
      </c>
      <c r="AK1393" s="10" t="s">
        <v>14042</v>
      </c>
      <c r="AL1393" s="10" t="s">
        <v>64</v>
      </c>
      <c r="AM1393" s="10" t="s">
        <v>14043</v>
      </c>
      <c r="AN1393" s="10" t="s">
        <v>50</v>
      </c>
      <c r="AO1393" s="11" t="s">
        <v>50</v>
      </c>
      <c r="AP1393" s="10" t="s">
        <v>50</v>
      </c>
      <c r="AQ1393" s="10" t="s">
        <v>50</v>
      </c>
      <c r="AR1393" s="10" t="s">
        <v>50</v>
      </c>
      <c r="AS1393" s="10" t="s">
        <v>50</v>
      </c>
      <c r="AT1393" s="10" t="s">
        <v>50</v>
      </c>
      <c r="AU1393" s="10" t="s">
        <v>50</v>
      </c>
      <c r="AV1393" s="11"/>
      <c r="AW1393" s="10" t="s">
        <v>66</v>
      </c>
      <c r="AX1393" s="10"/>
      <c r="AY1393" s="10" t="s">
        <v>66</v>
      </c>
    </row>
    <row r="1394" ht="22.5" hidden="1" customHeight="1">
      <c r="A1394" s="9" t="s">
        <v>14044</v>
      </c>
      <c r="B1394" s="10" t="s">
        <v>14045</v>
      </c>
      <c r="C1394" s="10" t="s">
        <v>43</v>
      </c>
      <c r="D1394" s="10" t="s">
        <v>13049</v>
      </c>
      <c r="E1394" s="10" t="s">
        <v>66</v>
      </c>
      <c r="F1394" s="11">
        <v>1.0</v>
      </c>
      <c r="G1394" s="11">
        <v>79.35</v>
      </c>
      <c r="H1394" s="11"/>
      <c r="I1394" s="11">
        <v>-15.08</v>
      </c>
      <c r="J1394" s="11">
        <v>-19.95</v>
      </c>
      <c r="K1394" s="11"/>
      <c r="L1394" s="11">
        <v>44.32</v>
      </c>
      <c r="M1394" s="10" t="s">
        <v>46</v>
      </c>
      <c r="N1394" s="10" t="s">
        <v>45</v>
      </c>
      <c r="O1394" s="10" t="s">
        <v>47</v>
      </c>
      <c r="P1394" s="10" t="s">
        <v>48</v>
      </c>
      <c r="Q1394" s="10" t="s">
        <v>49</v>
      </c>
      <c r="R1394" s="10" t="s">
        <v>50</v>
      </c>
      <c r="S1394" s="11">
        <v>79.35</v>
      </c>
      <c r="T1394" s="11">
        <v>12.45</v>
      </c>
      <c r="U1394" s="11" t="s">
        <v>51</v>
      </c>
      <c r="V1394" s="10" t="s">
        <v>52</v>
      </c>
      <c r="W1394" s="10" t="s">
        <v>14046</v>
      </c>
      <c r="X1394" s="10" t="s">
        <v>14047</v>
      </c>
      <c r="Y1394" s="10" t="s">
        <v>14048</v>
      </c>
      <c r="Z1394" s="10" t="s">
        <v>50</v>
      </c>
      <c r="AA1394" s="10" t="s">
        <v>50</v>
      </c>
      <c r="AB1394" s="10" t="s">
        <v>14046</v>
      </c>
      <c r="AC1394" s="10" t="s">
        <v>14049</v>
      </c>
      <c r="AD1394" s="10" t="s">
        <v>14050</v>
      </c>
      <c r="AE1394" s="10" t="s">
        <v>14051</v>
      </c>
      <c r="AF1394" s="10" t="s">
        <v>323</v>
      </c>
      <c r="AG1394" s="10" t="s">
        <v>14052</v>
      </c>
      <c r="AH1394" s="10" t="s">
        <v>60</v>
      </c>
      <c r="AI1394" s="10" t="s">
        <v>13406</v>
      </c>
      <c r="AJ1394" s="10" t="s">
        <v>14031</v>
      </c>
      <c r="AK1394" s="10" t="s">
        <v>14053</v>
      </c>
      <c r="AL1394" s="10" t="s">
        <v>64</v>
      </c>
      <c r="AM1394" s="10" t="s">
        <v>14054</v>
      </c>
      <c r="AN1394" s="10" t="s">
        <v>50</v>
      </c>
      <c r="AO1394" s="11" t="s">
        <v>50</v>
      </c>
      <c r="AP1394" s="10" t="s">
        <v>50</v>
      </c>
      <c r="AQ1394" s="10" t="s">
        <v>50</v>
      </c>
      <c r="AR1394" s="10" t="s">
        <v>50</v>
      </c>
      <c r="AS1394" s="10" t="s">
        <v>50</v>
      </c>
      <c r="AT1394" s="10" t="s">
        <v>50</v>
      </c>
      <c r="AU1394" s="10" t="s">
        <v>50</v>
      </c>
      <c r="AV1394" s="11"/>
      <c r="AW1394" s="10" t="s">
        <v>66</v>
      </c>
      <c r="AX1394" s="10"/>
      <c r="AY1394" s="10" t="s">
        <v>66</v>
      </c>
    </row>
    <row r="1395" ht="22.5" hidden="1" customHeight="1">
      <c r="A1395" s="9" t="s">
        <v>14055</v>
      </c>
      <c r="B1395" s="10" t="s">
        <v>14056</v>
      </c>
      <c r="C1395" s="10" t="s">
        <v>43</v>
      </c>
      <c r="D1395" s="10" t="s">
        <v>13049</v>
      </c>
      <c r="E1395" s="10" t="s">
        <v>45</v>
      </c>
      <c r="F1395" s="11">
        <v>1.0</v>
      </c>
      <c r="G1395" s="11">
        <v>120.0</v>
      </c>
      <c r="H1395" s="11"/>
      <c r="I1395" s="11">
        <v>-20.4</v>
      </c>
      <c r="J1395" s="11">
        <v>-19.95</v>
      </c>
      <c r="K1395" s="11"/>
      <c r="L1395" s="11">
        <v>86.85</v>
      </c>
      <c r="M1395" s="10" t="s">
        <v>46</v>
      </c>
      <c r="N1395" s="10" t="s">
        <v>45</v>
      </c>
      <c r="O1395" s="10" t="s">
        <v>85</v>
      </c>
      <c r="P1395" s="10" t="s">
        <v>86</v>
      </c>
      <c r="Q1395" s="10" t="s">
        <v>87</v>
      </c>
      <c r="R1395" s="10" t="s">
        <v>74</v>
      </c>
      <c r="S1395" s="11">
        <v>120.0</v>
      </c>
      <c r="T1395" s="11">
        <v>65.78</v>
      </c>
      <c r="U1395" s="11" t="s">
        <v>51</v>
      </c>
      <c r="V1395" s="10" t="s">
        <v>52</v>
      </c>
      <c r="W1395" s="10" t="s">
        <v>14057</v>
      </c>
      <c r="X1395" s="10" t="s">
        <v>14058</v>
      </c>
      <c r="Y1395" s="10" t="s">
        <v>14059</v>
      </c>
      <c r="Z1395" s="10" t="s">
        <v>50</v>
      </c>
      <c r="AA1395" s="10" t="s">
        <v>50</v>
      </c>
      <c r="AB1395" s="10" t="s">
        <v>14057</v>
      </c>
      <c r="AC1395" s="10" t="s">
        <v>14060</v>
      </c>
      <c r="AD1395" s="10" t="s">
        <v>14061</v>
      </c>
      <c r="AE1395" s="10" t="s">
        <v>14062</v>
      </c>
      <c r="AF1395" s="10" t="s">
        <v>775</v>
      </c>
      <c r="AG1395" s="10" t="s">
        <v>14063</v>
      </c>
      <c r="AH1395" s="10" t="s">
        <v>60</v>
      </c>
      <c r="AI1395" s="10" t="s">
        <v>13406</v>
      </c>
      <c r="AJ1395" s="10" t="s">
        <v>14064</v>
      </c>
      <c r="AK1395" s="10" t="s">
        <v>14065</v>
      </c>
      <c r="AL1395" s="10" t="s">
        <v>64</v>
      </c>
      <c r="AM1395" s="10" t="s">
        <v>14066</v>
      </c>
      <c r="AN1395" s="10" t="s">
        <v>50</v>
      </c>
      <c r="AO1395" s="11" t="s">
        <v>50</v>
      </c>
      <c r="AP1395" s="10" t="s">
        <v>50</v>
      </c>
      <c r="AQ1395" s="10" t="s">
        <v>50</v>
      </c>
      <c r="AR1395" s="10" t="s">
        <v>50</v>
      </c>
      <c r="AS1395" s="10" t="s">
        <v>50</v>
      </c>
      <c r="AT1395" s="10" t="s">
        <v>50</v>
      </c>
      <c r="AU1395" s="10" t="s">
        <v>50</v>
      </c>
      <c r="AV1395" s="11"/>
      <c r="AW1395" s="10" t="s">
        <v>66</v>
      </c>
      <c r="AX1395" s="10"/>
      <c r="AY1395" s="10" t="s">
        <v>66</v>
      </c>
    </row>
    <row r="1396" ht="22.5" hidden="1" customHeight="1">
      <c r="A1396" s="9" t="s">
        <v>14067</v>
      </c>
      <c r="B1396" s="10" t="s">
        <v>14056</v>
      </c>
      <c r="C1396" s="10" t="s">
        <v>43</v>
      </c>
      <c r="D1396" s="10" t="s">
        <v>12217</v>
      </c>
      <c r="E1396" s="10" t="s">
        <v>66</v>
      </c>
      <c r="F1396" s="11">
        <v>1.0</v>
      </c>
      <c r="G1396" s="11">
        <v>80.0</v>
      </c>
      <c r="H1396" s="11">
        <v>16.65</v>
      </c>
      <c r="I1396" s="11">
        <v>-13.6</v>
      </c>
      <c r="J1396" s="11">
        <v>-36.6</v>
      </c>
      <c r="K1396" s="11"/>
      <c r="L1396" s="11">
        <v>50.45</v>
      </c>
      <c r="M1396" s="10" t="s">
        <v>46</v>
      </c>
      <c r="N1396" s="10" t="s">
        <v>45</v>
      </c>
      <c r="O1396" s="10" t="s">
        <v>143</v>
      </c>
      <c r="P1396" s="10" t="s">
        <v>144</v>
      </c>
      <c r="Q1396" s="10" t="s">
        <v>145</v>
      </c>
      <c r="R1396" s="10" t="s">
        <v>74</v>
      </c>
      <c r="S1396" s="11">
        <v>80.0</v>
      </c>
      <c r="T1396" s="11">
        <v>33.38</v>
      </c>
      <c r="U1396" s="11" t="s">
        <v>51</v>
      </c>
      <c r="V1396" s="10" t="s">
        <v>52</v>
      </c>
      <c r="W1396" s="10" t="s">
        <v>14068</v>
      </c>
      <c r="X1396" s="10" t="s">
        <v>14069</v>
      </c>
      <c r="Y1396" s="10" t="s">
        <v>14070</v>
      </c>
      <c r="Z1396" s="10" t="s">
        <v>50</v>
      </c>
      <c r="AA1396" s="10" t="s">
        <v>50</v>
      </c>
      <c r="AB1396" s="10" t="s">
        <v>14068</v>
      </c>
      <c r="AC1396" s="10" t="s">
        <v>14071</v>
      </c>
      <c r="AD1396" s="10" t="s">
        <v>14072</v>
      </c>
      <c r="AE1396" s="10" t="s">
        <v>14073</v>
      </c>
      <c r="AF1396" s="10" t="s">
        <v>2636</v>
      </c>
      <c r="AG1396" s="10" t="s">
        <v>14074</v>
      </c>
      <c r="AH1396" s="10" t="s">
        <v>60</v>
      </c>
      <c r="AI1396" s="10" t="s">
        <v>13406</v>
      </c>
      <c r="AJ1396" s="10" t="s">
        <v>14064</v>
      </c>
      <c r="AK1396" s="10" t="s">
        <v>14075</v>
      </c>
      <c r="AL1396" s="10" t="s">
        <v>64</v>
      </c>
      <c r="AM1396" s="10" t="s">
        <v>14076</v>
      </c>
      <c r="AN1396" s="10" t="s">
        <v>50</v>
      </c>
      <c r="AO1396" s="11" t="s">
        <v>50</v>
      </c>
      <c r="AP1396" s="10" t="s">
        <v>50</v>
      </c>
      <c r="AQ1396" s="10" t="s">
        <v>50</v>
      </c>
      <c r="AR1396" s="10" t="s">
        <v>50</v>
      </c>
      <c r="AS1396" s="10" t="s">
        <v>50</v>
      </c>
      <c r="AT1396" s="10" t="s">
        <v>50</v>
      </c>
      <c r="AU1396" s="10" t="s">
        <v>50</v>
      </c>
      <c r="AV1396" s="11"/>
      <c r="AW1396" s="10" t="s">
        <v>66</v>
      </c>
      <c r="AX1396" s="10"/>
      <c r="AY1396" s="10" t="s">
        <v>66</v>
      </c>
    </row>
    <row r="1397" ht="22.5" hidden="1" customHeight="1">
      <c r="A1397" s="9" t="s">
        <v>14077</v>
      </c>
      <c r="B1397" s="10" t="s">
        <v>14078</v>
      </c>
      <c r="C1397" s="10" t="s">
        <v>13002</v>
      </c>
      <c r="D1397" s="10" t="s">
        <v>13003</v>
      </c>
      <c r="E1397" s="10" t="s">
        <v>66</v>
      </c>
      <c r="F1397" s="11">
        <v>1.0</v>
      </c>
      <c r="G1397" s="11">
        <v>80.0</v>
      </c>
      <c r="H1397" s="11">
        <v>16.65</v>
      </c>
      <c r="I1397" s="11">
        <v>-13.6</v>
      </c>
      <c r="J1397" s="11">
        <v>-36.6</v>
      </c>
      <c r="K1397" s="11">
        <v>-50.45</v>
      </c>
      <c r="L1397" s="11">
        <v>0.0</v>
      </c>
      <c r="M1397" s="10" t="s">
        <v>12218</v>
      </c>
      <c r="N1397" s="10" t="s">
        <v>45</v>
      </c>
      <c r="O1397" s="10" t="s">
        <v>143</v>
      </c>
      <c r="P1397" s="10" t="s">
        <v>144</v>
      </c>
      <c r="Q1397" s="10" t="s">
        <v>145</v>
      </c>
      <c r="R1397" s="10" t="s">
        <v>74</v>
      </c>
      <c r="S1397" s="11">
        <v>80.0</v>
      </c>
      <c r="T1397" s="11"/>
      <c r="U1397" s="11" t="s">
        <v>51</v>
      </c>
      <c r="V1397" s="10" t="s">
        <v>75</v>
      </c>
      <c r="W1397" s="10" t="s">
        <v>14079</v>
      </c>
      <c r="X1397" s="10" t="s">
        <v>14080</v>
      </c>
      <c r="Y1397" s="10" t="s">
        <v>14081</v>
      </c>
      <c r="Z1397" s="10" t="s">
        <v>50</v>
      </c>
      <c r="AA1397" s="10" t="s">
        <v>50</v>
      </c>
      <c r="AB1397" s="10" t="s">
        <v>14079</v>
      </c>
      <c r="AC1397" s="10" t="s">
        <v>14082</v>
      </c>
      <c r="AD1397" s="10" t="s">
        <v>50</v>
      </c>
      <c r="AE1397" s="10" t="s">
        <v>14083</v>
      </c>
      <c r="AF1397" s="10" t="s">
        <v>169</v>
      </c>
      <c r="AG1397" s="10" t="s">
        <v>14084</v>
      </c>
      <c r="AH1397" s="10" t="s">
        <v>60</v>
      </c>
      <c r="AI1397" s="10" t="s">
        <v>13406</v>
      </c>
      <c r="AJ1397" s="10" t="s">
        <v>50</v>
      </c>
      <c r="AK1397" s="10" t="s">
        <v>50</v>
      </c>
      <c r="AL1397" s="10" t="s">
        <v>64</v>
      </c>
      <c r="AM1397" s="10" t="s">
        <v>50</v>
      </c>
      <c r="AN1397" s="10" t="s">
        <v>50</v>
      </c>
      <c r="AO1397" s="11" t="s">
        <v>50</v>
      </c>
      <c r="AP1397" s="10" t="s">
        <v>50</v>
      </c>
      <c r="AQ1397" s="10" t="s">
        <v>50</v>
      </c>
      <c r="AR1397" s="10" t="s">
        <v>50</v>
      </c>
      <c r="AS1397" s="10" t="s">
        <v>50</v>
      </c>
      <c r="AT1397" s="10" t="s">
        <v>50</v>
      </c>
      <c r="AU1397" s="10" t="s">
        <v>50</v>
      </c>
      <c r="AV1397" s="11"/>
      <c r="AW1397" s="10" t="s">
        <v>66</v>
      </c>
      <c r="AX1397" s="10">
        <v>1.0</v>
      </c>
      <c r="AY1397" s="10" t="s">
        <v>66</v>
      </c>
    </row>
    <row r="1398" ht="22.5" hidden="1" customHeight="1">
      <c r="A1398" s="9" t="s">
        <v>14085</v>
      </c>
      <c r="B1398" s="10" t="s">
        <v>14086</v>
      </c>
      <c r="C1398" s="10" t="s">
        <v>43</v>
      </c>
      <c r="D1398" s="10" t="s">
        <v>12217</v>
      </c>
      <c r="E1398" s="10" t="s">
        <v>66</v>
      </c>
      <c r="F1398" s="11">
        <v>1.0</v>
      </c>
      <c r="G1398" s="11">
        <v>79.2</v>
      </c>
      <c r="H1398" s="11"/>
      <c r="I1398" s="11">
        <v>-13.46</v>
      </c>
      <c r="J1398" s="11">
        <v>-20.45</v>
      </c>
      <c r="K1398" s="11"/>
      <c r="L1398" s="11">
        <v>45.29</v>
      </c>
      <c r="M1398" s="10" t="s">
        <v>46</v>
      </c>
      <c r="N1398" s="10" t="s">
        <v>50</v>
      </c>
      <c r="O1398" s="10" t="s">
        <v>412</v>
      </c>
      <c r="P1398" s="10" t="s">
        <v>413</v>
      </c>
      <c r="Q1398" s="10" t="s">
        <v>414</v>
      </c>
      <c r="R1398" s="10" t="s">
        <v>415</v>
      </c>
      <c r="S1398" s="11">
        <v>79.2</v>
      </c>
      <c r="T1398" s="11">
        <v>10.05</v>
      </c>
      <c r="U1398" s="11" t="s">
        <v>51</v>
      </c>
      <c r="V1398" s="10" t="s">
        <v>52</v>
      </c>
      <c r="W1398" s="10" t="s">
        <v>14087</v>
      </c>
      <c r="X1398" s="10" t="s">
        <v>14088</v>
      </c>
      <c r="Y1398" s="10" t="s">
        <v>14089</v>
      </c>
      <c r="Z1398" s="10" t="s">
        <v>50</v>
      </c>
      <c r="AA1398" s="10" t="s">
        <v>50</v>
      </c>
      <c r="AB1398" s="10" t="s">
        <v>14087</v>
      </c>
      <c r="AC1398" s="10" t="s">
        <v>14090</v>
      </c>
      <c r="AD1398" s="10" t="s">
        <v>14091</v>
      </c>
      <c r="AE1398" s="10" t="s">
        <v>4621</v>
      </c>
      <c r="AF1398" s="10" t="s">
        <v>214</v>
      </c>
      <c r="AG1398" s="10" t="s">
        <v>14092</v>
      </c>
      <c r="AH1398" s="10" t="s">
        <v>60</v>
      </c>
      <c r="AI1398" s="10" t="s">
        <v>13406</v>
      </c>
      <c r="AJ1398" s="10" t="s">
        <v>12258</v>
      </c>
      <c r="AK1398" s="10" t="s">
        <v>14093</v>
      </c>
      <c r="AL1398" s="10" t="s">
        <v>64</v>
      </c>
      <c r="AM1398" s="10" t="s">
        <v>14094</v>
      </c>
      <c r="AN1398" s="10" t="s">
        <v>14095</v>
      </c>
      <c r="AO1398" s="11" t="s">
        <v>50</v>
      </c>
      <c r="AP1398" s="10" t="s">
        <v>50</v>
      </c>
      <c r="AQ1398" s="10" t="s">
        <v>50</v>
      </c>
      <c r="AR1398" s="10" t="s">
        <v>50</v>
      </c>
      <c r="AS1398" s="10" t="s">
        <v>50</v>
      </c>
      <c r="AT1398" s="10" t="s">
        <v>50</v>
      </c>
      <c r="AU1398" s="10" t="s">
        <v>50</v>
      </c>
      <c r="AV1398" s="11"/>
      <c r="AW1398" s="10" t="s">
        <v>66</v>
      </c>
      <c r="AX1398" s="10"/>
      <c r="AY1398" s="10" t="s">
        <v>66</v>
      </c>
    </row>
    <row r="1399" ht="22.5" hidden="1" customHeight="1">
      <c r="A1399" s="9" t="s">
        <v>14096</v>
      </c>
      <c r="B1399" s="10" t="s">
        <v>14097</v>
      </c>
      <c r="C1399" s="10" t="s">
        <v>13002</v>
      </c>
      <c r="D1399" s="10" t="s">
        <v>13003</v>
      </c>
      <c r="E1399" s="10" t="s">
        <v>45</v>
      </c>
      <c r="F1399" s="11">
        <v>1.0</v>
      </c>
      <c r="G1399" s="11">
        <v>80.3</v>
      </c>
      <c r="H1399" s="11"/>
      <c r="I1399" s="11">
        <v>-13.65</v>
      </c>
      <c r="J1399" s="11">
        <v>-20.45</v>
      </c>
      <c r="K1399" s="11">
        <v>-46.2</v>
      </c>
      <c r="L1399" s="11">
        <v>0.0</v>
      </c>
      <c r="M1399" s="10" t="s">
        <v>12218</v>
      </c>
      <c r="N1399" s="10" t="s">
        <v>45</v>
      </c>
      <c r="O1399" s="10" t="s">
        <v>127</v>
      </c>
      <c r="P1399" s="10" t="s">
        <v>128</v>
      </c>
      <c r="Q1399" s="10" t="s">
        <v>129</v>
      </c>
      <c r="R1399" s="10" t="s">
        <v>74</v>
      </c>
      <c r="S1399" s="11">
        <v>80.3</v>
      </c>
      <c r="T1399" s="11"/>
      <c r="U1399" s="11" t="s">
        <v>51</v>
      </c>
      <c r="V1399" s="10" t="s">
        <v>75</v>
      </c>
      <c r="W1399" s="10" t="s">
        <v>14098</v>
      </c>
      <c r="X1399" s="10" t="s">
        <v>14099</v>
      </c>
      <c r="Y1399" s="10" t="s">
        <v>14100</v>
      </c>
      <c r="Z1399" s="10" t="s">
        <v>50</v>
      </c>
      <c r="AA1399" s="10" t="s">
        <v>50</v>
      </c>
      <c r="AB1399" s="10" t="s">
        <v>14098</v>
      </c>
      <c r="AC1399" s="10" t="s">
        <v>14101</v>
      </c>
      <c r="AD1399" s="10" t="s">
        <v>50</v>
      </c>
      <c r="AE1399" s="10" t="s">
        <v>14102</v>
      </c>
      <c r="AF1399" s="10" t="s">
        <v>185</v>
      </c>
      <c r="AG1399" s="10" t="s">
        <v>14103</v>
      </c>
      <c r="AH1399" s="10" t="s">
        <v>60</v>
      </c>
      <c r="AI1399" s="10" t="s">
        <v>13406</v>
      </c>
      <c r="AJ1399" s="10" t="s">
        <v>50</v>
      </c>
      <c r="AK1399" s="10" t="s">
        <v>50</v>
      </c>
      <c r="AL1399" s="10" t="s">
        <v>64</v>
      </c>
      <c r="AM1399" s="10" t="s">
        <v>50</v>
      </c>
      <c r="AN1399" s="10" t="s">
        <v>50</v>
      </c>
      <c r="AO1399" s="11" t="s">
        <v>50</v>
      </c>
      <c r="AP1399" s="10" t="s">
        <v>50</v>
      </c>
      <c r="AQ1399" s="10" t="s">
        <v>50</v>
      </c>
      <c r="AR1399" s="10" t="s">
        <v>50</v>
      </c>
      <c r="AS1399" s="10" t="s">
        <v>50</v>
      </c>
      <c r="AT1399" s="10" t="s">
        <v>50</v>
      </c>
      <c r="AU1399" s="10" t="s">
        <v>50</v>
      </c>
      <c r="AV1399" s="11"/>
      <c r="AW1399" s="10" t="s">
        <v>66</v>
      </c>
      <c r="AX1399" s="10">
        <v>1.0</v>
      </c>
      <c r="AY1399" s="10" t="s">
        <v>66</v>
      </c>
    </row>
    <row r="1400" ht="22.5" hidden="1" customHeight="1">
      <c r="A1400" s="9" t="s">
        <v>14104</v>
      </c>
      <c r="B1400" s="10" t="s">
        <v>14105</v>
      </c>
      <c r="C1400" s="10" t="s">
        <v>43</v>
      </c>
      <c r="D1400" s="10" t="s">
        <v>12217</v>
      </c>
      <c r="E1400" s="10" t="s">
        <v>66</v>
      </c>
      <c r="F1400" s="11">
        <v>1.0</v>
      </c>
      <c r="G1400" s="11">
        <v>43.7</v>
      </c>
      <c r="H1400" s="11">
        <v>30.68</v>
      </c>
      <c r="I1400" s="11">
        <v>-13.43</v>
      </c>
      <c r="J1400" s="11">
        <v>-30.68</v>
      </c>
      <c r="K1400" s="11"/>
      <c r="L1400" s="11">
        <v>32.89</v>
      </c>
      <c r="M1400" s="10" t="s">
        <v>12218</v>
      </c>
      <c r="N1400" s="10" t="s">
        <v>50</v>
      </c>
      <c r="O1400" s="10" t="s">
        <v>176</v>
      </c>
      <c r="P1400" s="10" t="s">
        <v>177</v>
      </c>
      <c r="Q1400" s="10" t="s">
        <v>178</v>
      </c>
      <c r="R1400" s="10" t="s">
        <v>74</v>
      </c>
      <c r="S1400" s="11">
        <v>43.7</v>
      </c>
      <c r="T1400" s="11">
        <v>22.58</v>
      </c>
      <c r="U1400" s="11" t="s">
        <v>51</v>
      </c>
      <c r="V1400" s="10" t="s">
        <v>52</v>
      </c>
      <c r="W1400" s="10" t="s">
        <v>14106</v>
      </c>
      <c r="X1400" s="10" t="s">
        <v>14107</v>
      </c>
      <c r="Y1400" s="10" t="s">
        <v>14108</v>
      </c>
      <c r="Z1400" s="10" t="s">
        <v>50</v>
      </c>
      <c r="AA1400" s="10" t="s">
        <v>50</v>
      </c>
      <c r="AB1400" s="10" t="s">
        <v>14106</v>
      </c>
      <c r="AC1400" s="10" t="s">
        <v>14109</v>
      </c>
      <c r="AD1400" s="10" t="s">
        <v>14110</v>
      </c>
      <c r="AE1400" s="10" t="s">
        <v>14111</v>
      </c>
      <c r="AF1400" s="10" t="s">
        <v>775</v>
      </c>
      <c r="AG1400" s="10" t="s">
        <v>14112</v>
      </c>
      <c r="AH1400" s="10" t="s">
        <v>60</v>
      </c>
      <c r="AI1400" s="10" t="s">
        <v>13406</v>
      </c>
      <c r="AJ1400" s="10" t="s">
        <v>14064</v>
      </c>
      <c r="AK1400" s="10" t="s">
        <v>14113</v>
      </c>
      <c r="AL1400" s="10" t="s">
        <v>64</v>
      </c>
      <c r="AM1400" s="10" t="s">
        <v>14114</v>
      </c>
      <c r="AN1400" s="10" t="s">
        <v>50</v>
      </c>
      <c r="AO1400" s="11" t="s">
        <v>50</v>
      </c>
      <c r="AP1400" s="10" t="s">
        <v>50</v>
      </c>
      <c r="AQ1400" s="10" t="s">
        <v>50</v>
      </c>
      <c r="AR1400" s="10" t="s">
        <v>50</v>
      </c>
      <c r="AS1400" s="10" t="s">
        <v>50</v>
      </c>
      <c r="AT1400" s="10" t="s">
        <v>50</v>
      </c>
      <c r="AU1400" s="10" t="s">
        <v>50</v>
      </c>
      <c r="AV1400" s="11"/>
      <c r="AW1400" s="10" t="s">
        <v>66</v>
      </c>
      <c r="AX1400" s="10"/>
      <c r="AY1400" s="10" t="s">
        <v>66</v>
      </c>
    </row>
    <row r="1401" ht="22.5" hidden="1" customHeight="1">
      <c r="A1401" s="9" t="s">
        <v>14115</v>
      </c>
      <c r="B1401" s="10" t="s">
        <v>14116</v>
      </c>
      <c r="C1401" s="10" t="s">
        <v>43</v>
      </c>
      <c r="D1401" s="10" t="s">
        <v>13049</v>
      </c>
      <c r="E1401" s="10" t="s">
        <v>66</v>
      </c>
      <c r="F1401" s="11">
        <v>1.0</v>
      </c>
      <c r="G1401" s="11">
        <v>43.7</v>
      </c>
      <c r="H1401" s="11">
        <v>22.32</v>
      </c>
      <c r="I1401" s="11">
        <v>-13.43</v>
      </c>
      <c r="J1401" s="11">
        <v>-22.32</v>
      </c>
      <c r="K1401" s="11"/>
      <c r="L1401" s="11">
        <v>32.89</v>
      </c>
      <c r="M1401" s="10" t="s">
        <v>12218</v>
      </c>
      <c r="N1401" s="10" t="s">
        <v>50</v>
      </c>
      <c r="O1401" s="10" t="s">
        <v>176</v>
      </c>
      <c r="P1401" s="10" t="s">
        <v>177</v>
      </c>
      <c r="Q1401" s="10" t="s">
        <v>178</v>
      </c>
      <c r="R1401" s="10" t="s">
        <v>74</v>
      </c>
      <c r="S1401" s="11">
        <v>43.7</v>
      </c>
      <c r="T1401" s="11">
        <v>22.58</v>
      </c>
      <c r="U1401" s="11" t="s">
        <v>51</v>
      </c>
      <c r="V1401" s="10" t="s">
        <v>52</v>
      </c>
      <c r="W1401" s="10" t="s">
        <v>14117</v>
      </c>
      <c r="X1401" s="10" t="s">
        <v>14118</v>
      </c>
      <c r="Y1401" s="10" t="s">
        <v>14119</v>
      </c>
      <c r="Z1401" s="10" t="s">
        <v>50</v>
      </c>
      <c r="AA1401" s="10" t="s">
        <v>50</v>
      </c>
      <c r="AB1401" s="10" t="s">
        <v>14117</v>
      </c>
      <c r="AC1401" s="10" t="s">
        <v>14120</v>
      </c>
      <c r="AD1401" s="10" t="s">
        <v>14121</v>
      </c>
      <c r="AE1401" s="10" t="s">
        <v>14122</v>
      </c>
      <c r="AF1401" s="10" t="s">
        <v>323</v>
      </c>
      <c r="AG1401" s="10" t="s">
        <v>14123</v>
      </c>
      <c r="AH1401" s="10" t="s">
        <v>60</v>
      </c>
      <c r="AI1401" s="10" t="s">
        <v>13406</v>
      </c>
      <c r="AJ1401" s="10" t="s">
        <v>14124</v>
      </c>
      <c r="AK1401" s="10" t="s">
        <v>13906</v>
      </c>
      <c r="AL1401" s="10" t="s">
        <v>64</v>
      </c>
      <c r="AM1401" s="10" t="s">
        <v>14125</v>
      </c>
      <c r="AN1401" s="10" t="s">
        <v>50</v>
      </c>
      <c r="AO1401" s="11" t="s">
        <v>50</v>
      </c>
      <c r="AP1401" s="10" t="s">
        <v>50</v>
      </c>
      <c r="AQ1401" s="10" t="s">
        <v>50</v>
      </c>
      <c r="AR1401" s="10" t="s">
        <v>50</v>
      </c>
      <c r="AS1401" s="10" t="s">
        <v>50</v>
      </c>
      <c r="AT1401" s="10" t="s">
        <v>50</v>
      </c>
      <c r="AU1401" s="10" t="s">
        <v>50</v>
      </c>
      <c r="AV1401" s="11"/>
      <c r="AW1401" s="10" t="s">
        <v>66</v>
      </c>
      <c r="AX1401" s="10"/>
      <c r="AY1401" s="10" t="s">
        <v>66</v>
      </c>
    </row>
    <row r="1402" ht="22.5" hidden="1" customHeight="1">
      <c r="A1402" s="9" t="s">
        <v>14126</v>
      </c>
      <c r="B1402" s="10" t="s">
        <v>14127</v>
      </c>
      <c r="C1402" s="10" t="s">
        <v>43</v>
      </c>
      <c r="D1402" s="10" t="s">
        <v>13049</v>
      </c>
      <c r="E1402" s="10" t="s">
        <v>66</v>
      </c>
      <c r="F1402" s="11">
        <v>1.0</v>
      </c>
      <c r="G1402" s="11">
        <v>79.2</v>
      </c>
      <c r="H1402" s="11"/>
      <c r="I1402" s="11">
        <v>-13.46</v>
      </c>
      <c r="J1402" s="11">
        <v>-20.45</v>
      </c>
      <c r="K1402" s="11"/>
      <c r="L1402" s="11">
        <v>45.29</v>
      </c>
      <c r="M1402" s="10" t="s">
        <v>12218</v>
      </c>
      <c r="N1402" s="10" t="s">
        <v>45</v>
      </c>
      <c r="O1402" s="10" t="s">
        <v>892</v>
      </c>
      <c r="P1402" s="10" t="s">
        <v>893</v>
      </c>
      <c r="Q1402" s="10" t="s">
        <v>894</v>
      </c>
      <c r="R1402" s="10" t="s">
        <v>74</v>
      </c>
      <c r="S1402" s="11">
        <v>79.2</v>
      </c>
      <c r="T1402" s="11">
        <v>2.97</v>
      </c>
      <c r="U1402" s="11" t="s">
        <v>51</v>
      </c>
      <c r="V1402" s="10" t="s">
        <v>52</v>
      </c>
      <c r="W1402" s="10" t="s">
        <v>14128</v>
      </c>
      <c r="X1402" s="10" t="s">
        <v>14129</v>
      </c>
      <c r="Y1402" s="10" t="s">
        <v>14130</v>
      </c>
      <c r="Z1402" s="10" t="s">
        <v>50</v>
      </c>
      <c r="AA1402" s="10" t="s">
        <v>50</v>
      </c>
      <c r="AB1402" s="10" t="s">
        <v>14128</v>
      </c>
      <c r="AC1402" s="10" t="s">
        <v>14131</v>
      </c>
      <c r="AD1402" s="10" t="s">
        <v>14132</v>
      </c>
      <c r="AE1402" s="10" t="s">
        <v>296</v>
      </c>
      <c r="AF1402" s="10" t="s">
        <v>58</v>
      </c>
      <c r="AG1402" s="10" t="s">
        <v>14133</v>
      </c>
      <c r="AH1402" s="10" t="s">
        <v>60</v>
      </c>
      <c r="AI1402" s="10" t="s">
        <v>13406</v>
      </c>
      <c r="AJ1402" s="10" t="s">
        <v>14134</v>
      </c>
      <c r="AK1402" s="10" t="s">
        <v>14135</v>
      </c>
      <c r="AL1402" s="10" t="s">
        <v>64</v>
      </c>
      <c r="AM1402" s="10" t="s">
        <v>14136</v>
      </c>
      <c r="AN1402" s="10" t="s">
        <v>50</v>
      </c>
      <c r="AO1402" s="11" t="s">
        <v>50</v>
      </c>
      <c r="AP1402" s="10" t="s">
        <v>50</v>
      </c>
      <c r="AQ1402" s="10" t="s">
        <v>50</v>
      </c>
      <c r="AR1402" s="10" t="s">
        <v>50</v>
      </c>
      <c r="AS1402" s="10" t="s">
        <v>50</v>
      </c>
      <c r="AT1402" s="10" t="s">
        <v>50</v>
      </c>
      <c r="AU1402" s="10" t="s">
        <v>50</v>
      </c>
      <c r="AV1402" s="11"/>
      <c r="AW1402" s="10" t="s">
        <v>66</v>
      </c>
      <c r="AX1402" s="10"/>
      <c r="AY1402" s="10" t="s">
        <v>66</v>
      </c>
    </row>
    <row r="1403" ht="22.5" hidden="1" customHeight="1">
      <c r="A1403" s="9" t="s">
        <v>14137</v>
      </c>
      <c r="B1403" s="10" t="s">
        <v>14138</v>
      </c>
      <c r="C1403" s="10" t="s">
        <v>43</v>
      </c>
      <c r="D1403" s="10" t="s">
        <v>13049</v>
      </c>
      <c r="E1403" s="10" t="s">
        <v>66</v>
      </c>
      <c r="F1403" s="11">
        <v>1.0</v>
      </c>
      <c r="G1403" s="11">
        <v>120.0</v>
      </c>
      <c r="H1403" s="11"/>
      <c r="I1403" s="11">
        <v>-20.4</v>
      </c>
      <c r="J1403" s="11">
        <v>-19.95</v>
      </c>
      <c r="K1403" s="11"/>
      <c r="L1403" s="11">
        <v>86.85</v>
      </c>
      <c r="M1403" s="10" t="s">
        <v>12218</v>
      </c>
      <c r="N1403" s="10" t="s">
        <v>45</v>
      </c>
      <c r="O1403" s="10" t="s">
        <v>85</v>
      </c>
      <c r="P1403" s="10" t="s">
        <v>86</v>
      </c>
      <c r="Q1403" s="10" t="s">
        <v>87</v>
      </c>
      <c r="R1403" s="10" t="s">
        <v>74</v>
      </c>
      <c r="S1403" s="11">
        <v>120.0</v>
      </c>
      <c r="T1403" s="11">
        <v>65.78</v>
      </c>
      <c r="U1403" s="11" t="s">
        <v>51</v>
      </c>
      <c r="V1403" s="10" t="s">
        <v>52</v>
      </c>
      <c r="W1403" s="10" t="s">
        <v>14139</v>
      </c>
      <c r="X1403" s="10" t="s">
        <v>14140</v>
      </c>
      <c r="Y1403" s="10" t="s">
        <v>14141</v>
      </c>
      <c r="Z1403" s="10" t="s">
        <v>50</v>
      </c>
      <c r="AA1403" s="10" t="s">
        <v>50</v>
      </c>
      <c r="AB1403" s="10" t="s">
        <v>14139</v>
      </c>
      <c r="AC1403" s="10" t="s">
        <v>14142</v>
      </c>
      <c r="AD1403" s="10" t="s">
        <v>14143</v>
      </c>
      <c r="AE1403" s="10" t="s">
        <v>833</v>
      </c>
      <c r="AF1403" s="10" t="s">
        <v>58</v>
      </c>
      <c r="AG1403" s="10" t="s">
        <v>14144</v>
      </c>
      <c r="AH1403" s="10" t="s">
        <v>60</v>
      </c>
      <c r="AI1403" s="10" t="s">
        <v>13406</v>
      </c>
      <c r="AJ1403" s="10" t="s">
        <v>13883</v>
      </c>
      <c r="AK1403" s="10" t="s">
        <v>14145</v>
      </c>
      <c r="AL1403" s="10" t="s">
        <v>64</v>
      </c>
      <c r="AM1403" s="10" t="s">
        <v>14146</v>
      </c>
      <c r="AN1403" s="10" t="s">
        <v>50</v>
      </c>
      <c r="AO1403" s="11" t="s">
        <v>50</v>
      </c>
      <c r="AP1403" s="10" t="s">
        <v>50</v>
      </c>
      <c r="AQ1403" s="10" t="s">
        <v>50</v>
      </c>
      <c r="AR1403" s="10" t="s">
        <v>50</v>
      </c>
      <c r="AS1403" s="10" t="s">
        <v>50</v>
      </c>
      <c r="AT1403" s="10" t="s">
        <v>50</v>
      </c>
      <c r="AU1403" s="10" t="s">
        <v>50</v>
      </c>
      <c r="AV1403" s="11"/>
      <c r="AW1403" s="10" t="s">
        <v>66</v>
      </c>
      <c r="AX1403" s="10"/>
      <c r="AY1403" s="10" t="s">
        <v>66</v>
      </c>
    </row>
    <row r="1404" ht="22.5" hidden="1" customHeight="1">
      <c r="A1404" s="9" t="s">
        <v>14147</v>
      </c>
      <c r="B1404" s="10" t="s">
        <v>14148</v>
      </c>
      <c r="C1404" s="10" t="s">
        <v>43</v>
      </c>
      <c r="D1404" s="10" t="s">
        <v>7577</v>
      </c>
      <c r="E1404" s="10" t="s">
        <v>45</v>
      </c>
      <c r="F1404" s="11">
        <v>4.0</v>
      </c>
      <c r="G1404" s="11">
        <v>174.8</v>
      </c>
      <c r="H1404" s="11">
        <v>33.22</v>
      </c>
      <c r="I1404" s="11">
        <v>-53.72</v>
      </c>
      <c r="J1404" s="11">
        <v>-33.22</v>
      </c>
      <c r="K1404" s="11"/>
      <c r="L1404" s="11">
        <v>131.56</v>
      </c>
      <c r="M1404" s="10" t="s">
        <v>12218</v>
      </c>
      <c r="N1404" s="10" t="s">
        <v>50</v>
      </c>
      <c r="O1404" s="10" t="s">
        <v>176</v>
      </c>
      <c r="P1404" s="10" t="s">
        <v>177</v>
      </c>
      <c r="Q1404" s="10" t="s">
        <v>178</v>
      </c>
      <c r="R1404" s="10" t="s">
        <v>74</v>
      </c>
      <c r="S1404" s="11">
        <v>43.7</v>
      </c>
      <c r="T1404" s="11">
        <f>4*22.58</f>
        <v>90.32</v>
      </c>
      <c r="U1404" s="11" t="s">
        <v>51</v>
      </c>
      <c r="V1404" s="10" t="s">
        <v>52</v>
      </c>
      <c r="W1404" s="10" t="s">
        <v>5167</v>
      </c>
      <c r="X1404" s="10" t="s">
        <v>5168</v>
      </c>
      <c r="Y1404" s="10" t="s">
        <v>5169</v>
      </c>
      <c r="Z1404" s="10" t="s">
        <v>50</v>
      </c>
      <c r="AA1404" s="10" t="s">
        <v>50</v>
      </c>
      <c r="AB1404" s="10" t="s">
        <v>5167</v>
      </c>
      <c r="AC1404" s="10" t="s">
        <v>5170</v>
      </c>
      <c r="AD1404" s="10" t="s">
        <v>5171</v>
      </c>
      <c r="AE1404" s="10" t="s">
        <v>5172</v>
      </c>
      <c r="AF1404" s="10" t="s">
        <v>169</v>
      </c>
      <c r="AG1404" s="10" t="s">
        <v>5173</v>
      </c>
      <c r="AH1404" s="10" t="s">
        <v>60</v>
      </c>
      <c r="AI1404" s="10" t="s">
        <v>13406</v>
      </c>
      <c r="AJ1404" s="10" t="s">
        <v>7932</v>
      </c>
      <c r="AK1404" s="10" t="s">
        <v>14149</v>
      </c>
      <c r="AL1404" s="10" t="s">
        <v>64</v>
      </c>
      <c r="AM1404" s="10" t="s">
        <v>14150</v>
      </c>
      <c r="AN1404" s="10" t="s">
        <v>50</v>
      </c>
      <c r="AO1404" s="11" t="s">
        <v>50</v>
      </c>
      <c r="AP1404" s="10" t="s">
        <v>50</v>
      </c>
      <c r="AQ1404" s="10" t="s">
        <v>50</v>
      </c>
      <c r="AR1404" s="10" t="s">
        <v>50</v>
      </c>
      <c r="AS1404" s="10" t="s">
        <v>50</v>
      </c>
      <c r="AT1404" s="10" t="s">
        <v>50</v>
      </c>
      <c r="AU1404" s="10" t="s">
        <v>50</v>
      </c>
      <c r="AV1404" s="11"/>
      <c r="AW1404" s="10" t="s">
        <v>66</v>
      </c>
      <c r="AX1404" s="10"/>
      <c r="AY1404" s="10" t="s">
        <v>66</v>
      </c>
    </row>
    <row r="1405" ht="22.5" hidden="1" customHeight="1">
      <c r="A1405" s="9" t="s">
        <v>14151</v>
      </c>
      <c r="B1405" s="10" t="s">
        <v>14152</v>
      </c>
      <c r="C1405" s="10" t="s">
        <v>43</v>
      </c>
      <c r="D1405" s="10" t="s">
        <v>12217</v>
      </c>
      <c r="E1405" s="10" t="s">
        <v>66</v>
      </c>
      <c r="F1405" s="11">
        <v>1.0</v>
      </c>
      <c r="G1405" s="11">
        <v>79.0</v>
      </c>
      <c r="H1405" s="11">
        <v>10.83</v>
      </c>
      <c r="I1405" s="11">
        <v>-13.43</v>
      </c>
      <c r="J1405" s="11">
        <v>-30.78</v>
      </c>
      <c r="K1405" s="11"/>
      <c r="L1405" s="11">
        <v>45.62</v>
      </c>
      <c r="M1405" s="10" t="s">
        <v>46</v>
      </c>
      <c r="N1405" s="10" t="s">
        <v>50</v>
      </c>
      <c r="O1405" s="10" t="s">
        <v>5100</v>
      </c>
      <c r="P1405" s="10" t="s">
        <v>5101</v>
      </c>
      <c r="Q1405" s="10" t="s">
        <v>5102</v>
      </c>
      <c r="R1405" s="10" t="s">
        <v>74</v>
      </c>
      <c r="S1405" s="11">
        <v>79.0</v>
      </c>
      <c r="T1405" s="11">
        <v>12.9</v>
      </c>
      <c r="U1405" s="11" t="s">
        <v>51</v>
      </c>
      <c r="V1405" s="10" t="s">
        <v>52</v>
      </c>
      <c r="W1405" s="10" t="s">
        <v>14153</v>
      </c>
      <c r="X1405" s="10" t="s">
        <v>14154</v>
      </c>
      <c r="Y1405" s="10" t="s">
        <v>14155</v>
      </c>
      <c r="Z1405" s="10" t="s">
        <v>50</v>
      </c>
      <c r="AA1405" s="10" t="s">
        <v>50</v>
      </c>
      <c r="AB1405" s="10" t="s">
        <v>14153</v>
      </c>
      <c r="AC1405" s="10" t="s">
        <v>14156</v>
      </c>
      <c r="AD1405" s="10" t="s">
        <v>14157</v>
      </c>
      <c r="AE1405" s="10" t="s">
        <v>2975</v>
      </c>
      <c r="AF1405" s="10" t="s">
        <v>2976</v>
      </c>
      <c r="AG1405" s="10" t="s">
        <v>14158</v>
      </c>
      <c r="AH1405" s="10" t="s">
        <v>60</v>
      </c>
      <c r="AI1405" s="10" t="s">
        <v>13406</v>
      </c>
      <c r="AJ1405" s="10" t="s">
        <v>13844</v>
      </c>
      <c r="AK1405" s="10" t="s">
        <v>14159</v>
      </c>
      <c r="AL1405" s="10" t="s">
        <v>64</v>
      </c>
      <c r="AM1405" s="10" t="s">
        <v>14160</v>
      </c>
      <c r="AN1405" s="10" t="s">
        <v>50</v>
      </c>
      <c r="AO1405" s="11" t="s">
        <v>50</v>
      </c>
      <c r="AP1405" s="10" t="s">
        <v>50</v>
      </c>
      <c r="AQ1405" s="10" t="s">
        <v>50</v>
      </c>
      <c r="AR1405" s="10" t="s">
        <v>50</v>
      </c>
      <c r="AS1405" s="10" t="s">
        <v>50</v>
      </c>
      <c r="AT1405" s="10" t="s">
        <v>50</v>
      </c>
      <c r="AU1405" s="10" t="s">
        <v>50</v>
      </c>
      <c r="AV1405" s="11"/>
      <c r="AW1405" s="10" t="s">
        <v>66</v>
      </c>
      <c r="AX1405" s="10"/>
      <c r="AY1405" s="10" t="s">
        <v>66</v>
      </c>
    </row>
    <row r="1406" ht="22.5" hidden="1" customHeight="1">
      <c r="A1406" s="9" t="s">
        <v>14161</v>
      </c>
      <c r="B1406" s="10" t="s">
        <v>14162</v>
      </c>
      <c r="C1406" s="10" t="s">
        <v>43</v>
      </c>
      <c r="D1406" s="10" t="s">
        <v>13049</v>
      </c>
      <c r="E1406" s="10" t="s">
        <v>66</v>
      </c>
      <c r="F1406" s="11">
        <v>1.0</v>
      </c>
      <c r="G1406" s="11">
        <v>120.0</v>
      </c>
      <c r="H1406" s="11"/>
      <c r="I1406" s="11">
        <v>-20.4</v>
      </c>
      <c r="J1406" s="11">
        <v>-19.95</v>
      </c>
      <c r="K1406" s="11"/>
      <c r="L1406" s="11">
        <v>86.85</v>
      </c>
      <c r="M1406" s="10" t="s">
        <v>12218</v>
      </c>
      <c r="N1406" s="10" t="s">
        <v>45</v>
      </c>
      <c r="O1406" s="10" t="s">
        <v>85</v>
      </c>
      <c r="P1406" s="10" t="s">
        <v>86</v>
      </c>
      <c r="Q1406" s="10" t="s">
        <v>87</v>
      </c>
      <c r="R1406" s="10" t="s">
        <v>74</v>
      </c>
      <c r="S1406" s="11">
        <v>120.0</v>
      </c>
      <c r="T1406" s="11">
        <v>65.78</v>
      </c>
      <c r="U1406" s="11" t="s">
        <v>51</v>
      </c>
      <c r="V1406" s="10" t="s">
        <v>52</v>
      </c>
      <c r="W1406" s="10" t="s">
        <v>14163</v>
      </c>
      <c r="X1406" s="10" t="s">
        <v>14164</v>
      </c>
      <c r="Y1406" s="10" t="s">
        <v>14165</v>
      </c>
      <c r="Z1406" s="10" t="s">
        <v>50</v>
      </c>
      <c r="AA1406" s="10" t="s">
        <v>50</v>
      </c>
      <c r="AB1406" s="10" t="s">
        <v>14163</v>
      </c>
      <c r="AC1406" s="10" t="s">
        <v>14166</v>
      </c>
      <c r="AD1406" s="10" t="s">
        <v>14167</v>
      </c>
      <c r="AE1406" s="10" t="s">
        <v>14168</v>
      </c>
      <c r="AF1406" s="10" t="s">
        <v>214</v>
      </c>
      <c r="AG1406" s="10" t="s">
        <v>14169</v>
      </c>
      <c r="AH1406" s="10" t="s">
        <v>60</v>
      </c>
      <c r="AI1406" s="10" t="s">
        <v>13406</v>
      </c>
      <c r="AJ1406" s="10" t="s">
        <v>12258</v>
      </c>
      <c r="AK1406" s="10" t="s">
        <v>13979</v>
      </c>
      <c r="AL1406" s="10" t="s">
        <v>64</v>
      </c>
      <c r="AM1406" s="10" t="s">
        <v>14170</v>
      </c>
      <c r="AN1406" s="10" t="s">
        <v>50</v>
      </c>
      <c r="AO1406" s="11" t="s">
        <v>50</v>
      </c>
      <c r="AP1406" s="10" t="s">
        <v>50</v>
      </c>
      <c r="AQ1406" s="10" t="s">
        <v>50</v>
      </c>
      <c r="AR1406" s="10" t="s">
        <v>50</v>
      </c>
      <c r="AS1406" s="10" t="s">
        <v>50</v>
      </c>
      <c r="AT1406" s="10" t="s">
        <v>50</v>
      </c>
      <c r="AU1406" s="10" t="s">
        <v>50</v>
      </c>
      <c r="AV1406" s="11"/>
      <c r="AW1406" s="10" t="s">
        <v>66</v>
      </c>
      <c r="AX1406" s="10"/>
      <c r="AY1406" s="10" t="s">
        <v>66</v>
      </c>
    </row>
    <row r="1407" ht="22.5" hidden="1" customHeight="1">
      <c r="A1407" s="9" t="s">
        <v>14171</v>
      </c>
      <c r="B1407" s="10" t="s">
        <v>14172</v>
      </c>
      <c r="C1407" s="10" t="s">
        <v>43</v>
      </c>
      <c r="D1407" s="10" t="s">
        <v>13049</v>
      </c>
      <c r="E1407" s="10" t="s">
        <v>45</v>
      </c>
      <c r="F1407" s="11">
        <v>1.0</v>
      </c>
      <c r="G1407" s="11">
        <v>79.0</v>
      </c>
      <c r="H1407" s="11"/>
      <c r="I1407" s="11">
        <v>-13.43</v>
      </c>
      <c r="J1407" s="11">
        <v>-20.45</v>
      </c>
      <c r="K1407" s="11"/>
      <c r="L1407" s="11">
        <v>45.12</v>
      </c>
      <c r="M1407" s="10" t="s">
        <v>46</v>
      </c>
      <c r="N1407" s="10" t="s">
        <v>45</v>
      </c>
      <c r="O1407" s="10" t="s">
        <v>160</v>
      </c>
      <c r="P1407" s="10" t="s">
        <v>161</v>
      </c>
      <c r="Q1407" s="10" t="s">
        <v>162</v>
      </c>
      <c r="R1407" s="10" t="s">
        <v>74</v>
      </c>
      <c r="S1407" s="11">
        <v>79.0</v>
      </c>
      <c r="T1407" s="11">
        <v>2.49</v>
      </c>
      <c r="U1407" s="11" t="s">
        <v>51</v>
      </c>
      <c r="V1407" s="10" t="s">
        <v>52</v>
      </c>
      <c r="W1407" s="10" t="s">
        <v>14173</v>
      </c>
      <c r="X1407" s="10" t="s">
        <v>14174</v>
      </c>
      <c r="Y1407" s="10" t="s">
        <v>14175</v>
      </c>
      <c r="Z1407" s="10" t="s">
        <v>50</v>
      </c>
      <c r="AA1407" s="10" t="s">
        <v>50</v>
      </c>
      <c r="AB1407" s="10" t="s">
        <v>14173</v>
      </c>
      <c r="AC1407" s="10" t="s">
        <v>14176</v>
      </c>
      <c r="AD1407" s="10" t="s">
        <v>14177</v>
      </c>
      <c r="AE1407" s="10" t="s">
        <v>13289</v>
      </c>
      <c r="AF1407" s="10" t="s">
        <v>323</v>
      </c>
      <c r="AG1407" s="10" t="s">
        <v>14178</v>
      </c>
      <c r="AH1407" s="10" t="s">
        <v>60</v>
      </c>
      <c r="AI1407" s="10" t="s">
        <v>13406</v>
      </c>
      <c r="AJ1407" s="10" t="s">
        <v>14179</v>
      </c>
      <c r="AK1407" s="10" t="s">
        <v>14180</v>
      </c>
      <c r="AL1407" s="10" t="s">
        <v>64</v>
      </c>
      <c r="AM1407" s="10" t="s">
        <v>14181</v>
      </c>
      <c r="AN1407" s="10" t="s">
        <v>50</v>
      </c>
      <c r="AO1407" s="11" t="s">
        <v>50</v>
      </c>
      <c r="AP1407" s="10" t="s">
        <v>50</v>
      </c>
      <c r="AQ1407" s="10" t="s">
        <v>50</v>
      </c>
      <c r="AR1407" s="10" t="s">
        <v>50</v>
      </c>
      <c r="AS1407" s="10" t="s">
        <v>50</v>
      </c>
      <c r="AT1407" s="10" t="s">
        <v>50</v>
      </c>
      <c r="AU1407" s="10" t="s">
        <v>50</v>
      </c>
      <c r="AV1407" s="11"/>
      <c r="AW1407" s="10" t="s">
        <v>66</v>
      </c>
      <c r="AX1407" s="10"/>
      <c r="AY1407" s="10" t="s">
        <v>66</v>
      </c>
    </row>
    <row r="1408" ht="22.5" hidden="1" customHeight="1">
      <c r="A1408" s="9" t="s">
        <v>14182</v>
      </c>
      <c r="B1408" s="10" t="s">
        <v>14183</v>
      </c>
      <c r="C1408" s="10" t="s">
        <v>43</v>
      </c>
      <c r="D1408" s="10" t="s">
        <v>13049</v>
      </c>
      <c r="E1408" s="10" t="s">
        <v>45</v>
      </c>
      <c r="F1408" s="11">
        <v>2.0</v>
      </c>
      <c r="G1408" s="11">
        <v>87.4</v>
      </c>
      <c r="H1408" s="11"/>
      <c r="I1408" s="11">
        <v>-26.86</v>
      </c>
      <c r="J1408" s="11"/>
      <c r="K1408" s="11"/>
      <c r="L1408" s="11">
        <v>65.78</v>
      </c>
      <c r="M1408" s="10" t="s">
        <v>12218</v>
      </c>
      <c r="N1408" s="10" t="s">
        <v>50</v>
      </c>
      <c r="O1408" s="10" t="s">
        <v>176</v>
      </c>
      <c r="P1408" s="10" t="s">
        <v>177</v>
      </c>
      <c r="Q1408" s="10" t="s">
        <v>178</v>
      </c>
      <c r="R1408" s="10" t="s">
        <v>74</v>
      </c>
      <c r="S1408" s="11">
        <v>43.7</v>
      </c>
      <c r="T1408" s="11">
        <f>2*22.58</f>
        <v>45.16</v>
      </c>
      <c r="U1408" s="11" t="s">
        <v>51</v>
      </c>
      <c r="V1408" s="10" t="s">
        <v>52</v>
      </c>
      <c r="W1408" s="10" t="s">
        <v>14184</v>
      </c>
      <c r="X1408" s="10" t="s">
        <v>14185</v>
      </c>
      <c r="Y1408" s="10" t="s">
        <v>14186</v>
      </c>
      <c r="Z1408" s="10" t="s">
        <v>50</v>
      </c>
      <c r="AA1408" s="10" t="s">
        <v>50</v>
      </c>
      <c r="AB1408" s="10" t="s">
        <v>14184</v>
      </c>
      <c r="AC1408" s="10" t="s">
        <v>14187</v>
      </c>
      <c r="AD1408" s="10" t="s">
        <v>14188</v>
      </c>
      <c r="AE1408" s="10" t="s">
        <v>58</v>
      </c>
      <c r="AF1408" s="10" t="s">
        <v>58</v>
      </c>
      <c r="AG1408" s="10" t="s">
        <v>14189</v>
      </c>
      <c r="AH1408" s="10" t="s">
        <v>60</v>
      </c>
      <c r="AI1408" s="10" t="s">
        <v>13406</v>
      </c>
      <c r="AJ1408" s="10" t="s">
        <v>13883</v>
      </c>
      <c r="AK1408" s="10" t="s">
        <v>14190</v>
      </c>
      <c r="AL1408" s="10" t="s">
        <v>64</v>
      </c>
      <c r="AM1408" s="10" t="s">
        <v>14191</v>
      </c>
      <c r="AN1408" s="10" t="s">
        <v>50</v>
      </c>
      <c r="AO1408" s="11" t="s">
        <v>50</v>
      </c>
      <c r="AP1408" s="10" t="s">
        <v>50</v>
      </c>
      <c r="AQ1408" s="10" t="s">
        <v>50</v>
      </c>
      <c r="AR1408" s="10" t="s">
        <v>50</v>
      </c>
      <c r="AS1408" s="10" t="s">
        <v>50</v>
      </c>
      <c r="AT1408" s="10" t="s">
        <v>50</v>
      </c>
      <c r="AU1408" s="10" t="s">
        <v>50</v>
      </c>
      <c r="AV1408" s="11"/>
      <c r="AW1408" s="10" t="s">
        <v>66</v>
      </c>
      <c r="AX1408" s="10"/>
      <c r="AY1408" s="10" t="s">
        <v>66</v>
      </c>
    </row>
    <row r="1409" ht="22.5" hidden="1" customHeight="1">
      <c r="A1409" s="12" t="s">
        <v>14192</v>
      </c>
      <c r="B1409" s="13" t="s">
        <v>14193</v>
      </c>
      <c r="C1409" s="13" t="s">
        <v>747</v>
      </c>
      <c r="D1409" s="13" t="s">
        <v>50</v>
      </c>
      <c r="E1409" s="13" t="s">
        <v>50</v>
      </c>
      <c r="F1409" s="14"/>
      <c r="G1409" s="14">
        <v>90.25</v>
      </c>
      <c r="H1409" s="14"/>
      <c r="I1409" s="14">
        <v>-27.34</v>
      </c>
      <c r="J1409" s="14"/>
      <c r="K1409" s="14"/>
      <c r="L1409" s="14">
        <v>68.32</v>
      </c>
      <c r="M1409" s="13" t="s">
        <v>12218</v>
      </c>
      <c r="N1409" s="13" t="s">
        <v>50</v>
      </c>
      <c r="O1409" s="13" t="s">
        <v>50</v>
      </c>
      <c r="P1409" s="13" t="s">
        <v>50</v>
      </c>
      <c r="Q1409" s="13" t="s">
        <v>50</v>
      </c>
      <c r="R1409" s="13" t="s">
        <v>50</v>
      </c>
      <c r="S1409" s="14"/>
      <c r="T1409" s="11">
        <v>2.49</v>
      </c>
      <c r="U1409" s="14" t="s">
        <v>50</v>
      </c>
      <c r="V1409" s="13" t="s">
        <v>52</v>
      </c>
      <c r="W1409" s="13" t="s">
        <v>14194</v>
      </c>
      <c r="X1409" s="13" t="s">
        <v>14195</v>
      </c>
      <c r="Y1409" s="13" t="s">
        <v>14196</v>
      </c>
      <c r="Z1409" s="13" t="s">
        <v>50</v>
      </c>
      <c r="AA1409" s="13" t="s">
        <v>50</v>
      </c>
      <c r="AB1409" s="13" t="s">
        <v>14194</v>
      </c>
      <c r="AC1409" s="13" t="s">
        <v>14197</v>
      </c>
      <c r="AD1409" s="13" t="s">
        <v>14198</v>
      </c>
      <c r="AE1409" s="13" t="s">
        <v>3212</v>
      </c>
      <c r="AF1409" s="13" t="s">
        <v>119</v>
      </c>
      <c r="AG1409" s="13" t="s">
        <v>14199</v>
      </c>
      <c r="AH1409" s="13" t="s">
        <v>60</v>
      </c>
      <c r="AI1409" s="13" t="s">
        <v>13406</v>
      </c>
      <c r="AJ1409" s="13" t="s">
        <v>13938</v>
      </c>
      <c r="AK1409" s="13" t="s">
        <v>13884</v>
      </c>
      <c r="AL1409" s="13" t="s">
        <v>64</v>
      </c>
      <c r="AM1409" s="13" t="s">
        <v>14200</v>
      </c>
      <c r="AN1409" s="13" t="s">
        <v>50</v>
      </c>
      <c r="AO1409" s="15" t="s">
        <v>50</v>
      </c>
      <c r="AP1409" s="13" t="s">
        <v>50</v>
      </c>
      <c r="AQ1409" s="13" t="s">
        <v>50</v>
      </c>
      <c r="AR1409" s="13" t="s">
        <v>50</v>
      </c>
      <c r="AS1409" s="13" t="s">
        <v>50</v>
      </c>
      <c r="AT1409" s="13" t="s">
        <v>50</v>
      </c>
      <c r="AU1409" s="13" t="s">
        <v>50</v>
      </c>
      <c r="AV1409" s="15"/>
      <c r="AW1409" s="13" t="s">
        <v>50</v>
      </c>
      <c r="AX1409" s="13"/>
      <c r="AY1409" s="13" t="s">
        <v>50</v>
      </c>
    </row>
    <row r="1410" ht="22.5" hidden="1" customHeight="1">
      <c r="A1410" s="16" t="s">
        <v>14201</v>
      </c>
      <c r="B1410" s="17" t="s">
        <v>14193</v>
      </c>
      <c r="C1410" s="17" t="s">
        <v>43</v>
      </c>
      <c r="D1410" s="17" t="s">
        <v>12217</v>
      </c>
      <c r="E1410" s="17" t="s">
        <v>45</v>
      </c>
      <c r="F1410" s="18">
        <v>1.0</v>
      </c>
      <c r="G1410" s="18"/>
      <c r="H1410" s="18"/>
      <c r="I1410" s="18"/>
      <c r="J1410" s="18"/>
      <c r="K1410" s="18"/>
      <c r="L1410" s="18"/>
      <c r="M1410" s="17" t="s">
        <v>50</v>
      </c>
      <c r="N1410" s="17" t="s">
        <v>50</v>
      </c>
      <c r="O1410" s="17" t="s">
        <v>888</v>
      </c>
      <c r="P1410" s="17" t="s">
        <v>889</v>
      </c>
      <c r="Q1410" s="17" t="s">
        <v>890</v>
      </c>
      <c r="R1410" s="17" t="s">
        <v>74</v>
      </c>
      <c r="S1410" s="18">
        <v>46.55</v>
      </c>
      <c r="T1410" s="18">
        <v>16.46</v>
      </c>
      <c r="U1410" s="18" t="s">
        <v>51</v>
      </c>
      <c r="V1410" s="17" t="s">
        <v>50</v>
      </c>
      <c r="W1410" s="17" t="s">
        <v>50</v>
      </c>
      <c r="X1410" s="17" t="s">
        <v>50</v>
      </c>
      <c r="Y1410" s="17" t="s">
        <v>50</v>
      </c>
      <c r="Z1410" s="17" t="s">
        <v>50</v>
      </c>
      <c r="AA1410" s="17" t="s">
        <v>50</v>
      </c>
      <c r="AB1410" s="17" t="s">
        <v>50</v>
      </c>
      <c r="AC1410" s="17" t="s">
        <v>50</v>
      </c>
      <c r="AD1410" s="17" t="s">
        <v>50</v>
      </c>
      <c r="AE1410" s="17" t="s">
        <v>50</v>
      </c>
      <c r="AF1410" s="17" t="s">
        <v>50</v>
      </c>
      <c r="AG1410" s="17" t="s">
        <v>50</v>
      </c>
      <c r="AH1410" s="17" t="s">
        <v>50</v>
      </c>
      <c r="AI1410" s="17" t="s">
        <v>50</v>
      </c>
      <c r="AJ1410" s="17" t="s">
        <v>50</v>
      </c>
      <c r="AK1410" s="17" t="s">
        <v>50</v>
      </c>
      <c r="AL1410" s="17" t="s">
        <v>50</v>
      </c>
      <c r="AM1410" s="17" t="s">
        <v>50</v>
      </c>
      <c r="AN1410" s="17" t="s">
        <v>50</v>
      </c>
      <c r="AO1410" s="18" t="s">
        <v>50</v>
      </c>
      <c r="AP1410" s="17" t="s">
        <v>50</v>
      </c>
      <c r="AQ1410" s="17" t="s">
        <v>50</v>
      </c>
      <c r="AR1410" s="17" t="s">
        <v>50</v>
      </c>
      <c r="AS1410" s="17" t="s">
        <v>50</v>
      </c>
      <c r="AT1410" s="17" t="s">
        <v>50</v>
      </c>
      <c r="AU1410" s="17" t="s">
        <v>50</v>
      </c>
      <c r="AV1410" s="18"/>
      <c r="AW1410" s="17" t="s">
        <v>66</v>
      </c>
      <c r="AX1410" s="17"/>
      <c r="AY1410" s="17" t="s">
        <v>66</v>
      </c>
    </row>
    <row r="1411" ht="22.5" hidden="1" customHeight="1">
      <c r="A1411" s="16" t="s">
        <v>14202</v>
      </c>
      <c r="B1411" s="17" t="s">
        <v>14193</v>
      </c>
      <c r="C1411" s="17" t="s">
        <v>43</v>
      </c>
      <c r="D1411" s="17" t="s">
        <v>12217</v>
      </c>
      <c r="E1411" s="17" t="s">
        <v>45</v>
      </c>
      <c r="F1411" s="18">
        <v>1.0</v>
      </c>
      <c r="G1411" s="18"/>
      <c r="H1411" s="18"/>
      <c r="I1411" s="18"/>
      <c r="J1411" s="18"/>
      <c r="K1411" s="18"/>
      <c r="L1411" s="18"/>
      <c r="M1411" s="17" t="s">
        <v>50</v>
      </c>
      <c r="N1411" s="17" t="s">
        <v>50</v>
      </c>
      <c r="O1411" s="17" t="s">
        <v>176</v>
      </c>
      <c r="P1411" s="17" t="s">
        <v>177</v>
      </c>
      <c r="Q1411" s="17" t="s">
        <v>178</v>
      </c>
      <c r="R1411" s="17" t="s">
        <v>74</v>
      </c>
      <c r="S1411" s="18">
        <v>43.7</v>
      </c>
      <c r="T1411" s="18">
        <v>22.58</v>
      </c>
      <c r="U1411" s="18" t="s">
        <v>51</v>
      </c>
      <c r="V1411" s="17" t="s">
        <v>50</v>
      </c>
      <c r="W1411" s="17" t="s">
        <v>50</v>
      </c>
      <c r="X1411" s="17" t="s">
        <v>50</v>
      </c>
      <c r="Y1411" s="17" t="s">
        <v>50</v>
      </c>
      <c r="Z1411" s="17" t="s">
        <v>50</v>
      </c>
      <c r="AA1411" s="17" t="s">
        <v>50</v>
      </c>
      <c r="AB1411" s="17" t="s">
        <v>50</v>
      </c>
      <c r="AC1411" s="17" t="s">
        <v>50</v>
      </c>
      <c r="AD1411" s="17" t="s">
        <v>50</v>
      </c>
      <c r="AE1411" s="17" t="s">
        <v>50</v>
      </c>
      <c r="AF1411" s="17" t="s">
        <v>50</v>
      </c>
      <c r="AG1411" s="17" t="s">
        <v>50</v>
      </c>
      <c r="AH1411" s="17" t="s">
        <v>50</v>
      </c>
      <c r="AI1411" s="17" t="s">
        <v>50</v>
      </c>
      <c r="AJ1411" s="17" t="s">
        <v>50</v>
      </c>
      <c r="AK1411" s="17" t="s">
        <v>50</v>
      </c>
      <c r="AL1411" s="17" t="s">
        <v>50</v>
      </c>
      <c r="AM1411" s="17" t="s">
        <v>50</v>
      </c>
      <c r="AN1411" s="17" t="s">
        <v>50</v>
      </c>
      <c r="AO1411" s="18" t="s">
        <v>50</v>
      </c>
      <c r="AP1411" s="17" t="s">
        <v>50</v>
      </c>
      <c r="AQ1411" s="17" t="s">
        <v>50</v>
      </c>
      <c r="AR1411" s="17" t="s">
        <v>50</v>
      </c>
      <c r="AS1411" s="17" t="s">
        <v>50</v>
      </c>
      <c r="AT1411" s="17" t="s">
        <v>50</v>
      </c>
      <c r="AU1411" s="17" t="s">
        <v>50</v>
      </c>
      <c r="AV1411" s="18"/>
      <c r="AW1411" s="17" t="s">
        <v>66</v>
      </c>
      <c r="AX1411" s="17"/>
      <c r="AY1411" s="17" t="s">
        <v>66</v>
      </c>
    </row>
    <row r="1412" ht="22.5" hidden="1" customHeight="1">
      <c r="A1412" s="9" t="s">
        <v>14203</v>
      </c>
      <c r="B1412" s="10" t="s">
        <v>14204</v>
      </c>
      <c r="C1412" s="10" t="s">
        <v>43</v>
      </c>
      <c r="D1412" s="10" t="s">
        <v>13049</v>
      </c>
      <c r="E1412" s="10" t="s">
        <v>66</v>
      </c>
      <c r="F1412" s="11">
        <v>1.0</v>
      </c>
      <c r="G1412" s="11">
        <v>89.3</v>
      </c>
      <c r="H1412" s="11"/>
      <c r="I1412" s="11">
        <v>-15.18</v>
      </c>
      <c r="J1412" s="11">
        <v>-20.45</v>
      </c>
      <c r="K1412" s="11"/>
      <c r="L1412" s="11">
        <v>59.03</v>
      </c>
      <c r="M1412" s="10" t="s">
        <v>12218</v>
      </c>
      <c r="N1412" s="10" t="s">
        <v>50</v>
      </c>
      <c r="O1412" s="10" t="s">
        <v>2185</v>
      </c>
      <c r="P1412" s="10" t="s">
        <v>2186</v>
      </c>
      <c r="Q1412" s="10" t="s">
        <v>2187</v>
      </c>
      <c r="R1412" s="10" t="s">
        <v>74</v>
      </c>
      <c r="S1412" s="11">
        <v>89.3</v>
      </c>
      <c r="T1412" s="11">
        <v>28.26</v>
      </c>
      <c r="U1412" s="11" t="s">
        <v>51</v>
      </c>
      <c r="V1412" s="10" t="s">
        <v>52</v>
      </c>
      <c r="W1412" s="10" t="s">
        <v>14205</v>
      </c>
      <c r="X1412" s="10" t="s">
        <v>14206</v>
      </c>
      <c r="Y1412" s="10" t="s">
        <v>14207</v>
      </c>
      <c r="Z1412" s="10" t="s">
        <v>50</v>
      </c>
      <c r="AA1412" s="10" t="s">
        <v>50</v>
      </c>
      <c r="AB1412" s="10" t="s">
        <v>14205</v>
      </c>
      <c r="AC1412" s="10" t="s">
        <v>14208</v>
      </c>
      <c r="AD1412" s="10" t="s">
        <v>14209</v>
      </c>
      <c r="AE1412" s="10" t="s">
        <v>492</v>
      </c>
      <c r="AF1412" s="10" t="s">
        <v>58</v>
      </c>
      <c r="AG1412" s="10" t="s">
        <v>14210</v>
      </c>
      <c r="AH1412" s="10" t="s">
        <v>60</v>
      </c>
      <c r="AI1412" s="10" t="s">
        <v>13406</v>
      </c>
      <c r="AJ1412" s="10" t="s">
        <v>14019</v>
      </c>
      <c r="AK1412" s="10" t="s">
        <v>14211</v>
      </c>
      <c r="AL1412" s="10" t="s">
        <v>64</v>
      </c>
      <c r="AM1412" s="10" t="s">
        <v>14212</v>
      </c>
      <c r="AN1412" s="10" t="s">
        <v>50</v>
      </c>
      <c r="AO1412" s="11" t="s">
        <v>50</v>
      </c>
      <c r="AP1412" s="10" t="s">
        <v>50</v>
      </c>
      <c r="AQ1412" s="10" t="s">
        <v>50</v>
      </c>
      <c r="AR1412" s="10" t="s">
        <v>50</v>
      </c>
      <c r="AS1412" s="10" t="s">
        <v>50</v>
      </c>
      <c r="AT1412" s="10" t="s">
        <v>50</v>
      </c>
      <c r="AU1412" s="10" t="s">
        <v>50</v>
      </c>
      <c r="AV1412" s="11"/>
      <c r="AW1412" s="10" t="s">
        <v>66</v>
      </c>
      <c r="AX1412" s="10"/>
      <c r="AY1412" s="10" t="s">
        <v>66</v>
      </c>
    </row>
    <row r="1413" ht="22.5" hidden="1" customHeight="1">
      <c r="A1413" s="9" t="s">
        <v>14213</v>
      </c>
      <c r="B1413" s="10" t="s">
        <v>14214</v>
      </c>
      <c r="C1413" s="10" t="s">
        <v>43</v>
      </c>
      <c r="D1413" s="10" t="s">
        <v>11161</v>
      </c>
      <c r="E1413" s="10" t="s">
        <v>66</v>
      </c>
      <c r="F1413" s="11">
        <v>1.0</v>
      </c>
      <c r="G1413" s="11">
        <v>80.6</v>
      </c>
      <c r="H1413" s="11"/>
      <c r="I1413" s="11">
        <v>-13.7</v>
      </c>
      <c r="J1413" s="11">
        <v>-20.45</v>
      </c>
      <c r="K1413" s="11"/>
      <c r="L1413" s="11">
        <v>46.45</v>
      </c>
      <c r="M1413" s="10" t="s">
        <v>46</v>
      </c>
      <c r="N1413" s="10" t="s">
        <v>45</v>
      </c>
      <c r="O1413" s="10" t="s">
        <v>265</v>
      </c>
      <c r="P1413" s="10" t="s">
        <v>266</v>
      </c>
      <c r="Q1413" s="10" t="s">
        <v>267</v>
      </c>
      <c r="R1413" s="10" t="s">
        <v>74</v>
      </c>
      <c r="S1413" s="11">
        <v>80.6</v>
      </c>
      <c r="T1413" s="11">
        <v>26.22</v>
      </c>
      <c r="U1413" s="11" t="s">
        <v>51</v>
      </c>
      <c r="V1413" s="10" t="s">
        <v>52</v>
      </c>
      <c r="W1413" s="10" t="s">
        <v>14215</v>
      </c>
      <c r="X1413" s="10" t="s">
        <v>14216</v>
      </c>
      <c r="Y1413" s="10" t="s">
        <v>14217</v>
      </c>
      <c r="Z1413" s="10" t="s">
        <v>50</v>
      </c>
      <c r="AA1413" s="10" t="s">
        <v>50</v>
      </c>
      <c r="AB1413" s="10" t="s">
        <v>14215</v>
      </c>
      <c r="AC1413" s="10" t="s">
        <v>14218</v>
      </c>
      <c r="AD1413" s="10" t="s">
        <v>14219</v>
      </c>
      <c r="AE1413" s="10" t="s">
        <v>14220</v>
      </c>
      <c r="AF1413" s="10" t="s">
        <v>284</v>
      </c>
      <c r="AG1413" s="10" t="s">
        <v>14221</v>
      </c>
      <c r="AH1413" s="10" t="s">
        <v>60</v>
      </c>
      <c r="AI1413" s="10" t="s">
        <v>13406</v>
      </c>
      <c r="AJ1413" s="10" t="s">
        <v>12258</v>
      </c>
      <c r="AK1413" s="10" t="s">
        <v>14222</v>
      </c>
      <c r="AL1413" s="10" t="s">
        <v>64</v>
      </c>
      <c r="AM1413" s="10" t="s">
        <v>14223</v>
      </c>
      <c r="AN1413" s="10" t="s">
        <v>50</v>
      </c>
      <c r="AO1413" s="11" t="s">
        <v>50</v>
      </c>
      <c r="AP1413" s="10" t="s">
        <v>50</v>
      </c>
      <c r="AQ1413" s="10" t="s">
        <v>50</v>
      </c>
      <c r="AR1413" s="10" t="s">
        <v>50</v>
      </c>
      <c r="AS1413" s="10" t="s">
        <v>50</v>
      </c>
      <c r="AT1413" s="10" t="s">
        <v>50</v>
      </c>
      <c r="AU1413" s="10" t="s">
        <v>50</v>
      </c>
      <c r="AV1413" s="11"/>
      <c r="AW1413" s="10" t="s">
        <v>66</v>
      </c>
      <c r="AX1413" s="10"/>
      <c r="AY1413" s="10" t="s">
        <v>66</v>
      </c>
    </row>
    <row r="1414" ht="22.5" hidden="1" customHeight="1">
      <c r="A1414" s="9" t="s">
        <v>14224</v>
      </c>
      <c r="B1414" s="10" t="s">
        <v>14225</v>
      </c>
      <c r="C1414" s="10" t="s">
        <v>43</v>
      </c>
      <c r="D1414" s="10" t="s">
        <v>13049</v>
      </c>
      <c r="E1414" s="10" t="s">
        <v>45</v>
      </c>
      <c r="F1414" s="11">
        <v>1.0</v>
      </c>
      <c r="G1414" s="11">
        <v>79.2</v>
      </c>
      <c r="H1414" s="11"/>
      <c r="I1414" s="11">
        <v>-13.46</v>
      </c>
      <c r="J1414" s="11">
        <v>-20.45</v>
      </c>
      <c r="K1414" s="11"/>
      <c r="L1414" s="11">
        <v>45.29</v>
      </c>
      <c r="M1414" s="10" t="s">
        <v>12218</v>
      </c>
      <c r="N1414" s="10" t="s">
        <v>45</v>
      </c>
      <c r="O1414" s="10" t="s">
        <v>892</v>
      </c>
      <c r="P1414" s="10" t="s">
        <v>893</v>
      </c>
      <c r="Q1414" s="10" t="s">
        <v>894</v>
      </c>
      <c r="R1414" s="10" t="s">
        <v>74</v>
      </c>
      <c r="S1414" s="11">
        <v>79.2</v>
      </c>
      <c r="T1414" s="11">
        <v>2.97</v>
      </c>
      <c r="U1414" s="11" t="s">
        <v>51</v>
      </c>
      <c r="V1414" s="10" t="s">
        <v>52</v>
      </c>
      <c r="W1414" s="10" t="s">
        <v>14226</v>
      </c>
      <c r="X1414" s="10" t="s">
        <v>14227</v>
      </c>
      <c r="Y1414" s="10" t="s">
        <v>14228</v>
      </c>
      <c r="Z1414" s="10" t="s">
        <v>50</v>
      </c>
      <c r="AA1414" s="10" t="s">
        <v>50</v>
      </c>
      <c r="AB1414" s="10" t="s">
        <v>14226</v>
      </c>
      <c r="AC1414" s="10" t="s">
        <v>14229</v>
      </c>
      <c r="AD1414" s="10" t="s">
        <v>14230</v>
      </c>
      <c r="AE1414" s="10" t="s">
        <v>384</v>
      </c>
      <c r="AF1414" s="10" t="s">
        <v>214</v>
      </c>
      <c r="AG1414" s="10" t="s">
        <v>14231</v>
      </c>
      <c r="AH1414" s="10" t="s">
        <v>60</v>
      </c>
      <c r="AI1414" s="10" t="s">
        <v>13406</v>
      </c>
      <c r="AJ1414" s="10" t="s">
        <v>12258</v>
      </c>
      <c r="AK1414" s="10" t="s">
        <v>14232</v>
      </c>
      <c r="AL1414" s="10" t="s">
        <v>64</v>
      </c>
      <c r="AM1414" s="10" t="s">
        <v>14233</v>
      </c>
      <c r="AN1414" s="10" t="s">
        <v>50</v>
      </c>
      <c r="AO1414" s="11" t="s">
        <v>50</v>
      </c>
      <c r="AP1414" s="10" t="s">
        <v>50</v>
      </c>
      <c r="AQ1414" s="10" t="s">
        <v>50</v>
      </c>
      <c r="AR1414" s="10" t="s">
        <v>50</v>
      </c>
      <c r="AS1414" s="10" t="s">
        <v>50</v>
      </c>
      <c r="AT1414" s="10" t="s">
        <v>50</v>
      </c>
      <c r="AU1414" s="10" t="s">
        <v>50</v>
      </c>
      <c r="AV1414" s="11"/>
      <c r="AW1414" s="10" t="s">
        <v>66</v>
      </c>
      <c r="AX1414" s="10"/>
      <c r="AY1414" s="10" t="s">
        <v>66</v>
      </c>
    </row>
    <row r="1415" ht="22.5" hidden="1" customHeight="1">
      <c r="A1415" s="9" t="s">
        <v>14234</v>
      </c>
      <c r="B1415" s="10" t="s">
        <v>14235</v>
      </c>
      <c r="C1415" s="10" t="s">
        <v>43</v>
      </c>
      <c r="D1415" s="10" t="s">
        <v>13049</v>
      </c>
      <c r="E1415" s="10" t="s">
        <v>66</v>
      </c>
      <c r="F1415" s="11">
        <v>1.0</v>
      </c>
      <c r="G1415" s="11">
        <v>80.0</v>
      </c>
      <c r="H1415" s="11"/>
      <c r="I1415" s="11">
        <v>-13.6</v>
      </c>
      <c r="J1415" s="11">
        <v>-19.95</v>
      </c>
      <c r="K1415" s="11"/>
      <c r="L1415" s="11">
        <v>50.45</v>
      </c>
      <c r="M1415" s="10" t="s">
        <v>12218</v>
      </c>
      <c r="N1415" s="10" t="s">
        <v>50</v>
      </c>
      <c r="O1415" s="10" t="s">
        <v>143</v>
      </c>
      <c r="P1415" s="10" t="s">
        <v>144</v>
      </c>
      <c r="Q1415" s="10" t="s">
        <v>145</v>
      </c>
      <c r="R1415" s="10" t="s">
        <v>74</v>
      </c>
      <c r="S1415" s="11">
        <v>80.0</v>
      </c>
      <c r="T1415" s="11">
        <v>33.38</v>
      </c>
      <c r="U1415" s="11" t="s">
        <v>51</v>
      </c>
      <c r="V1415" s="10" t="s">
        <v>52</v>
      </c>
      <c r="W1415" s="10" t="s">
        <v>14236</v>
      </c>
      <c r="X1415" s="10" t="s">
        <v>14237</v>
      </c>
      <c r="Y1415" s="10" t="s">
        <v>14238</v>
      </c>
      <c r="Z1415" s="10" t="s">
        <v>50</v>
      </c>
      <c r="AA1415" s="10" t="s">
        <v>50</v>
      </c>
      <c r="AB1415" s="10" t="s">
        <v>14236</v>
      </c>
      <c r="AC1415" s="10" t="s">
        <v>14239</v>
      </c>
      <c r="AD1415" s="10" t="s">
        <v>14240</v>
      </c>
      <c r="AE1415" s="10" t="s">
        <v>14241</v>
      </c>
      <c r="AF1415" s="10" t="s">
        <v>136</v>
      </c>
      <c r="AG1415" s="10" t="s">
        <v>14242</v>
      </c>
      <c r="AH1415" s="10" t="s">
        <v>60</v>
      </c>
      <c r="AI1415" s="10" t="s">
        <v>13406</v>
      </c>
      <c r="AJ1415" s="10" t="s">
        <v>14124</v>
      </c>
      <c r="AK1415" s="10" t="s">
        <v>13969</v>
      </c>
      <c r="AL1415" s="10" t="s">
        <v>64</v>
      </c>
      <c r="AM1415" s="10" t="s">
        <v>14243</v>
      </c>
      <c r="AN1415" s="10" t="s">
        <v>50</v>
      </c>
      <c r="AO1415" s="11" t="s">
        <v>50</v>
      </c>
      <c r="AP1415" s="10" t="s">
        <v>50</v>
      </c>
      <c r="AQ1415" s="10" t="s">
        <v>50</v>
      </c>
      <c r="AR1415" s="10" t="s">
        <v>50</v>
      </c>
      <c r="AS1415" s="10" t="s">
        <v>50</v>
      </c>
      <c r="AT1415" s="10" t="s">
        <v>50</v>
      </c>
      <c r="AU1415" s="10" t="s">
        <v>50</v>
      </c>
      <c r="AV1415" s="11"/>
      <c r="AW1415" s="10" t="s">
        <v>66</v>
      </c>
      <c r="AX1415" s="10"/>
      <c r="AY1415" s="10" t="s">
        <v>66</v>
      </c>
    </row>
    <row r="1416" ht="22.5" hidden="1" customHeight="1">
      <c r="A1416" s="9" t="s">
        <v>14244</v>
      </c>
      <c r="B1416" s="10" t="s">
        <v>14245</v>
      </c>
      <c r="C1416" s="10" t="s">
        <v>43</v>
      </c>
      <c r="D1416" s="10" t="s">
        <v>12217</v>
      </c>
      <c r="E1416" s="10" t="s">
        <v>66</v>
      </c>
      <c r="F1416" s="11">
        <v>1.0</v>
      </c>
      <c r="G1416" s="11">
        <v>120.0</v>
      </c>
      <c r="H1416" s="11">
        <v>13.45</v>
      </c>
      <c r="I1416" s="11">
        <v>-20.4</v>
      </c>
      <c r="J1416" s="11">
        <v>-33.4</v>
      </c>
      <c r="K1416" s="11"/>
      <c r="L1416" s="11">
        <v>86.85</v>
      </c>
      <c r="M1416" s="10" t="s">
        <v>46</v>
      </c>
      <c r="N1416" s="10" t="s">
        <v>45</v>
      </c>
      <c r="O1416" s="10" t="s">
        <v>85</v>
      </c>
      <c r="P1416" s="10" t="s">
        <v>86</v>
      </c>
      <c r="Q1416" s="10" t="s">
        <v>87</v>
      </c>
      <c r="R1416" s="10" t="s">
        <v>74</v>
      </c>
      <c r="S1416" s="11">
        <v>120.0</v>
      </c>
      <c r="T1416" s="11">
        <v>65.78</v>
      </c>
      <c r="U1416" s="11" t="s">
        <v>51</v>
      </c>
      <c r="V1416" s="10" t="s">
        <v>52</v>
      </c>
      <c r="W1416" s="10" t="s">
        <v>14246</v>
      </c>
      <c r="X1416" s="10" t="s">
        <v>14247</v>
      </c>
      <c r="Y1416" s="10" t="s">
        <v>14248</v>
      </c>
      <c r="Z1416" s="10" t="s">
        <v>50</v>
      </c>
      <c r="AA1416" s="10" t="s">
        <v>50</v>
      </c>
      <c r="AB1416" s="10" t="s">
        <v>14246</v>
      </c>
      <c r="AC1416" s="10" t="s">
        <v>14249</v>
      </c>
      <c r="AD1416" s="10" t="s">
        <v>14250</v>
      </c>
      <c r="AE1416" s="10" t="s">
        <v>14251</v>
      </c>
      <c r="AF1416" s="10" t="s">
        <v>929</v>
      </c>
      <c r="AG1416" s="10" t="s">
        <v>14252</v>
      </c>
      <c r="AH1416" s="10" t="s">
        <v>60</v>
      </c>
      <c r="AI1416" s="10" t="s">
        <v>13406</v>
      </c>
      <c r="AJ1416" s="10" t="s">
        <v>14064</v>
      </c>
      <c r="AK1416" s="10" t="s">
        <v>14253</v>
      </c>
      <c r="AL1416" s="10" t="s">
        <v>64</v>
      </c>
      <c r="AM1416" s="10" t="s">
        <v>14254</v>
      </c>
      <c r="AN1416" s="10" t="s">
        <v>50</v>
      </c>
      <c r="AO1416" s="11" t="s">
        <v>50</v>
      </c>
      <c r="AP1416" s="10" t="s">
        <v>50</v>
      </c>
      <c r="AQ1416" s="10" t="s">
        <v>50</v>
      </c>
      <c r="AR1416" s="10" t="s">
        <v>50</v>
      </c>
      <c r="AS1416" s="10" t="s">
        <v>50</v>
      </c>
      <c r="AT1416" s="10" t="s">
        <v>50</v>
      </c>
      <c r="AU1416" s="10" t="s">
        <v>50</v>
      </c>
      <c r="AV1416" s="11"/>
      <c r="AW1416" s="10" t="s">
        <v>66</v>
      </c>
      <c r="AX1416" s="10"/>
      <c r="AY1416" s="10" t="s">
        <v>66</v>
      </c>
    </row>
    <row r="1417" ht="22.5" hidden="1" customHeight="1">
      <c r="A1417" s="9" t="s">
        <v>14255</v>
      </c>
      <c r="B1417" s="10" t="s">
        <v>14256</v>
      </c>
      <c r="C1417" s="10" t="s">
        <v>43</v>
      </c>
      <c r="D1417" s="10" t="s">
        <v>9839</v>
      </c>
      <c r="E1417" s="10" t="s">
        <v>45</v>
      </c>
      <c r="F1417" s="11">
        <v>1.0</v>
      </c>
      <c r="G1417" s="11">
        <v>79.0</v>
      </c>
      <c r="H1417" s="11"/>
      <c r="I1417" s="11">
        <v>-13.43</v>
      </c>
      <c r="J1417" s="11">
        <v>-20.45</v>
      </c>
      <c r="K1417" s="11"/>
      <c r="L1417" s="11">
        <v>45.12</v>
      </c>
      <c r="M1417" s="10" t="s">
        <v>46</v>
      </c>
      <c r="N1417" s="10" t="s">
        <v>50</v>
      </c>
      <c r="O1417" s="10" t="s">
        <v>160</v>
      </c>
      <c r="P1417" s="10" t="s">
        <v>161</v>
      </c>
      <c r="Q1417" s="10" t="s">
        <v>162</v>
      </c>
      <c r="R1417" s="10" t="s">
        <v>74</v>
      </c>
      <c r="S1417" s="11">
        <v>79.0</v>
      </c>
      <c r="T1417" s="11">
        <v>2.49</v>
      </c>
      <c r="U1417" s="11" t="s">
        <v>51</v>
      </c>
      <c r="V1417" s="10" t="s">
        <v>52</v>
      </c>
      <c r="W1417" s="10" t="s">
        <v>14257</v>
      </c>
      <c r="X1417" s="10" t="s">
        <v>14258</v>
      </c>
      <c r="Y1417" s="10" t="s">
        <v>14259</v>
      </c>
      <c r="Z1417" s="10" t="s">
        <v>50</v>
      </c>
      <c r="AA1417" s="10" t="s">
        <v>50</v>
      </c>
      <c r="AB1417" s="10" t="s">
        <v>14257</v>
      </c>
      <c r="AC1417" s="10" t="s">
        <v>14260</v>
      </c>
      <c r="AD1417" s="10" t="s">
        <v>14261</v>
      </c>
      <c r="AE1417" s="10" t="s">
        <v>14262</v>
      </c>
      <c r="AF1417" s="10" t="s">
        <v>284</v>
      </c>
      <c r="AG1417" s="10" t="s">
        <v>14263</v>
      </c>
      <c r="AH1417" s="10" t="s">
        <v>60</v>
      </c>
      <c r="AI1417" s="10" t="s">
        <v>13406</v>
      </c>
      <c r="AJ1417" s="10" t="s">
        <v>12258</v>
      </c>
      <c r="AK1417" s="10" t="s">
        <v>14264</v>
      </c>
      <c r="AL1417" s="10" t="s">
        <v>64</v>
      </c>
      <c r="AM1417" s="10" t="s">
        <v>14265</v>
      </c>
      <c r="AN1417" s="10" t="s">
        <v>50</v>
      </c>
      <c r="AO1417" s="11" t="s">
        <v>50</v>
      </c>
      <c r="AP1417" s="10" t="s">
        <v>50</v>
      </c>
      <c r="AQ1417" s="10" t="s">
        <v>50</v>
      </c>
      <c r="AR1417" s="10" t="s">
        <v>50</v>
      </c>
      <c r="AS1417" s="10" t="s">
        <v>50</v>
      </c>
      <c r="AT1417" s="10" t="s">
        <v>50</v>
      </c>
      <c r="AU1417" s="10" t="s">
        <v>50</v>
      </c>
      <c r="AV1417" s="11"/>
      <c r="AW1417" s="10" t="s">
        <v>66</v>
      </c>
      <c r="AX1417" s="10"/>
      <c r="AY1417" s="10" t="s">
        <v>66</v>
      </c>
    </row>
    <row r="1418" ht="22.5" hidden="1" customHeight="1">
      <c r="A1418" s="9" t="s">
        <v>14266</v>
      </c>
      <c r="B1418" s="10" t="s">
        <v>14267</v>
      </c>
      <c r="C1418" s="10" t="s">
        <v>43</v>
      </c>
      <c r="D1418" s="10" t="s">
        <v>13108</v>
      </c>
      <c r="E1418" s="10" t="s">
        <v>66</v>
      </c>
      <c r="F1418" s="11">
        <v>1.0</v>
      </c>
      <c r="G1418" s="11">
        <v>43.7</v>
      </c>
      <c r="H1418" s="11">
        <v>18.9</v>
      </c>
      <c r="I1418" s="11">
        <v>-13.43</v>
      </c>
      <c r="J1418" s="11">
        <v>-18.9</v>
      </c>
      <c r="K1418" s="11"/>
      <c r="L1418" s="11">
        <v>32.89</v>
      </c>
      <c r="M1418" s="10" t="s">
        <v>46</v>
      </c>
      <c r="N1418" s="10" t="s">
        <v>45</v>
      </c>
      <c r="O1418" s="10" t="s">
        <v>176</v>
      </c>
      <c r="P1418" s="10" t="s">
        <v>177</v>
      </c>
      <c r="Q1418" s="10" t="s">
        <v>178</v>
      </c>
      <c r="R1418" s="10" t="s">
        <v>74</v>
      </c>
      <c r="S1418" s="11">
        <v>43.7</v>
      </c>
      <c r="T1418" s="11">
        <v>22.58</v>
      </c>
      <c r="U1418" s="11" t="s">
        <v>51</v>
      </c>
      <c r="V1418" s="10" t="s">
        <v>52</v>
      </c>
      <c r="W1418" s="10" t="s">
        <v>14268</v>
      </c>
      <c r="X1418" s="10" t="s">
        <v>14269</v>
      </c>
      <c r="Y1418" s="10" t="s">
        <v>14270</v>
      </c>
      <c r="Z1418" s="10" t="s">
        <v>50</v>
      </c>
      <c r="AA1418" s="10" t="s">
        <v>50</v>
      </c>
      <c r="AB1418" s="10" t="s">
        <v>14268</v>
      </c>
      <c r="AC1418" s="10" t="s">
        <v>14271</v>
      </c>
      <c r="AD1418" s="10" t="s">
        <v>14272</v>
      </c>
      <c r="AE1418" s="10" t="s">
        <v>1982</v>
      </c>
      <c r="AF1418" s="10" t="s">
        <v>151</v>
      </c>
      <c r="AG1418" s="10" t="s">
        <v>14273</v>
      </c>
      <c r="AH1418" s="10" t="s">
        <v>60</v>
      </c>
      <c r="AI1418" s="10" t="s">
        <v>13406</v>
      </c>
      <c r="AJ1418" s="10" t="s">
        <v>14274</v>
      </c>
      <c r="AK1418" s="10" t="s">
        <v>14275</v>
      </c>
      <c r="AL1418" s="10" t="s">
        <v>64</v>
      </c>
      <c r="AM1418" s="10" t="s">
        <v>14276</v>
      </c>
      <c r="AN1418" s="10" t="s">
        <v>50</v>
      </c>
      <c r="AO1418" s="11" t="s">
        <v>50</v>
      </c>
      <c r="AP1418" s="10" t="s">
        <v>50</v>
      </c>
      <c r="AQ1418" s="10" t="s">
        <v>50</v>
      </c>
      <c r="AR1418" s="10" t="s">
        <v>50</v>
      </c>
      <c r="AS1418" s="10" t="s">
        <v>50</v>
      </c>
      <c r="AT1418" s="10" t="s">
        <v>50</v>
      </c>
      <c r="AU1418" s="10" t="s">
        <v>50</v>
      </c>
      <c r="AV1418" s="11"/>
      <c r="AW1418" s="10" t="s">
        <v>66</v>
      </c>
      <c r="AX1418" s="10"/>
      <c r="AY1418" s="10" t="s">
        <v>66</v>
      </c>
    </row>
    <row r="1419" ht="22.5" hidden="1" customHeight="1">
      <c r="A1419" s="9" t="s">
        <v>14277</v>
      </c>
      <c r="B1419" s="10" t="s">
        <v>14278</v>
      </c>
      <c r="C1419" s="10" t="s">
        <v>43</v>
      </c>
      <c r="D1419" s="10" t="s">
        <v>13049</v>
      </c>
      <c r="E1419" s="10" t="s">
        <v>66</v>
      </c>
      <c r="F1419" s="11">
        <v>1.0</v>
      </c>
      <c r="G1419" s="11">
        <v>79.0</v>
      </c>
      <c r="H1419" s="11"/>
      <c r="I1419" s="11">
        <v>-13.43</v>
      </c>
      <c r="J1419" s="11">
        <v>-20.45</v>
      </c>
      <c r="K1419" s="11"/>
      <c r="L1419" s="11">
        <v>45.12</v>
      </c>
      <c r="M1419" s="10" t="s">
        <v>12218</v>
      </c>
      <c r="N1419" s="10" t="s">
        <v>45</v>
      </c>
      <c r="O1419" s="10" t="s">
        <v>160</v>
      </c>
      <c r="P1419" s="10" t="s">
        <v>161</v>
      </c>
      <c r="Q1419" s="10" t="s">
        <v>162</v>
      </c>
      <c r="R1419" s="10" t="s">
        <v>74</v>
      </c>
      <c r="S1419" s="11">
        <v>79.0</v>
      </c>
      <c r="T1419" s="11">
        <v>2.49</v>
      </c>
      <c r="U1419" s="11" t="s">
        <v>51</v>
      </c>
      <c r="V1419" s="10" t="s">
        <v>52</v>
      </c>
      <c r="W1419" s="10" t="s">
        <v>14279</v>
      </c>
      <c r="X1419" s="10" t="s">
        <v>14280</v>
      </c>
      <c r="Y1419" s="10" t="s">
        <v>14281</v>
      </c>
      <c r="Z1419" s="10" t="s">
        <v>50</v>
      </c>
      <c r="AA1419" s="10" t="s">
        <v>50</v>
      </c>
      <c r="AB1419" s="10" t="s">
        <v>14279</v>
      </c>
      <c r="AC1419" s="10" t="s">
        <v>14282</v>
      </c>
      <c r="AD1419" s="10" t="s">
        <v>14283</v>
      </c>
      <c r="AE1419" s="10" t="s">
        <v>6842</v>
      </c>
      <c r="AF1419" s="10" t="s">
        <v>58</v>
      </c>
      <c r="AG1419" s="10" t="s">
        <v>14284</v>
      </c>
      <c r="AH1419" s="10" t="s">
        <v>60</v>
      </c>
      <c r="AI1419" s="10" t="s">
        <v>13406</v>
      </c>
      <c r="AJ1419" s="10" t="s">
        <v>14134</v>
      </c>
      <c r="AK1419" s="10" t="s">
        <v>13823</v>
      </c>
      <c r="AL1419" s="10" t="s">
        <v>64</v>
      </c>
      <c r="AM1419" s="10" t="s">
        <v>14285</v>
      </c>
      <c r="AN1419" s="10" t="s">
        <v>50</v>
      </c>
      <c r="AO1419" s="11" t="s">
        <v>50</v>
      </c>
      <c r="AP1419" s="10" t="s">
        <v>50</v>
      </c>
      <c r="AQ1419" s="10" t="s">
        <v>50</v>
      </c>
      <c r="AR1419" s="10" t="s">
        <v>50</v>
      </c>
      <c r="AS1419" s="10" t="s">
        <v>50</v>
      </c>
      <c r="AT1419" s="10" t="s">
        <v>50</v>
      </c>
      <c r="AU1419" s="10" t="s">
        <v>50</v>
      </c>
      <c r="AV1419" s="11"/>
      <c r="AW1419" s="10" t="s">
        <v>66</v>
      </c>
      <c r="AX1419" s="10"/>
      <c r="AY1419" s="10" t="s">
        <v>66</v>
      </c>
    </row>
    <row r="1420" ht="22.5" hidden="1" customHeight="1">
      <c r="A1420" s="9" t="s">
        <v>14286</v>
      </c>
      <c r="B1420" s="10" t="s">
        <v>14287</v>
      </c>
      <c r="C1420" s="10" t="s">
        <v>14288</v>
      </c>
      <c r="D1420" s="10" t="s">
        <v>14289</v>
      </c>
      <c r="E1420" s="10" t="s">
        <v>66</v>
      </c>
      <c r="F1420" s="11">
        <v>1.0</v>
      </c>
      <c r="G1420" s="11">
        <v>120.0</v>
      </c>
      <c r="H1420" s="11"/>
      <c r="I1420" s="11">
        <v>-60.3</v>
      </c>
      <c r="J1420" s="11">
        <v>-19.95</v>
      </c>
      <c r="K1420" s="11">
        <v>-106.8</v>
      </c>
      <c r="L1420" s="11">
        <v>-59.85</v>
      </c>
      <c r="M1420" s="10" t="s">
        <v>126</v>
      </c>
      <c r="N1420" s="10" t="s">
        <v>45</v>
      </c>
      <c r="O1420" s="10" t="s">
        <v>85</v>
      </c>
      <c r="P1420" s="10" t="s">
        <v>86</v>
      </c>
      <c r="Q1420" s="10" t="s">
        <v>87</v>
      </c>
      <c r="R1420" s="10" t="s">
        <v>74</v>
      </c>
      <c r="S1420" s="11">
        <v>120.0</v>
      </c>
      <c r="T1420" s="11">
        <v>65.78</v>
      </c>
      <c r="U1420" s="11" t="s">
        <v>51</v>
      </c>
      <c r="V1420" s="10" t="s">
        <v>52</v>
      </c>
      <c r="W1420" s="10" t="s">
        <v>14290</v>
      </c>
      <c r="X1420" s="10" t="s">
        <v>14291</v>
      </c>
      <c r="Y1420" s="10" t="s">
        <v>14292</v>
      </c>
      <c r="Z1420" s="10" t="s">
        <v>50</v>
      </c>
      <c r="AA1420" s="10" t="s">
        <v>50</v>
      </c>
      <c r="AB1420" s="10" t="s">
        <v>14290</v>
      </c>
      <c r="AC1420" s="10" t="s">
        <v>14293</v>
      </c>
      <c r="AD1420" s="10" t="s">
        <v>1391</v>
      </c>
      <c r="AE1420" s="10" t="s">
        <v>151</v>
      </c>
      <c r="AF1420" s="10" t="s">
        <v>151</v>
      </c>
      <c r="AG1420" s="10" t="s">
        <v>1392</v>
      </c>
      <c r="AH1420" s="10" t="s">
        <v>60</v>
      </c>
      <c r="AI1420" s="10" t="s">
        <v>13406</v>
      </c>
      <c r="AJ1420" s="10" t="s">
        <v>14294</v>
      </c>
      <c r="AK1420" s="10" t="s">
        <v>14295</v>
      </c>
      <c r="AL1420" s="10" t="s">
        <v>64</v>
      </c>
      <c r="AM1420" s="10" t="s">
        <v>14296</v>
      </c>
      <c r="AN1420" s="10" t="s">
        <v>50</v>
      </c>
      <c r="AO1420" s="11"/>
      <c r="AP1420" s="10" t="s">
        <v>13406</v>
      </c>
      <c r="AQ1420" s="10" t="s">
        <v>14297</v>
      </c>
      <c r="AR1420" s="10" t="s">
        <v>1733</v>
      </c>
      <c r="AS1420" s="10" t="s">
        <v>64</v>
      </c>
      <c r="AT1420" s="10" t="s">
        <v>14298</v>
      </c>
      <c r="AU1420" s="10" t="s">
        <v>50</v>
      </c>
      <c r="AV1420" s="11"/>
      <c r="AW1420" s="10" t="s">
        <v>66</v>
      </c>
      <c r="AX1420" s="10">
        <v>1.0</v>
      </c>
      <c r="AY1420" s="10" t="s">
        <v>66</v>
      </c>
    </row>
    <row r="1421" ht="22.5" hidden="1" customHeight="1">
      <c r="A1421" s="9" t="s">
        <v>14299</v>
      </c>
      <c r="B1421" s="10" t="s">
        <v>14300</v>
      </c>
      <c r="C1421" s="10" t="s">
        <v>43</v>
      </c>
      <c r="D1421" s="10" t="s">
        <v>12217</v>
      </c>
      <c r="E1421" s="10" t="s">
        <v>45</v>
      </c>
      <c r="F1421" s="11">
        <v>2.0</v>
      </c>
      <c r="G1421" s="11">
        <v>87.4</v>
      </c>
      <c r="H1421" s="11"/>
      <c r="I1421" s="11">
        <v>-26.86</v>
      </c>
      <c r="J1421" s="11"/>
      <c r="K1421" s="11"/>
      <c r="L1421" s="11">
        <v>65.78</v>
      </c>
      <c r="M1421" s="10" t="s">
        <v>12218</v>
      </c>
      <c r="N1421" s="10" t="s">
        <v>50</v>
      </c>
      <c r="O1421" s="10" t="s">
        <v>176</v>
      </c>
      <c r="P1421" s="10" t="s">
        <v>177</v>
      </c>
      <c r="Q1421" s="10" t="s">
        <v>178</v>
      </c>
      <c r="R1421" s="10" t="s">
        <v>74</v>
      </c>
      <c r="S1421" s="11">
        <v>43.7</v>
      </c>
      <c r="T1421" s="11">
        <f>2*22.58</f>
        <v>45.16</v>
      </c>
      <c r="U1421" s="11" t="s">
        <v>51</v>
      </c>
      <c r="V1421" s="10" t="s">
        <v>52</v>
      </c>
      <c r="W1421" s="10" t="s">
        <v>14301</v>
      </c>
      <c r="X1421" s="10" t="s">
        <v>14302</v>
      </c>
      <c r="Y1421" s="10" t="s">
        <v>14303</v>
      </c>
      <c r="Z1421" s="10" t="s">
        <v>50</v>
      </c>
      <c r="AA1421" s="10" t="s">
        <v>50</v>
      </c>
      <c r="AB1421" s="10" t="s">
        <v>14301</v>
      </c>
      <c r="AC1421" s="10" t="s">
        <v>14304</v>
      </c>
      <c r="AD1421" s="10" t="s">
        <v>14305</v>
      </c>
      <c r="AE1421" s="10" t="s">
        <v>6842</v>
      </c>
      <c r="AF1421" s="10" t="s">
        <v>58</v>
      </c>
      <c r="AG1421" s="10" t="s">
        <v>14306</v>
      </c>
      <c r="AH1421" s="10" t="s">
        <v>60</v>
      </c>
      <c r="AI1421" s="10" t="s">
        <v>13406</v>
      </c>
      <c r="AJ1421" s="10" t="s">
        <v>14134</v>
      </c>
      <c r="AK1421" s="10" t="s">
        <v>14307</v>
      </c>
      <c r="AL1421" s="10" t="s">
        <v>64</v>
      </c>
      <c r="AM1421" s="10" t="s">
        <v>14308</v>
      </c>
      <c r="AN1421" s="10" t="s">
        <v>50</v>
      </c>
      <c r="AO1421" s="11" t="s">
        <v>50</v>
      </c>
      <c r="AP1421" s="10" t="s">
        <v>50</v>
      </c>
      <c r="AQ1421" s="10" t="s">
        <v>50</v>
      </c>
      <c r="AR1421" s="10" t="s">
        <v>50</v>
      </c>
      <c r="AS1421" s="10" t="s">
        <v>50</v>
      </c>
      <c r="AT1421" s="10" t="s">
        <v>50</v>
      </c>
      <c r="AU1421" s="10" t="s">
        <v>50</v>
      </c>
      <c r="AV1421" s="11"/>
      <c r="AW1421" s="10" t="s">
        <v>66</v>
      </c>
      <c r="AX1421" s="10"/>
      <c r="AY1421" s="10" t="s">
        <v>66</v>
      </c>
    </row>
    <row r="1422" ht="22.5" hidden="1" customHeight="1">
      <c r="A1422" s="9" t="s">
        <v>14309</v>
      </c>
      <c r="B1422" s="10" t="s">
        <v>14310</v>
      </c>
      <c r="C1422" s="10" t="s">
        <v>43</v>
      </c>
      <c r="D1422" s="10" t="s">
        <v>13049</v>
      </c>
      <c r="E1422" s="10" t="s">
        <v>66</v>
      </c>
      <c r="F1422" s="11">
        <v>1.0</v>
      </c>
      <c r="G1422" s="11">
        <v>86.4</v>
      </c>
      <c r="H1422" s="11"/>
      <c r="I1422" s="11">
        <v>-16.42</v>
      </c>
      <c r="J1422" s="11">
        <v>-20.45</v>
      </c>
      <c r="K1422" s="11"/>
      <c r="L1422" s="11">
        <v>49.53</v>
      </c>
      <c r="M1422" s="10" t="s">
        <v>46</v>
      </c>
      <c r="N1422" s="10" t="s">
        <v>50</v>
      </c>
      <c r="O1422" s="10" t="s">
        <v>14311</v>
      </c>
      <c r="P1422" s="10" t="s">
        <v>14312</v>
      </c>
      <c r="Q1422" s="10" t="s">
        <v>14313</v>
      </c>
      <c r="R1422" s="10" t="s">
        <v>50</v>
      </c>
      <c r="S1422" s="11">
        <v>86.4</v>
      </c>
      <c r="T1422" s="11">
        <v>12.45</v>
      </c>
      <c r="U1422" s="11" t="s">
        <v>51</v>
      </c>
      <c r="V1422" s="10" t="s">
        <v>52</v>
      </c>
      <c r="W1422" s="10" t="s">
        <v>14314</v>
      </c>
      <c r="X1422" s="10" t="s">
        <v>14315</v>
      </c>
      <c r="Y1422" s="10" t="s">
        <v>14316</v>
      </c>
      <c r="Z1422" s="10" t="s">
        <v>50</v>
      </c>
      <c r="AA1422" s="10" t="s">
        <v>50</v>
      </c>
      <c r="AB1422" s="10" t="s">
        <v>14314</v>
      </c>
      <c r="AC1422" s="10" t="s">
        <v>14317</v>
      </c>
      <c r="AD1422" s="10" t="s">
        <v>14318</v>
      </c>
      <c r="AE1422" s="10" t="s">
        <v>2839</v>
      </c>
      <c r="AF1422" s="10" t="s">
        <v>58</v>
      </c>
      <c r="AG1422" s="10" t="s">
        <v>14319</v>
      </c>
      <c r="AH1422" s="10" t="s">
        <v>60</v>
      </c>
      <c r="AI1422" s="10" t="s">
        <v>13406</v>
      </c>
      <c r="AJ1422" s="10" t="s">
        <v>13883</v>
      </c>
      <c r="AK1422" s="10" t="s">
        <v>14320</v>
      </c>
      <c r="AL1422" s="10" t="s">
        <v>64</v>
      </c>
      <c r="AM1422" s="10" t="s">
        <v>14321</v>
      </c>
      <c r="AN1422" s="10" t="s">
        <v>50</v>
      </c>
      <c r="AO1422" s="11" t="s">
        <v>50</v>
      </c>
      <c r="AP1422" s="10" t="s">
        <v>50</v>
      </c>
      <c r="AQ1422" s="10" t="s">
        <v>50</v>
      </c>
      <c r="AR1422" s="10" t="s">
        <v>50</v>
      </c>
      <c r="AS1422" s="10" t="s">
        <v>50</v>
      </c>
      <c r="AT1422" s="10" t="s">
        <v>50</v>
      </c>
      <c r="AU1422" s="10" t="s">
        <v>50</v>
      </c>
      <c r="AV1422" s="11"/>
      <c r="AW1422" s="10" t="s">
        <v>66</v>
      </c>
      <c r="AX1422" s="10"/>
      <c r="AY1422" s="10" t="s">
        <v>66</v>
      </c>
    </row>
    <row r="1423" ht="22.5" hidden="1" customHeight="1">
      <c r="A1423" s="9" t="s">
        <v>14322</v>
      </c>
      <c r="B1423" s="10" t="s">
        <v>14323</v>
      </c>
      <c r="C1423" s="10" t="s">
        <v>43</v>
      </c>
      <c r="D1423" s="10" t="s">
        <v>13049</v>
      </c>
      <c r="E1423" s="10" t="s">
        <v>66</v>
      </c>
      <c r="F1423" s="11">
        <v>1.0</v>
      </c>
      <c r="G1423" s="11">
        <v>85.5</v>
      </c>
      <c r="H1423" s="11"/>
      <c r="I1423" s="11">
        <v>-14.54</v>
      </c>
      <c r="J1423" s="11">
        <v>-20.45</v>
      </c>
      <c r="K1423" s="11"/>
      <c r="L1423" s="11">
        <v>50.51</v>
      </c>
      <c r="M1423" s="10" t="s">
        <v>46</v>
      </c>
      <c r="N1423" s="10" t="s">
        <v>50</v>
      </c>
      <c r="O1423" s="10" t="s">
        <v>2878</v>
      </c>
      <c r="P1423" s="10" t="s">
        <v>2879</v>
      </c>
      <c r="Q1423" s="10" t="s">
        <v>2880</v>
      </c>
      <c r="R1423" s="10" t="s">
        <v>74</v>
      </c>
      <c r="S1423" s="11">
        <v>85.5</v>
      </c>
      <c r="T1423" s="11">
        <v>24.38</v>
      </c>
      <c r="U1423" s="11" t="s">
        <v>51</v>
      </c>
      <c r="V1423" s="10" t="s">
        <v>52</v>
      </c>
      <c r="W1423" s="10" t="s">
        <v>14324</v>
      </c>
      <c r="X1423" s="10" t="s">
        <v>14325</v>
      </c>
      <c r="Y1423" s="10" t="s">
        <v>14326</v>
      </c>
      <c r="Z1423" s="10" t="s">
        <v>50</v>
      </c>
      <c r="AA1423" s="10" t="s">
        <v>50</v>
      </c>
      <c r="AB1423" s="10" t="s">
        <v>14324</v>
      </c>
      <c r="AC1423" s="10" t="s">
        <v>14327</v>
      </c>
      <c r="AD1423" s="10" t="s">
        <v>14328</v>
      </c>
      <c r="AE1423" s="10" t="s">
        <v>13957</v>
      </c>
      <c r="AF1423" s="10" t="s">
        <v>119</v>
      </c>
      <c r="AG1423" s="10" t="s">
        <v>14329</v>
      </c>
      <c r="AH1423" s="10" t="s">
        <v>60</v>
      </c>
      <c r="AI1423" s="10" t="s">
        <v>13406</v>
      </c>
      <c r="AJ1423" s="10" t="s">
        <v>13938</v>
      </c>
      <c r="AK1423" s="10" t="s">
        <v>14330</v>
      </c>
      <c r="AL1423" s="10" t="s">
        <v>64</v>
      </c>
      <c r="AM1423" s="10" t="s">
        <v>14331</v>
      </c>
      <c r="AN1423" s="10" t="s">
        <v>50</v>
      </c>
      <c r="AO1423" s="11" t="s">
        <v>50</v>
      </c>
      <c r="AP1423" s="10" t="s">
        <v>50</v>
      </c>
      <c r="AQ1423" s="10" t="s">
        <v>50</v>
      </c>
      <c r="AR1423" s="10" t="s">
        <v>50</v>
      </c>
      <c r="AS1423" s="10" t="s">
        <v>50</v>
      </c>
      <c r="AT1423" s="10" t="s">
        <v>50</v>
      </c>
      <c r="AU1423" s="10" t="s">
        <v>50</v>
      </c>
      <c r="AV1423" s="11"/>
      <c r="AW1423" s="10" t="s">
        <v>66</v>
      </c>
      <c r="AX1423" s="10"/>
      <c r="AY1423" s="10" t="s">
        <v>66</v>
      </c>
    </row>
    <row r="1424" ht="22.5" hidden="1" customHeight="1">
      <c r="A1424" s="9" t="s">
        <v>14332</v>
      </c>
      <c r="B1424" s="10" t="s">
        <v>14333</v>
      </c>
      <c r="C1424" s="10" t="s">
        <v>43</v>
      </c>
      <c r="D1424" s="10" t="s">
        <v>7577</v>
      </c>
      <c r="E1424" s="10" t="s">
        <v>66</v>
      </c>
      <c r="F1424" s="11">
        <v>1.0</v>
      </c>
      <c r="G1424" s="11">
        <v>120.0</v>
      </c>
      <c r="H1424" s="11">
        <v>13.45</v>
      </c>
      <c r="I1424" s="11">
        <v>-20.4</v>
      </c>
      <c r="J1424" s="11">
        <v>-33.4</v>
      </c>
      <c r="K1424" s="11"/>
      <c r="L1424" s="11">
        <v>86.85</v>
      </c>
      <c r="M1424" s="10" t="s">
        <v>12218</v>
      </c>
      <c r="N1424" s="10" t="s">
        <v>50</v>
      </c>
      <c r="O1424" s="10" t="s">
        <v>85</v>
      </c>
      <c r="P1424" s="10" t="s">
        <v>86</v>
      </c>
      <c r="Q1424" s="10" t="s">
        <v>87</v>
      </c>
      <c r="R1424" s="10" t="s">
        <v>74</v>
      </c>
      <c r="S1424" s="11">
        <v>120.0</v>
      </c>
      <c r="T1424" s="11">
        <v>65.78</v>
      </c>
      <c r="U1424" s="11" t="s">
        <v>51</v>
      </c>
      <c r="V1424" s="10" t="s">
        <v>52</v>
      </c>
      <c r="W1424" s="10" t="s">
        <v>14334</v>
      </c>
      <c r="X1424" s="10" t="s">
        <v>14335</v>
      </c>
      <c r="Y1424" s="10" t="s">
        <v>14336</v>
      </c>
      <c r="Z1424" s="10" t="s">
        <v>50</v>
      </c>
      <c r="AA1424" s="10" t="s">
        <v>50</v>
      </c>
      <c r="AB1424" s="10" t="s">
        <v>14334</v>
      </c>
      <c r="AC1424" s="10" t="s">
        <v>14337</v>
      </c>
      <c r="AD1424" s="10" t="s">
        <v>14338</v>
      </c>
      <c r="AE1424" s="10" t="s">
        <v>14339</v>
      </c>
      <c r="AF1424" s="10" t="s">
        <v>169</v>
      </c>
      <c r="AG1424" s="10" t="s">
        <v>14340</v>
      </c>
      <c r="AH1424" s="10" t="s">
        <v>60</v>
      </c>
      <c r="AI1424" s="10" t="s">
        <v>13406</v>
      </c>
      <c r="AJ1424" s="10" t="s">
        <v>7932</v>
      </c>
      <c r="AK1424" s="10" t="s">
        <v>14341</v>
      </c>
      <c r="AL1424" s="10" t="s">
        <v>64</v>
      </c>
      <c r="AM1424" s="10" t="s">
        <v>14342</v>
      </c>
      <c r="AN1424" s="10" t="s">
        <v>50</v>
      </c>
      <c r="AO1424" s="11" t="s">
        <v>50</v>
      </c>
      <c r="AP1424" s="10" t="s">
        <v>50</v>
      </c>
      <c r="AQ1424" s="10" t="s">
        <v>50</v>
      </c>
      <c r="AR1424" s="10" t="s">
        <v>50</v>
      </c>
      <c r="AS1424" s="10" t="s">
        <v>50</v>
      </c>
      <c r="AT1424" s="10" t="s">
        <v>50</v>
      </c>
      <c r="AU1424" s="10" t="s">
        <v>50</v>
      </c>
      <c r="AV1424" s="11"/>
      <c r="AW1424" s="10" t="s">
        <v>66</v>
      </c>
      <c r="AX1424" s="10"/>
      <c r="AY1424" s="10" t="s">
        <v>66</v>
      </c>
    </row>
    <row r="1425" ht="22.5" hidden="1" customHeight="1">
      <c r="A1425" s="9" t="s">
        <v>14343</v>
      </c>
      <c r="B1425" s="10" t="s">
        <v>14344</v>
      </c>
      <c r="C1425" s="10" t="s">
        <v>43</v>
      </c>
      <c r="D1425" s="10" t="s">
        <v>13049</v>
      </c>
      <c r="E1425" s="10" t="s">
        <v>66</v>
      </c>
      <c r="F1425" s="11">
        <v>1.0</v>
      </c>
      <c r="G1425" s="11">
        <v>48.0</v>
      </c>
      <c r="H1425" s="11">
        <v>14.63</v>
      </c>
      <c r="I1425" s="11">
        <v>-14.16</v>
      </c>
      <c r="J1425" s="11">
        <v>-14.63</v>
      </c>
      <c r="K1425" s="11"/>
      <c r="L1425" s="11">
        <v>33.84</v>
      </c>
      <c r="M1425" s="10" t="s">
        <v>46</v>
      </c>
      <c r="N1425" s="10" t="s">
        <v>50</v>
      </c>
      <c r="O1425" s="10" t="s">
        <v>4556</v>
      </c>
      <c r="P1425" s="10" t="s">
        <v>4557</v>
      </c>
      <c r="Q1425" s="10" t="s">
        <v>4558</v>
      </c>
      <c r="R1425" s="10" t="s">
        <v>74</v>
      </c>
      <c r="S1425" s="11">
        <v>48.0</v>
      </c>
      <c r="T1425" s="11">
        <v>8.73</v>
      </c>
      <c r="U1425" s="11" t="s">
        <v>51</v>
      </c>
      <c r="V1425" s="10" t="s">
        <v>52</v>
      </c>
      <c r="W1425" s="10" t="s">
        <v>14345</v>
      </c>
      <c r="X1425" s="10" t="s">
        <v>14346</v>
      </c>
      <c r="Y1425" s="10" t="s">
        <v>14347</v>
      </c>
      <c r="Z1425" s="10" t="s">
        <v>50</v>
      </c>
      <c r="AA1425" s="10" t="s">
        <v>50</v>
      </c>
      <c r="AB1425" s="10" t="s">
        <v>14345</v>
      </c>
      <c r="AC1425" s="10" t="s">
        <v>14348</v>
      </c>
      <c r="AD1425" s="10" t="s">
        <v>14349</v>
      </c>
      <c r="AE1425" s="10" t="s">
        <v>373</v>
      </c>
      <c r="AF1425" s="10" t="s">
        <v>58</v>
      </c>
      <c r="AG1425" s="10" t="s">
        <v>14350</v>
      </c>
      <c r="AH1425" s="10" t="s">
        <v>60</v>
      </c>
      <c r="AI1425" s="10" t="s">
        <v>13406</v>
      </c>
      <c r="AJ1425" s="10" t="s">
        <v>14019</v>
      </c>
      <c r="AK1425" s="10" t="s">
        <v>14351</v>
      </c>
      <c r="AL1425" s="10" t="s">
        <v>64</v>
      </c>
      <c r="AM1425" s="10" t="s">
        <v>14352</v>
      </c>
      <c r="AN1425" s="10" t="s">
        <v>50</v>
      </c>
      <c r="AO1425" s="11" t="s">
        <v>50</v>
      </c>
      <c r="AP1425" s="10" t="s">
        <v>50</v>
      </c>
      <c r="AQ1425" s="10" t="s">
        <v>50</v>
      </c>
      <c r="AR1425" s="10" t="s">
        <v>50</v>
      </c>
      <c r="AS1425" s="10" t="s">
        <v>50</v>
      </c>
      <c r="AT1425" s="10" t="s">
        <v>50</v>
      </c>
      <c r="AU1425" s="10" t="s">
        <v>50</v>
      </c>
      <c r="AV1425" s="11"/>
      <c r="AW1425" s="10" t="s">
        <v>66</v>
      </c>
      <c r="AX1425" s="10"/>
      <c r="AY1425" s="10" t="s">
        <v>66</v>
      </c>
    </row>
    <row r="1426" ht="22.5" hidden="1" customHeight="1">
      <c r="A1426" s="9" t="s">
        <v>14353</v>
      </c>
      <c r="B1426" s="10" t="s">
        <v>14354</v>
      </c>
      <c r="C1426" s="10" t="s">
        <v>43</v>
      </c>
      <c r="D1426" s="10" t="s">
        <v>12217</v>
      </c>
      <c r="E1426" s="10" t="s">
        <v>45</v>
      </c>
      <c r="F1426" s="11">
        <v>1.0</v>
      </c>
      <c r="G1426" s="11">
        <v>92.15</v>
      </c>
      <c r="H1426" s="11"/>
      <c r="I1426" s="11">
        <v>-17.51</v>
      </c>
      <c r="J1426" s="11">
        <v>-20.45</v>
      </c>
      <c r="K1426" s="11"/>
      <c r="L1426" s="11">
        <v>59.72</v>
      </c>
      <c r="M1426" s="10" t="s">
        <v>12218</v>
      </c>
      <c r="N1426" s="10" t="s">
        <v>45</v>
      </c>
      <c r="O1426" s="10" t="s">
        <v>586</v>
      </c>
      <c r="P1426" s="10" t="s">
        <v>587</v>
      </c>
      <c r="Q1426" s="10" t="s">
        <v>588</v>
      </c>
      <c r="R1426" s="10" t="s">
        <v>50</v>
      </c>
      <c r="S1426" s="11">
        <v>92.15</v>
      </c>
      <c r="T1426" s="11">
        <v>20.76</v>
      </c>
      <c r="U1426" s="11" t="s">
        <v>51</v>
      </c>
      <c r="V1426" s="10" t="s">
        <v>52</v>
      </c>
      <c r="W1426" s="10" t="s">
        <v>14355</v>
      </c>
      <c r="X1426" s="10" t="s">
        <v>14356</v>
      </c>
      <c r="Y1426" s="10" t="s">
        <v>14357</v>
      </c>
      <c r="Z1426" s="10" t="s">
        <v>50</v>
      </c>
      <c r="AA1426" s="10" t="s">
        <v>50</v>
      </c>
      <c r="AB1426" s="10" t="s">
        <v>14355</v>
      </c>
      <c r="AC1426" s="10" t="s">
        <v>14358</v>
      </c>
      <c r="AD1426" s="10" t="s">
        <v>14359</v>
      </c>
      <c r="AE1426" s="10" t="s">
        <v>1346</v>
      </c>
      <c r="AF1426" s="10" t="s">
        <v>1347</v>
      </c>
      <c r="AG1426" s="10" t="s">
        <v>14360</v>
      </c>
      <c r="AH1426" s="10" t="s">
        <v>60</v>
      </c>
      <c r="AI1426" s="10" t="s">
        <v>13406</v>
      </c>
      <c r="AJ1426" s="10" t="s">
        <v>14064</v>
      </c>
      <c r="AK1426" s="10" t="s">
        <v>14361</v>
      </c>
      <c r="AL1426" s="10" t="s">
        <v>64</v>
      </c>
      <c r="AM1426" s="10" t="s">
        <v>14362</v>
      </c>
      <c r="AN1426" s="10" t="s">
        <v>50</v>
      </c>
      <c r="AO1426" s="11" t="s">
        <v>50</v>
      </c>
      <c r="AP1426" s="10" t="s">
        <v>50</v>
      </c>
      <c r="AQ1426" s="10" t="s">
        <v>50</v>
      </c>
      <c r="AR1426" s="10" t="s">
        <v>50</v>
      </c>
      <c r="AS1426" s="10" t="s">
        <v>50</v>
      </c>
      <c r="AT1426" s="10" t="s">
        <v>50</v>
      </c>
      <c r="AU1426" s="10" t="s">
        <v>50</v>
      </c>
      <c r="AV1426" s="11"/>
      <c r="AW1426" s="10" t="s">
        <v>66</v>
      </c>
      <c r="AX1426" s="10"/>
      <c r="AY1426" s="10" t="s">
        <v>66</v>
      </c>
    </row>
    <row r="1427" ht="22.5" hidden="1" customHeight="1">
      <c r="A1427" s="9" t="s">
        <v>14363</v>
      </c>
      <c r="B1427" s="10" t="s">
        <v>14364</v>
      </c>
      <c r="C1427" s="10" t="s">
        <v>43</v>
      </c>
      <c r="D1427" s="10" t="s">
        <v>9839</v>
      </c>
      <c r="E1427" s="10" t="s">
        <v>66</v>
      </c>
      <c r="F1427" s="11">
        <v>1.0</v>
      </c>
      <c r="G1427" s="11">
        <v>80.6</v>
      </c>
      <c r="H1427" s="11"/>
      <c r="I1427" s="11">
        <v>-13.7</v>
      </c>
      <c r="J1427" s="11">
        <v>-20.45</v>
      </c>
      <c r="K1427" s="11"/>
      <c r="L1427" s="11">
        <v>46.45</v>
      </c>
      <c r="M1427" s="10" t="s">
        <v>46</v>
      </c>
      <c r="N1427" s="10" t="s">
        <v>45</v>
      </c>
      <c r="O1427" s="10" t="s">
        <v>265</v>
      </c>
      <c r="P1427" s="10" t="s">
        <v>266</v>
      </c>
      <c r="Q1427" s="10" t="s">
        <v>267</v>
      </c>
      <c r="R1427" s="10" t="s">
        <v>74</v>
      </c>
      <c r="S1427" s="11">
        <v>80.6</v>
      </c>
      <c r="T1427" s="11">
        <v>26.22</v>
      </c>
      <c r="U1427" s="11" t="s">
        <v>51</v>
      </c>
      <c r="V1427" s="10" t="s">
        <v>52</v>
      </c>
      <c r="W1427" s="10" t="s">
        <v>14365</v>
      </c>
      <c r="X1427" s="10" t="s">
        <v>14366</v>
      </c>
      <c r="Y1427" s="10" t="s">
        <v>14367</v>
      </c>
      <c r="Z1427" s="10" t="s">
        <v>50</v>
      </c>
      <c r="AA1427" s="10" t="s">
        <v>50</v>
      </c>
      <c r="AB1427" s="10" t="s">
        <v>14365</v>
      </c>
      <c r="AC1427" s="10" t="s">
        <v>14368</v>
      </c>
      <c r="AD1427" s="10" t="s">
        <v>14369</v>
      </c>
      <c r="AE1427" s="10" t="s">
        <v>14370</v>
      </c>
      <c r="AF1427" s="10" t="s">
        <v>185</v>
      </c>
      <c r="AG1427" s="10" t="s">
        <v>14371</v>
      </c>
      <c r="AH1427" s="10" t="s">
        <v>60</v>
      </c>
      <c r="AI1427" s="10" t="s">
        <v>13406</v>
      </c>
      <c r="AJ1427" s="10" t="s">
        <v>14064</v>
      </c>
      <c r="AK1427" s="10" t="s">
        <v>14372</v>
      </c>
      <c r="AL1427" s="10" t="s">
        <v>64</v>
      </c>
      <c r="AM1427" s="10" t="s">
        <v>14373</v>
      </c>
      <c r="AN1427" s="10" t="s">
        <v>50</v>
      </c>
      <c r="AO1427" s="11" t="s">
        <v>50</v>
      </c>
      <c r="AP1427" s="10" t="s">
        <v>50</v>
      </c>
      <c r="AQ1427" s="10" t="s">
        <v>50</v>
      </c>
      <c r="AR1427" s="10" t="s">
        <v>50</v>
      </c>
      <c r="AS1427" s="10" t="s">
        <v>50</v>
      </c>
      <c r="AT1427" s="10" t="s">
        <v>50</v>
      </c>
      <c r="AU1427" s="10" t="s">
        <v>50</v>
      </c>
      <c r="AV1427" s="11"/>
      <c r="AW1427" s="10" t="s">
        <v>66</v>
      </c>
      <c r="AX1427" s="10"/>
      <c r="AY1427" s="10" t="s">
        <v>66</v>
      </c>
    </row>
    <row r="1428" ht="22.5" hidden="1" customHeight="1">
      <c r="A1428" s="9" t="s">
        <v>14374</v>
      </c>
      <c r="B1428" s="10" t="s">
        <v>14375</v>
      </c>
      <c r="C1428" s="10" t="s">
        <v>43</v>
      </c>
      <c r="D1428" s="10" t="s">
        <v>12217</v>
      </c>
      <c r="E1428" s="10" t="s">
        <v>66</v>
      </c>
      <c r="F1428" s="11">
        <v>1.0</v>
      </c>
      <c r="G1428" s="11">
        <v>80.6</v>
      </c>
      <c r="H1428" s="11"/>
      <c r="I1428" s="11">
        <v>-13.7</v>
      </c>
      <c r="J1428" s="11">
        <v>-20.45</v>
      </c>
      <c r="K1428" s="11"/>
      <c r="L1428" s="11">
        <v>46.45</v>
      </c>
      <c r="M1428" s="10" t="s">
        <v>46</v>
      </c>
      <c r="N1428" s="10" t="s">
        <v>50</v>
      </c>
      <c r="O1428" s="10" t="s">
        <v>265</v>
      </c>
      <c r="P1428" s="10" t="s">
        <v>266</v>
      </c>
      <c r="Q1428" s="10" t="s">
        <v>267</v>
      </c>
      <c r="R1428" s="10" t="s">
        <v>74</v>
      </c>
      <c r="S1428" s="11">
        <v>80.6</v>
      </c>
      <c r="T1428" s="11">
        <v>26.22</v>
      </c>
      <c r="U1428" s="11" t="s">
        <v>51</v>
      </c>
      <c r="V1428" s="10" t="s">
        <v>52</v>
      </c>
      <c r="W1428" s="10" t="s">
        <v>14376</v>
      </c>
      <c r="X1428" s="10" t="s">
        <v>14377</v>
      </c>
      <c r="Y1428" s="10" t="s">
        <v>14378</v>
      </c>
      <c r="Z1428" s="10" t="s">
        <v>50</v>
      </c>
      <c r="AA1428" s="10" t="s">
        <v>50</v>
      </c>
      <c r="AB1428" s="10" t="s">
        <v>14376</v>
      </c>
      <c r="AC1428" s="10" t="s">
        <v>14379</v>
      </c>
      <c r="AD1428" s="10" t="s">
        <v>14380</v>
      </c>
      <c r="AE1428" s="10" t="s">
        <v>3359</v>
      </c>
      <c r="AF1428" s="10" t="s">
        <v>185</v>
      </c>
      <c r="AG1428" s="10" t="s">
        <v>14381</v>
      </c>
      <c r="AH1428" s="10" t="s">
        <v>60</v>
      </c>
      <c r="AI1428" s="10" t="s">
        <v>13406</v>
      </c>
      <c r="AJ1428" s="10" t="s">
        <v>14064</v>
      </c>
      <c r="AK1428" s="10" t="s">
        <v>14382</v>
      </c>
      <c r="AL1428" s="10" t="s">
        <v>64</v>
      </c>
      <c r="AM1428" s="10" t="s">
        <v>14383</v>
      </c>
      <c r="AN1428" s="10" t="s">
        <v>14384</v>
      </c>
      <c r="AO1428" s="11" t="s">
        <v>50</v>
      </c>
      <c r="AP1428" s="10" t="s">
        <v>50</v>
      </c>
      <c r="AQ1428" s="10" t="s">
        <v>50</v>
      </c>
      <c r="AR1428" s="10" t="s">
        <v>50</v>
      </c>
      <c r="AS1428" s="10" t="s">
        <v>50</v>
      </c>
      <c r="AT1428" s="10" t="s">
        <v>50</v>
      </c>
      <c r="AU1428" s="10" t="s">
        <v>50</v>
      </c>
      <c r="AV1428" s="11"/>
      <c r="AW1428" s="10" t="s">
        <v>66</v>
      </c>
      <c r="AX1428" s="10"/>
      <c r="AY1428" s="10" t="s">
        <v>66</v>
      </c>
    </row>
    <row r="1429" ht="22.5" hidden="1" customHeight="1">
      <c r="A1429" s="12" t="s">
        <v>14385</v>
      </c>
      <c r="B1429" s="13" t="s">
        <v>14386</v>
      </c>
      <c r="C1429" s="13" t="s">
        <v>747</v>
      </c>
      <c r="D1429" s="13" t="s">
        <v>50</v>
      </c>
      <c r="E1429" s="13" t="s">
        <v>50</v>
      </c>
      <c r="F1429" s="14"/>
      <c r="G1429" s="14">
        <v>122.7</v>
      </c>
      <c r="H1429" s="14">
        <v>22.03</v>
      </c>
      <c r="I1429" s="14">
        <v>-26.86</v>
      </c>
      <c r="J1429" s="14">
        <v>-42.48</v>
      </c>
      <c r="K1429" s="14"/>
      <c r="L1429" s="14">
        <v>78.01</v>
      </c>
      <c r="M1429" s="13" t="s">
        <v>12218</v>
      </c>
      <c r="N1429" s="13" t="s">
        <v>50</v>
      </c>
      <c r="O1429" s="13" t="s">
        <v>50</v>
      </c>
      <c r="P1429" s="13" t="s">
        <v>50</v>
      </c>
      <c r="Q1429" s="13" t="s">
        <v>50</v>
      </c>
      <c r="R1429" s="13" t="s">
        <v>50</v>
      </c>
      <c r="S1429" s="14"/>
      <c r="T1429" s="14"/>
      <c r="U1429" s="14" t="s">
        <v>50</v>
      </c>
      <c r="V1429" s="13" t="s">
        <v>52</v>
      </c>
      <c r="W1429" s="13" t="s">
        <v>14387</v>
      </c>
      <c r="X1429" s="13" t="s">
        <v>14388</v>
      </c>
      <c r="Y1429" s="13" t="s">
        <v>14389</v>
      </c>
      <c r="Z1429" s="13" t="s">
        <v>50</v>
      </c>
      <c r="AA1429" s="13" t="s">
        <v>50</v>
      </c>
      <c r="AB1429" s="13" t="s">
        <v>14387</v>
      </c>
      <c r="AC1429" s="13" t="s">
        <v>14390</v>
      </c>
      <c r="AD1429" s="13" t="s">
        <v>14391</v>
      </c>
      <c r="AE1429" s="13" t="s">
        <v>273</v>
      </c>
      <c r="AF1429" s="13" t="s">
        <v>169</v>
      </c>
      <c r="AG1429" s="13" t="s">
        <v>14392</v>
      </c>
      <c r="AH1429" s="13" t="s">
        <v>60</v>
      </c>
      <c r="AI1429" s="13" t="s">
        <v>13406</v>
      </c>
      <c r="AJ1429" s="13" t="s">
        <v>13844</v>
      </c>
      <c r="AK1429" s="13" t="s">
        <v>14393</v>
      </c>
      <c r="AL1429" s="13" t="s">
        <v>64</v>
      </c>
      <c r="AM1429" s="13" t="s">
        <v>14394</v>
      </c>
      <c r="AN1429" s="13" t="s">
        <v>50</v>
      </c>
      <c r="AO1429" s="15" t="s">
        <v>50</v>
      </c>
      <c r="AP1429" s="13" t="s">
        <v>50</v>
      </c>
      <c r="AQ1429" s="13" t="s">
        <v>50</v>
      </c>
      <c r="AR1429" s="13" t="s">
        <v>50</v>
      </c>
      <c r="AS1429" s="13" t="s">
        <v>50</v>
      </c>
      <c r="AT1429" s="13" t="s">
        <v>50</v>
      </c>
      <c r="AU1429" s="13" t="s">
        <v>50</v>
      </c>
      <c r="AV1429" s="15"/>
      <c r="AW1429" s="13" t="s">
        <v>50</v>
      </c>
      <c r="AX1429" s="13"/>
      <c r="AY1429" s="13" t="s">
        <v>50</v>
      </c>
    </row>
    <row r="1430" ht="22.5" hidden="1" customHeight="1">
      <c r="A1430" s="16" t="s">
        <v>14395</v>
      </c>
      <c r="B1430" s="17" t="s">
        <v>14386</v>
      </c>
      <c r="C1430" s="17" t="s">
        <v>43</v>
      </c>
      <c r="D1430" s="17" t="s">
        <v>11161</v>
      </c>
      <c r="E1430" s="17" t="s">
        <v>45</v>
      </c>
      <c r="F1430" s="18">
        <v>1.0</v>
      </c>
      <c r="G1430" s="18"/>
      <c r="H1430" s="18"/>
      <c r="I1430" s="18"/>
      <c r="J1430" s="18"/>
      <c r="K1430" s="18"/>
      <c r="L1430" s="18"/>
      <c r="M1430" s="17" t="s">
        <v>50</v>
      </c>
      <c r="N1430" s="17" t="s">
        <v>45</v>
      </c>
      <c r="O1430" s="17" t="s">
        <v>176</v>
      </c>
      <c r="P1430" s="17" t="s">
        <v>177</v>
      </c>
      <c r="Q1430" s="17" t="s">
        <v>178</v>
      </c>
      <c r="R1430" s="17" t="s">
        <v>74</v>
      </c>
      <c r="S1430" s="18">
        <v>43.7</v>
      </c>
      <c r="T1430" s="18">
        <v>22.58</v>
      </c>
      <c r="U1430" s="18" t="s">
        <v>51</v>
      </c>
      <c r="V1430" s="17" t="s">
        <v>50</v>
      </c>
      <c r="W1430" s="17" t="s">
        <v>50</v>
      </c>
      <c r="X1430" s="17" t="s">
        <v>50</v>
      </c>
      <c r="Y1430" s="17" t="s">
        <v>50</v>
      </c>
      <c r="Z1430" s="17" t="s">
        <v>50</v>
      </c>
      <c r="AA1430" s="17" t="s">
        <v>50</v>
      </c>
      <c r="AB1430" s="17" t="s">
        <v>50</v>
      </c>
      <c r="AC1430" s="17" t="s">
        <v>50</v>
      </c>
      <c r="AD1430" s="17" t="s">
        <v>50</v>
      </c>
      <c r="AE1430" s="17" t="s">
        <v>50</v>
      </c>
      <c r="AF1430" s="17" t="s">
        <v>50</v>
      </c>
      <c r="AG1430" s="17" t="s">
        <v>50</v>
      </c>
      <c r="AH1430" s="17" t="s">
        <v>50</v>
      </c>
      <c r="AI1430" s="17" t="s">
        <v>50</v>
      </c>
      <c r="AJ1430" s="17" t="s">
        <v>50</v>
      </c>
      <c r="AK1430" s="17" t="s">
        <v>50</v>
      </c>
      <c r="AL1430" s="17" t="s">
        <v>50</v>
      </c>
      <c r="AM1430" s="17" t="s">
        <v>50</v>
      </c>
      <c r="AN1430" s="17" t="s">
        <v>50</v>
      </c>
      <c r="AO1430" s="18" t="s">
        <v>50</v>
      </c>
      <c r="AP1430" s="17" t="s">
        <v>50</v>
      </c>
      <c r="AQ1430" s="17" t="s">
        <v>50</v>
      </c>
      <c r="AR1430" s="17" t="s">
        <v>50</v>
      </c>
      <c r="AS1430" s="17" t="s">
        <v>50</v>
      </c>
      <c r="AT1430" s="17" t="s">
        <v>50</v>
      </c>
      <c r="AU1430" s="17" t="s">
        <v>50</v>
      </c>
      <c r="AV1430" s="18"/>
      <c r="AW1430" s="17" t="s">
        <v>66</v>
      </c>
      <c r="AX1430" s="17"/>
      <c r="AY1430" s="17" t="s">
        <v>66</v>
      </c>
    </row>
    <row r="1431" ht="22.5" hidden="1" customHeight="1">
      <c r="A1431" s="16" t="s">
        <v>14396</v>
      </c>
      <c r="B1431" s="17" t="s">
        <v>14386</v>
      </c>
      <c r="C1431" s="17" t="s">
        <v>43</v>
      </c>
      <c r="D1431" s="17" t="s">
        <v>11161</v>
      </c>
      <c r="E1431" s="17" t="s">
        <v>45</v>
      </c>
      <c r="F1431" s="18">
        <v>1.0</v>
      </c>
      <c r="G1431" s="18"/>
      <c r="H1431" s="18"/>
      <c r="I1431" s="18"/>
      <c r="J1431" s="18"/>
      <c r="K1431" s="18"/>
      <c r="L1431" s="18"/>
      <c r="M1431" s="17" t="s">
        <v>50</v>
      </c>
      <c r="N1431" s="17" t="s">
        <v>45</v>
      </c>
      <c r="O1431" s="17" t="s">
        <v>461</v>
      </c>
      <c r="P1431" s="17" t="s">
        <v>462</v>
      </c>
      <c r="Q1431" s="17" t="s">
        <v>463</v>
      </c>
      <c r="R1431" s="17" t="s">
        <v>74</v>
      </c>
      <c r="S1431" s="18">
        <v>79.0</v>
      </c>
      <c r="T1431" s="18">
        <v>10.09</v>
      </c>
      <c r="U1431" s="18" t="s">
        <v>51</v>
      </c>
      <c r="V1431" s="17" t="s">
        <v>50</v>
      </c>
      <c r="W1431" s="17" t="s">
        <v>50</v>
      </c>
      <c r="X1431" s="17" t="s">
        <v>50</v>
      </c>
      <c r="Y1431" s="17" t="s">
        <v>50</v>
      </c>
      <c r="Z1431" s="17" t="s">
        <v>50</v>
      </c>
      <c r="AA1431" s="17" t="s">
        <v>50</v>
      </c>
      <c r="AB1431" s="17" t="s">
        <v>50</v>
      </c>
      <c r="AC1431" s="17" t="s">
        <v>50</v>
      </c>
      <c r="AD1431" s="17" t="s">
        <v>50</v>
      </c>
      <c r="AE1431" s="17" t="s">
        <v>50</v>
      </c>
      <c r="AF1431" s="17" t="s">
        <v>50</v>
      </c>
      <c r="AG1431" s="17" t="s">
        <v>50</v>
      </c>
      <c r="AH1431" s="17" t="s">
        <v>50</v>
      </c>
      <c r="AI1431" s="17" t="s">
        <v>50</v>
      </c>
      <c r="AJ1431" s="17" t="s">
        <v>50</v>
      </c>
      <c r="AK1431" s="17" t="s">
        <v>50</v>
      </c>
      <c r="AL1431" s="17" t="s">
        <v>50</v>
      </c>
      <c r="AM1431" s="17" t="s">
        <v>50</v>
      </c>
      <c r="AN1431" s="17" t="s">
        <v>50</v>
      </c>
      <c r="AO1431" s="18" t="s">
        <v>50</v>
      </c>
      <c r="AP1431" s="17" t="s">
        <v>50</v>
      </c>
      <c r="AQ1431" s="17" t="s">
        <v>50</v>
      </c>
      <c r="AR1431" s="17" t="s">
        <v>50</v>
      </c>
      <c r="AS1431" s="17" t="s">
        <v>50</v>
      </c>
      <c r="AT1431" s="17" t="s">
        <v>50</v>
      </c>
      <c r="AU1431" s="17" t="s">
        <v>50</v>
      </c>
      <c r="AV1431" s="18"/>
      <c r="AW1431" s="17" t="s">
        <v>66</v>
      </c>
      <c r="AX1431" s="17"/>
      <c r="AY1431" s="17" t="s">
        <v>66</v>
      </c>
    </row>
    <row r="1432" ht="22.5" hidden="1" customHeight="1">
      <c r="A1432" s="9" t="s">
        <v>14397</v>
      </c>
      <c r="B1432" s="10" t="s">
        <v>14398</v>
      </c>
      <c r="C1432" s="10" t="s">
        <v>43</v>
      </c>
      <c r="D1432" s="10" t="s">
        <v>9839</v>
      </c>
      <c r="E1432" s="10" t="s">
        <v>45</v>
      </c>
      <c r="F1432" s="11">
        <v>2.0</v>
      </c>
      <c r="G1432" s="11">
        <v>87.4</v>
      </c>
      <c r="H1432" s="11"/>
      <c r="I1432" s="11">
        <v>-26.86</v>
      </c>
      <c r="J1432" s="11"/>
      <c r="K1432" s="11"/>
      <c r="L1432" s="11">
        <v>65.78</v>
      </c>
      <c r="M1432" s="10" t="s">
        <v>12218</v>
      </c>
      <c r="N1432" s="10" t="s">
        <v>50</v>
      </c>
      <c r="O1432" s="10" t="s">
        <v>176</v>
      </c>
      <c r="P1432" s="10" t="s">
        <v>177</v>
      </c>
      <c r="Q1432" s="10" t="s">
        <v>178</v>
      </c>
      <c r="R1432" s="10" t="s">
        <v>74</v>
      </c>
      <c r="S1432" s="11">
        <v>43.7</v>
      </c>
      <c r="T1432" s="11">
        <f>2*22.58</f>
        <v>45.16</v>
      </c>
      <c r="U1432" s="11" t="s">
        <v>51</v>
      </c>
      <c r="V1432" s="10" t="s">
        <v>52</v>
      </c>
      <c r="W1432" s="10" t="s">
        <v>14399</v>
      </c>
      <c r="X1432" s="10" t="s">
        <v>14400</v>
      </c>
      <c r="Y1432" s="10" t="s">
        <v>14401</v>
      </c>
      <c r="Z1432" s="10" t="s">
        <v>50</v>
      </c>
      <c r="AA1432" s="10" t="s">
        <v>50</v>
      </c>
      <c r="AB1432" s="10" t="s">
        <v>14399</v>
      </c>
      <c r="AC1432" s="10" t="s">
        <v>14402</v>
      </c>
      <c r="AD1432" s="10" t="s">
        <v>14403</v>
      </c>
      <c r="AE1432" s="10" t="s">
        <v>14404</v>
      </c>
      <c r="AF1432" s="10" t="s">
        <v>185</v>
      </c>
      <c r="AG1432" s="10" t="s">
        <v>14405</v>
      </c>
      <c r="AH1432" s="10" t="s">
        <v>60</v>
      </c>
      <c r="AI1432" s="10" t="s">
        <v>13406</v>
      </c>
      <c r="AJ1432" s="10" t="s">
        <v>14406</v>
      </c>
      <c r="AK1432" s="10" t="s">
        <v>14407</v>
      </c>
      <c r="AL1432" s="10" t="s">
        <v>64</v>
      </c>
      <c r="AM1432" s="10" t="s">
        <v>14408</v>
      </c>
      <c r="AN1432" s="10" t="s">
        <v>50</v>
      </c>
      <c r="AO1432" s="11" t="s">
        <v>50</v>
      </c>
      <c r="AP1432" s="10" t="s">
        <v>50</v>
      </c>
      <c r="AQ1432" s="10" t="s">
        <v>50</v>
      </c>
      <c r="AR1432" s="10" t="s">
        <v>50</v>
      </c>
      <c r="AS1432" s="10" t="s">
        <v>50</v>
      </c>
      <c r="AT1432" s="10" t="s">
        <v>50</v>
      </c>
      <c r="AU1432" s="10" t="s">
        <v>50</v>
      </c>
      <c r="AV1432" s="11"/>
      <c r="AW1432" s="10" t="s">
        <v>66</v>
      </c>
      <c r="AX1432" s="10"/>
      <c r="AY1432" s="10" t="s">
        <v>66</v>
      </c>
    </row>
    <row r="1433" ht="22.5" hidden="1" customHeight="1">
      <c r="A1433" s="9" t="s">
        <v>14409</v>
      </c>
      <c r="B1433" s="10" t="s">
        <v>14410</v>
      </c>
      <c r="C1433" s="10" t="s">
        <v>43</v>
      </c>
      <c r="D1433" s="10" t="s">
        <v>12217</v>
      </c>
      <c r="E1433" s="10" t="s">
        <v>45</v>
      </c>
      <c r="F1433" s="11">
        <v>1.0</v>
      </c>
      <c r="G1433" s="11">
        <v>79.2</v>
      </c>
      <c r="H1433" s="11"/>
      <c r="I1433" s="11">
        <v>-13.46</v>
      </c>
      <c r="J1433" s="11">
        <v>-20.45</v>
      </c>
      <c r="K1433" s="11"/>
      <c r="L1433" s="11">
        <v>45.29</v>
      </c>
      <c r="M1433" s="10" t="s">
        <v>46</v>
      </c>
      <c r="N1433" s="10" t="s">
        <v>45</v>
      </c>
      <c r="O1433" s="10" t="s">
        <v>892</v>
      </c>
      <c r="P1433" s="10" t="s">
        <v>893</v>
      </c>
      <c r="Q1433" s="10" t="s">
        <v>894</v>
      </c>
      <c r="R1433" s="10" t="s">
        <v>74</v>
      </c>
      <c r="S1433" s="11">
        <v>79.2</v>
      </c>
      <c r="T1433" s="11">
        <v>2.97</v>
      </c>
      <c r="U1433" s="11" t="s">
        <v>51</v>
      </c>
      <c r="V1433" s="10" t="s">
        <v>52</v>
      </c>
      <c r="W1433" s="10" t="s">
        <v>14411</v>
      </c>
      <c r="X1433" s="10" t="s">
        <v>14412</v>
      </c>
      <c r="Y1433" s="10" t="s">
        <v>14413</v>
      </c>
      <c r="Z1433" s="10" t="s">
        <v>50</v>
      </c>
      <c r="AA1433" s="10" t="s">
        <v>50</v>
      </c>
      <c r="AB1433" s="10" t="s">
        <v>14411</v>
      </c>
      <c r="AC1433" s="10" t="s">
        <v>14414</v>
      </c>
      <c r="AD1433" s="10" t="s">
        <v>14415</v>
      </c>
      <c r="AE1433" s="10" t="s">
        <v>14416</v>
      </c>
      <c r="AF1433" s="10" t="s">
        <v>214</v>
      </c>
      <c r="AG1433" s="10" t="s">
        <v>14417</v>
      </c>
      <c r="AH1433" s="10" t="s">
        <v>60</v>
      </c>
      <c r="AI1433" s="10" t="s">
        <v>13406</v>
      </c>
      <c r="AJ1433" s="10" t="s">
        <v>12258</v>
      </c>
      <c r="AK1433" s="10" t="s">
        <v>14418</v>
      </c>
      <c r="AL1433" s="10" t="s">
        <v>64</v>
      </c>
      <c r="AM1433" s="10" t="s">
        <v>14419</v>
      </c>
      <c r="AN1433" s="10" t="s">
        <v>50</v>
      </c>
      <c r="AO1433" s="11" t="s">
        <v>50</v>
      </c>
      <c r="AP1433" s="10" t="s">
        <v>50</v>
      </c>
      <c r="AQ1433" s="10" t="s">
        <v>50</v>
      </c>
      <c r="AR1433" s="10" t="s">
        <v>50</v>
      </c>
      <c r="AS1433" s="10" t="s">
        <v>50</v>
      </c>
      <c r="AT1433" s="10" t="s">
        <v>50</v>
      </c>
      <c r="AU1433" s="10" t="s">
        <v>50</v>
      </c>
      <c r="AV1433" s="11"/>
      <c r="AW1433" s="10" t="s">
        <v>66</v>
      </c>
      <c r="AX1433" s="10"/>
      <c r="AY1433" s="10" t="s">
        <v>66</v>
      </c>
    </row>
    <row r="1434" ht="22.5" hidden="1" customHeight="1">
      <c r="A1434" s="9" t="s">
        <v>14420</v>
      </c>
      <c r="B1434" s="10" t="s">
        <v>14421</v>
      </c>
      <c r="C1434" s="10" t="s">
        <v>43</v>
      </c>
      <c r="D1434" s="10" t="s">
        <v>7577</v>
      </c>
      <c r="E1434" s="10" t="s">
        <v>66</v>
      </c>
      <c r="F1434" s="11">
        <v>1.0</v>
      </c>
      <c r="G1434" s="11">
        <v>43.7</v>
      </c>
      <c r="H1434" s="11">
        <v>13.87</v>
      </c>
      <c r="I1434" s="11">
        <v>-13.43</v>
      </c>
      <c r="J1434" s="11">
        <v>-13.87</v>
      </c>
      <c r="K1434" s="11"/>
      <c r="L1434" s="11">
        <v>32.89</v>
      </c>
      <c r="M1434" s="10" t="s">
        <v>12218</v>
      </c>
      <c r="N1434" s="10" t="s">
        <v>50</v>
      </c>
      <c r="O1434" s="10" t="s">
        <v>176</v>
      </c>
      <c r="P1434" s="10" t="s">
        <v>177</v>
      </c>
      <c r="Q1434" s="10" t="s">
        <v>178</v>
      </c>
      <c r="R1434" s="10" t="s">
        <v>74</v>
      </c>
      <c r="S1434" s="11">
        <v>43.7</v>
      </c>
      <c r="T1434" s="11">
        <v>22.58</v>
      </c>
      <c r="U1434" s="11" t="s">
        <v>51</v>
      </c>
      <c r="V1434" s="10" t="s">
        <v>52</v>
      </c>
      <c r="W1434" s="10" t="s">
        <v>14422</v>
      </c>
      <c r="X1434" s="10" t="s">
        <v>14423</v>
      </c>
      <c r="Y1434" s="10" t="s">
        <v>14424</v>
      </c>
      <c r="Z1434" s="10" t="s">
        <v>50</v>
      </c>
      <c r="AA1434" s="10" t="s">
        <v>50</v>
      </c>
      <c r="AB1434" s="10" t="s">
        <v>14422</v>
      </c>
      <c r="AC1434" s="10" t="s">
        <v>14425</v>
      </c>
      <c r="AD1434" s="10" t="s">
        <v>14426</v>
      </c>
      <c r="AE1434" s="10" t="s">
        <v>58</v>
      </c>
      <c r="AF1434" s="10" t="s">
        <v>58</v>
      </c>
      <c r="AG1434" s="10" t="s">
        <v>14427</v>
      </c>
      <c r="AH1434" s="10" t="s">
        <v>60</v>
      </c>
      <c r="AI1434" s="10" t="s">
        <v>13406</v>
      </c>
      <c r="AJ1434" s="10" t="s">
        <v>14019</v>
      </c>
      <c r="AK1434" s="10" t="s">
        <v>14428</v>
      </c>
      <c r="AL1434" s="10" t="s">
        <v>64</v>
      </c>
      <c r="AM1434" s="10" t="s">
        <v>14429</v>
      </c>
      <c r="AN1434" s="10" t="s">
        <v>14430</v>
      </c>
      <c r="AO1434" s="11" t="s">
        <v>50</v>
      </c>
      <c r="AP1434" s="10" t="s">
        <v>50</v>
      </c>
      <c r="AQ1434" s="10" t="s">
        <v>50</v>
      </c>
      <c r="AR1434" s="10" t="s">
        <v>50</v>
      </c>
      <c r="AS1434" s="10" t="s">
        <v>50</v>
      </c>
      <c r="AT1434" s="10" t="s">
        <v>50</v>
      </c>
      <c r="AU1434" s="10" t="s">
        <v>50</v>
      </c>
      <c r="AV1434" s="11"/>
      <c r="AW1434" s="10" t="s">
        <v>66</v>
      </c>
      <c r="AX1434" s="10"/>
      <c r="AY1434" s="10" t="s">
        <v>66</v>
      </c>
    </row>
    <row r="1435" ht="22.5" hidden="1" customHeight="1">
      <c r="A1435" s="9" t="s">
        <v>14431</v>
      </c>
      <c r="B1435" s="10" t="s">
        <v>14432</v>
      </c>
      <c r="C1435" s="10" t="s">
        <v>43</v>
      </c>
      <c r="D1435" s="10" t="s">
        <v>10258</v>
      </c>
      <c r="E1435" s="10" t="s">
        <v>45</v>
      </c>
      <c r="F1435" s="11">
        <v>1.0</v>
      </c>
      <c r="G1435" s="11">
        <v>80.6</v>
      </c>
      <c r="H1435" s="11">
        <v>9.0</v>
      </c>
      <c r="I1435" s="11">
        <v>-13.7</v>
      </c>
      <c r="J1435" s="11">
        <v>-29.45</v>
      </c>
      <c r="K1435" s="11"/>
      <c r="L1435" s="11">
        <v>46.45</v>
      </c>
      <c r="M1435" s="10" t="s">
        <v>12218</v>
      </c>
      <c r="N1435" s="10" t="s">
        <v>45</v>
      </c>
      <c r="O1435" s="10" t="s">
        <v>265</v>
      </c>
      <c r="P1435" s="10" t="s">
        <v>266</v>
      </c>
      <c r="Q1435" s="10" t="s">
        <v>267</v>
      </c>
      <c r="R1435" s="10" t="s">
        <v>74</v>
      </c>
      <c r="S1435" s="11">
        <v>80.6</v>
      </c>
      <c r="T1435" s="11">
        <v>26.22</v>
      </c>
      <c r="U1435" s="11" t="s">
        <v>51</v>
      </c>
      <c r="V1435" s="10" t="s">
        <v>52</v>
      </c>
      <c r="W1435" s="10" t="s">
        <v>14433</v>
      </c>
      <c r="X1435" s="10" t="s">
        <v>14434</v>
      </c>
      <c r="Y1435" s="10" t="s">
        <v>14435</v>
      </c>
      <c r="Z1435" s="10" t="s">
        <v>50</v>
      </c>
      <c r="AA1435" s="10" t="s">
        <v>50</v>
      </c>
      <c r="AB1435" s="10" t="s">
        <v>14433</v>
      </c>
      <c r="AC1435" s="10" t="s">
        <v>14436</v>
      </c>
      <c r="AD1435" s="10" t="s">
        <v>14437</v>
      </c>
      <c r="AE1435" s="10" t="s">
        <v>14438</v>
      </c>
      <c r="AF1435" s="10" t="s">
        <v>2648</v>
      </c>
      <c r="AG1435" s="10" t="s">
        <v>14439</v>
      </c>
      <c r="AH1435" s="10" t="s">
        <v>60</v>
      </c>
      <c r="AI1435" s="10" t="s">
        <v>13406</v>
      </c>
      <c r="AJ1435" s="10" t="s">
        <v>14440</v>
      </c>
      <c r="AK1435" s="10" t="s">
        <v>14441</v>
      </c>
      <c r="AL1435" s="10" t="s">
        <v>64</v>
      </c>
      <c r="AM1435" s="10" t="s">
        <v>14442</v>
      </c>
      <c r="AN1435" s="10" t="s">
        <v>50</v>
      </c>
      <c r="AO1435" s="11" t="s">
        <v>50</v>
      </c>
      <c r="AP1435" s="10" t="s">
        <v>50</v>
      </c>
      <c r="AQ1435" s="10" t="s">
        <v>50</v>
      </c>
      <c r="AR1435" s="10" t="s">
        <v>50</v>
      </c>
      <c r="AS1435" s="10" t="s">
        <v>50</v>
      </c>
      <c r="AT1435" s="10" t="s">
        <v>50</v>
      </c>
      <c r="AU1435" s="10" t="s">
        <v>50</v>
      </c>
      <c r="AV1435" s="11"/>
      <c r="AW1435" s="10" t="s">
        <v>66</v>
      </c>
      <c r="AX1435" s="10"/>
      <c r="AY1435" s="10" t="s">
        <v>66</v>
      </c>
    </row>
    <row r="1436" ht="22.5" hidden="1" customHeight="1">
      <c r="A1436" s="9" t="s">
        <v>14443</v>
      </c>
      <c r="B1436" s="10" t="s">
        <v>14444</v>
      </c>
      <c r="C1436" s="10" t="s">
        <v>43</v>
      </c>
      <c r="D1436" s="10" t="s">
        <v>13108</v>
      </c>
      <c r="E1436" s="10" t="s">
        <v>66</v>
      </c>
      <c r="F1436" s="11">
        <v>1.0</v>
      </c>
      <c r="G1436" s="11">
        <v>79.0</v>
      </c>
      <c r="H1436" s="11"/>
      <c r="I1436" s="11">
        <v>-13.43</v>
      </c>
      <c r="J1436" s="11">
        <v>-19.95</v>
      </c>
      <c r="K1436" s="11"/>
      <c r="L1436" s="11">
        <v>45.62</v>
      </c>
      <c r="M1436" s="10" t="s">
        <v>46</v>
      </c>
      <c r="N1436" s="10" t="s">
        <v>45</v>
      </c>
      <c r="O1436" s="10" t="s">
        <v>766</v>
      </c>
      <c r="P1436" s="10" t="s">
        <v>767</v>
      </c>
      <c r="Q1436" s="10" t="s">
        <v>768</v>
      </c>
      <c r="R1436" s="10" t="s">
        <v>74</v>
      </c>
      <c r="S1436" s="11">
        <v>79.0</v>
      </c>
      <c r="T1436" s="11">
        <v>13.62</v>
      </c>
      <c r="U1436" s="11" t="s">
        <v>51</v>
      </c>
      <c r="V1436" s="10" t="s">
        <v>52</v>
      </c>
      <c r="W1436" s="10" t="s">
        <v>14445</v>
      </c>
      <c r="X1436" s="10" t="s">
        <v>14446</v>
      </c>
      <c r="Y1436" s="10" t="s">
        <v>14447</v>
      </c>
      <c r="Z1436" s="10" t="s">
        <v>50</v>
      </c>
      <c r="AA1436" s="10" t="s">
        <v>50</v>
      </c>
      <c r="AB1436" s="10" t="s">
        <v>14445</v>
      </c>
      <c r="AC1436" s="10" t="s">
        <v>14448</v>
      </c>
      <c r="AD1436" s="10" t="s">
        <v>14449</v>
      </c>
      <c r="AE1436" s="10" t="s">
        <v>12022</v>
      </c>
      <c r="AF1436" s="10" t="s">
        <v>323</v>
      </c>
      <c r="AG1436" s="10" t="s">
        <v>14450</v>
      </c>
      <c r="AH1436" s="10" t="s">
        <v>60</v>
      </c>
      <c r="AI1436" s="10" t="s">
        <v>13406</v>
      </c>
      <c r="AJ1436" s="10" t="s">
        <v>14451</v>
      </c>
      <c r="AK1436" s="10" t="s">
        <v>14452</v>
      </c>
      <c r="AL1436" s="10" t="s">
        <v>64</v>
      </c>
      <c r="AM1436" s="10" t="s">
        <v>14453</v>
      </c>
      <c r="AN1436" s="10" t="s">
        <v>50</v>
      </c>
      <c r="AO1436" s="11" t="s">
        <v>50</v>
      </c>
      <c r="AP1436" s="10" t="s">
        <v>50</v>
      </c>
      <c r="AQ1436" s="10" t="s">
        <v>50</v>
      </c>
      <c r="AR1436" s="10" t="s">
        <v>50</v>
      </c>
      <c r="AS1436" s="10" t="s">
        <v>50</v>
      </c>
      <c r="AT1436" s="10" t="s">
        <v>50</v>
      </c>
      <c r="AU1436" s="10" t="s">
        <v>50</v>
      </c>
      <c r="AV1436" s="11"/>
      <c r="AW1436" s="10" t="s">
        <v>66</v>
      </c>
      <c r="AX1436" s="10"/>
      <c r="AY1436" s="10" t="s">
        <v>66</v>
      </c>
    </row>
    <row r="1437" ht="22.5" hidden="1" customHeight="1">
      <c r="A1437" s="9" t="s">
        <v>14454</v>
      </c>
      <c r="B1437" s="10" t="s">
        <v>14455</v>
      </c>
      <c r="C1437" s="10" t="s">
        <v>43</v>
      </c>
      <c r="D1437" s="10" t="s">
        <v>13049</v>
      </c>
      <c r="E1437" s="10" t="s">
        <v>66</v>
      </c>
      <c r="F1437" s="11">
        <v>1.0</v>
      </c>
      <c r="G1437" s="11">
        <v>79.0</v>
      </c>
      <c r="H1437" s="11"/>
      <c r="I1437" s="11">
        <v>-13.43</v>
      </c>
      <c r="J1437" s="11">
        <v>-20.45</v>
      </c>
      <c r="K1437" s="11"/>
      <c r="L1437" s="11">
        <v>45.12</v>
      </c>
      <c r="M1437" s="10" t="s">
        <v>12218</v>
      </c>
      <c r="N1437" s="10" t="s">
        <v>50</v>
      </c>
      <c r="O1437" s="10" t="s">
        <v>461</v>
      </c>
      <c r="P1437" s="10" t="s">
        <v>462</v>
      </c>
      <c r="Q1437" s="10" t="s">
        <v>463</v>
      </c>
      <c r="R1437" s="10" t="s">
        <v>74</v>
      </c>
      <c r="S1437" s="11">
        <v>79.0</v>
      </c>
      <c r="T1437" s="11">
        <v>10.09</v>
      </c>
      <c r="U1437" s="11" t="s">
        <v>51</v>
      </c>
      <c r="V1437" s="10" t="s">
        <v>52</v>
      </c>
      <c r="W1437" s="10" t="s">
        <v>14456</v>
      </c>
      <c r="X1437" s="10" t="s">
        <v>14457</v>
      </c>
      <c r="Y1437" s="10" t="s">
        <v>14458</v>
      </c>
      <c r="Z1437" s="10" t="s">
        <v>50</v>
      </c>
      <c r="AA1437" s="10" t="s">
        <v>50</v>
      </c>
      <c r="AB1437" s="10" t="s">
        <v>14456</v>
      </c>
      <c r="AC1437" s="10" t="s">
        <v>14459</v>
      </c>
      <c r="AD1437" s="10" t="s">
        <v>14460</v>
      </c>
      <c r="AE1437" s="10" t="s">
        <v>1629</v>
      </c>
      <c r="AF1437" s="10" t="s">
        <v>58</v>
      </c>
      <c r="AG1437" s="10" t="s">
        <v>14461</v>
      </c>
      <c r="AH1437" s="10" t="s">
        <v>60</v>
      </c>
      <c r="AI1437" s="10" t="s">
        <v>13406</v>
      </c>
      <c r="AJ1437" s="10" t="s">
        <v>14406</v>
      </c>
      <c r="AK1437" s="10" t="s">
        <v>14462</v>
      </c>
      <c r="AL1437" s="10" t="s">
        <v>64</v>
      </c>
      <c r="AM1437" s="10" t="s">
        <v>14463</v>
      </c>
      <c r="AN1437" s="10" t="s">
        <v>50</v>
      </c>
      <c r="AO1437" s="11" t="s">
        <v>50</v>
      </c>
      <c r="AP1437" s="10" t="s">
        <v>50</v>
      </c>
      <c r="AQ1437" s="10" t="s">
        <v>50</v>
      </c>
      <c r="AR1437" s="10" t="s">
        <v>50</v>
      </c>
      <c r="AS1437" s="10" t="s">
        <v>50</v>
      </c>
      <c r="AT1437" s="10" t="s">
        <v>50</v>
      </c>
      <c r="AU1437" s="10" t="s">
        <v>50</v>
      </c>
      <c r="AV1437" s="11"/>
      <c r="AW1437" s="10" t="s">
        <v>66</v>
      </c>
      <c r="AX1437" s="10"/>
      <c r="AY1437" s="10" t="s">
        <v>66</v>
      </c>
    </row>
    <row r="1438" ht="22.5" hidden="1" customHeight="1">
      <c r="A1438" s="9" t="s">
        <v>14464</v>
      </c>
      <c r="B1438" s="10" t="s">
        <v>14465</v>
      </c>
      <c r="C1438" s="10" t="s">
        <v>43</v>
      </c>
      <c r="D1438" s="10" t="s">
        <v>13049</v>
      </c>
      <c r="E1438" s="10" t="s">
        <v>66</v>
      </c>
      <c r="F1438" s="11">
        <v>1.0</v>
      </c>
      <c r="G1438" s="11">
        <v>43.7</v>
      </c>
      <c r="H1438" s="11">
        <v>14.15</v>
      </c>
      <c r="I1438" s="11">
        <v>-13.43</v>
      </c>
      <c r="J1438" s="11">
        <v>-14.15</v>
      </c>
      <c r="K1438" s="11"/>
      <c r="L1438" s="11">
        <v>32.89</v>
      </c>
      <c r="M1438" s="10" t="s">
        <v>12218</v>
      </c>
      <c r="N1438" s="10" t="s">
        <v>50</v>
      </c>
      <c r="O1438" s="10" t="s">
        <v>176</v>
      </c>
      <c r="P1438" s="10" t="s">
        <v>177</v>
      </c>
      <c r="Q1438" s="10" t="s">
        <v>178</v>
      </c>
      <c r="R1438" s="10" t="s">
        <v>74</v>
      </c>
      <c r="S1438" s="11">
        <v>43.7</v>
      </c>
      <c r="T1438" s="11">
        <v>22.58</v>
      </c>
      <c r="U1438" s="11" t="s">
        <v>51</v>
      </c>
      <c r="V1438" s="10" t="s">
        <v>52</v>
      </c>
      <c r="W1438" s="10" t="s">
        <v>14466</v>
      </c>
      <c r="X1438" s="10" t="s">
        <v>14467</v>
      </c>
      <c r="Y1438" s="10" t="s">
        <v>14468</v>
      </c>
      <c r="Z1438" s="10" t="s">
        <v>50</v>
      </c>
      <c r="AA1438" s="10" t="s">
        <v>50</v>
      </c>
      <c r="AB1438" s="10" t="s">
        <v>14466</v>
      </c>
      <c r="AC1438" s="10" t="s">
        <v>14469</v>
      </c>
      <c r="AD1438" s="10" t="s">
        <v>14470</v>
      </c>
      <c r="AE1438" s="10" t="s">
        <v>213</v>
      </c>
      <c r="AF1438" s="10" t="s">
        <v>214</v>
      </c>
      <c r="AG1438" s="10" t="s">
        <v>14471</v>
      </c>
      <c r="AH1438" s="10" t="s">
        <v>60</v>
      </c>
      <c r="AI1438" s="10" t="s">
        <v>13406</v>
      </c>
      <c r="AJ1438" s="10" t="s">
        <v>12258</v>
      </c>
      <c r="AK1438" s="10" t="s">
        <v>14472</v>
      </c>
      <c r="AL1438" s="10" t="s">
        <v>64</v>
      </c>
      <c r="AM1438" s="10" t="s">
        <v>14473</v>
      </c>
      <c r="AN1438" s="10" t="s">
        <v>50</v>
      </c>
      <c r="AO1438" s="11" t="s">
        <v>50</v>
      </c>
      <c r="AP1438" s="10" t="s">
        <v>50</v>
      </c>
      <c r="AQ1438" s="10" t="s">
        <v>50</v>
      </c>
      <c r="AR1438" s="10" t="s">
        <v>50</v>
      </c>
      <c r="AS1438" s="10" t="s">
        <v>50</v>
      </c>
      <c r="AT1438" s="10" t="s">
        <v>50</v>
      </c>
      <c r="AU1438" s="10" t="s">
        <v>50</v>
      </c>
      <c r="AV1438" s="11"/>
      <c r="AW1438" s="10" t="s">
        <v>66</v>
      </c>
      <c r="AX1438" s="10"/>
      <c r="AY1438" s="10" t="s">
        <v>66</v>
      </c>
    </row>
    <row r="1439" ht="22.5" hidden="1" customHeight="1">
      <c r="A1439" s="9" t="s">
        <v>14474</v>
      </c>
      <c r="B1439" s="10" t="s">
        <v>14475</v>
      </c>
      <c r="C1439" s="10" t="s">
        <v>43</v>
      </c>
      <c r="D1439" s="10" t="s">
        <v>9839</v>
      </c>
      <c r="E1439" s="10" t="s">
        <v>66</v>
      </c>
      <c r="F1439" s="11">
        <v>1.0</v>
      </c>
      <c r="G1439" s="11">
        <v>80.0</v>
      </c>
      <c r="H1439" s="11"/>
      <c r="I1439" s="11">
        <v>-13.6</v>
      </c>
      <c r="J1439" s="11">
        <v>-19.95</v>
      </c>
      <c r="K1439" s="11"/>
      <c r="L1439" s="11">
        <v>50.45</v>
      </c>
      <c r="M1439" s="10" t="s">
        <v>12218</v>
      </c>
      <c r="N1439" s="10" t="s">
        <v>50</v>
      </c>
      <c r="O1439" s="10" t="s">
        <v>143</v>
      </c>
      <c r="P1439" s="10" t="s">
        <v>144</v>
      </c>
      <c r="Q1439" s="10" t="s">
        <v>145</v>
      </c>
      <c r="R1439" s="10" t="s">
        <v>74</v>
      </c>
      <c r="S1439" s="11">
        <v>80.0</v>
      </c>
      <c r="T1439" s="11">
        <v>33.38</v>
      </c>
      <c r="U1439" s="11" t="s">
        <v>51</v>
      </c>
      <c r="V1439" s="10" t="s">
        <v>52</v>
      </c>
      <c r="W1439" s="10" t="s">
        <v>14476</v>
      </c>
      <c r="X1439" s="10" t="s">
        <v>14477</v>
      </c>
      <c r="Y1439" s="10" t="s">
        <v>14478</v>
      </c>
      <c r="Z1439" s="10" t="s">
        <v>50</v>
      </c>
      <c r="AA1439" s="10" t="s">
        <v>50</v>
      </c>
      <c r="AB1439" s="10" t="s">
        <v>14476</v>
      </c>
      <c r="AC1439" s="10" t="s">
        <v>14479</v>
      </c>
      <c r="AD1439" s="10" t="s">
        <v>14480</v>
      </c>
      <c r="AE1439" s="10" t="s">
        <v>14481</v>
      </c>
      <c r="AF1439" s="10" t="s">
        <v>775</v>
      </c>
      <c r="AG1439" s="10" t="s">
        <v>14482</v>
      </c>
      <c r="AH1439" s="10" t="s">
        <v>60</v>
      </c>
      <c r="AI1439" s="10" t="s">
        <v>13406</v>
      </c>
      <c r="AJ1439" s="10" t="s">
        <v>14483</v>
      </c>
      <c r="AK1439" s="10" t="s">
        <v>14484</v>
      </c>
      <c r="AL1439" s="10" t="s">
        <v>64</v>
      </c>
      <c r="AM1439" s="10" t="s">
        <v>14485</v>
      </c>
      <c r="AN1439" s="10" t="s">
        <v>50</v>
      </c>
      <c r="AO1439" s="11" t="s">
        <v>50</v>
      </c>
      <c r="AP1439" s="10" t="s">
        <v>50</v>
      </c>
      <c r="AQ1439" s="10" t="s">
        <v>50</v>
      </c>
      <c r="AR1439" s="10" t="s">
        <v>50</v>
      </c>
      <c r="AS1439" s="10" t="s">
        <v>50</v>
      </c>
      <c r="AT1439" s="10" t="s">
        <v>50</v>
      </c>
      <c r="AU1439" s="10" t="s">
        <v>50</v>
      </c>
      <c r="AV1439" s="11"/>
      <c r="AW1439" s="10" t="s">
        <v>66</v>
      </c>
      <c r="AX1439" s="10"/>
      <c r="AY1439" s="10" t="s">
        <v>66</v>
      </c>
    </row>
    <row r="1440" ht="22.5" hidden="1" customHeight="1">
      <c r="A1440" s="9" t="s">
        <v>14486</v>
      </c>
      <c r="B1440" s="10" t="s">
        <v>14487</v>
      </c>
      <c r="C1440" s="10" t="s">
        <v>43</v>
      </c>
      <c r="D1440" s="10" t="s">
        <v>13049</v>
      </c>
      <c r="E1440" s="10" t="s">
        <v>66</v>
      </c>
      <c r="F1440" s="11">
        <v>1.0</v>
      </c>
      <c r="G1440" s="11">
        <v>43.7</v>
      </c>
      <c r="H1440" s="11">
        <v>17.9</v>
      </c>
      <c r="I1440" s="11">
        <v>-13.43</v>
      </c>
      <c r="J1440" s="11">
        <v>-17.9</v>
      </c>
      <c r="K1440" s="11"/>
      <c r="L1440" s="11">
        <v>32.89</v>
      </c>
      <c r="M1440" s="10" t="s">
        <v>12218</v>
      </c>
      <c r="N1440" s="10" t="s">
        <v>50</v>
      </c>
      <c r="O1440" s="10" t="s">
        <v>176</v>
      </c>
      <c r="P1440" s="10" t="s">
        <v>177</v>
      </c>
      <c r="Q1440" s="10" t="s">
        <v>178</v>
      </c>
      <c r="R1440" s="10" t="s">
        <v>74</v>
      </c>
      <c r="S1440" s="11">
        <v>43.7</v>
      </c>
      <c r="T1440" s="11">
        <v>22.58</v>
      </c>
      <c r="U1440" s="11" t="s">
        <v>51</v>
      </c>
      <c r="V1440" s="10" t="s">
        <v>52</v>
      </c>
      <c r="W1440" s="10" t="s">
        <v>14488</v>
      </c>
      <c r="X1440" s="10" t="s">
        <v>14489</v>
      </c>
      <c r="Y1440" s="10" t="s">
        <v>14490</v>
      </c>
      <c r="Z1440" s="10" t="s">
        <v>50</v>
      </c>
      <c r="AA1440" s="10" t="s">
        <v>50</v>
      </c>
      <c r="AB1440" s="10" t="s">
        <v>14488</v>
      </c>
      <c r="AC1440" s="10" t="s">
        <v>14491</v>
      </c>
      <c r="AD1440" s="10" t="s">
        <v>14492</v>
      </c>
      <c r="AE1440" s="10" t="s">
        <v>14493</v>
      </c>
      <c r="AF1440" s="10" t="s">
        <v>58</v>
      </c>
      <c r="AG1440" s="10" t="s">
        <v>14494</v>
      </c>
      <c r="AH1440" s="10" t="s">
        <v>60</v>
      </c>
      <c r="AI1440" s="10" t="s">
        <v>13406</v>
      </c>
      <c r="AJ1440" s="10" t="s">
        <v>14495</v>
      </c>
      <c r="AK1440" s="10" t="s">
        <v>14496</v>
      </c>
      <c r="AL1440" s="10" t="s">
        <v>64</v>
      </c>
      <c r="AM1440" s="10" t="s">
        <v>14497</v>
      </c>
      <c r="AN1440" s="10" t="s">
        <v>50</v>
      </c>
      <c r="AO1440" s="11" t="s">
        <v>50</v>
      </c>
      <c r="AP1440" s="10" t="s">
        <v>50</v>
      </c>
      <c r="AQ1440" s="10" t="s">
        <v>50</v>
      </c>
      <c r="AR1440" s="10" t="s">
        <v>50</v>
      </c>
      <c r="AS1440" s="10" t="s">
        <v>50</v>
      </c>
      <c r="AT1440" s="10" t="s">
        <v>50</v>
      </c>
      <c r="AU1440" s="10" t="s">
        <v>50</v>
      </c>
      <c r="AV1440" s="11"/>
      <c r="AW1440" s="10" t="s">
        <v>66</v>
      </c>
      <c r="AX1440" s="10"/>
      <c r="AY1440" s="10" t="s">
        <v>66</v>
      </c>
    </row>
    <row r="1441" ht="22.5" hidden="1" customHeight="1">
      <c r="A1441" s="9" t="s">
        <v>14498</v>
      </c>
      <c r="B1441" s="10" t="s">
        <v>14499</v>
      </c>
      <c r="C1441" s="10" t="s">
        <v>43</v>
      </c>
      <c r="D1441" s="10" t="s">
        <v>9839</v>
      </c>
      <c r="E1441" s="10" t="s">
        <v>66</v>
      </c>
      <c r="F1441" s="11">
        <v>1.0</v>
      </c>
      <c r="G1441" s="11">
        <v>80.6</v>
      </c>
      <c r="H1441" s="11"/>
      <c r="I1441" s="11">
        <v>-13.7</v>
      </c>
      <c r="J1441" s="11">
        <v>-20.45</v>
      </c>
      <c r="K1441" s="11"/>
      <c r="L1441" s="11">
        <v>46.45</v>
      </c>
      <c r="M1441" s="10" t="s">
        <v>12218</v>
      </c>
      <c r="N1441" s="10" t="s">
        <v>45</v>
      </c>
      <c r="O1441" s="10" t="s">
        <v>265</v>
      </c>
      <c r="P1441" s="10" t="s">
        <v>266</v>
      </c>
      <c r="Q1441" s="10" t="s">
        <v>267</v>
      </c>
      <c r="R1441" s="10" t="s">
        <v>74</v>
      </c>
      <c r="S1441" s="11">
        <v>80.6</v>
      </c>
      <c r="T1441" s="11">
        <v>26.22</v>
      </c>
      <c r="U1441" s="11" t="s">
        <v>51</v>
      </c>
      <c r="V1441" s="10" t="s">
        <v>52</v>
      </c>
      <c r="W1441" s="10" t="s">
        <v>14500</v>
      </c>
      <c r="X1441" s="10" t="s">
        <v>14501</v>
      </c>
      <c r="Y1441" s="10" t="s">
        <v>14502</v>
      </c>
      <c r="Z1441" s="10" t="s">
        <v>50</v>
      </c>
      <c r="AA1441" s="10" t="s">
        <v>50</v>
      </c>
      <c r="AB1441" s="10" t="s">
        <v>14500</v>
      </c>
      <c r="AC1441" s="10" t="s">
        <v>14503</v>
      </c>
      <c r="AD1441" s="10" t="s">
        <v>14504</v>
      </c>
      <c r="AE1441" s="10" t="s">
        <v>1089</v>
      </c>
      <c r="AF1441" s="10" t="s">
        <v>284</v>
      </c>
      <c r="AG1441" s="10" t="s">
        <v>14505</v>
      </c>
      <c r="AH1441" s="10" t="s">
        <v>60</v>
      </c>
      <c r="AI1441" s="10" t="s">
        <v>13406</v>
      </c>
      <c r="AJ1441" s="10" t="s">
        <v>12258</v>
      </c>
      <c r="AK1441" s="10" t="s">
        <v>14506</v>
      </c>
      <c r="AL1441" s="10" t="s">
        <v>64</v>
      </c>
      <c r="AM1441" s="10" t="s">
        <v>14507</v>
      </c>
      <c r="AN1441" s="10" t="s">
        <v>50</v>
      </c>
      <c r="AO1441" s="11" t="s">
        <v>50</v>
      </c>
      <c r="AP1441" s="10" t="s">
        <v>50</v>
      </c>
      <c r="AQ1441" s="10" t="s">
        <v>50</v>
      </c>
      <c r="AR1441" s="10" t="s">
        <v>50</v>
      </c>
      <c r="AS1441" s="10" t="s">
        <v>50</v>
      </c>
      <c r="AT1441" s="10" t="s">
        <v>50</v>
      </c>
      <c r="AU1441" s="10" t="s">
        <v>50</v>
      </c>
      <c r="AV1441" s="11"/>
      <c r="AW1441" s="10" t="s">
        <v>66</v>
      </c>
      <c r="AX1441" s="10"/>
      <c r="AY1441" s="10" t="s">
        <v>66</v>
      </c>
    </row>
    <row r="1442" ht="22.5" hidden="1" customHeight="1">
      <c r="A1442" s="9" t="s">
        <v>14508</v>
      </c>
      <c r="B1442" s="10" t="s">
        <v>14509</v>
      </c>
      <c r="C1442" s="10" t="s">
        <v>43</v>
      </c>
      <c r="D1442" s="10" t="s">
        <v>13049</v>
      </c>
      <c r="E1442" s="10" t="s">
        <v>66</v>
      </c>
      <c r="F1442" s="11">
        <v>1.0</v>
      </c>
      <c r="G1442" s="11">
        <v>80.0</v>
      </c>
      <c r="H1442" s="11"/>
      <c r="I1442" s="11">
        <v>-13.6</v>
      </c>
      <c r="J1442" s="11">
        <v>-19.95</v>
      </c>
      <c r="K1442" s="11"/>
      <c r="L1442" s="11">
        <v>50.45</v>
      </c>
      <c r="M1442" s="10" t="s">
        <v>46</v>
      </c>
      <c r="N1442" s="10" t="s">
        <v>50</v>
      </c>
      <c r="O1442" s="10" t="s">
        <v>143</v>
      </c>
      <c r="P1442" s="10" t="s">
        <v>144</v>
      </c>
      <c r="Q1442" s="10" t="s">
        <v>145</v>
      </c>
      <c r="R1442" s="10" t="s">
        <v>74</v>
      </c>
      <c r="S1442" s="11">
        <v>80.0</v>
      </c>
      <c r="T1442" s="11">
        <v>33.38</v>
      </c>
      <c r="U1442" s="11" t="s">
        <v>51</v>
      </c>
      <c r="V1442" s="10" t="s">
        <v>52</v>
      </c>
      <c r="W1442" s="10" t="s">
        <v>14510</v>
      </c>
      <c r="X1442" s="10" t="s">
        <v>14511</v>
      </c>
      <c r="Y1442" s="10" t="s">
        <v>14512</v>
      </c>
      <c r="Z1442" s="10" t="s">
        <v>50</v>
      </c>
      <c r="AA1442" s="10" t="s">
        <v>50</v>
      </c>
      <c r="AB1442" s="10" t="s">
        <v>14510</v>
      </c>
      <c r="AC1442" s="10" t="s">
        <v>14513</v>
      </c>
      <c r="AD1442" s="10" t="s">
        <v>14514</v>
      </c>
      <c r="AE1442" s="10" t="s">
        <v>2443</v>
      </c>
      <c r="AF1442" s="10" t="s">
        <v>58</v>
      </c>
      <c r="AG1442" s="10" t="s">
        <v>14515</v>
      </c>
      <c r="AH1442" s="10" t="s">
        <v>60</v>
      </c>
      <c r="AI1442" s="10" t="s">
        <v>13406</v>
      </c>
      <c r="AJ1442" s="10" t="s">
        <v>14440</v>
      </c>
      <c r="AK1442" s="10" t="s">
        <v>14516</v>
      </c>
      <c r="AL1442" s="10" t="s">
        <v>64</v>
      </c>
      <c r="AM1442" s="10" t="s">
        <v>14517</v>
      </c>
      <c r="AN1442" s="10" t="s">
        <v>50</v>
      </c>
      <c r="AO1442" s="11" t="s">
        <v>50</v>
      </c>
      <c r="AP1442" s="10" t="s">
        <v>50</v>
      </c>
      <c r="AQ1442" s="10" t="s">
        <v>50</v>
      </c>
      <c r="AR1442" s="10" t="s">
        <v>50</v>
      </c>
      <c r="AS1442" s="10" t="s">
        <v>50</v>
      </c>
      <c r="AT1442" s="10" t="s">
        <v>50</v>
      </c>
      <c r="AU1442" s="10" t="s">
        <v>50</v>
      </c>
      <c r="AV1442" s="11"/>
      <c r="AW1442" s="10" t="s">
        <v>66</v>
      </c>
      <c r="AX1442" s="10"/>
      <c r="AY1442" s="10" t="s">
        <v>66</v>
      </c>
    </row>
    <row r="1443" ht="22.5" hidden="1" customHeight="1">
      <c r="A1443" s="9" t="s">
        <v>14518</v>
      </c>
      <c r="B1443" s="10" t="s">
        <v>14519</v>
      </c>
      <c r="C1443" s="10" t="s">
        <v>43</v>
      </c>
      <c r="D1443" s="10" t="s">
        <v>13049</v>
      </c>
      <c r="E1443" s="10" t="s">
        <v>66</v>
      </c>
      <c r="F1443" s="11">
        <v>1.0</v>
      </c>
      <c r="G1443" s="11">
        <v>80.0</v>
      </c>
      <c r="H1443" s="11"/>
      <c r="I1443" s="11">
        <v>-13.6</v>
      </c>
      <c r="J1443" s="11">
        <v>-19.95</v>
      </c>
      <c r="K1443" s="11"/>
      <c r="L1443" s="11">
        <v>50.45</v>
      </c>
      <c r="M1443" s="10" t="s">
        <v>12218</v>
      </c>
      <c r="N1443" s="10" t="s">
        <v>50</v>
      </c>
      <c r="O1443" s="10" t="s">
        <v>143</v>
      </c>
      <c r="P1443" s="10" t="s">
        <v>144</v>
      </c>
      <c r="Q1443" s="10" t="s">
        <v>145</v>
      </c>
      <c r="R1443" s="10" t="s">
        <v>74</v>
      </c>
      <c r="S1443" s="11">
        <v>80.0</v>
      </c>
      <c r="T1443" s="11">
        <v>33.38</v>
      </c>
      <c r="U1443" s="11" t="s">
        <v>51</v>
      </c>
      <c r="V1443" s="10" t="s">
        <v>52</v>
      </c>
      <c r="W1443" s="10" t="s">
        <v>14520</v>
      </c>
      <c r="X1443" s="10" t="s">
        <v>14521</v>
      </c>
      <c r="Y1443" s="10" t="s">
        <v>14522</v>
      </c>
      <c r="Z1443" s="10" t="s">
        <v>50</v>
      </c>
      <c r="AA1443" s="10" t="s">
        <v>50</v>
      </c>
      <c r="AB1443" s="10" t="s">
        <v>14520</v>
      </c>
      <c r="AC1443" s="10" t="s">
        <v>14523</v>
      </c>
      <c r="AD1443" s="10" t="s">
        <v>14524</v>
      </c>
      <c r="AE1443" s="10" t="s">
        <v>4665</v>
      </c>
      <c r="AF1443" s="10" t="s">
        <v>214</v>
      </c>
      <c r="AG1443" s="10" t="s">
        <v>14525</v>
      </c>
      <c r="AH1443" s="10" t="s">
        <v>60</v>
      </c>
      <c r="AI1443" s="10" t="s">
        <v>13406</v>
      </c>
      <c r="AJ1443" s="10" t="s">
        <v>12258</v>
      </c>
      <c r="AK1443" s="10" t="s">
        <v>14135</v>
      </c>
      <c r="AL1443" s="10" t="s">
        <v>64</v>
      </c>
      <c r="AM1443" s="10" t="s">
        <v>14526</v>
      </c>
      <c r="AN1443" s="10" t="s">
        <v>50</v>
      </c>
      <c r="AO1443" s="11" t="s">
        <v>50</v>
      </c>
      <c r="AP1443" s="10" t="s">
        <v>50</v>
      </c>
      <c r="AQ1443" s="10" t="s">
        <v>50</v>
      </c>
      <c r="AR1443" s="10" t="s">
        <v>50</v>
      </c>
      <c r="AS1443" s="10" t="s">
        <v>50</v>
      </c>
      <c r="AT1443" s="10" t="s">
        <v>50</v>
      </c>
      <c r="AU1443" s="10" t="s">
        <v>50</v>
      </c>
      <c r="AV1443" s="11"/>
      <c r="AW1443" s="10" t="s">
        <v>66</v>
      </c>
      <c r="AX1443" s="10"/>
      <c r="AY1443" s="10" t="s">
        <v>66</v>
      </c>
    </row>
    <row r="1444" ht="22.5" hidden="1" customHeight="1">
      <c r="A1444" s="9" t="s">
        <v>14527</v>
      </c>
      <c r="B1444" s="10" t="s">
        <v>14528</v>
      </c>
      <c r="C1444" s="10" t="s">
        <v>43</v>
      </c>
      <c r="D1444" s="10" t="s">
        <v>8227</v>
      </c>
      <c r="E1444" s="10" t="s">
        <v>66</v>
      </c>
      <c r="F1444" s="11">
        <v>1.0</v>
      </c>
      <c r="G1444" s="11">
        <v>120.0</v>
      </c>
      <c r="H1444" s="11"/>
      <c r="I1444" s="11">
        <v>-20.4</v>
      </c>
      <c r="J1444" s="11">
        <v>-19.95</v>
      </c>
      <c r="K1444" s="11"/>
      <c r="L1444" s="11">
        <v>86.85</v>
      </c>
      <c r="M1444" s="10" t="s">
        <v>46</v>
      </c>
      <c r="N1444" s="10" t="s">
        <v>50</v>
      </c>
      <c r="O1444" s="10" t="s">
        <v>85</v>
      </c>
      <c r="P1444" s="10" t="s">
        <v>86</v>
      </c>
      <c r="Q1444" s="10" t="s">
        <v>87</v>
      </c>
      <c r="R1444" s="10" t="s">
        <v>74</v>
      </c>
      <c r="S1444" s="11">
        <v>120.0</v>
      </c>
      <c r="T1444" s="11">
        <v>65.78</v>
      </c>
      <c r="U1444" s="11" t="s">
        <v>51</v>
      </c>
      <c r="V1444" s="10" t="s">
        <v>52</v>
      </c>
      <c r="W1444" s="10" t="s">
        <v>14529</v>
      </c>
      <c r="X1444" s="10" t="s">
        <v>14530</v>
      </c>
      <c r="Y1444" s="10" t="s">
        <v>14531</v>
      </c>
      <c r="Z1444" s="10" t="s">
        <v>50</v>
      </c>
      <c r="AA1444" s="10" t="s">
        <v>50</v>
      </c>
      <c r="AB1444" s="10" t="s">
        <v>14529</v>
      </c>
      <c r="AC1444" s="10" t="s">
        <v>14532</v>
      </c>
      <c r="AD1444" s="10" t="s">
        <v>14533</v>
      </c>
      <c r="AE1444" s="10" t="s">
        <v>14534</v>
      </c>
      <c r="AF1444" s="10" t="s">
        <v>284</v>
      </c>
      <c r="AG1444" s="10" t="s">
        <v>14535</v>
      </c>
      <c r="AH1444" s="10" t="s">
        <v>60</v>
      </c>
      <c r="AI1444" s="10" t="s">
        <v>13406</v>
      </c>
      <c r="AJ1444" s="10" t="s">
        <v>12258</v>
      </c>
      <c r="AK1444" s="10" t="s">
        <v>14536</v>
      </c>
      <c r="AL1444" s="10" t="s">
        <v>64</v>
      </c>
      <c r="AM1444" s="10" t="s">
        <v>14537</v>
      </c>
      <c r="AN1444" s="10" t="s">
        <v>14538</v>
      </c>
      <c r="AO1444" s="11" t="s">
        <v>50</v>
      </c>
      <c r="AP1444" s="10" t="s">
        <v>50</v>
      </c>
      <c r="AQ1444" s="10" t="s">
        <v>50</v>
      </c>
      <c r="AR1444" s="10" t="s">
        <v>50</v>
      </c>
      <c r="AS1444" s="10" t="s">
        <v>50</v>
      </c>
      <c r="AT1444" s="10" t="s">
        <v>50</v>
      </c>
      <c r="AU1444" s="10" t="s">
        <v>50</v>
      </c>
      <c r="AV1444" s="11"/>
      <c r="AW1444" s="10" t="s">
        <v>66</v>
      </c>
      <c r="AX1444" s="10"/>
      <c r="AY1444" s="10" t="s">
        <v>66</v>
      </c>
    </row>
    <row r="1445" ht="22.5" hidden="1" customHeight="1">
      <c r="A1445" s="12" t="s">
        <v>14539</v>
      </c>
      <c r="B1445" s="13" t="s">
        <v>14528</v>
      </c>
      <c r="C1445" s="13" t="s">
        <v>747</v>
      </c>
      <c r="D1445" s="13" t="s">
        <v>50</v>
      </c>
      <c r="E1445" s="13" t="s">
        <v>50</v>
      </c>
      <c r="F1445" s="14"/>
      <c r="G1445" s="14">
        <v>91.7</v>
      </c>
      <c r="H1445" s="14"/>
      <c r="I1445" s="14">
        <v>-27.59</v>
      </c>
      <c r="J1445" s="14"/>
      <c r="K1445" s="14"/>
      <c r="L1445" s="14">
        <v>69.13</v>
      </c>
      <c r="M1445" s="13" t="s">
        <v>12218</v>
      </c>
      <c r="N1445" s="13" t="s">
        <v>50</v>
      </c>
      <c r="O1445" s="13" t="s">
        <v>50</v>
      </c>
      <c r="P1445" s="13" t="s">
        <v>50</v>
      </c>
      <c r="Q1445" s="13" t="s">
        <v>50</v>
      </c>
      <c r="R1445" s="13" t="s">
        <v>50</v>
      </c>
      <c r="S1445" s="14"/>
      <c r="T1445" s="14"/>
      <c r="U1445" s="14" t="s">
        <v>50</v>
      </c>
      <c r="V1445" s="13" t="s">
        <v>52</v>
      </c>
      <c r="W1445" s="13" t="s">
        <v>14540</v>
      </c>
      <c r="X1445" s="13" t="s">
        <v>14541</v>
      </c>
      <c r="Y1445" s="13" t="s">
        <v>14542</v>
      </c>
      <c r="Z1445" s="13" t="s">
        <v>50</v>
      </c>
      <c r="AA1445" s="13" t="s">
        <v>50</v>
      </c>
      <c r="AB1445" s="13" t="s">
        <v>14540</v>
      </c>
      <c r="AC1445" s="13" t="s">
        <v>14543</v>
      </c>
      <c r="AD1445" s="13" t="s">
        <v>14544</v>
      </c>
      <c r="AE1445" s="13" t="s">
        <v>296</v>
      </c>
      <c r="AF1445" s="13" t="s">
        <v>58</v>
      </c>
      <c r="AG1445" s="13" t="s">
        <v>14545</v>
      </c>
      <c r="AH1445" s="13" t="s">
        <v>60</v>
      </c>
      <c r="AI1445" s="13" t="s">
        <v>13406</v>
      </c>
      <c r="AJ1445" s="13" t="s">
        <v>14546</v>
      </c>
      <c r="AK1445" s="13" t="s">
        <v>14547</v>
      </c>
      <c r="AL1445" s="13" t="s">
        <v>64</v>
      </c>
      <c r="AM1445" s="13" t="s">
        <v>14548</v>
      </c>
      <c r="AN1445" s="13" t="s">
        <v>50</v>
      </c>
      <c r="AO1445" s="15" t="s">
        <v>50</v>
      </c>
      <c r="AP1445" s="13" t="s">
        <v>50</v>
      </c>
      <c r="AQ1445" s="13" t="s">
        <v>50</v>
      </c>
      <c r="AR1445" s="13" t="s">
        <v>50</v>
      </c>
      <c r="AS1445" s="13" t="s">
        <v>50</v>
      </c>
      <c r="AT1445" s="13" t="s">
        <v>50</v>
      </c>
      <c r="AU1445" s="13" t="s">
        <v>50</v>
      </c>
      <c r="AV1445" s="15"/>
      <c r="AW1445" s="13" t="s">
        <v>50</v>
      </c>
      <c r="AX1445" s="13"/>
      <c r="AY1445" s="13" t="s">
        <v>50</v>
      </c>
    </row>
    <row r="1446" ht="22.5" hidden="1" customHeight="1">
      <c r="A1446" s="16" t="s">
        <v>14549</v>
      </c>
      <c r="B1446" s="17" t="s">
        <v>14528</v>
      </c>
      <c r="C1446" s="17" t="s">
        <v>43</v>
      </c>
      <c r="D1446" s="17" t="s">
        <v>13049</v>
      </c>
      <c r="E1446" s="17" t="s">
        <v>45</v>
      </c>
      <c r="F1446" s="18">
        <v>1.0</v>
      </c>
      <c r="G1446" s="18"/>
      <c r="H1446" s="18"/>
      <c r="I1446" s="18"/>
      <c r="J1446" s="18"/>
      <c r="K1446" s="18"/>
      <c r="L1446" s="18"/>
      <c r="M1446" s="17" t="s">
        <v>50</v>
      </c>
      <c r="N1446" s="17" t="s">
        <v>50</v>
      </c>
      <c r="O1446" s="17" t="s">
        <v>176</v>
      </c>
      <c r="P1446" s="17" t="s">
        <v>177</v>
      </c>
      <c r="Q1446" s="17" t="s">
        <v>178</v>
      </c>
      <c r="R1446" s="17" t="s">
        <v>74</v>
      </c>
      <c r="S1446" s="18">
        <v>43.7</v>
      </c>
      <c r="T1446" s="18">
        <v>22.58</v>
      </c>
      <c r="U1446" s="18" t="s">
        <v>51</v>
      </c>
      <c r="V1446" s="17" t="s">
        <v>50</v>
      </c>
      <c r="W1446" s="17" t="s">
        <v>50</v>
      </c>
      <c r="X1446" s="17" t="s">
        <v>50</v>
      </c>
      <c r="Y1446" s="17" t="s">
        <v>50</v>
      </c>
      <c r="Z1446" s="17" t="s">
        <v>50</v>
      </c>
      <c r="AA1446" s="17" t="s">
        <v>50</v>
      </c>
      <c r="AB1446" s="17" t="s">
        <v>50</v>
      </c>
      <c r="AC1446" s="17" t="s">
        <v>50</v>
      </c>
      <c r="AD1446" s="17" t="s">
        <v>50</v>
      </c>
      <c r="AE1446" s="17" t="s">
        <v>50</v>
      </c>
      <c r="AF1446" s="17" t="s">
        <v>50</v>
      </c>
      <c r="AG1446" s="17" t="s">
        <v>50</v>
      </c>
      <c r="AH1446" s="17" t="s">
        <v>50</v>
      </c>
      <c r="AI1446" s="17" t="s">
        <v>50</v>
      </c>
      <c r="AJ1446" s="17" t="s">
        <v>50</v>
      </c>
      <c r="AK1446" s="17" t="s">
        <v>50</v>
      </c>
      <c r="AL1446" s="17" t="s">
        <v>50</v>
      </c>
      <c r="AM1446" s="17" t="s">
        <v>50</v>
      </c>
      <c r="AN1446" s="17" t="s">
        <v>50</v>
      </c>
      <c r="AO1446" s="18" t="s">
        <v>50</v>
      </c>
      <c r="AP1446" s="17" t="s">
        <v>50</v>
      </c>
      <c r="AQ1446" s="17" t="s">
        <v>50</v>
      </c>
      <c r="AR1446" s="17" t="s">
        <v>50</v>
      </c>
      <c r="AS1446" s="17" t="s">
        <v>50</v>
      </c>
      <c r="AT1446" s="17" t="s">
        <v>50</v>
      </c>
      <c r="AU1446" s="17" t="s">
        <v>50</v>
      </c>
      <c r="AV1446" s="18"/>
      <c r="AW1446" s="17" t="s">
        <v>66</v>
      </c>
      <c r="AX1446" s="17"/>
      <c r="AY1446" s="17" t="s">
        <v>66</v>
      </c>
    </row>
    <row r="1447" ht="22.5" hidden="1" customHeight="1">
      <c r="A1447" s="16" t="s">
        <v>14550</v>
      </c>
      <c r="B1447" s="17" t="s">
        <v>14528</v>
      </c>
      <c r="C1447" s="17" t="s">
        <v>43</v>
      </c>
      <c r="D1447" s="17" t="s">
        <v>13049</v>
      </c>
      <c r="E1447" s="17" t="s">
        <v>45</v>
      </c>
      <c r="F1447" s="18">
        <v>1.0</v>
      </c>
      <c r="G1447" s="18"/>
      <c r="H1447" s="18"/>
      <c r="I1447" s="18"/>
      <c r="J1447" s="18"/>
      <c r="K1447" s="18"/>
      <c r="L1447" s="18"/>
      <c r="M1447" s="17" t="s">
        <v>50</v>
      </c>
      <c r="N1447" s="17" t="s">
        <v>50</v>
      </c>
      <c r="O1447" s="17" t="s">
        <v>1821</v>
      </c>
      <c r="P1447" s="17" t="s">
        <v>1822</v>
      </c>
      <c r="Q1447" s="17" t="s">
        <v>1823</v>
      </c>
      <c r="R1447" s="17" t="s">
        <v>74</v>
      </c>
      <c r="S1447" s="18">
        <v>48.0</v>
      </c>
      <c r="T1447" s="18">
        <v>6.28</v>
      </c>
      <c r="U1447" s="18" t="s">
        <v>51</v>
      </c>
      <c r="V1447" s="17" t="s">
        <v>50</v>
      </c>
      <c r="W1447" s="17" t="s">
        <v>50</v>
      </c>
      <c r="X1447" s="17" t="s">
        <v>50</v>
      </c>
      <c r="Y1447" s="17" t="s">
        <v>50</v>
      </c>
      <c r="Z1447" s="17" t="s">
        <v>50</v>
      </c>
      <c r="AA1447" s="17" t="s">
        <v>50</v>
      </c>
      <c r="AB1447" s="17" t="s">
        <v>50</v>
      </c>
      <c r="AC1447" s="17" t="s">
        <v>50</v>
      </c>
      <c r="AD1447" s="17" t="s">
        <v>50</v>
      </c>
      <c r="AE1447" s="17" t="s">
        <v>50</v>
      </c>
      <c r="AF1447" s="17" t="s">
        <v>50</v>
      </c>
      <c r="AG1447" s="17" t="s">
        <v>50</v>
      </c>
      <c r="AH1447" s="17" t="s">
        <v>50</v>
      </c>
      <c r="AI1447" s="17" t="s">
        <v>50</v>
      </c>
      <c r="AJ1447" s="17" t="s">
        <v>50</v>
      </c>
      <c r="AK1447" s="17" t="s">
        <v>50</v>
      </c>
      <c r="AL1447" s="17" t="s">
        <v>50</v>
      </c>
      <c r="AM1447" s="17" t="s">
        <v>50</v>
      </c>
      <c r="AN1447" s="17" t="s">
        <v>50</v>
      </c>
      <c r="AO1447" s="18" t="s">
        <v>50</v>
      </c>
      <c r="AP1447" s="17" t="s">
        <v>50</v>
      </c>
      <c r="AQ1447" s="17" t="s">
        <v>50</v>
      </c>
      <c r="AR1447" s="17" t="s">
        <v>50</v>
      </c>
      <c r="AS1447" s="17" t="s">
        <v>50</v>
      </c>
      <c r="AT1447" s="17" t="s">
        <v>50</v>
      </c>
      <c r="AU1447" s="17" t="s">
        <v>50</v>
      </c>
      <c r="AV1447" s="18"/>
      <c r="AW1447" s="17" t="s">
        <v>66</v>
      </c>
      <c r="AX1447" s="17"/>
      <c r="AY1447" s="17" t="s">
        <v>66</v>
      </c>
    </row>
    <row r="1448" ht="22.5" hidden="1" customHeight="1">
      <c r="A1448" s="9" t="s">
        <v>14551</v>
      </c>
      <c r="B1448" s="10" t="s">
        <v>14552</v>
      </c>
      <c r="C1448" s="10" t="s">
        <v>43</v>
      </c>
      <c r="D1448" s="10" t="s">
        <v>13049</v>
      </c>
      <c r="E1448" s="10" t="s">
        <v>66</v>
      </c>
      <c r="F1448" s="11">
        <v>1.0</v>
      </c>
      <c r="G1448" s="11">
        <v>79.35</v>
      </c>
      <c r="H1448" s="11"/>
      <c r="I1448" s="11">
        <v>-15.08</v>
      </c>
      <c r="J1448" s="11">
        <v>-19.95</v>
      </c>
      <c r="K1448" s="11"/>
      <c r="L1448" s="11">
        <v>44.32</v>
      </c>
      <c r="M1448" s="10" t="s">
        <v>12218</v>
      </c>
      <c r="N1448" s="10" t="s">
        <v>45</v>
      </c>
      <c r="O1448" s="10" t="s">
        <v>47</v>
      </c>
      <c r="P1448" s="10" t="s">
        <v>48</v>
      </c>
      <c r="Q1448" s="10" t="s">
        <v>49</v>
      </c>
      <c r="R1448" s="10" t="s">
        <v>50</v>
      </c>
      <c r="S1448" s="11">
        <v>79.35</v>
      </c>
      <c r="T1448" s="11">
        <v>12.45</v>
      </c>
      <c r="U1448" s="11" t="s">
        <v>51</v>
      </c>
      <c r="V1448" s="10" t="s">
        <v>52</v>
      </c>
      <c r="W1448" s="10" t="s">
        <v>14553</v>
      </c>
      <c r="X1448" s="10" t="s">
        <v>14554</v>
      </c>
      <c r="Y1448" s="10" t="s">
        <v>14555</v>
      </c>
      <c r="Z1448" s="10" t="s">
        <v>50</v>
      </c>
      <c r="AA1448" s="10" t="s">
        <v>50</v>
      </c>
      <c r="AB1448" s="10" t="s">
        <v>14553</v>
      </c>
      <c r="AC1448" s="10" t="s">
        <v>14556</v>
      </c>
      <c r="AD1448" s="10" t="s">
        <v>14557</v>
      </c>
      <c r="AE1448" s="10" t="s">
        <v>151</v>
      </c>
      <c r="AF1448" s="10" t="s">
        <v>151</v>
      </c>
      <c r="AG1448" s="10" t="s">
        <v>14558</v>
      </c>
      <c r="AH1448" s="10" t="s">
        <v>60</v>
      </c>
      <c r="AI1448" s="10" t="s">
        <v>13406</v>
      </c>
      <c r="AJ1448" s="10" t="s">
        <v>14559</v>
      </c>
      <c r="AK1448" s="10" t="s">
        <v>14560</v>
      </c>
      <c r="AL1448" s="10" t="s">
        <v>64</v>
      </c>
      <c r="AM1448" s="10" t="s">
        <v>14561</v>
      </c>
      <c r="AN1448" s="10" t="s">
        <v>14562</v>
      </c>
      <c r="AO1448" s="11" t="s">
        <v>50</v>
      </c>
      <c r="AP1448" s="10" t="s">
        <v>50</v>
      </c>
      <c r="AQ1448" s="10" t="s">
        <v>50</v>
      </c>
      <c r="AR1448" s="10" t="s">
        <v>50</v>
      </c>
      <c r="AS1448" s="10" t="s">
        <v>50</v>
      </c>
      <c r="AT1448" s="10" t="s">
        <v>50</v>
      </c>
      <c r="AU1448" s="10" t="s">
        <v>50</v>
      </c>
      <c r="AV1448" s="11"/>
      <c r="AW1448" s="10" t="s">
        <v>66</v>
      </c>
      <c r="AX1448" s="10"/>
      <c r="AY1448" s="10" t="s">
        <v>66</v>
      </c>
    </row>
    <row r="1449" ht="22.5" hidden="1" customHeight="1">
      <c r="A1449" s="9" t="s">
        <v>14563</v>
      </c>
      <c r="B1449" s="10" t="s">
        <v>14564</v>
      </c>
      <c r="C1449" s="10" t="s">
        <v>43</v>
      </c>
      <c r="D1449" s="10" t="s">
        <v>12217</v>
      </c>
      <c r="E1449" s="10" t="s">
        <v>66</v>
      </c>
      <c r="F1449" s="11">
        <v>1.0</v>
      </c>
      <c r="G1449" s="11">
        <v>120.0</v>
      </c>
      <c r="H1449" s="11"/>
      <c r="I1449" s="11">
        <v>-20.4</v>
      </c>
      <c r="J1449" s="11">
        <v>-19.95</v>
      </c>
      <c r="K1449" s="11"/>
      <c r="L1449" s="11">
        <v>86.85</v>
      </c>
      <c r="M1449" s="10" t="s">
        <v>46</v>
      </c>
      <c r="N1449" s="10" t="s">
        <v>50</v>
      </c>
      <c r="O1449" s="10" t="s">
        <v>85</v>
      </c>
      <c r="P1449" s="10" t="s">
        <v>86</v>
      </c>
      <c r="Q1449" s="10" t="s">
        <v>87</v>
      </c>
      <c r="R1449" s="10" t="s">
        <v>74</v>
      </c>
      <c r="S1449" s="11">
        <v>120.0</v>
      </c>
      <c r="T1449" s="11">
        <v>65.78</v>
      </c>
      <c r="U1449" s="11" t="s">
        <v>51</v>
      </c>
      <c r="V1449" s="10" t="s">
        <v>52</v>
      </c>
      <c r="W1449" s="10" t="s">
        <v>14565</v>
      </c>
      <c r="X1449" s="10" t="s">
        <v>14566</v>
      </c>
      <c r="Y1449" s="10" t="s">
        <v>14567</v>
      </c>
      <c r="Z1449" s="10" t="s">
        <v>50</v>
      </c>
      <c r="AA1449" s="10" t="s">
        <v>50</v>
      </c>
      <c r="AB1449" s="10" t="s">
        <v>14565</v>
      </c>
      <c r="AC1449" s="10" t="s">
        <v>14568</v>
      </c>
      <c r="AD1449" s="10" t="s">
        <v>14569</v>
      </c>
      <c r="AE1449" s="10" t="s">
        <v>1089</v>
      </c>
      <c r="AF1449" s="10" t="s">
        <v>284</v>
      </c>
      <c r="AG1449" s="10" t="s">
        <v>14570</v>
      </c>
      <c r="AH1449" s="10" t="s">
        <v>60</v>
      </c>
      <c r="AI1449" s="10" t="s">
        <v>13406</v>
      </c>
      <c r="AJ1449" s="10" t="s">
        <v>12258</v>
      </c>
      <c r="AK1449" s="10" t="s">
        <v>14571</v>
      </c>
      <c r="AL1449" s="10" t="s">
        <v>64</v>
      </c>
      <c r="AM1449" s="10" t="s">
        <v>14572</v>
      </c>
      <c r="AN1449" s="10" t="s">
        <v>50</v>
      </c>
      <c r="AO1449" s="11" t="s">
        <v>50</v>
      </c>
      <c r="AP1449" s="10" t="s">
        <v>50</v>
      </c>
      <c r="AQ1449" s="10" t="s">
        <v>50</v>
      </c>
      <c r="AR1449" s="10" t="s">
        <v>50</v>
      </c>
      <c r="AS1449" s="10" t="s">
        <v>50</v>
      </c>
      <c r="AT1449" s="10" t="s">
        <v>50</v>
      </c>
      <c r="AU1449" s="10" t="s">
        <v>50</v>
      </c>
      <c r="AV1449" s="11"/>
      <c r="AW1449" s="10" t="s">
        <v>66</v>
      </c>
      <c r="AX1449" s="10"/>
      <c r="AY1449" s="10" t="s">
        <v>66</v>
      </c>
    </row>
    <row r="1450" ht="22.5" hidden="1" customHeight="1">
      <c r="A1450" s="12" t="s">
        <v>14573</v>
      </c>
      <c r="B1450" s="13" t="s">
        <v>14574</v>
      </c>
      <c r="C1450" s="13" t="s">
        <v>747</v>
      </c>
      <c r="D1450" s="13" t="s">
        <v>50</v>
      </c>
      <c r="E1450" s="13" t="s">
        <v>50</v>
      </c>
      <c r="F1450" s="14"/>
      <c r="G1450" s="14">
        <v>210.0</v>
      </c>
      <c r="H1450" s="14"/>
      <c r="I1450" s="14">
        <v>-35.7</v>
      </c>
      <c r="J1450" s="14">
        <v>-40.4</v>
      </c>
      <c r="K1450" s="14"/>
      <c r="L1450" s="14">
        <v>146.5</v>
      </c>
      <c r="M1450" s="13" t="s">
        <v>46</v>
      </c>
      <c r="N1450" s="13" t="s">
        <v>50</v>
      </c>
      <c r="O1450" s="13" t="s">
        <v>50</v>
      </c>
      <c r="P1450" s="13" t="s">
        <v>50</v>
      </c>
      <c r="Q1450" s="13" t="s">
        <v>50</v>
      </c>
      <c r="R1450" s="13" t="s">
        <v>50</v>
      </c>
      <c r="S1450" s="14"/>
      <c r="T1450" s="14"/>
      <c r="U1450" s="14" t="s">
        <v>50</v>
      </c>
      <c r="V1450" s="13" t="s">
        <v>52</v>
      </c>
      <c r="W1450" s="13" t="s">
        <v>14575</v>
      </c>
      <c r="X1450" s="13" t="s">
        <v>14576</v>
      </c>
      <c r="Y1450" s="13" t="s">
        <v>14577</v>
      </c>
      <c r="Z1450" s="13" t="s">
        <v>50</v>
      </c>
      <c r="AA1450" s="13" t="s">
        <v>50</v>
      </c>
      <c r="AB1450" s="13" t="s">
        <v>14575</v>
      </c>
      <c r="AC1450" s="13" t="s">
        <v>14578</v>
      </c>
      <c r="AD1450" s="13" t="s">
        <v>14579</v>
      </c>
      <c r="AE1450" s="13" t="s">
        <v>492</v>
      </c>
      <c r="AF1450" s="13" t="s">
        <v>58</v>
      </c>
      <c r="AG1450" s="13" t="s">
        <v>14580</v>
      </c>
      <c r="AH1450" s="13" t="s">
        <v>60</v>
      </c>
      <c r="AI1450" s="13" t="s">
        <v>13406</v>
      </c>
      <c r="AJ1450" s="13" t="s">
        <v>14019</v>
      </c>
      <c r="AK1450" s="13" t="s">
        <v>14581</v>
      </c>
      <c r="AL1450" s="13" t="s">
        <v>64</v>
      </c>
      <c r="AM1450" s="13" t="s">
        <v>14582</v>
      </c>
      <c r="AN1450" s="13" t="s">
        <v>50</v>
      </c>
      <c r="AO1450" s="15" t="s">
        <v>50</v>
      </c>
      <c r="AP1450" s="13" t="s">
        <v>50</v>
      </c>
      <c r="AQ1450" s="13" t="s">
        <v>50</v>
      </c>
      <c r="AR1450" s="13" t="s">
        <v>50</v>
      </c>
      <c r="AS1450" s="13" t="s">
        <v>50</v>
      </c>
      <c r="AT1450" s="13" t="s">
        <v>50</v>
      </c>
      <c r="AU1450" s="13" t="s">
        <v>50</v>
      </c>
      <c r="AV1450" s="15"/>
      <c r="AW1450" s="13" t="s">
        <v>50</v>
      </c>
      <c r="AX1450" s="13"/>
      <c r="AY1450" s="13" t="s">
        <v>50</v>
      </c>
    </row>
    <row r="1451" ht="22.5" hidden="1" customHeight="1">
      <c r="A1451" s="16" t="s">
        <v>14583</v>
      </c>
      <c r="B1451" s="17" t="s">
        <v>14574</v>
      </c>
      <c r="C1451" s="17" t="s">
        <v>43</v>
      </c>
      <c r="D1451" s="17" t="s">
        <v>13049</v>
      </c>
      <c r="E1451" s="17" t="s">
        <v>45</v>
      </c>
      <c r="F1451" s="18">
        <v>1.0</v>
      </c>
      <c r="G1451" s="18"/>
      <c r="H1451" s="18"/>
      <c r="I1451" s="18"/>
      <c r="J1451" s="18"/>
      <c r="K1451" s="18"/>
      <c r="L1451" s="18"/>
      <c r="M1451" s="17" t="s">
        <v>50</v>
      </c>
      <c r="N1451" s="17" t="s">
        <v>50</v>
      </c>
      <c r="O1451" s="17" t="s">
        <v>85</v>
      </c>
      <c r="P1451" s="17" t="s">
        <v>86</v>
      </c>
      <c r="Q1451" s="17" t="s">
        <v>87</v>
      </c>
      <c r="R1451" s="17" t="s">
        <v>74</v>
      </c>
      <c r="S1451" s="18">
        <v>120.0</v>
      </c>
      <c r="T1451" s="18">
        <v>65.78</v>
      </c>
      <c r="U1451" s="18" t="s">
        <v>51</v>
      </c>
      <c r="V1451" s="17" t="s">
        <v>50</v>
      </c>
      <c r="W1451" s="17" t="s">
        <v>50</v>
      </c>
      <c r="X1451" s="17" t="s">
        <v>50</v>
      </c>
      <c r="Y1451" s="17" t="s">
        <v>50</v>
      </c>
      <c r="Z1451" s="17" t="s">
        <v>50</v>
      </c>
      <c r="AA1451" s="17" t="s">
        <v>50</v>
      </c>
      <c r="AB1451" s="17" t="s">
        <v>50</v>
      </c>
      <c r="AC1451" s="17" t="s">
        <v>50</v>
      </c>
      <c r="AD1451" s="17" t="s">
        <v>50</v>
      </c>
      <c r="AE1451" s="17" t="s">
        <v>50</v>
      </c>
      <c r="AF1451" s="17" t="s">
        <v>50</v>
      </c>
      <c r="AG1451" s="17" t="s">
        <v>50</v>
      </c>
      <c r="AH1451" s="17" t="s">
        <v>50</v>
      </c>
      <c r="AI1451" s="17" t="s">
        <v>50</v>
      </c>
      <c r="AJ1451" s="17" t="s">
        <v>50</v>
      </c>
      <c r="AK1451" s="17" t="s">
        <v>50</v>
      </c>
      <c r="AL1451" s="17" t="s">
        <v>50</v>
      </c>
      <c r="AM1451" s="17" t="s">
        <v>50</v>
      </c>
      <c r="AN1451" s="17" t="s">
        <v>50</v>
      </c>
      <c r="AO1451" s="18" t="s">
        <v>50</v>
      </c>
      <c r="AP1451" s="17" t="s">
        <v>50</v>
      </c>
      <c r="AQ1451" s="17" t="s">
        <v>50</v>
      </c>
      <c r="AR1451" s="17" t="s">
        <v>50</v>
      </c>
      <c r="AS1451" s="17" t="s">
        <v>50</v>
      </c>
      <c r="AT1451" s="17" t="s">
        <v>50</v>
      </c>
      <c r="AU1451" s="17" t="s">
        <v>50</v>
      </c>
      <c r="AV1451" s="18"/>
      <c r="AW1451" s="17" t="s">
        <v>66</v>
      </c>
      <c r="AX1451" s="17"/>
      <c r="AY1451" s="17" t="s">
        <v>66</v>
      </c>
    </row>
    <row r="1452" ht="22.5" hidden="1" customHeight="1">
      <c r="A1452" s="16" t="s">
        <v>14584</v>
      </c>
      <c r="B1452" s="17" t="s">
        <v>14574</v>
      </c>
      <c r="C1452" s="17" t="s">
        <v>43</v>
      </c>
      <c r="D1452" s="17" t="s">
        <v>13049</v>
      </c>
      <c r="E1452" s="17" t="s">
        <v>45</v>
      </c>
      <c r="F1452" s="18">
        <v>1.0</v>
      </c>
      <c r="G1452" s="18"/>
      <c r="H1452" s="18"/>
      <c r="I1452" s="18"/>
      <c r="J1452" s="18"/>
      <c r="K1452" s="18"/>
      <c r="L1452" s="18"/>
      <c r="M1452" s="17" t="s">
        <v>50</v>
      </c>
      <c r="N1452" s="17" t="s">
        <v>50</v>
      </c>
      <c r="O1452" s="17" t="s">
        <v>5094</v>
      </c>
      <c r="P1452" s="17" t="s">
        <v>5095</v>
      </c>
      <c r="Q1452" s="17" t="s">
        <v>5096</v>
      </c>
      <c r="R1452" s="17" t="s">
        <v>74</v>
      </c>
      <c r="S1452" s="18">
        <v>90.0</v>
      </c>
      <c r="T1452" s="18">
        <v>39.99</v>
      </c>
      <c r="U1452" s="18" t="s">
        <v>51</v>
      </c>
      <c r="V1452" s="17" t="s">
        <v>50</v>
      </c>
      <c r="W1452" s="17" t="s">
        <v>50</v>
      </c>
      <c r="X1452" s="17" t="s">
        <v>50</v>
      </c>
      <c r="Y1452" s="17" t="s">
        <v>50</v>
      </c>
      <c r="Z1452" s="17" t="s">
        <v>50</v>
      </c>
      <c r="AA1452" s="17" t="s">
        <v>50</v>
      </c>
      <c r="AB1452" s="17" t="s">
        <v>50</v>
      </c>
      <c r="AC1452" s="17" t="s">
        <v>50</v>
      </c>
      <c r="AD1452" s="17" t="s">
        <v>50</v>
      </c>
      <c r="AE1452" s="17" t="s">
        <v>50</v>
      </c>
      <c r="AF1452" s="17" t="s">
        <v>50</v>
      </c>
      <c r="AG1452" s="17" t="s">
        <v>50</v>
      </c>
      <c r="AH1452" s="17" t="s">
        <v>50</v>
      </c>
      <c r="AI1452" s="17" t="s">
        <v>50</v>
      </c>
      <c r="AJ1452" s="17" t="s">
        <v>50</v>
      </c>
      <c r="AK1452" s="17" t="s">
        <v>50</v>
      </c>
      <c r="AL1452" s="17" t="s">
        <v>50</v>
      </c>
      <c r="AM1452" s="17" t="s">
        <v>50</v>
      </c>
      <c r="AN1452" s="17" t="s">
        <v>50</v>
      </c>
      <c r="AO1452" s="18" t="s">
        <v>50</v>
      </c>
      <c r="AP1452" s="17" t="s">
        <v>50</v>
      </c>
      <c r="AQ1452" s="17" t="s">
        <v>50</v>
      </c>
      <c r="AR1452" s="17" t="s">
        <v>50</v>
      </c>
      <c r="AS1452" s="17" t="s">
        <v>50</v>
      </c>
      <c r="AT1452" s="17" t="s">
        <v>50</v>
      </c>
      <c r="AU1452" s="17" t="s">
        <v>50</v>
      </c>
      <c r="AV1452" s="18"/>
      <c r="AW1452" s="17" t="s">
        <v>66</v>
      </c>
      <c r="AX1452" s="17"/>
      <c r="AY1452" s="17" t="s">
        <v>66</v>
      </c>
    </row>
    <row r="1453" ht="22.5" hidden="1" customHeight="1">
      <c r="A1453" s="9" t="s">
        <v>14585</v>
      </c>
      <c r="B1453" s="10" t="s">
        <v>14586</v>
      </c>
      <c r="C1453" s="10" t="s">
        <v>43</v>
      </c>
      <c r="D1453" s="10" t="s">
        <v>13049</v>
      </c>
      <c r="E1453" s="10" t="s">
        <v>45</v>
      </c>
      <c r="F1453" s="11">
        <v>1.0</v>
      </c>
      <c r="G1453" s="11">
        <v>79.2</v>
      </c>
      <c r="H1453" s="11"/>
      <c r="I1453" s="11">
        <v>-13.46</v>
      </c>
      <c r="J1453" s="11">
        <v>-20.45</v>
      </c>
      <c r="K1453" s="11"/>
      <c r="L1453" s="11">
        <v>45.29</v>
      </c>
      <c r="M1453" s="10" t="s">
        <v>46</v>
      </c>
      <c r="N1453" s="10" t="s">
        <v>45</v>
      </c>
      <c r="O1453" s="10" t="s">
        <v>412</v>
      </c>
      <c r="P1453" s="10" t="s">
        <v>413</v>
      </c>
      <c r="Q1453" s="10" t="s">
        <v>414</v>
      </c>
      <c r="R1453" s="10" t="s">
        <v>415</v>
      </c>
      <c r="S1453" s="11">
        <v>79.2</v>
      </c>
      <c r="T1453" s="11">
        <v>10.05</v>
      </c>
      <c r="U1453" s="11" t="s">
        <v>51</v>
      </c>
      <c r="V1453" s="10" t="s">
        <v>52</v>
      </c>
      <c r="W1453" s="10" t="s">
        <v>14587</v>
      </c>
      <c r="X1453" s="10" t="s">
        <v>14588</v>
      </c>
      <c r="Y1453" s="10" t="s">
        <v>14589</v>
      </c>
      <c r="Z1453" s="10" t="s">
        <v>50</v>
      </c>
      <c r="AA1453" s="10" t="s">
        <v>50</v>
      </c>
      <c r="AB1453" s="10" t="s">
        <v>14587</v>
      </c>
      <c r="AC1453" s="10" t="s">
        <v>14590</v>
      </c>
      <c r="AD1453" s="10" t="s">
        <v>14591</v>
      </c>
      <c r="AE1453" s="10" t="s">
        <v>3751</v>
      </c>
      <c r="AF1453" s="10" t="s">
        <v>58</v>
      </c>
      <c r="AG1453" s="10" t="s">
        <v>14592</v>
      </c>
      <c r="AH1453" s="10" t="s">
        <v>60</v>
      </c>
      <c r="AI1453" s="10" t="s">
        <v>13406</v>
      </c>
      <c r="AJ1453" s="10" t="s">
        <v>14440</v>
      </c>
      <c r="AK1453" s="10" t="s">
        <v>14000</v>
      </c>
      <c r="AL1453" s="10" t="s">
        <v>64</v>
      </c>
      <c r="AM1453" s="10" t="s">
        <v>14593</v>
      </c>
      <c r="AN1453" s="10" t="s">
        <v>50</v>
      </c>
      <c r="AO1453" s="11" t="s">
        <v>50</v>
      </c>
      <c r="AP1453" s="10" t="s">
        <v>50</v>
      </c>
      <c r="AQ1453" s="10" t="s">
        <v>50</v>
      </c>
      <c r="AR1453" s="10" t="s">
        <v>50</v>
      </c>
      <c r="AS1453" s="10" t="s">
        <v>50</v>
      </c>
      <c r="AT1453" s="10" t="s">
        <v>50</v>
      </c>
      <c r="AU1453" s="10" t="s">
        <v>50</v>
      </c>
      <c r="AV1453" s="11"/>
      <c r="AW1453" s="10" t="s">
        <v>66</v>
      </c>
      <c r="AX1453" s="10"/>
      <c r="AY1453" s="10" t="s">
        <v>66</v>
      </c>
    </row>
    <row r="1454" ht="22.5" hidden="1" customHeight="1">
      <c r="A1454" s="9" t="s">
        <v>14594</v>
      </c>
      <c r="B1454" s="10" t="s">
        <v>14595</v>
      </c>
      <c r="C1454" s="10" t="s">
        <v>43</v>
      </c>
      <c r="D1454" s="10" t="s">
        <v>13108</v>
      </c>
      <c r="E1454" s="10" t="s">
        <v>66</v>
      </c>
      <c r="F1454" s="11">
        <v>1.0</v>
      </c>
      <c r="G1454" s="11">
        <v>120.0</v>
      </c>
      <c r="H1454" s="11"/>
      <c r="I1454" s="11">
        <v>-20.4</v>
      </c>
      <c r="J1454" s="11">
        <v>-19.95</v>
      </c>
      <c r="K1454" s="11"/>
      <c r="L1454" s="11">
        <v>86.85</v>
      </c>
      <c r="M1454" s="10" t="s">
        <v>46</v>
      </c>
      <c r="N1454" s="10" t="s">
        <v>50</v>
      </c>
      <c r="O1454" s="10" t="s">
        <v>85</v>
      </c>
      <c r="P1454" s="10" t="s">
        <v>86</v>
      </c>
      <c r="Q1454" s="10" t="s">
        <v>87</v>
      </c>
      <c r="R1454" s="10" t="s">
        <v>74</v>
      </c>
      <c r="S1454" s="11">
        <v>120.0</v>
      </c>
      <c r="T1454" s="11">
        <v>65.78</v>
      </c>
      <c r="U1454" s="11" t="s">
        <v>51</v>
      </c>
      <c r="V1454" s="10" t="s">
        <v>52</v>
      </c>
      <c r="W1454" s="10" t="s">
        <v>12864</v>
      </c>
      <c r="X1454" s="10" t="s">
        <v>12865</v>
      </c>
      <c r="Y1454" s="10" t="s">
        <v>12866</v>
      </c>
      <c r="Z1454" s="10" t="s">
        <v>50</v>
      </c>
      <c r="AA1454" s="10" t="s">
        <v>50</v>
      </c>
      <c r="AB1454" s="10" t="s">
        <v>12864</v>
      </c>
      <c r="AC1454" s="10" t="s">
        <v>12867</v>
      </c>
      <c r="AD1454" s="10" t="s">
        <v>12868</v>
      </c>
      <c r="AE1454" s="10" t="s">
        <v>151</v>
      </c>
      <c r="AF1454" s="10" t="s">
        <v>151</v>
      </c>
      <c r="AG1454" s="10" t="s">
        <v>12869</v>
      </c>
      <c r="AH1454" s="10" t="s">
        <v>60</v>
      </c>
      <c r="AI1454" s="10" t="s">
        <v>13406</v>
      </c>
      <c r="AJ1454" s="10" t="s">
        <v>14596</v>
      </c>
      <c r="AK1454" s="10" t="s">
        <v>14597</v>
      </c>
      <c r="AL1454" s="10" t="s">
        <v>64</v>
      </c>
      <c r="AM1454" s="10" t="s">
        <v>14598</v>
      </c>
      <c r="AN1454" s="10" t="s">
        <v>50</v>
      </c>
      <c r="AO1454" s="11" t="s">
        <v>50</v>
      </c>
      <c r="AP1454" s="10" t="s">
        <v>50</v>
      </c>
      <c r="AQ1454" s="10" t="s">
        <v>50</v>
      </c>
      <c r="AR1454" s="10" t="s">
        <v>50</v>
      </c>
      <c r="AS1454" s="10" t="s">
        <v>50</v>
      </c>
      <c r="AT1454" s="10" t="s">
        <v>50</v>
      </c>
      <c r="AU1454" s="10" t="s">
        <v>50</v>
      </c>
      <c r="AV1454" s="11"/>
      <c r="AW1454" s="10" t="s">
        <v>66</v>
      </c>
      <c r="AX1454" s="10"/>
      <c r="AY1454" s="10" t="s">
        <v>66</v>
      </c>
    </row>
    <row r="1455" ht="22.5" hidden="1" customHeight="1">
      <c r="A1455" s="9" t="s">
        <v>14599</v>
      </c>
      <c r="B1455" s="10" t="s">
        <v>14600</v>
      </c>
      <c r="C1455" s="10" t="s">
        <v>43</v>
      </c>
      <c r="D1455" s="10" t="s">
        <v>13049</v>
      </c>
      <c r="E1455" s="10" t="s">
        <v>45</v>
      </c>
      <c r="F1455" s="11">
        <v>1.0</v>
      </c>
      <c r="G1455" s="11">
        <v>80.0</v>
      </c>
      <c r="H1455" s="11"/>
      <c r="I1455" s="11">
        <v>-13.6</v>
      </c>
      <c r="J1455" s="11">
        <v>-19.95</v>
      </c>
      <c r="K1455" s="11"/>
      <c r="L1455" s="11">
        <v>50.45</v>
      </c>
      <c r="M1455" s="10" t="s">
        <v>46</v>
      </c>
      <c r="N1455" s="10" t="s">
        <v>50</v>
      </c>
      <c r="O1455" s="10" t="s">
        <v>143</v>
      </c>
      <c r="P1455" s="10" t="s">
        <v>144</v>
      </c>
      <c r="Q1455" s="10" t="s">
        <v>145</v>
      </c>
      <c r="R1455" s="10" t="s">
        <v>74</v>
      </c>
      <c r="S1455" s="11">
        <v>80.0</v>
      </c>
      <c r="T1455" s="11">
        <v>33.38</v>
      </c>
      <c r="U1455" s="11" t="s">
        <v>51</v>
      </c>
      <c r="V1455" s="10" t="s">
        <v>52</v>
      </c>
      <c r="W1455" s="10" t="s">
        <v>14601</v>
      </c>
      <c r="X1455" s="10" t="s">
        <v>14602</v>
      </c>
      <c r="Y1455" s="10" t="s">
        <v>14603</v>
      </c>
      <c r="Z1455" s="10" t="s">
        <v>50</v>
      </c>
      <c r="AA1455" s="10" t="s">
        <v>50</v>
      </c>
      <c r="AB1455" s="10" t="s">
        <v>14601</v>
      </c>
      <c r="AC1455" s="10" t="s">
        <v>14604</v>
      </c>
      <c r="AD1455" s="10" t="s">
        <v>14605</v>
      </c>
      <c r="AE1455" s="10" t="s">
        <v>296</v>
      </c>
      <c r="AF1455" s="10" t="s">
        <v>58</v>
      </c>
      <c r="AG1455" s="10" t="s">
        <v>14606</v>
      </c>
      <c r="AH1455" s="10" t="s">
        <v>60</v>
      </c>
      <c r="AI1455" s="10" t="s">
        <v>13406</v>
      </c>
      <c r="AJ1455" s="10" t="s">
        <v>14134</v>
      </c>
      <c r="AK1455" s="10" t="s">
        <v>14607</v>
      </c>
      <c r="AL1455" s="10" t="s">
        <v>64</v>
      </c>
      <c r="AM1455" s="10" t="s">
        <v>14608</v>
      </c>
      <c r="AN1455" s="10" t="s">
        <v>50</v>
      </c>
      <c r="AO1455" s="11" t="s">
        <v>50</v>
      </c>
      <c r="AP1455" s="10" t="s">
        <v>50</v>
      </c>
      <c r="AQ1455" s="10" t="s">
        <v>50</v>
      </c>
      <c r="AR1455" s="10" t="s">
        <v>50</v>
      </c>
      <c r="AS1455" s="10" t="s">
        <v>50</v>
      </c>
      <c r="AT1455" s="10" t="s">
        <v>50</v>
      </c>
      <c r="AU1455" s="10" t="s">
        <v>50</v>
      </c>
      <c r="AV1455" s="11"/>
      <c r="AW1455" s="10" t="s">
        <v>66</v>
      </c>
      <c r="AX1455" s="10"/>
      <c r="AY1455" s="10" t="s">
        <v>66</v>
      </c>
    </row>
    <row r="1456" ht="22.5" hidden="1" customHeight="1">
      <c r="A1456" s="9" t="s">
        <v>14609</v>
      </c>
      <c r="B1456" s="10" t="s">
        <v>14610</v>
      </c>
      <c r="C1456" s="10" t="s">
        <v>43</v>
      </c>
      <c r="D1456" s="10" t="s">
        <v>13108</v>
      </c>
      <c r="E1456" s="10" t="s">
        <v>45</v>
      </c>
      <c r="F1456" s="11">
        <v>1.0</v>
      </c>
      <c r="G1456" s="11">
        <v>120.0</v>
      </c>
      <c r="H1456" s="11"/>
      <c r="I1456" s="11">
        <v>-20.4</v>
      </c>
      <c r="J1456" s="11">
        <v>-19.95</v>
      </c>
      <c r="K1456" s="11"/>
      <c r="L1456" s="11">
        <v>86.85</v>
      </c>
      <c r="M1456" s="10" t="s">
        <v>12218</v>
      </c>
      <c r="N1456" s="10" t="s">
        <v>50</v>
      </c>
      <c r="O1456" s="10" t="s">
        <v>85</v>
      </c>
      <c r="P1456" s="10" t="s">
        <v>86</v>
      </c>
      <c r="Q1456" s="10" t="s">
        <v>87</v>
      </c>
      <c r="R1456" s="10" t="s">
        <v>74</v>
      </c>
      <c r="S1456" s="11">
        <v>120.0</v>
      </c>
      <c r="T1456" s="11">
        <v>65.78</v>
      </c>
      <c r="U1456" s="11" t="s">
        <v>51</v>
      </c>
      <c r="V1456" s="10" t="s">
        <v>52</v>
      </c>
      <c r="W1456" s="10" t="s">
        <v>14611</v>
      </c>
      <c r="X1456" s="10" t="s">
        <v>14612</v>
      </c>
      <c r="Y1456" s="10" t="s">
        <v>14613</v>
      </c>
      <c r="Z1456" s="10" t="s">
        <v>50</v>
      </c>
      <c r="AA1456" s="10" t="s">
        <v>50</v>
      </c>
      <c r="AB1456" s="10" t="s">
        <v>14611</v>
      </c>
      <c r="AC1456" s="10" t="s">
        <v>14614</v>
      </c>
      <c r="AD1456" s="10" t="s">
        <v>14615</v>
      </c>
      <c r="AE1456" s="10" t="s">
        <v>481</v>
      </c>
      <c r="AF1456" s="10" t="s">
        <v>136</v>
      </c>
      <c r="AG1456" s="10" t="s">
        <v>14616</v>
      </c>
      <c r="AH1456" s="10" t="s">
        <v>60</v>
      </c>
      <c r="AI1456" s="10" t="s">
        <v>13406</v>
      </c>
      <c r="AJ1456" s="10" t="s">
        <v>13990</v>
      </c>
      <c r="AK1456" s="10" t="s">
        <v>14617</v>
      </c>
      <c r="AL1456" s="10" t="s">
        <v>64</v>
      </c>
      <c r="AM1456" s="10" t="s">
        <v>14618</v>
      </c>
      <c r="AN1456" s="10" t="s">
        <v>50</v>
      </c>
      <c r="AO1456" s="11" t="s">
        <v>50</v>
      </c>
      <c r="AP1456" s="10" t="s">
        <v>50</v>
      </c>
      <c r="AQ1456" s="10" t="s">
        <v>50</v>
      </c>
      <c r="AR1456" s="10" t="s">
        <v>50</v>
      </c>
      <c r="AS1456" s="10" t="s">
        <v>50</v>
      </c>
      <c r="AT1456" s="10" t="s">
        <v>50</v>
      </c>
      <c r="AU1456" s="10" t="s">
        <v>50</v>
      </c>
      <c r="AV1456" s="11"/>
      <c r="AW1456" s="10" t="s">
        <v>66</v>
      </c>
      <c r="AX1456" s="10"/>
      <c r="AY1456" s="10" t="s">
        <v>66</v>
      </c>
    </row>
    <row r="1457" ht="22.5" hidden="1" customHeight="1">
      <c r="A1457" s="12" t="s">
        <v>14619</v>
      </c>
      <c r="B1457" s="13" t="s">
        <v>14620</v>
      </c>
      <c r="C1457" s="13" t="s">
        <v>747</v>
      </c>
      <c r="D1457" s="13" t="s">
        <v>50</v>
      </c>
      <c r="E1457" s="13" t="s">
        <v>50</v>
      </c>
      <c r="F1457" s="14"/>
      <c r="G1457" s="14">
        <v>115.15</v>
      </c>
      <c r="H1457" s="14"/>
      <c r="I1457" s="14">
        <v>-23.82</v>
      </c>
      <c r="J1457" s="14">
        <v>-19.95</v>
      </c>
      <c r="K1457" s="14"/>
      <c r="L1457" s="14">
        <v>77.49</v>
      </c>
      <c r="M1457" s="13" t="s">
        <v>46</v>
      </c>
      <c r="N1457" s="13" t="s">
        <v>50</v>
      </c>
      <c r="O1457" s="13" t="s">
        <v>50</v>
      </c>
      <c r="P1457" s="13" t="s">
        <v>50</v>
      </c>
      <c r="Q1457" s="13" t="s">
        <v>50</v>
      </c>
      <c r="R1457" s="13" t="s">
        <v>50</v>
      </c>
      <c r="S1457" s="14"/>
      <c r="T1457" s="14"/>
      <c r="U1457" s="14" t="s">
        <v>50</v>
      </c>
      <c r="V1457" s="13" t="s">
        <v>52</v>
      </c>
      <c r="W1457" s="13" t="s">
        <v>14621</v>
      </c>
      <c r="X1457" s="13" t="s">
        <v>14622</v>
      </c>
      <c r="Y1457" s="13" t="s">
        <v>14623</v>
      </c>
      <c r="Z1457" s="13" t="s">
        <v>50</v>
      </c>
      <c r="AA1457" s="13" t="s">
        <v>50</v>
      </c>
      <c r="AB1457" s="13" t="s">
        <v>14621</v>
      </c>
      <c r="AC1457" s="13" t="s">
        <v>14624</v>
      </c>
      <c r="AD1457" s="13" t="s">
        <v>14625</v>
      </c>
      <c r="AE1457" s="13" t="s">
        <v>14626</v>
      </c>
      <c r="AF1457" s="13" t="s">
        <v>58</v>
      </c>
      <c r="AG1457" s="13" t="s">
        <v>14627</v>
      </c>
      <c r="AH1457" s="13" t="s">
        <v>60</v>
      </c>
      <c r="AI1457" s="13" t="s">
        <v>13406</v>
      </c>
      <c r="AJ1457" s="13" t="s">
        <v>14406</v>
      </c>
      <c r="AK1457" s="13" t="s">
        <v>14628</v>
      </c>
      <c r="AL1457" s="13" t="s">
        <v>64</v>
      </c>
      <c r="AM1457" s="13" t="s">
        <v>14629</v>
      </c>
      <c r="AN1457" s="13" t="s">
        <v>50</v>
      </c>
      <c r="AO1457" s="15" t="s">
        <v>50</v>
      </c>
      <c r="AP1457" s="13" t="s">
        <v>50</v>
      </c>
      <c r="AQ1457" s="13" t="s">
        <v>50</v>
      </c>
      <c r="AR1457" s="13" t="s">
        <v>50</v>
      </c>
      <c r="AS1457" s="13" t="s">
        <v>50</v>
      </c>
      <c r="AT1457" s="13" t="s">
        <v>50</v>
      </c>
      <c r="AU1457" s="13" t="s">
        <v>50</v>
      </c>
      <c r="AV1457" s="15"/>
      <c r="AW1457" s="13" t="s">
        <v>50</v>
      </c>
      <c r="AX1457" s="13"/>
      <c r="AY1457" s="13" t="s">
        <v>50</v>
      </c>
    </row>
    <row r="1458" ht="22.5" hidden="1" customHeight="1">
      <c r="A1458" s="16" t="s">
        <v>14630</v>
      </c>
      <c r="B1458" s="17" t="s">
        <v>14620</v>
      </c>
      <c r="C1458" s="17" t="s">
        <v>43</v>
      </c>
      <c r="D1458" s="17" t="s">
        <v>13049</v>
      </c>
      <c r="E1458" s="17" t="s">
        <v>45</v>
      </c>
      <c r="F1458" s="18">
        <v>1.0</v>
      </c>
      <c r="G1458" s="18"/>
      <c r="H1458" s="18"/>
      <c r="I1458" s="18"/>
      <c r="J1458" s="18"/>
      <c r="K1458" s="18"/>
      <c r="L1458" s="18"/>
      <c r="M1458" s="17" t="s">
        <v>50</v>
      </c>
      <c r="N1458" s="17" t="s">
        <v>45</v>
      </c>
      <c r="O1458" s="17" t="s">
        <v>9112</v>
      </c>
      <c r="P1458" s="17" t="s">
        <v>9113</v>
      </c>
      <c r="Q1458" s="17" t="s">
        <v>9114</v>
      </c>
      <c r="R1458" s="17" t="s">
        <v>74</v>
      </c>
      <c r="S1458" s="18">
        <v>35.15</v>
      </c>
      <c r="T1458" s="18">
        <v>10.05</v>
      </c>
      <c r="U1458" s="18" t="s">
        <v>194</v>
      </c>
      <c r="V1458" s="17" t="s">
        <v>50</v>
      </c>
      <c r="W1458" s="17" t="s">
        <v>50</v>
      </c>
      <c r="X1458" s="17" t="s">
        <v>50</v>
      </c>
      <c r="Y1458" s="17" t="s">
        <v>50</v>
      </c>
      <c r="Z1458" s="17" t="s">
        <v>50</v>
      </c>
      <c r="AA1458" s="17" t="s">
        <v>50</v>
      </c>
      <c r="AB1458" s="17" t="s">
        <v>50</v>
      </c>
      <c r="AC1458" s="17" t="s">
        <v>50</v>
      </c>
      <c r="AD1458" s="17" t="s">
        <v>50</v>
      </c>
      <c r="AE1458" s="17" t="s">
        <v>50</v>
      </c>
      <c r="AF1458" s="17" t="s">
        <v>50</v>
      </c>
      <c r="AG1458" s="17" t="s">
        <v>50</v>
      </c>
      <c r="AH1458" s="17" t="s">
        <v>50</v>
      </c>
      <c r="AI1458" s="17" t="s">
        <v>50</v>
      </c>
      <c r="AJ1458" s="17" t="s">
        <v>50</v>
      </c>
      <c r="AK1458" s="17" t="s">
        <v>50</v>
      </c>
      <c r="AL1458" s="17" t="s">
        <v>50</v>
      </c>
      <c r="AM1458" s="17" t="s">
        <v>50</v>
      </c>
      <c r="AN1458" s="17" t="s">
        <v>50</v>
      </c>
      <c r="AO1458" s="18" t="s">
        <v>50</v>
      </c>
      <c r="AP1458" s="17" t="s">
        <v>50</v>
      </c>
      <c r="AQ1458" s="17" t="s">
        <v>50</v>
      </c>
      <c r="AR1458" s="17" t="s">
        <v>50</v>
      </c>
      <c r="AS1458" s="17" t="s">
        <v>50</v>
      </c>
      <c r="AT1458" s="17" t="s">
        <v>50</v>
      </c>
      <c r="AU1458" s="17" t="s">
        <v>50</v>
      </c>
      <c r="AV1458" s="18"/>
      <c r="AW1458" s="17" t="s">
        <v>66</v>
      </c>
      <c r="AX1458" s="17"/>
      <c r="AY1458" s="17" t="s">
        <v>66</v>
      </c>
    </row>
    <row r="1459" ht="22.5" hidden="1" customHeight="1">
      <c r="A1459" s="16" t="s">
        <v>14631</v>
      </c>
      <c r="B1459" s="17" t="s">
        <v>14620</v>
      </c>
      <c r="C1459" s="17" t="s">
        <v>43</v>
      </c>
      <c r="D1459" s="17" t="s">
        <v>13049</v>
      </c>
      <c r="E1459" s="17" t="s">
        <v>45</v>
      </c>
      <c r="F1459" s="18">
        <v>1.0</v>
      </c>
      <c r="G1459" s="18"/>
      <c r="H1459" s="18"/>
      <c r="I1459" s="18"/>
      <c r="J1459" s="18"/>
      <c r="K1459" s="18"/>
      <c r="L1459" s="18"/>
      <c r="M1459" s="17" t="s">
        <v>50</v>
      </c>
      <c r="N1459" s="17" t="s">
        <v>45</v>
      </c>
      <c r="O1459" s="17" t="s">
        <v>143</v>
      </c>
      <c r="P1459" s="17" t="s">
        <v>144</v>
      </c>
      <c r="Q1459" s="17" t="s">
        <v>145</v>
      </c>
      <c r="R1459" s="17" t="s">
        <v>74</v>
      </c>
      <c r="S1459" s="18">
        <v>80.0</v>
      </c>
      <c r="T1459" s="18">
        <v>33.38</v>
      </c>
      <c r="U1459" s="18" t="s">
        <v>51</v>
      </c>
      <c r="V1459" s="17" t="s">
        <v>50</v>
      </c>
      <c r="W1459" s="17" t="s">
        <v>50</v>
      </c>
      <c r="X1459" s="17" t="s">
        <v>50</v>
      </c>
      <c r="Y1459" s="17" t="s">
        <v>50</v>
      </c>
      <c r="Z1459" s="17" t="s">
        <v>50</v>
      </c>
      <c r="AA1459" s="17" t="s">
        <v>50</v>
      </c>
      <c r="AB1459" s="17" t="s">
        <v>50</v>
      </c>
      <c r="AC1459" s="17" t="s">
        <v>50</v>
      </c>
      <c r="AD1459" s="17" t="s">
        <v>50</v>
      </c>
      <c r="AE1459" s="17" t="s">
        <v>50</v>
      </c>
      <c r="AF1459" s="17" t="s">
        <v>50</v>
      </c>
      <c r="AG1459" s="17" t="s">
        <v>50</v>
      </c>
      <c r="AH1459" s="17" t="s">
        <v>50</v>
      </c>
      <c r="AI1459" s="17" t="s">
        <v>50</v>
      </c>
      <c r="AJ1459" s="17" t="s">
        <v>50</v>
      </c>
      <c r="AK1459" s="17" t="s">
        <v>50</v>
      </c>
      <c r="AL1459" s="17" t="s">
        <v>50</v>
      </c>
      <c r="AM1459" s="17" t="s">
        <v>50</v>
      </c>
      <c r="AN1459" s="17" t="s">
        <v>50</v>
      </c>
      <c r="AO1459" s="18" t="s">
        <v>50</v>
      </c>
      <c r="AP1459" s="17" t="s">
        <v>50</v>
      </c>
      <c r="AQ1459" s="17" t="s">
        <v>50</v>
      </c>
      <c r="AR1459" s="17" t="s">
        <v>50</v>
      </c>
      <c r="AS1459" s="17" t="s">
        <v>50</v>
      </c>
      <c r="AT1459" s="17" t="s">
        <v>50</v>
      </c>
      <c r="AU1459" s="17" t="s">
        <v>50</v>
      </c>
      <c r="AV1459" s="18"/>
      <c r="AW1459" s="17" t="s">
        <v>66</v>
      </c>
      <c r="AX1459" s="17"/>
      <c r="AY1459" s="17" t="s">
        <v>66</v>
      </c>
    </row>
    <row r="1460" ht="22.5" hidden="1" customHeight="1">
      <c r="A1460" s="9" t="s">
        <v>14632</v>
      </c>
      <c r="B1460" s="10" t="s">
        <v>14633</v>
      </c>
      <c r="C1460" s="10" t="s">
        <v>43</v>
      </c>
      <c r="D1460" s="10" t="s">
        <v>13049</v>
      </c>
      <c r="E1460" s="10" t="s">
        <v>66</v>
      </c>
      <c r="F1460" s="11">
        <v>1.0</v>
      </c>
      <c r="G1460" s="11">
        <v>120.0</v>
      </c>
      <c r="H1460" s="11">
        <v>13.45</v>
      </c>
      <c r="I1460" s="11">
        <v>-20.4</v>
      </c>
      <c r="J1460" s="11">
        <v>-33.4</v>
      </c>
      <c r="K1460" s="11"/>
      <c r="L1460" s="11">
        <v>86.85</v>
      </c>
      <c r="M1460" s="10" t="s">
        <v>12218</v>
      </c>
      <c r="N1460" s="10" t="s">
        <v>50</v>
      </c>
      <c r="O1460" s="10" t="s">
        <v>85</v>
      </c>
      <c r="P1460" s="10" t="s">
        <v>86</v>
      </c>
      <c r="Q1460" s="10" t="s">
        <v>87</v>
      </c>
      <c r="R1460" s="10" t="s">
        <v>74</v>
      </c>
      <c r="S1460" s="11">
        <v>120.0</v>
      </c>
      <c r="T1460" s="11">
        <v>65.78</v>
      </c>
      <c r="U1460" s="11" t="s">
        <v>51</v>
      </c>
      <c r="V1460" s="10" t="s">
        <v>52</v>
      </c>
      <c r="W1460" s="10" t="s">
        <v>14634</v>
      </c>
      <c r="X1460" s="10" t="s">
        <v>14635</v>
      </c>
      <c r="Y1460" s="10" t="s">
        <v>14636</v>
      </c>
      <c r="Z1460" s="10" t="s">
        <v>50</v>
      </c>
      <c r="AA1460" s="10" t="s">
        <v>50</v>
      </c>
      <c r="AB1460" s="10" t="s">
        <v>14634</v>
      </c>
      <c r="AC1460" s="10" t="s">
        <v>14637</v>
      </c>
      <c r="AD1460" s="10" t="s">
        <v>14638</v>
      </c>
      <c r="AE1460" s="10" t="s">
        <v>14639</v>
      </c>
      <c r="AF1460" s="10" t="s">
        <v>2636</v>
      </c>
      <c r="AG1460" s="10" t="s">
        <v>14640</v>
      </c>
      <c r="AH1460" s="10" t="s">
        <v>60</v>
      </c>
      <c r="AI1460" s="10" t="s">
        <v>13406</v>
      </c>
      <c r="AJ1460" s="10" t="s">
        <v>14064</v>
      </c>
      <c r="AK1460" s="10" t="s">
        <v>13474</v>
      </c>
      <c r="AL1460" s="10" t="s">
        <v>64</v>
      </c>
      <c r="AM1460" s="10" t="s">
        <v>14641</v>
      </c>
      <c r="AN1460" s="10" t="s">
        <v>50</v>
      </c>
      <c r="AO1460" s="11" t="s">
        <v>50</v>
      </c>
      <c r="AP1460" s="10" t="s">
        <v>50</v>
      </c>
      <c r="AQ1460" s="10" t="s">
        <v>50</v>
      </c>
      <c r="AR1460" s="10" t="s">
        <v>50</v>
      </c>
      <c r="AS1460" s="10" t="s">
        <v>50</v>
      </c>
      <c r="AT1460" s="10" t="s">
        <v>50</v>
      </c>
      <c r="AU1460" s="10" t="s">
        <v>50</v>
      </c>
      <c r="AV1460" s="11"/>
      <c r="AW1460" s="10" t="s">
        <v>66</v>
      </c>
      <c r="AX1460" s="10"/>
      <c r="AY1460" s="10" t="s">
        <v>66</v>
      </c>
    </row>
    <row r="1461" ht="22.5" hidden="1" customHeight="1">
      <c r="A1461" s="9" t="s">
        <v>14642</v>
      </c>
      <c r="B1461" s="10" t="s">
        <v>14643</v>
      </c>
      <c r="C1461" s="10" t="s">
        <v>43</v>
      </c>
      <c r="D1461" s="10" t="s">
        <v>13108</v>
      </c>
      <c r="E1461" s="10" t="s">
        <v>45</v>
      </c>
      <c r="F1461" s="11">
        <v>1.0</v>
      </c>
      <c r="G1461" s="11">
        <v>120.0</v>
      </c>
      <c r="H1461" s="11"/>
      <c r="I1461" s="11">
        <v>-20.4</v>
      </c>
      <c r="J1461" s="11">
        <v>-19.95</v>
      </c>
      <c r="K1461" s="11"/>
      <c r="L1461" s="11">
        <v>86.85</v>
      </c>
      <c r="M1461" s="10" t="s">
        <v>46</v>
      </c>
      <c r="N1461" s="10" t="s">
        <v>45</v>
      </c>
      <c r="O1461" s="10" t="s">
        <v>85</v>
      </c>
      <c r="P1461" s="10" t="s">
        <v>86</v>
      </c>
      <c r="Q1461" s="10" t="s">
        <v>87</v>
      </c>
      <c r="R1461" s="10" t="s">
        <v>74</v>
      </c>
      <c r="S1461" s="11">
        <v>120.0</v>
      </c>
      <c r="T1461" s="11">
        <v>65.78</v>
      </c>
      <c r="U1461" s="11" t="s">
        <v>51</v>
      </c>
      <c r="V1461" s="10" t="s">
        <v>52</v>
      </c>
      <c r="W1461" s="10" t="s">
        <v>14644</v>
      </c>
      <c r="X1461" s="10" t="s">
        <v>14645</v>
      </c>
      <c r="Y1461" s="10" t="s">
        <v>14646</v>
      </c>
      <c r="Z1461" s="10" t="s">
        <v>50</v>
      </c>
      <c r="AA1461" s="10" t="s">
        <v>50</v>
      </c>
      <c r="AB1461" s="10" t="s">
        <v>14644</v>
      </c>
      <c r="AC1461" s="10" t="s">
        <v>14647</v>
      </c>
      <c r="AD1461" s="10" t="s">
        <v>14648</v>
      </c>
      <c r="AE1461" s="10" t="s">
        <v>14649</v>
      </c>
      <c r="AF1461" s="10" t="s">
        <v>323</v>
      </c>
      <c r="AG1461" s="10" t="s">
        <v>14650</v>
      </c>
      <c r="AH1461" s="10" t="s">
        <v>60</v>
      </c>
      <c r="AI1461" s="10" t="s">
        <v>13406</v>
      </c>
      <c r="AJ1461" s="10" t="s">
        <v>14651</v>
      </c>
      <c r="AK1461" s="10" t="s">
        <v>14652</v>
      </c>
      <c r="AL1461" s="10" t="s">
        <v>64</v>
      </c>
      <c r="AM1461" s="10" t="s">
        <v>14653</v>
      </c>
      <c r="AN1461" s="10" t="s">
        <v>50</v>
      </c>
      <c r="AO1461" s="11" t="s">
        <v>50</v>
      </c>
      <c r="AP1461" s="10" t="s">
        <v>50</v>
      </c>
      <c r="AQ1461" s="10" t="s">
        <v>50</v>
      </c>
      <c r="AR1461" s="10" t="s">
        <v>50</v>
      </c>
      <c r="AS1461" s="10" t="s">
        <v>50</v>
      </c>
      <c r="AT1461" s="10" t="s">
        <v>50</v>
      </c>
      <c r="AU1461" s="10" t="s">
        <v>50</v>
      </c>
      <c r="AV1461" s="11"/>
      <c r="AW1461" s="10" t="s">
        <v>66</v>
      </c>
      <c r="AX1461" s="10"/>
      <c r="AY1461" s="10" t="s">
        <v>66</v>
      </c>
    </row>
    <row r="1462" ht="22.5" hidden="1" customHeight="1">
      <c r="A1462" s="9" t="s">
        <v>14654</v>
      </c>
      <c r="B1462" s="10" t="s">
        <v>14655</v>
      </c>
      <c r="C1462" s="10" t="s">
        <v>43</v>
      </c>
      <c r="D1462" s="10" t="s">
        <v>11161</v>
      </c>
      <c r="E1462" s="10" t="s">
        <v>66</v>
      </c>
      <c r="F1462" s="11">
        <v>1.0</v>
      </c>
      <c r="G1462" s="11">
        <v>80.0</v>
      </c>
      <c r="H1462" s="11">
        <v>10.75</v>
      </c>
      <c r="I1462" s="11">
        <v>-13.6</v>
      </c>
      <c r="J1462" s="11">
        <v>-30.7</v>
      </c>
      <c r="K1462" s="11"/>
      <c r="L1462" s="11">
        <v>50.45</v>
      </c>
      <c r="M1462" s="10" t="s">
        <v>12218</v>
      </c>
      <c r="N1462" s="10" t="s">
        <v>50</v>
      </c>
      <c r="O1462" s="10" t="s">
        <v>143</v>
      </c>
      <c r="P1462" s="10" t="s">
        <v>144</v>
      </c>
      <c r="Q1462" s="10" t="s">
        <v>145</v>
      </c>
      <c r="R1462" s="10" t="s">
        <v>74</v>
      </c>
      <c r="S1462" s="11">
        <v>80.0</v>
      </c>
      <c r="T1462" s="11">
        <v>33.38</v>
      </c>
      <c r="U1462" s="11" t="s">
        <v>51</v>
      </c>
      <c r="V1462" s="10" t="s">
        <v>52</v>
      </c>
      <c r="W1462" s="10" t="s">
        <v>14656</v>
      </c>
      <c r="X1462" s="10" t="s">
        <v>14657</v>
      </c>
      <c r="Y1462" s="10" t="s">
        <v>14658</v>
      </c>
      <c r="Z1462" s="10" t="s">
        <v>50</v>
      </c>
      <c r="AA1462" s="10" t="s">
        <v>50</v>
      </c>
      <c r="AB1462" s="10" t="s">
        <v>14656</v>
      </c>
      <c r="AC1462" s="10" t="s">
        <v>14659</v>
      </c>
      <c r="AD1462" s="10" t="s">
        <v>14660</v>
      </c>
      <c r="AE1462" s="10" t="s">
        <v>14661</v>
      </c>
      <c r="AF1462" s="10" t="s">
        <v>1417</v>
      </c>
      <c r="AG1462" s="10" t="s">
        <v>14662</v>
      </c>
      <c r="AH1462" s="10" t="s">
        <v>60</v>
      </c>
      <c r="AI1462" s="10" t="s">
        <v>13406</v>
      </c>
      <c r="AJ1462" s="10" t="s">
        <v>14406</v>
      </c>
      <c r="AK1462" s="10" t="s">
        <v>14663</v>
      </c>
      <c r="AL1462" s="10" t="s">
        <v>64</v>
      </c>
      <c r="AM1462" s="10" t="s">
        <v>14664</v>
      </c>
      <c r="AN1462" s="10" t="s">
        <v>50</v>
      </c>
      <c r="AO1462" s="11" t="s">
        <v>50</v>
      </c>
      <c r="AP1462" s="10" t="s">
        <v>50</v>
      </c>
      <c r="AQ1462" s="10" t="s">
        <v>50</v>
      </c>
      <c r="AR1462" s="10" t="s">
        <v>50</v>
      </c>
      <c r="AS1462" s="10" t="s">
        <v>50</v>
      </c>
      <c r="AT1462" s="10" t="s">
        <v>50</v>
      </c>
      <c r="AU1462" s="10" t="s">
        <v>50</v>
      </c>
      <c r="AV1462" s="11"/>
      <c r="AW1462" s="10" t="s">
        <v>66</v>
      </c>
      <c r="AX1462" s="10"/>
      <c r="AY1462" s="10" t="s">
        <v>66</v>
      </c>
    </row>
    <row r="1463" ht="22.5" hidden="1" customHeight="1">
      <c r="A1463" s="9" t="s">
        <v>14665</v>
      </c>
      <c r="B1463" s="10" t="s">
        <v>14666</v>
      </c>
      <c r="C1463" s="10" t="s">
        <v>43</v>
      </c>
      <c r="D1463" s="10" t="s">
        <v>13049</v>
      </c>
      <c r="E1463" s="10" t="s">
        <v>66</v>
      </c>
      <c r="F1463" s="11">
        <v>1.0</v>
      </c>
      <c r="G1463" s="11">
        <v>43.7</v>
      </c>
      <c r="H1463" s="11">
        <v>14.9</v>
      </c>
      <c r="I1463" s="11">
        <v>-13.43</v>
      </c>
      <c r="J1463" s="11">
        <v>-14.9</v>
      </c>
      <c r="K1463" s="11"/>
      <c r="L1463" s="11">
        <v>32.89</v>
      </c>
      <c r="M1463" s="10" t="s">
        <v>12218</v>
      </c>
      <c r="N1463" s="10" t="s">
        <v>50</v>
      </c>
      <c r="O1463" s="10" t="s">
        <v>176</v>
      </c>
      <c r="P1463" s="10" t="s">
        <v>177</v>
      </c>
      <c r="Q1463" s="10" t="s">
        <v>178</v>
      </c>
      <c r="R1463" s="10" t="s">
        <v>74</v>
      </c>
      <c r="S1463" s="11">
        <v>43.7</v>
      </c>
      <c r="T1463" s="11">
        <v>22.58</v>
      </c>
      <c r="U1463" s="11" t="s">
        <v>51</v>
      </c>
      <c r="V1463" s="10" t="s">
        <v>52</v>
      </c>
      <c r="W1463" s="10" t="s">
        <v>14667</v>
      </c>
      <c r="X1463" s="10" t="s">
        <v>14668</v>
      </c>
      <c r="Y1463" s="10" t="s">
        <v>14669</v>
      </c>
      <c r="Z1463" s="10" t="s">
        <v>50</v>
      </c>
      <c r="AA1463" s="10" t="s">
        <v>50</v>
      </c>
      <c r="AB1463" s="10" t="s">
        <v>14667</v>
      </c>
      <c r="AC1463" s="10" t="s">
        <v>14670</v>
      </c>
      <c r="AD1463" s="10" t="s">
        <v>14671</v>
      </c>
      <c r="AE1463" s="10" t="s">
        <v>10212</v>
      </c>
      <c r="AF1463" s="10" t="s">
        <v>58</v>
      </c>
      <c r="AG1463" s="10" t="s">
        <v>14672</v>
      </c>
      <c r="AH1463" s="10" t="s">
        <v>60</v>
      </c>
      <c r="AI1463" s="10" t="s">
        <v>13406</v>
      </c>
      <c r="AJ1463" s="10" t="s">
        <v>14134</v>
      </c>
      <c r="AK1463" s="10" t="s">
        <v>14673</v>
      </c>
      <c r="AL1463" s="10" t="s">
        <v>64</v>
      </c>
      <c r="AM1463" s="10" t="s">
        <v>14674</v>
      </c>
      <c r="AN1463" s="10" t="s">
        <v>50</v>
      </c>
      <c r="AO1463" s="11" t="s">
        <v>50</v>
      </c>
      <c r="AP1463" s="10" t="s">
        <v>50</v>
      </c>
      <c r="AQ1463" s="10" t="s">
        <v>50</v>
      </c>
      <c r="AR1463" s="10" t="s">
        <v>50</v>
      </c>
      <c r="AS1463" s="10" t="s">
        <v>50</v>
      </c>
      <c r="AT1463" s="10" t="s">
        <v>50</v>
      </c>
      <c r="AU1463" s="10" t="s">
        <v>50</v>
      </c>
      <c r="AV1463" s="11"/>
      <c r="AW1463" s="10" t="s">
        <v>66</v>
      </c>
      <c r="AX1463" s="10"/>
      <c r="AY1463" s="10" t="s">
        <v>66</v>
      </c>
    </row>
    <row r="1464" ht="22.5" hidden="1" customHeight="1">
      <c r="A1464" s="9" t="s">
        <v>14675</v>
      </c>
      <c r="B1464" s="10" t="s">
        <v>14676</v>
      </c>
      <c r="C1464" s="10" t="s">
        <v>43</v>
      </c>
      <c r="D1464" s="10" t="s">
        <v>12217</v>
      </c>
      <c r="E1464" s="10" t="s">
        <v>66</v>
      </c>
      <c r="F1464" s="11">
        <v>1.0</v>
      </c>
      <c r="G1464" s="11">
        <v>120.0</v>
      </c>
      <c r="H1464" s="11"/>
      <c r="I1464" s="11">
        <v>-20.4</v>
      </c>
      <c r="J1464" s="11">
        <v>-19.95</v>
      </c>
      <c r="K1464" s="11"/>
      <c r="L1464" s="11">
        <v>86.85</v>
      </c>
      <c r="M1464" s="10" t="s">
        <v>46</v>
      </c>
      <c r="N1464" s="10" t="s">
        <v>50</v>
      </c>
      <c r="O1464" s="10" t="s">
        <v>85</v>
      </c>
      <c r="P1464" s="10" t="s">
        <v>86</v>
      </c>
      <c r="Q1464" s="10" t="s">
        <v>87</v>
      </c>
      <c r="R1464" s="10" t="s">
        <v>74</v>
      </c>
      <c r="S1464" s="11">
        <v>120.0</v>
      </c>
      <c r="T1464" s="11">
        <v>65.78</v>
      </c>
      <c r="U1464" s="11" t="s">
        <v>51</v>
      </c>
      <c r="V1464" s="10" t="s">
        <v>52</v>
      </c>
      <c r="W1464" s="10" t="s">
        <v>14677</v>
      </c>
      <c r="X1464" s="10" t="s">
        <v>14678</v>
      </c>
      <c r="Y1464" s="10" t="s">
        <v>14679</v>
      </c>
      <c r="Z1464" s="10" t="s">
        <v>50</v>
      </c>
      <c r="AA1464" s="10" t="s">
        <v>50</v>
      </c>
      <c r="AB1464" s="10" t="s">
        <v>14677</v>
      </c>
      <c r="AC1464" s="10" t="s">
        <v>14680</v>
      </c>
      <c r="AD1464" s="10" t="s">
        <v>14681</v>
      </c>
      <c r="AE1464" s="10" t="s">
        <v>14682</v>
      </c>
      <c r="AF1464" s="10" t="s">
        <v>119</v>
      </c>
      <c r="AG1464" s="10" t="s">
        <v>14683</v>
      </c>
      <c r="AH1464" s="10" t="s">
        <v>60</v>
      </c>
      <c r="AI1464" s="10" t="s">
        <v>13406</v>
      </c>
      <c r="AJ1464" s="10" t="s">
        <v>13938</v>
      </c>
      <c r="AK1464" s="10" t="s">
        <v>14684</v>
      </c>
      <c r="AL1464" s="10" t="s">
        <v>64</v>
      </c>
      <c r="AM1464" s="10" t="s">
        <v>14685</v>
      </c>
      <c r="AN1464" s="10" t="s">
        <v>50</v>
      </c>
      <c r="AO1464" s="11" t="s">
        <v>50</v>
      </c>
      <c r="AP1464" s="10" t="s">
        <v>50</v>
      </c>
      <c r="AQ1464" s="10" t="s">
        <v>50</v>
      </c>
      <c r="AR1464" s="10" t="s">
        <v>50</v>
      </c>
      <c r="AS1464" s="10" t="s">
        <v>50</v>
      </c>
      <c r="AT1464" s="10" t="s">
        <v>50</v>
      </c>
      <c r="AU1464" s="10" t="s">
        <v>50</v>
      </c>
      <c r="AV1464" s="11"/>
      <c r="AW1464" s="10" t="s">
        <v>66</v>
      </c>
      <c r="AX1464" s="10"/>
      <c r="AY1464" s="10" t="s">
        <v>66</v>
      </c>
    </row>
    <row r="1465" ht="22.5" hidden="1" customHeight="1">
      <c r="A1465" s="9" t="s">
        <v>14686</v>
      </c>
      <c r="B1465" s="10" t="s">
        <v>14687</v>
      </c>
      <c r="C1465" s="10" t="s">
        <v>43</v>
      </c>
      <c r="D1465" s="10" t="s">
        <v>13108</v>
      </c>
      <c r="E1465" s="10" t="s">
        <v>45</v>
      </c>
      <c r="F1465" s="11">
        <v>1.0</v>
      </c>
      <c r="G1465" s="11">
        <v>120.0</v>
      </c>
      <c r="H1465" s="11"/>
      <c r="I1465" s="11">
        <v>-20.4</v>
      </c>
      <c r="J1465" s="11">
        <v>-19.95</v>
      </c>
      <c r="K1465" s="11"/>
      <c r="L1465" s="11">
        <v>86.85</v>
      </c>
      <c r="M1465" s="10" t="s">
        <v>12218</v>
      </c>
      <c r="N1465" s="10" t="s">
        <v>50</v>
      </c>
      <c r="O1465" s="10" t="s">
        <v>85</v>
      </c>
      <c r="P1465" s="10" t="s">
        <v>86</v>
      </c>
      <c r="Q1465" s="10" t="s">
        <v>87</v>
      </c>
      <c r="R1465" s="10" t="s">
        <v>74</v>
      </c>
      <c r="S1465" s="11">
        <v>120.0</v>
      </c>
      <c r="T1465" s="11">
        <v>65.78</v>
      </c>
      <c r="U1465" s="11" t="s">
        <v>51</v>
      </c>
      <c r="V1465" s="10" t="s">
        <v>52</v>
      </c>
      <c r="W1465" s="10" t="s">
        <v>14688</v>
      </c>
      <c r="X1465" s="10" t="s">
        <v>14689</v>
      </c>
      <c r="Y1465" s="10" t="s">
        <v>14690</v>
      </c>
      <c r="Z1465" s="10" t="s">
        <v>50</v>
      </c>
      <c r="AA1465" s="10" t="s">
        <v>50</v>
      </c>
      <c r="AB1465" s="10" t="s">
        <v>14688</v>
      </c>
      <c r="AC1465" s="10" t="s">
        <v>14691</v>
      </c>
      <c r="AD1465" s="10" t="s">
        <v>14692</v>
      </c>
      <c r="AE1465" s="10" t="s">
        <v>151</v>
      </c>
      <c r="AF1465" s="10" t="s">
        <v>151</v>
      </c>
      <c r="AG1465" s="10" t="s">
        <v>14693</v>
      </c>
      <c r="AH1465" s="10" t="s">
        <v>60</v>
      </c>
      <c r="AI1465" s="10" t="s">
        <v>13406</v>
      </c>
      <c r="AJ1465" s="10" t="s">
        <v>14495</v>
      </c>
      <c r="AK1465" s="10" t="s">
        <v>14694</v>
      </c>
      <c r="AL1465" s="10" t="s">
        <v>64</v>
      </c>
      <c r="AM1465" s="10" t="s">
        <v>14695</v>
      </c>
      <c r="AN1465" s="10" t="s">
        <v>50</v>
      </c>
      <c r="AO1465" s="11" t="s">
        <v>50</v>
      </c>
      <c r="AP1465" s="10" t="s">
        <v>50</v>
      </c>
      <c r="AQ1465" s="10" t="s">
        <v>50</v>
      </c>
      <c r="AR1465" s="10" t="s">
        <v>50</v>
      </c>
      <c r="AS1465" s="10" t="s">
        <v>50</v>
      </c>
      <c r="AT1465" s="10" t="s">
        <v>50</v>
      </c>
      <c r="AU1465" s="10" t="s">
        <v>50</v>
      </c>
      <c r="AV1465" s="11"/>
      <c r="AW1465" s="10" t="s">
        <v>66</v>
      </c>
      <c r="AX1465" s="10"/>
      <c r="AY1465" s="10" t="s">
        <v>66</v>
      </c>
    </row>
    <row r="1466" ht="22.5" hidden="1" customHeight="1">
      <c r="A1466" s="9" t="s">
        <v>14696</v>
      </c>
      <c r="B1466" s="10" t="s">
        <v>14697</v>
      </c>
      <c r="C1466" s="10" t="s">
        <v>43</v>
      </c>
      <c r="D1466" s="10" t="s">
        <v>12217</v>
      </c>
      <c r="E1466" s="10" t="s">
        <v>66</v>
      </c>
      <c r="F1466" s="11">
        <v>1.0</v>
      </c>
      <c r="G1466" s="11">
        <v>80.0</v>
      </c>
      <c r="H1466" s="11"/>
      <c r="I1466" s="11">
        <v>-13.6</v>
      </c>
      <c r="J1466" s="11">
        <v>-19.95</v>
      </c>
      <c r="K1466" s="11"/>
      <c r="L1466" s="11">
        <v>50.45</v>
      </c>
      <c r="M1466" s="10" t="s">
        <v>46</v>
      </c>
      <c r="N1466" s="10" t="s">
        <v>45</v>
      </c>
      <c r="O1466" s="10" t="s">
        <v>143</v>
      </c>
      <c r="P1466" s="10" t="s">
        <v>144</v>
      </c>
      <c r="Q1466" s="10" t="s">
        <v>145</v>
      </c>
      <c r="R1466" s="10" t="s">
        <v>74</v>
      </c>
      <c r="S1466" s="11">
        <v>80.0</v>
      </c>
      <c r="T1466" s="11">
        <v>33.38</v>
      </c>
      <c r="U1466" s="11" t="s">
        <v>51</v>
      </c>
      <c r="V1466" s="10" t="s">
        <v>52</v>
      </c>
      <c r="W1466" s="10" t="s">
        <v>14698</v>
      </c>
      <c r="X1466" s="10" t="s">
        <v>14699</v>
      </c>
      <c r="Y1466" s="10" t="s">
        <v>14700</v>
      </c>
      <c r="Z1466" s="10" t="s">
        <v>50</v>
      </c>
      <c r="AA1466" s="10" t="s">
        <v>50</v>
      </c>
      <c r="AB1466" s="10" t="s">
        <v>14698</v>
      </c>
      <c r="AC1466" s="10" t="s">
        <v>14701</v>
      </c>
      <c r="AD1466" s="10" t="s">
        <v>14702</v>
      </c>
      <c r="AE1466" s="10" t="s">
        <v>14703</v>
      </c>
      <c r="AF1466" s="10" t="s">
        <v>201</v>
      </c>
      <c r="AG1466" s="10" t="s">
        <v>14704</v>
      </c>
      <c r="AH1466" s="10" t="s">
        <v>60</v>
      </c>
      <c r="AI1466" s="10" t="s">
        <v>13406</v>
      </c>
      <c r="AJ1466" s="10" t="s">
        <v>13883</v>
      </c>
      <c r="AK1466" s="10" t="s">
        <v>14705</v>
      </c>
      <c r="AL1466" s="10" t="s">
        <v>64</v>
      </c>
      <c r="AM1466" s="10" t="s">
        <v>14706</v>
      </c>
      <c r="AN1466" s="10" t="s">
        <v>50</v>
      </c>
      <c r="AO1466" s="11" t="s">
        <v>50</v>
      </c>
      <c r="AP1466" s="10" t="s">
        <v>50</v>
      </c>
      <c r="AQ1466" s="10" t="s">
        <v>50</v>
      </c>
      <c r="AR1466" s="10" t="s">
        <v>50</v>
      </c>
      <c r="AS1466" s="10" t="s">
        <v>50</v>
      </c>
      <c r="AT1466" s="10" t="s">
        <v>50</v>
      </c>
      <c r="AU1466" s="10" t="s">
        <v>50</v>
      </c>
      <c r="AV1466" s="11"/>
      <c r="AW1466" s="10" t="s">
        <v>66</v>
      </c>
      <c r="AX1466" s="10"/>
      <c r="AY1466" s="10" t="s">
        <v>66</v>
      </c>
    </row>
    <row r="1467" ht="22.5" hidden="1" customHeight="1">
      <c r="A1467" s="9" t="s">
        <v>14707</v>
      </c>
      <c r="B1467" s="10" t="s">
        <v>14708</v>
      </c>
      <c r="C1467" s="10" t="s">
        <v>43</v>
      </c>
      <c r="D1467" s="10" t="s">
        <v>12217</v>
      </c>
      <c r="E1467" s="10" t="s">
        <v>66</v>
      </c>
      <c r="F1467" s="11">
        <v>1.0</v>
      </c>
      <c r="G1467" s="11">
        <v>120.0</v>
      </c>
      <c r="H1467" s="11"/>
      <c r="I1467" s="11">
        <v>-20.4</v>
      </c>
      <c r="J1467" s="11">
        <v>-19.95</v>
      </c>
      <c r="K1467" s="11"/>
      <c r="L1467" s="11">
        <v>86.85</v>
      </c>
      <c r="M1467" s="10" t="s">
        <v>12218</v>
      </c>
      <c r="N1467" s="10" t="s">
        <v>50</v>
      </c>
      <c r="O1467" s="10" t="s">
        <v>85</v>
      </c>
      <c r="P1467" s="10" t="s">
        <v>86</v>
      </c>
      <c r="Q1467" s="10" t="s">
        <v>87</v>
      </c>
      <c r="R1467" s="10" t="s">
        <v>74</v>
      </c>
      <c r="S1467" s="11">
        <v>120.0</v>
      </c>
      <c r="T1467" s="11">
        <v>65.78</v>
      </c>
      <c r="U1467" s="11" t="s">
        <v>51</v>
      </c>
      <c r="V1467" s="10" t="s">
        <v>52</v>
      </c>
      <c r="W1467" s="10" t="s">
        <v>14709</v>
      </c>
      <c r="X1467" s="10" t="s">
        <v>14710</v>
      </c>
      <c r="Y1467" s="10" t="s">
        <v>14711</v>
      </c>
      <c r="Z1467" s="10" t="s">
        <v>50</v>
      </c>
      <c r="AA1467" s="10" t="s">
        <v>50</v>
      </c>
      <c r="AB1467" s="10" t="s">
        <v>14709</v>
      </c>
      <c r="AC1467" s="10" t="s">
        <v>14712</v>
      </c>
      <c r="AD1467" s="10" t="s">
        <v>14713</v>
      </c>
      <c r="AE1467" s="10" t="s">
        <v>3212</v>
      </c>
      <c r="AF1467" s="10" t="s">
        <v>119</v>
      </c>
      <c r="AG1467" s="10" t="s">
        <v>14714</v>
      </c>
      <c r="AH1467" s="10" t="s">
        <v>60</v>
      </c>
      <c r="AI1467" s="10" t="s">
        <v>13406</v>
      </c>
      <c r="AJ1467" s="10" t="s">
        <v>13938</v>
      </c>
      <c r="AK1467" s="10" t="s">
        <v>14715</v>
      </c>
      <c r="AL1467" s="10" t="s">
        <v>64</v>
      </c>
      <c r="AM1467" s="10" t="s">
        <v>14716</v>
      </c>
      <c r="AN1467" s="10" t="s">
        <v>50</v>
      </c>
      <c r="AO1467" s="11" t="s">
        <v>50</v>
      </c>
      <c r="AP1467" s="10" t="s">
        <v>50</v>
      </c>
      <c r="AQ1467" s="10" t="s">
        <v>50</v>
      </c>
      <c r="AR1467" s="10" t="s">
        <v>50</v>
      </c>
      <c r="AS1467" s="10" t="s">
        <v>50</v>
      </c>
      <c r="AT1467" s="10" t="s">
        <v>50</v>
      </c>
      <c r="AU1467" s="10" t="s">
        <v>50</v>
      </c>
      <c r="AV1467" s="11"/>
      <c r="AW1467" s="10" t="s">
        <v>66</v>
      </c>
      <c r="AX1467" s="10"/>
      <c r="AY1467" s="10" t="s">
        <v>66</v>
      </c>
    </row>
    <row r="1468" ht="22.5" hidden="1" customHeight="1">
      <c r="A1468" s="9" t="s">
        <v>14717</v>
      </c>
      <c r="B1468" s="10" t="s">
        <v>14718</v>
      </c>
      <c r="C1468" s="10" t="s">
        <v>43</v>
      </c>
      <c r="D1468" s="10" t="s">
        <v>12217</v>
      </c>
      <c r="E1468" s="10" t="s">
        <v>45</v>
      </c>
      <c r="F1468" s="11">
        <v>1.0</v>
      </c>
      <c r="G1468" s="11">
        <v>80.6</v>
      </c>
      <c r="H1468" s="11"/>
      <c r="I1468" s="11">
        <v>-13.7</v>
      </c>
      <c r="J1468" s="11">
        <v>-20.45</v>
      </c>
      <c r="K1468" s="11"/>
      <c r="L1468" s="11">
        <v>46.45</v>
      </c>
      <c r="M1468" s="10" t="s">
        <v>46</v>
      </c>
      <c r="N1468" s="10" t="s">
        <v>45</v>
      </c>
      <c r="O1468" s="10" t="s">
        <v>265</v>
      </c>
      <c r="P1468" s="10" t="s">
        <v>266</v>
      </c>
      <c r="Q1468" s="10" t="s">
        <v>267</v>
      </c>
      <c r="R1468" s="10" t="s">
        <v>74</v>
      </c>
      <c r="S1468" s="11">
        <v>80.6</v>
      </c>
      <c r="T1468" s="11">
        <v>26.22</v>
      </c>
      <c r="U1468" s="11" t="s">
        <v>51</v>
      </c>
      <c r="V1468" s="10" t="s">
        <v>52</v>
      </c>
      <c r="W1468" s="10" t="s">
        <v>14719</v>
      </c>
      <c r="X1468" s="10" t="s">
        <v>14720</v>
      </c>
      <c r="Y1468" s="10" t="s">
        <v>14721</v>
      </c>
      <c r="Z1468" s="10" t="s">
        <v>50</v>
      </c>
      <c r="AA1468" s="10" t="s">
        <v>50</v>
      </c>
      <c r="AB1468" s="10" t="s">
        <v>14719</v>
      </c>
      <c r="AC1468" s="10" t="s">
        <v>14722</v>
      </c>
      <c r="AD1468" s="10" t="s">
        <v>14723</v>
      </c>
      <c r="AE1468" s="10" t="s">
        <v>14724</v>
      </c>
      <c r="AF1468" s="10" t="s">
        <v>214</v>
      </c>
      <c r="AG1468" s="10" t="s">
        <v>14725</v>
      </c>
      <c r="AH1468" s="10" t="s">
        <v>60</v>
      </c>
      <c r="AI1468" s="10" t="s">
        <v>13406</v>
      </c>
      <c r="AJ1468" s="10" t="s">
        <v>13938</v>
      </c>
      <c r="AK1468" s="10" t="s">
        <v>14726</v>
      </c>
      <c r="AL1468" s="10" t="s">
        <v>64</v>
      </c>
      <c r="AM1468" s="10" t="s">
        <v>14727</v>
      </c>
      <c r="AN1468" s="10" t="s">
        <v>50</v>
      </c>
      <c r="AO1468" s="11" t="s">
        <v>50</v>
      </c>
      <c r="AP1468" s="10" t="s">
        <v>50</v>
      </c>
      <c r="AQ1468" s="10" t="s">
        <v>50</v>
      </c>
      <c r="AR1468" s="10" t="s">
        <v>50</v>
      </c>
      <c r="AS1468" s="10" t="s">
        <v>50</v>
      </c>
      <c r="AT1468" s="10" t="s">
        <v>50</v>
      </c>
      <c r="AU1468" s="10" t="s">
        <v>50</v>
      </c>
      <c r="AV1468" s="11"/>
      <c r="AW1468" s="10" t="s">
        <v>66</v>
      </c>
      <c r="AX1468" s="10"/>
      <c r="AY1468" s="10" t="s">
        <v>66</v>
      </c>
    </row>
    <row r="1469" ht="22.5" hidden="1" customHeight="1">
      <c r="A1469" s="9" t="s">
        <v>14728</v>
      </c>
      <c r="B1469" s="10" t="s">
        <v>14729</v>
      </c>
      <c r="C1469" s="10" t="s">
        <v>43</v>
      </c>
      <c r="D1469" s="10" t="s">
        <v>11161</v>
      </c>
      <c r="E1469" s="10" t="s">
        <v>66</v>
      </c>
      <c r="F1469" s="11">
        <v>1.0</v>
      </c>
      <c r="G1469" s="11">
        <v>79.35</v>
      </c>
      <c r="H1469" s="11"/>
      <c r="I1469" s="11">
        <v>-15.08</v>
      </c>
      <c r="J1469" s="11">
        <v>-19.95</v>
      </c>
      <c r="K1469" s="11"/>
      <c r="L1469" s="11">
        <v>44.32</v>
      </c>
      <c r="M1469" s="10" t="s">
        <v>12218</v>
      </c>
      <c r="N1469" s="10" t="s">
        <v>50</v>
      </c>
      <c r="O1469" s="10" t="s">
        <v>47</v>
      </c>
      <c r="P1469" s="10" t="s">
        <v>48</v>
      </c>
      <c r="Q1469" s="10" t="s">
        <v>49</v>
      </c>
      <c r="R1469" s="10" t="s">
        <v>50</v>
      </c>
      <c r="S1469" s="11">
        <v>79.35</v>
      </c>
      <c r="T1469" s="11">
        <v>12.45</v>
      </c>
      <c r="U1469" s="11" t="s">
        <v>51</v>
      </c>
      <c r="V1469" s="10" t="s">
        <v>52</v>
      </c>
      <c r="W1469" s="10" t="s">
        <v>14730</v>
      </c>
      <c r="X1469" s="10" t="s">
        <v>14731</v>
      </c>
      <c r="Y1469" s="10" t="s">
        <v>14732</v>
      </c>
      <c r="Z1469" s="10" t="s">
        <v>50</v>
      </c>
      <c r="AA1469" s="10" t="s">
        <v>50</v>
      </c>
      <c r="AB1469" s="10" t="s">
        <v>14730</v>
      </c>
      <c r="AC1469" s="10" t="s">
        <v>14733</v>
      </c>
      <c r="AD1469" s="10" t="s">
        <v>14734</v>
      </c>
      <c r="AE1469" s="10" t="s">
        <v>1346</v>
      </c>
      <c r="AF1469" s="10" t="s">
        <v>1347</v>
      </c>
      <c r="AG1469" s="10" t="s">
        <v>14735</v>
      </c>
      <c r="AH1469" s="10" t="s">
        <v>60</v>
      </c>
      <c r="AI1469" s="10" t="s">
        <v>13406</v>
      </c>
      <c r="AJ1469" s="10" t="s">
        <v>14064</v>
      </c>
      <c r="AK1469" s="10" t="s">
        <v>14736</v>
      </c>
      <c r="AL1469" s="10" t="s">
        <v>64</v>
      </c>
      <c r="AM1469" s="10" t="s">
        <v>14737</v>
      </c>
      <c r="AN1469" s="10" t="s">
        <v>50</v>
      </c>
      <c r="AO1469" s="11" t="s">
        <v>50</v>
      </c>
      <c r="AP1469" s="10" t="s">
        <v>50</v>
      </c>
      <c r="AQ1469" s="10" t="s">
        <v>50</v>
      </c>
      <c r="AR1469" s="10" t="s">
        <v>50</v>
      </c>
      <c r="AS1469" s="10" t="s">
        <v>50</v>
      </c>
      <c r="AT1469" s="10" t="s">
        <v>50</v>
      </c>
      <c r="AU1469" s="10" t="s">
        <v>50</v>
      </c>
      <c r="AV1469" s="11"/>
      <c r="AW1469" s="10" t="s">
        <v>66</v>
      </c>
      <c r="AX1469" s="10"/>
      <c r="AY1469" s="10" t="s">
        <v>66</v>
      </c>
    </row>
    <row r="1470" ht="22.5" hidden="1" customHeight="1">
      <c r="A1470" s="9" t="s">
        <v>14738</v>
      </c>
      <c r="B1470" s="10" t="s">
        <v>14739</v>
      </c>
      <c r="C1470" s="10" t="s">
        <v>69</v>
      </c>
      <c r="D1470" s="10" t="s">
        <v>2283</v>
      </c>
      <c r="E1470" s="10" t="s">
        <v>45</v>
      </c>
      <c r="F1470" s="11">
        <v>2.0</v>
      </c>
      <c r="G1470" s="11">
        <v>87.4</v>
      </c>
      <c r="H1470" s="11"/>
      <c r="I1470" s="11">
        <v>-26.86</v>
      </c>
      <c r="J1470" s="11"/>
      <c r="K1470" s="11">
        <v>-65.78</v>
      </c>
      <c r="L1470" s="11">
        <v>0.0</v>
      </c>
      <c r="M1470" s="10" t="s">
        <v>12218</v>
      </c>
      <c r="N1470" s="10" t="s">
        <v>50</v>
      </c>
      <c r="O1470" s="10" t="s">
        <v>176</v>
      </c>
      <c r="P1470" s="10" t="s">
        <v>177</v>
      </c>
      <c r="Q1470" s="10" t="s">
        <v>178</v>
      </c>
      <c r="R1470" s="10" t="s">
        <v>74</v>
      </c>
      <c r="S1470" s="11">
        <v>43.7</v>
      </c>
      <c r="T1470" s="11"/>
      <c r="U1470" s="11" t="s">
        <v>51</v>
      </c>
      <c r="V1470" s="10" t="s">
        <v>75</v>
      </c>
      <c r="W1470" s="10" t="s">
        <v>14740</v>
      </c>
      <c r="X1470" s="10" t="s">
        <v>14741</v>
      </c>
      <c r="Y1470" s="10" t="s">
        <v>14742</v>
      </c>
      <c r="Z1470" s="10" t="s">
        <v>50</v>
      </c>
      <c r="AA1470" s="10" t="s">
        <v>50</v>
      </c>
      <c r="AB1470" s="10" t="s">
        <v>14740</v>
      </c>
      <c r="AC1470" s="10" t="s">
        <v>14743</v>
      </c>
      <c r="AD1470" s="10" t="s">
        <v>50</v>
      </c>
      <c r="AE1470" s="10" t="s">
        <v>58</v>
      </c>
      <c r="AF1470" s="10" t="s">
        <v>58</v>
      </c>
      <c r="AG1470" s="10" t="s">
        <v>14744</v>
      </c>
      <c r="AH1470" s="10" t="s">
        <v>60</v>
      </c>
      <c r="AI1470" s="10" t="s">
        <v>13406</v>
      </c>
      <c r="AJ1470" s="10" t="s">
        <v>50</v>
      </c>
      <c r="AK1470" s="10" t="s">
        <v>50</v>
      </c>
      <c r="AL1470" s="10" t="s">
        <v>64</v>
      </c>
      <c r="AM1470" s="10" t="s">
        <v>50</v>
      </c>
      <c r="AN1470" s="10" t="s">
        <v>50</v>
      </c>
      <c r="AO1470" s="11" t="s">
        <v>50</v>
      </c>
      <c r="AP1470" s="10" t="s">
        <v>50</v>
      </c>
      <c r="AQ1470" s="10" t="s">
        <v>50</v>
      </c>
      <c r="AR1470" s="10" t="s">
        <v>50</v>
      </c>
      <c r="AS1470" s="10" t="s">
        <v>50</v>
      </c>
      <c r="AT1470" s="10" t="s">
        <v>50</v>
      </c>
      <c r="AU1470" s="10" t="s">
        <v>50</v>
      </c>
      <c r="AV1470" s="11"/>
      <c r="AW1470" s="10" t="s">
        <v>66</v>
      </c>
      <c r="AX1470" s="10"/>
      <c r="AY1470" s="10" t="s">
        <v>66</v>
      </c>
    </row>
    <row r="1471" ht="22.5" hidden="1" customHeight="1">
      <c r="A1471" s="9" t="s">
        <v>14745</v>
      </c>
      <c r="B1471" s="10" t="s">
        <v>14739</v>
      </c>
      <c r="C1471" s="10" t="s">
        <v>43</v>
      </c>
      <c r="D1471" s="10" t="s">
        <v>9839</v>
      </c>
      <c r="E1471" s="10" t="s">
        <v>45</v>
      </c>
      <c r="F1471" s="11">
        <v>2.0</v>
      </c>
      <c r="G1471" s="11">
        <v>87.4</v>
      </c>
      <c r="H1471" s="11">
        <v>6.31</v>
      </c>
      <c r="I1471" s="11">
        <v>-26.86</v>
      </c>
      <c r="J1471" s="11">
        <v>-6.31</v>
      </c>
      <c r="K1471" s="11"/>
      <c r="L1471" s="11">
        <v>65.78</v>
      </c>
      <c r="M1471" s="10" t="s">
        <v>46</v>
      </c>
      <c r="N1471" s="10" t="s">
        <v>45</v>
      </c>
      <c r="O1471" s="10" t="s">
        <v>176</v>
      </c>
      <c r="P1471" s="10" t="s">
        <v>177</v>
      </c>
      <c r="Q1471" s="10" t="s">
        <v>178</v>
      </c>
      <c r="R1471" s="10" t="s">
        <v>74</v>
      </c>
      <c r="S1471" s="11">
        <v>43.7</v>
      </c>
      <c r="T1471" s="11">
        <f t="shared" ref="T1471:T1472" si="6">2*22.58</f>
        <v>45.16</v>
      </c>
      <c r="U1471" s="11" t="s">
        <v>51</v>
      </c>
      <c r="V1471" s="10" t="s">
        <v>52</v>
      </c>
      <c r="W1471" s="10" t="s">
        <v>14746</v>
      </c>
      <c r="X1471" s="10" t="s">
        <v>14747</v>
      </c>
      <c r="Y1471" s="10" t="s">
        <v>14748</v>
      </c>
      <c r="Z1471" s="10" t="s">
        <v>50</v>
      </c>
      <c r="AA1471" s="10" t="s">
        <v>50</v>
      </c>
      <c r="AB1471" s="10" t="s">
        <v>14746</v>
      </c>
      <c r="AC1471" s="10" t="s">
        <v>14749</v>
      </c>
      <c r="AD1471" s="10" t="s">
        <v>14750</v>
      </c>
      <c r="AE1471" s="10" t="s">
        <v>14751</v>
      </c>
      <c r="AF1471" s="10" t="s">
        <v>119</v>
      </c>
      <c r="AG1471" s="10" t="s">
        <v>14752</v>
      </c>
      <c r="AH1471" s="10" t="s">
        <v>60</v>
      </c>
      <c r="AI1471" s="10" t="s">
        <v>13406</v>
      </c>
      <c r="AJ1471" s="10" t="s">
        <v>12258</v>
      </c>
      <c r="AK1471" s="10" t="s">
        <v>14753</v>
      </c>
      <c r="AL1471" s="10" t="s">
        <v>64</v>
      </c>
      <c r="AM1471" s="10" t="s">
        <v>14754</v>
      </c>
      <c r="AN1471" s="10" t="s">
        <v>50</v>
      </c>
      <c r="AO1471" s="11" t="s">
        <v>50</v>
      </c>
      <c r="AP1471" s="10" t="s">
        <v>50</v>
      </c>
      <c r="AQ1471" s="10" t="s">
        <v>50</v>
      </c>
      <c r="AR1471" s="10" t="s">
        <v>50</v>
      </c>
      <c r="AS1471" s="10" t="s">
        <v>50</v>
      </c>
      <c r="AT1471" s="10" t="s">
        <v>50</v>
      </c>
      <c r="AU1471" s="10" t="s">
        <v>50</v>
      </c>
      <c r="AV1471" s="11"/>
      <c r="AW1471" s="10" t="s">
        <v>66</v>
      </c>
      <c r="AX1471" s="10"/>
      <c r="AY1471" s="10" t="s">
        <v>66</v>
      </c>
    </row>
    <row r="1472" ht="22.5" hidden="1" customHeight="1">
      <c r="A1472" s="9" t="s">
        <v>14755</v>
      </c>
      <c r="B1472" s="10" t="s">
        <v>14756</v>
      </c>
      <c r="C1472" s="10" t="s">
        <v>43</v>
      </c>
      <c r="D1472" s="10" t="s">
        <v>13049</v>
      </c>
      <c r="E1472" s="10" t="s">
        <v>45</v>
      </c>
      <c r="F1472" s="11">
        <v>2.0</v>
      </c>
      <c r="G1472" s="11">
        <v>87.4</v>
      </c>
      <c r="H1472" s="11"/>
      <c r="I1472" s="11">
        <v>-26.86</v>
      </c>
      <c r="J1472" s="11"/>
      <c r="K1472" s="11"/>
      <c r="L1472" s="11">
        <v>65.78</v>
      </c>
      <c r="M1472" s="10" t="s">
        <v>12218</v>
      </c>
      <c r="N1472" s="10" t="s">
        <v>50</v>
      </c>
      <c r="O1472" s="10" t="s">
        <v>176</v>
      </c>
      <c r="P1472" s="10" t="s">
        <v>177</v>
      </c>
      <c r="Q1472" s="10" t="s">
        <v>178</v>
      </c>
      <c r="R1472" s="10" t="s">
        <v>74</v>
      </c>
      <c r="S1472" s="11">
        <v>43.7</v>
      </c>
      <c r="T1472" s="11">
        <f t="shared" si="6"/>
        <v>45.16</v>
      </c>
      <c r="U1472" s="11" t="s">
        <v>51</v>
      </c>
      <c r="V1472" s="10" t="s">
        <v>52</v>
      </c>
      <c r="W1472" s="10" t="s">
        <v>14757</v>
      </c>
      <c r="X1472" s="10" t="s">
        <v>14758</v>
      </c>
      <c r="Y1472" s="10" t="s">
        <v>14759</v>
      </c>
      <c r="Z1472" s="10" t="s">
        <v>50</v>
      </c>
      <c r="AA1472" s="10" t="s">
        <v>50</v>
      </c>
      <c r="AB1472" s="10" t="s">
        <v>14757</v>
      </c>
      <c r="AC1472" s="10" t="s">
        <v>14760</v>
      </c>
      <c r="AD1472" s="10" t="s">
        <v>14761</v>
      </c>
      <c r="AE1472" s="10" t="s">
        <v>14762</v>
      </c>
      <c r="AF1472" s="10" t="s">
        <v>58</v>
      </c>
      <c r="AG1472" s="10" t="s">
        <v>14763</v>
      </c>
      <c r="AH1472" s="10" t="s">
        <v>60</v>
      </c>
      <c r="AI1472" s="10" t="s">
        <v>13406</v>
      </c>
      <c r="AJ1472" s="10" t="s">
        <v>14064</v>
      </c>
      <c r="AK1472" s="10" t="s">
        <v>14764</v>
      </c>
      <c r="AL1472" s="10" t="s">
        <v>64</v>
      </c>
      <c r="AM1472" s="10" t="s">
        <v>14765</v>
      </c>
      <c r="AN1472" s="10" t="s">
        <v>50</v>
      </c>
      <c r="AO1472" s="11" t="s">
        <v>50</v>
      </c>
      <c r="AP1472" s="10" t="s">
        <v>50</v>
      </c>
      <c r="AQ1472" s="10" t="s">
        <v>50</v>
      </c>
      <c r="AR1472" s="10" t="s">
        <v>50</v>
      </c>
      <c r="AS1472" s="10" t="s">
        <v>50</v>
      </c>
      <c r="AT1472" s="10" t="s">
        <v>50</v>
      </c>
      <c r="AU1472" s="10" t="s">
        <v>50</v>
      </c>
      <c r="AV1472" s="11"/>
      <c r="AW1472" s="10" t="s">
        <v>66</v>
      </c>
      <c r="AX1472" s="10"/>
      <c r="AY1472" s="10" t="s">
        <v>66</v>
      </c>
    </row>
    <row r="1473" ht="22.5" hidden="1" customHeight="1">
      <c r="A1473" s="9" t="s">
        <v>14766</v>
      </c>
      <c r="B1473" s="10" t="s">
        <v>14756</v>
      </c>
      <c r="C1473" s="10" t="s">
        <v>43</v>
      </c>
      <c r="D1473" s="10" t="s">
        <v>13049</v>
      </c>
      <c r="E1473" s="10" t="s">
        <v>66</v>
      </c>
      <c r="F1473" s="11">
        <v>1.0</v>
      </c>
      <c r="G1473" s="11">
        <v>92.15</v>
      </c>
      <c r="H1473" s="11"/>
      <c r="I1473" s="11">
        <v>-17.51</v>
      </c>
      <c r="J1473" s="11">
        <v>-20.45</v>
      </c>
      <c r="K1473" s="11"/>
      <c r="L1473" s="11">
        <v>59.72</v>
      </c>
      <c r="M1473" s="10" t="s">
        <v>12218</v>
      </c>
      <c r="N1473" s="10" t="s">
        <v>50</v>
      </c>
      <c r="O1473" s="10" t="s">
        <v>586</v>
      </c>
      <c r="P1473" s="10" t="s">
        <v>587</v>
      </c>
      <c r="Q1473" s="10" t="s">
        <v>588</v>
      </c>
      <c r="R1473" s="10" t="s">
        <v>50</v>
      </c>
      <c r="S1473" s="11">
        <v>92.15</v>
      </c>
      <c r="T1473" s="11">
        <v>20.76</v>
      </c>
      <c r="U1473" s="11" t="s">
        <v>51</v>
      </c>
      <c r="V1473" s="10" t="s">
        <v>52</v>
      </c>
      <c r="W1473" s="10" t="s">
        <v>14767</v>
      </c>
      <c r="X1473" s="10" t="s">
        <v>14768</v>
      </c>
      <c r="Y1473" s="10" t="s">
        <v>14769</v>
      </c>
      <c r="Z1473" s="10" t="s">
        <v>50</v>
      </c>
      <c r="AA1473" s="10" t="s">
        <v>50</v>
      </c>
      <c r="AB1473" s="10" t="s">
        <v>14767</v>
      </c>
      <c r="AC1473" s="10" t="s">
        <v>14770</v>
      </c>
      <c r="AD1473" s="10" t="s">
        <v>14771</v>
      </c>
      <c r="AE1473" s="10" t="s">
        <v>1617</v>
      </c>
      <c r="AF1473" s="10" t="s">
        <v>58</v>
      </c>
      <c r="AG1473" s="10" t="s">
        <v>14772</v>
      </c>
      <c r="AH1473" s="10" t="s">
        <v>60</v>
      </c>
      <c r="AI1473" s="10" t="s">
        <v>13406</v>
      </c>
      <c r="AJ1473" s="10" t="s">
        <v>14294</v>
      </c>
      <c r="AK1473" s="10" t="s">
        <v>14773</v>
      </c>
      <c r="AL1473" s="10" t="s">
        <v>64</v>
      </c>
      <c r="AM1473" s="10" t="s">
        <v>14774</v>
      </c>
      <c r="AN1473" s="10" t="s">
        <v>50</v>
      </c>
      <c r="AO1473" s="11" t="s">
        <v>50</v>
      </c>
      <c r="AP1473" s="10" t="s">
        <v>50</v>
      </c>
      <c r="AQ1473" s="10" t="s">
        <v>50</v>
      </c>
      <c r="AR1473" s="10" t="s">
        <v>50</v>
      </c>
      <c r="AS1473" s="10" t="s">
        <v>50</v>
      </c>
      <c r="AT1473" s="10" t="s">
        <v>50</v>
      </c>
      <c r="AU1473" s="10" t="s">
        <v>50</v>
      </c>
      <c r="AV1473" s="11"/>
      <c r="AW1473" s="10" t="s">
        <v>66</v>
      </c>
      <c r="AX1473" s="10"/>
      <c r="AY1473" s="10" t="s">
        <v>66</v>
      </c>
    </row>
    <row r="1474" ht="22.5" hidden="1" customHeight="1">
      <c r="A1474" s="9" t="s">
        <v>14775</v>
      </c>
      <c r="B1474" s="10" t="s">
        <v>14776</v>
      </c>
      <c r="C1474" s="10" t="s">
        <v>43</v>
      </c>
      <c r="D1474" s="10" t="s">
        <v>12217</v>
      </c>
      <c r="E1474" s="10" t="s">
        <v>66</v>
      </c>
      <c r="F1474" s="11">
        <v>1.0</v>
      </c>
      <c r="G1474" s="11">
        <v>79.2</v>
      </c>
      <c r="H1474" s="11"/>
      <c r="I1474" s="11">
        <v>-13.46</v>
      </c>
      <c r="J1474" s="11">
        <v>-20.45</v>
      </c>
      <c r="K1474" s="11"/>
      <c r="L1474" s="11">
        <v>45.29</v>
      </c>
      <c r="M1474" s="10" t="s">
        <v>12218</v>
      </c>
      <c r="N1474" s="10" t="s">
        <v>45</v>
      </c>
      <c r="O1474" s="10" t="s">
        <v>892</v>
      </c>
      <c r="P1474" s="10" t="s">
        <v>893</v>
      </c>
      <c r="Q1474" s="10" t="s">
        <v>894</v>
      </c>
      <c r="R1474" s="10" t="s">
        <v>74</v>
      </c>
      <c r="S1474" s="11">
        <v>79.2</v>
      </c>
      <c r="T1474" s="11">
        <v>2.97</v>
      </c>
      <c r="U1474" s="11" t="s">
        <v>51</v>
      </c>
      <c r="V1474" s="10" t="s">
        <v>52</v>
      </c>
      <c r="W1474" s="10" t="s">
        <v>14777</v>
      </c>
      <c r="X1474" s="10" t="s">
        <v>14778</v>
      </c>
      <c r="Y1474" s="10" t="s">
        <v>14779</v>
      </c>
      <c r="Z1474" s="10" t="s">
        <v>50</v>
      </c>
      <c r="AA1474" s="10" t="s">
        <v>50</v>
      </c>
      <c r="AB1474" s="10" t="s">
        <v>14777</v>
      </c>
      <c r="AC1474" s="10" t="s">
        <v>14780</v>
      </c>
      <c r="AD1474" s="10" t="s">
        <v>14781</v>
      </c>
      <c r="AE1474" s="10" t="s">
        <v>58</v>
      </c>
      <c r="AF1474" s="10" t="s">
        <v>58</v>
      </c>
      <c r="AG1474" s="10" t="s">
        <v>14782</v>
      </c>
      <c r="AH1474" s="10" t="s">
        <v>60</v>
      </c>
      <c r="AI1474" s="10" t="s">
        <v>13406</v>
      </c>
      <c r="AJ1474" s="10" t="s">
        <v>14783</v>
      </c>
      <c r="AK1474" s="10" t="s">
        <v>14784</v>
      </c>
      <c r="AL1474" s="10" t="s">
        <v>64</v>
      </c>
      <c r="AM1474" s="10" t="s">
        <v>14785</v>
      </c>
      <c r="AN1474" s="10" t="s">
        <v>14786</v>
      </c>
      <c r="AO1474" s="11" t="s">
        <v>50</v>
      </c>
      <c r="AP1474" s="10" t="s">
        <v>50</v>
      </c>
      <c r="AQ1474" s="10" t="s">
        <v>50</v>
      </c>
      <c r="AR1474" s="10" t="s">
        <v>50</v>
      </c>
      <c r="AS1474" s="10" t="s">
        <v>50</v>
      </c>
      <c r="AT1474" s="10" t="s">
        <v>50</v>
      </c>
      <c r="AU1474" s="10" t="s">
        <v>50</v>
      </c>
      <c r="AV1474" s="11"/>
      <c r="AW1474" s="10" t="s">
        <v>66</v>
      </c>
      <c r="AX1474" s="10"/>
      <c r="AY1474" s="10" t="s">
        <v>66</v>
      </c>
    </row>
    <row r="1475" ht="22.5" hidden="1" customHeight="1">
      <c r="A1475" s="9" t="s">
        <v>14787</v>
      </c>
      <c r="B1475" s="10" t="s">
        <v>14788</v>
      </c>
      <c r="C1475" s="10" t="s">
        <v>43</v>
      </c>
      <c r="D1475" s="10" t="s">
        <v>13049</v>
      </c>
      <c r="E1475" s="10" t="s">
        <v>66</v>
      </c>
      <c r="F1475" s="11">
        <v>1.0</v>
      </c>
      <c r="G1475" s="11">
        <v>80.0</v>
      </c>
      <c r="H1475" s="11"/>
      <c r="I1475" s="11">
        <v>-13.6</v>
      </c>
      <c r="J1475" s="11">
        <v>-19.95</v>
      </c>
      <c r="K1475" s="11"/>
      <c r="L1475" s="11">
        <v>50.45</v>
      </c>
      <c r="M1475" s="10" t="s">
        <v>12218</v>
      </c>
      <c r="N1475" s="10" t="s">
        <v>45</v>
      </c>
      <c r="O1475" s="10" t="s">
        <v>143</v>
      </c>
      <c r="P1475" s="10" t="s">
        <v>144</v>
      </c>
      <c r="Q1475" s="10" t="s">
        <v>145</v>
      </c>
      <c r="R1475" s="10" t="s">
        <v>74</v>
      </c>
      <c r="S1475" s="11">
        <v>80.0</v>
      </c>
      <c r="T1475" s="11">
        <v>33.38</v>
      </c>
      <c r="U1475" s="11" t="s">
        <v>51</v>
      </c>
      <c r="V1475" s="10" t="s">
        <v>52</v>
      </c>
      <c r="W1475" s="10" t="s">
        <v>14789</v>
      </c>
      <c r="X1475" s="10" t="s">
        <v>14790</v>
      </c>
      <c r="Y1475" s="10" t="s">
        <v>14791</v>
      </c>
      <c r="Z1475" s="10" t="s">
        <v>50</v>
      </c>
      <c r="AA1475" s="10" t="s">
        <v>50</v>
      </c>
      <c r="AB1475" s="10" t="s">
        <v>14789</v>
      </c>
      <c r="AC1475" s="10" t="s">
        <v>14792</v>
      </c>
      <c r="AD1475" s="10" t="s">
        <v>14793</v>
      </c>
      <c r="AE1475" s="10" t="s">
        <v>14794</v>
      </c>
      <c r="AF1475" s="10" t="s">
        <v>323</v>
      </c>
      <c r="AG1475" s="10" t="s">
        <v>14795</v>
      </c>
      <c r="AH1475" s="10" t="s">
        <v>60</v>
      </c>
      <c r="AI1475" s="10" t="s">
        <v>13406</v>
      </c>
      <c r="AJ1475" s="10" t="s">
        <v>14796</v>
      </c>
      <c r="AK1475" s="10" t="s">
        <v>14797</v>
      </c>
      <c r="AL1475" s="10" t="s">
        <v>64</v>
      </c>
      <c r="AM1475" s="10" t="s">
        <v>14798</v>
      </c>
      <c r="AN1475" s="10" t="s">
        <v>50</v>
      </c>
      <c r="AO1475" s="11" t="s">
        <v>50</v>
      </c>
      <c r="AP1475" s="10" t="s">
        <v>50</v>
      </c>
      <c r="AQ1475" s="10" t="s">
        <v>50</v>
      </c>
      <c r="AR1475" s="10" t="s">
        <v>50</v>
      </c>
      <c r="AS1475" s="10" t="s">
        <v>50</v>
      </c>
      <c r="AT1475" s="10" t="s">
        <v>50</v>
      </c>
      <c r="AU1475" s="10" t="s">
        <v>50</v>
      </c>
      <c r="AV1475" s="11"/>
      <c r="AW1475" s="10" t="s">
        <v>66</v>
      </c>
      <c r="AX1475" s="10"/>
      <c r="AY1475" s="10" t="s">
        <v>66</v>
      </c>
    </row>
    <row r="1476" ht="22.5" hidden="1" customHeight="1">
      <c r="A1476" s="9" t="s">
        <v>14799</v>
      </c>
      <c r="B1476" s="10" t="s">
        <v>14800</v>
      </c>
      <c r="C1476" s="10" t="s">
        <v>43</v>
      </c>
      <c r="D1476" s="10" t="s">
        <v>13049</v>
      </c>
      <c r="E1476" s="10" t="s">
        <v>45</v>
      </c>
      <c r="F1476" s="11">
        <v>1.0</v>
      </c>
      <c r="G1476" s="11">
        <v>79.35</v>
      </c>
      <c r="H1476" s="11"/>
      <c r="I1476" s="11">
        <v>-15.08</v>
      </c>
      <c r="J1476" s="11">
        <v>-19.95</v>
      </c>
      <c r="K1476" s="11"/>
      <c r="L1476" s="11">
        <v>44.32</v>
      </c>
      <c r="M1476" s="10" t="s">
        <v>12218</v>
      </c>
      <c r="N1476" s="10" t="s">
        <v>50</v>
      </c>
      <c r="O1476" s="10" t="s">
        <v>47</v>
      </c>
      <c r="P1476" s="10" t="s">
        <v>48</v>
      </c>
      <c r="Q1476" s="10" t="s">
        <v>49</v>
      </c>
      <c r="R1476" s="10" t="s">
        <v>50</v>
      </c>
      <c r="S1476" s="11">
        <v>79.35</v>
      </c>
      <c r="T1476" s="11">
        <v>12.45</v>
      </c>
      <c r="U1476" s="11" t="s">
        <v>51</v>
      </c>
      <c r="V1476" s="10" t="s">
        <v>52</v>
      </c>
      <c r="W1476" s="10" t="s">
        <v>14801</v>
      </c>
      <c r="X1476" s="10" t="s">
        <v>14802</v>
      </c>
      <c r="Y1476" s="10" t="s">
        <v>14803</v>
      </c>
      <c r="Z1476" s="10" t="s">
        <v>50</v>
      </c>
      <c r="AA1476" s="10" t="s">
        <v>50</v>
      </c>
      <c r="AB1476" s="10" t="s">
        <v>14801</v>
      </c>
      <c r="AC1476" s="10" t="s">
        <v>14804</v>
      </c>
      <c r="AD1476" s="10" t="s">
        <v>14805</v>
      </c>
      <c r="AE1476" s="10" t="s">
        <v>58</v>
      </c>
      <c r="AF1476" s="10" t="s">
        <v>58</v>
      </c>
      <c r="AG1476" s="10" t="s">
        <v>14806</v>
      </c>
      <c r="AH1476" s="10" t="s">
        <v>60</v>
      </c>
      <c r="AI1476" s="10" t="s">
        <v>13406</v>
      </c>
      <c r="AJ1476" s="10" t="s">
        <v>14294</v>
      </c>
      <c r="AK1476" s="10" t="s">
        <v>13959</v>
      </c>
      <c r="AL1476" s="10" t="s">
        <v>64</v>
      </c>
      <c r="AM1476" s="10" t="s">
        <v>14807</v>
      </c>
      <c r="AN1476" s="10" t="s">
        <v>50</v>
      </c>
      <c r="AO1476" s="11" t="s">
        <v>50</v>
      </c>
      <c r="AP1476" s="10" t="s">
        <v>50</v>
      </c>
      <c r="AQ1476" s="10" t="s">
        <v>50</v>
      </c>
      <c r="AR1476" s="10" t="s">
        <v>50</v>
      </c>
      <c r="AS1476" s="10" t="s">
        <v>50</v>
      </c>
      <c r="AT1476" s="10" t="s">
        <v>50</v>
      </c>
      <c r="AU1476" s="10" t="s">
        <v>50</v>
      </c>
      <c r="AV1476" s="11"/>
      <c r="AW1476" s="10" t="s">
        <v>66</v>
      </c>
      <c r="AX1476" s="10"/>
      <c r="AY1476" s="10" t="s">
        <v>66</v>
      </c>
    </row>
    <row r="1477" ht="22.5" hidden="1" customHeight="1">
      <c r="A1477" s="9" t="s">
        <v>14808</v>
      </c>
      <c r="B1477" s="10" t="s">
        <v>14809</v>
      </c>
      <c r="C1477" s="10" t="s">
        <v>43</v>
      </c>
      <c r="D1477" s="10" t="s">
        <v>10258</v>
      </c>
      <c r="E1477" s="10" t="s">
        <v>45</v>
      </c>
      <c r="F1477" s="11">
        <v>1.0</v>
      </c>
      <c r="G1477" s="11">
        <v>43.7</v>
      </c>
      <c r="H1477" s="11">
        <v>43.0</v>
      </c>
      <c r="I1477" s="11">
        <v>-13.43</v>
      </c>
      <c r="J1477" s="11">
        <v>-43.0</v>
      </c>
      <c r="K1477" s="11"/>
      <c r="L1477" s="11">
        <v>32.89</v>
      </c>
      <c r="M1477" s="10" t="s">
        <v>46</v>
      </c>
      <c r="N1477" s="10" t="s">
        <v>45</v>
      </c>
      <c r="O1477" s="10" t="s">
        <v>176</v>
      </c>
      <c r="P1477" s="10" t="s">
        <v>177</v>
      </c>
      <c r="Q1477" s="10" t="s">
        <v>178</v>
      </c>
      <c r="R1477" s="10" t="s">
        <v>74</v>
      </c>
      <c r="S1477" s="11">
        <v>43.7</v>
      </c>
      <c r="T1477" s="11">
        <v>22.58</v>
      </c>
      <c r="U1477" s="11" t="s">
        <v>51</v>
      </c>
      <c r="V1477" s="10" t="s">
        <v>52</v>
      </c>
      <c r="W1477" s="10" t="s">
        <v>14810</v>
      </c>
      <c r="X1477" s="10" t="s">
        <v>14811</v>
      </c>
      <c r="Y1477" s="10" t="s">
        <v>14812</v>
      </c>
      <c r="Z1477" s="10" t="s">
        <v>50</v>
      </c>
      <c r="AA1477" s="10" t="s">
        <v>50</v>
      </c>
      <c r="AB1477" s="10" t="s">
        <v>14810</v>
      </c>
      <c r="AC1477" s="10" t="s">
        <v>14813</v>
      </c>
      <c r="AD1477" s="10" t="s">
        <v>14814</v>
      </c>
      <c r="AE1477" s="10" t="s">
        <v>273</v>
      </c>
      <c r="AF1477" s="10" t="s">
        <v>169</v>
      </c>
      <c r="AG1477" s="10" t="s">
        <v>14815</v>
      </c>
      <c r="AH1477" s="10" t="s">
        <v>60</v>
      </c>
      <c r="AI1477" s="10" t="s">
        <v>13406</v>
      </c>
      <c r="AJ1477" s="10" t="s">
        <v>13844</v>
      </c>
      <c r="AK1477" s="10" t="s">
        <v>14816</v>
      </c>
      <c r="AL1477" s="10" t="s">
        <v>64</v>
      </c>
      <c r="AM1477" s="10" t="s">
        <v>14817</v>
      </c>
      <c r="AN1477" s="10" t="s">
        <v>50</v>
      </c>
      <c r="AO1477" s="11" t="s">
        <v>50</v>
      </c>
      <c r="AP1477" s="10" t="s">
        <v>50</v>
      </c>
      <c r="AQ1477" s="10" t="s">
        <v>50</v>
      </c>
      <c r="AR1477" s="10" t="s">
        <v>50</v>
      </c>
      <c r="AS1477" s="10" t="s">
        <v>50</v>
      </c>
      <c r="AT1477" s="10" t="s">
        <v>50</v>
      </c>
      <c r="AU1477" s="10" t="s">
        <v>50</v>
      </c>
      <c r="AV1477" s="11"/>
      <c r="AW1477" s="10" t="s">
        <v>66</v>
      </c>
      <c r="AX1477" s="10"/>
      <c r="AY1477" s="10" t="s">
        <v>66</v>
      </c>
    </row>
    <row r="1478" ht="22.5" hidden="1" customHeight="1">
      <c r="A1478" s="9" t="s">
        <v>14818</v>
      </c>
      <c r="B1478" s="10" t="s">
        <v>14819</v>
      </c>
      <c r="C1478" s="10" t="s">
        <v>43</v>
      </c>
      <c r="D1478" s="10" t="s">
        <v>9839</v>
      </c>
      <c r="E1478" s="10" t="s">
        <v>66</v>
      </c>
      <c r="F1478" s="11">
        <v>1.0</v>
      </c>
      <c r="G1478" s="11">
        <v>80.6</v>
      </c>
      <c r="H1478" s="11">
        <v>27.0</v>
      </c>
      <c r="I1478" s="11">
        <v>-13.7</v>
      </c>
      <c r="J1478" s="11">
        <v>-47.45</v>
      </c>
      <c r="K1478" s="11"/>
      <c r="L1478" s="11">
        <v>46.45</v>
      </c>
      <c r="M1478" s="10" t="s">
        <v>12218</v>
      </c>
      <c r="N1478" s="10" t="s">
        <v>45</v>
      </c>
      <c r="O1478" s="10" t="s">
        <v>265</v>
      </c>
      <c r="P1478" s="10" t="s">
        <v>266</v>
      </c>
      <c r="Q1478" s="10" t="s">
        <v>267</v>
      </c>
      <c r="R1478" s="10" t="s">
        <v>74</v>
      </c>
      <c r="S1478" s="11">
        <v>80.6</v>
      </c>
      <c r="T1478" s="11">
        <v>26.22</v>
      </c>
      <c r="U1478" s="11" t="s">
        <v>51</v>
      </c>
      <c r="V1478" s="10" t="s">
        <v>52</v>
      </c>
      <c r="W1478" s="10" t="s">
        <v>14820</v>
      </c>
      <c r="X1478" s="10" t="s">
        <v>14821</v>
      </c>
      <c r="Y1478" s="10" t="s">
        <v>14822</v>
      </c>
      <c r="Z1478" s="10" t="s">
        <v>50</v>
      </c>
      <c r="AA1478" s="10" t="s">
        <v>50</v>
      </c>
      <c r="AB1478" s="10" t="s">
        <v>14820</v>
      </c>
      <c r="AC1478" s="10" t="s">
        <v>14823</v>
      </c>
      <c r="AD1478" s="10" t="s">
        <v>14824</v>
      </c>
      <c r="AE1478" s="10" t="s">
        <v>14825</v>
      </c>
      <c r="AF1478" s="10" t="s">
        <v>2648</v>
      </c>
      <c r="AG1478" s="10" t="s">
        <v>14826</v>
      </c>
      <c r="AH1478" s="10" t="s">
        <v>60</v>
      </c>
      <c r="AI1478" s="10" t="s">
        <v>13406</v>
      </c>
      <c r="AJ1478" s="10" t="s">
        <v>13844</v>
      </c>
      <c r="AK1478" s="10" t="s">
        <v>14827</v>
      </c>
      <c r="AL1478" s="10" t="s">
        <v>64</v>
      </c>
      <c r="AM1478" s="10" t="s">
        <v>14828</v>
      </c>
      <c r="AN1478" s="10" t="s">
        <v>50</v>
      </c>
      <c r="AO1478" s="11" t="s">
        <v>50</v>
      </c>
      <c r="AP1478" s="10" t="s">
        <v>50</v>
      </c>
      <c r="AQ1478" s="10" t="s">
        <v>50</v>
      </c>
      <c r="AR1478" s="10" t="s">
        <v>50</v>
      </c>
      <c r="AS1478" s="10" t="s">
        <v>50</v>
      </c>
      <c r="AT1478" s="10" t="s">
        <v>50</v>
      </c>
      <c r="AU1478" s="10" t="s">
        <v>50</v>
      </c>
      <c r="AV1478" s="11"/>
      <c r="AW1478" s="10" t="s">
        <v>66</v>
      </c>
      <c r="AX1478" s="10"/>
      <c r="AY1478" s="10" t="s">
        <v>66</v>
      </c>
    </row>
    <row r="1479" ht="22.5" hidden="1" customHeight="1">
      <c r="A1479" s="9" t="s">
        <v>14829</v>
      </c>
      <c r="B1479" s="10" t="s">
        <v>14830</v>
      </c>
      <c r="C1479" s="10" t="s">
        <v>43</v>
      </c>
      <c r="D1479" s="10" t="s">
        <v>13049</v>
      </c>
      <c r="E1479" s="10" t="s">
        <v>45</v>
      </c>
      <c r="F1479" s="11">
        <v>1.0</v>
      </c>
      <c r="G1479" s="11">
        <v>80.0</v>
      </c>
      <c r="H1479" s="11"/>
      <c r="I1479" s="11">
        <v>-13.6</v>
      </c>
      <c r="J1479" s="11">
        <v>-19.95</v>
      </c>
      <c r="K1479" s="11"/>
      <c r="L1479" s="11">
        <v>50.45</v>
      </c>
      <c r="M1479" s="10" t="s">
        <v>46</v>
      </c>
      <c r="N1479" s="10" t="s">
        <v>45</v>
      </c>
      <c r="O1479" s="10" t="s">
        <v>143</v>
      </c>
      <c r="P1479" s="10" t="s">
        <v>144</v>
      </c>
      <c r="Q1479" s="10" t="s">
        <v>145</v>
      </c>
      <c r="R1479" s="10" t="s">
        <v>74</v>
      </c>
      <c r="S1479" s="11">
        <v>80.0</v>
      </c>
      <c r="T1479" s="11">
        <v>33.38</v>
      </c>
      <c r="U1479" s="11" t="s">
        <v>51</v>
      </c>
      <c r="V1479" s="10" t="s">
        <v>52</v>
      </c>
      <c r="W1479" s="10" t="s">
        <v>14831</v>
      </c>
      <c r="X1479" s="10" t="s">
        <v>14832</v>
      </c>
      <c r="Y1479" s="10" t="s">
        <v>14833</v>
      </c>
      <c r="Z1479" s="10" t="s">
        <v>50</v>
      </c>
      <c r="AA1479" s="10" t="s">
        <v>50</v>
      </c>
      <c r="AB1479" s="10" t="s">
        <v>14831</v>
      </c>
      <c r="AC1479" s="10" t="s">
        <v>14834</v>
      </c>
      <c r="AD1479" s="10" t="s">
        <v>14835</v>
      </c>
      <c r="AE1479" s="10" t="s">
        <v>5067</v>
      </c>
      <c r="AF1479" s="10" t="s">
        <v>58</v>
      </c>
      <c r="AG1479" s="10" t="s">
        <v>14836</v>
      </c>
      <c r="AH1479" s="10" t="s">
        <v>60</v>
      </c>
      <c r="AI1479" s="10" t="s">
        <v>13406</v>
      </c>
      <c r="AJ1479" s="10" t="s">
        <v>14546</v>
      </c>
      <c r="AK1479" s="10" t="s">
        <v>14837</v>
      </c>
      <c r="AL1479" s="10" t="s">
        <v>64</v>
      </c>
      <c r="AM1479" s="10" t="s">
        <v>14838</v>
      </c>
      <c r="AN1479" s="10" t="s">
        <v>50</v>
      </c>
      <c r="AO1479" s="11" t="s">
        <v>50</v>
      </c>
      <c r="AP1479" s="10" t="s">
        <v>50</v>
      </c>
      <c r="AQ1479" s="10" t="s">
        <v>50</v>
      </c>
      <c r="AR1479" s="10" t="s">
        <v>50</v>
      </c>
      <c r="AS1479" s="10" t="s">
        <v>50</v>
      </c>
      <c r="AT1479" s="10" t="s">
        <v>50</v>
      </c>
      <c r="AU1479" s="10" t="s">
        <v>50</v>
      </c>
      <c r="AV1479" s="11"/>
      <c r="AW1479" s="10" t="s">
        <v>66</v>
      </c>
      <c r="AX1479" s="10"/>
      <c r="AY1479" s="10" t="s">
        <v>66</v>
      </c>
    </row>
    <row r="1480" ht="22.5" hidden="1" customHeight="1">
      <c r="A1480" s="9" t="s">
        <v>14839</v>
      </c>
      <c r="B1480" s="10" t="s">
        <v>14840</v>
      </c>
      <c r="C1480" s="10" t="s">
        <v>43</v>
      </c>
      <c r="D1480" s="10" t="s">
        <v>9839</v>
      </c>
      <c r="E1480" s="10" t="s">
        <v>66</v>
      </c>
      <c r="F1480" s="11">
        <v>1.0</v>
      </c>
      <c r="G1480" s="11">
        <v>43.7</v>
      </c>
      <c r="H1480" s="11">
        <v>13.87</v>
      </c>
      <c r="I1480" s="11">
        <v>-13.43</v>
      </c>
      <c r="J1480" s="11">
        <v>-13.87</v>
      </c>
      <c r="K1480" s="11"/>
      <c r="L1480" s="11">
        <v>32.89</v>
      </c>
      <c r="M1480" s="10" t="s">
        <v>12218</v>
      </c>
      <c r="N1480" s="10" t="s">
        <v>45</v>
      </c>
      <c r="O1480" s="10" t="s">
        <v>176</v>
      </c>
      <c r="P1480" s="10" t="s">
        <v>177</v>
      </c>
      <c r="Q1480" s="10" t="s">
        <v>178</v>
      </c>
      <c r="R1480" s="10" t="s">
        <v>74</v>
      </c>
      <c r="S1480" s="11">
        <v>43.7</v>
      </c>
      <c r="T1480" s="11">
        <v>22.58</v>
      </c>
      <c r="U1480" s="11" t="s">
        <v>51</v>
      </c>
      <c r="V1480" s="10" t="s">
        <v>52</v>
      </c>
      <c r="W1480" s="10" t="s">
        <v>14841</v>
      </c>
      <c r="X1480" s="10" t="s">
        <v>14842</v>
      </c>
      <c r="Y1480" s="10" t="s">
        <v>14843</v>
      </c>
      <c r="Z1480" s="10" t="s">
        <v>50</v>
      </c>
      <c r="AA1480" s="10" t="s">
        <v>50</v>
      </c>
      <c r="AB1480" s="10" t="s">
        <v>14841</v>
      </c>
      <c r="AC1480" s="10" t="s">
        <v>14844</v>
      </c>
      <c r="AD1480" s="10" t="s">
        <v>14845</v>
      </c>
      <c r="AE1480" s="10" t="s">
        <v>14846</v>
      </c>
      <c r="AF1480" s="10" t="s">
        <v>185</v>
      </c>
      <c r="AG1480" s="10" t="s">
        <v>14847</v>
      </c>
      <c r="AH1480" s="10" t="s">
        <v>60</v>
      </c>
      <c r="AI1480" s="10" t="s">
        <v>13406</v>
      </c>
      <c r="AJ1480" s="10" t="s">
        <v>14483</v>
      </c>
      <c r="AK1480" s="10" t="s">
        <v>14848</v>
      </c>
      <c r="AL1480" s="10" t="s">
        <v>64</v>
      </c>
      <c r="AM1480" s="10" t="s">
        <v>14849</v>
      </c>
      <c r="AN1480" s="10" t="s">
        <v>50</v>
      </c>
      <c r="AO1480" s="11" t="s">
        <v>50</v>
      </c>
      <c r="AP1480" s="10" t="s">
        <v>50</v>
      </c>
      <c r="AQ1480" s="10" t="s">
        <v>50</v>
      </c>
      <c r="AR1480" s="10" t="s">
        <v>50</v>
      </c>
      <c r="AS1480" s="10" t="s">
        <v>50</v>
      </c>
      <c r="AT1480" s="10" t="s">
        <v>50</v>
      </c>
      <c r="AU1480" s="10" t="s">
        <v>50</v>
      </c>
      <c r="AV1480" s="11"/>
      <c r="AW1480" s="10" t="s">
        <v>66</v>
      </c>
      <c r="AX1480" s="10"/>
      <c r="AY1480" s="10" t="s">
        <v>66</v>
      </c>
    </row>
    <row r="1481" ht="22.5" hidden="1" customHeight="1">
      <c r="A1481" s="9" t="s">
        <v>14850</v>
      </c>
      <c r="B1481" s="10" t="s">
        <v>14851</v>
      </c>
      <c r="C1481" s="10" t="s">
        <v>43</v>
      </c>
      <c r="D1481" s="10" t="s">
        <v>13049</v>
      </c>
      <c r="E1481" s="10" t="s">
        <v>45</v>
      </c>
      <c r="F1481" s="11">
        <v>2.0</v>
      </c>
      <c r="G1481" s="11">
        <v>87.4</v>
      </c>
      <c r="H1481" s="11"/>
      <c r="I1481" s="11">
        <v>-26.86</v>
      </c>
      <c r="J1481" s="11"/>
      <c r="K1481" s="11"/>
      <c r="L1481" s="11">
        <v>65.78</v>
      </c>
      <c r="M1481" s="10" t="s">
        <v>12218</v>
      </c>
      <c r="N1481" s="10" t="s">
        <v>45</v>
      </c>
      <c r="O1481" s="10" t="s">
        <v>176</v>
      </c>
      <c r="P1481" s="10" t="s">
        <v>177</v>
      </c>
      <c r="Q1481" s="10" t="s">
        <v>178</v>
      </c>
      <c r="R1481" s="10" t="s">
        <v>74</v>
      </c>
      <c r="S1481" s="11">
        <v>43.7</v>
      </c>
      <c r="T1481" s="11">
        <f>2*22.58</f>
        <v>45.16</v>
      </c>
      <c r="U1481" s="11" t="s">
        <v>51</v>
      </c>
      <c r="V1481" s="10" t="s">
        <v>52</v>
      </c>
      <c r="W1481" s="10" t="s">
        <v>14852</v>
      </c>
      <c r="X1481" s="10" t="s">
        <v>14853</v>
      </c>
      <c r="Y1481" s="10" t="s">
        <v>14854</v>
      </c>
      <c r="Z1481" s="10" t="s">
        <v>50</v>
      </c>
      <c r="AA1481" s="10" t="s">
        <v>50</v>
      </c>
      <c r="AB1481" s="10" t="s">
        <v>14852</v>
      </c>
      <c r="AC1481" s="10" t="s">
        <v>14855</v>
      </c>
      <c r="AD1481" s="10" t="s">
        <v>14856</v>
      </c>
      <c r="AE1481" s="10" t="s">
        <v>14857</v>
      </c>
      <c r="AF1481" s="10" t="s">
        <v>58</v>
      </c>
      <c r="AG1481" s="10" t="s">
        <v>14858</v>
      </c>
      <c r="AH1481" s="10" t="s">
        <v>60</v>
      </c>
      <c r="AI1481" s="10" t="s">
        <v>13406</v>
      </c>
      <c r="AJ1481" s="10" t="s">
        <v>14546</v>
      </c>
      <c r="AK1481" s="10" t="s">
        <v>14859</v>
      </c>
      <c r="AL1481" s="10" t="s">
        <v>64</v>
      </c>
      <c r="AM1481" s="10" t="s">
        <v>14860</v>
      </c>
      <c r="AN1481" s="10" t="s">
        <v>50</v>
      </c>
      <c r="AO1481" s="11" t="s">
        <v>50</v>
      </c>
      <c r="AP1481" s="10" t="s">
        <v>50</v>
      </c>
      <c r="AQ1481" s="10" t="s">
        <v>50</v>
      </c>
      <c r="AR1481" s="10" t="s">
        <v>50</v>
      </c>
      <c r="AS1481" s="10" t="s">
        <v>50</v>
      </c>
      <c r="AT1481" s="10" t="s">
        <v>50</v>
      </c>
      <c r="AU1481" s="10" t="s">
        <v>50</v>
      </c>
      <c r="AV1481" s="11"/>
      <c r="AW1481" s="10" t="s">
        <v>66</v>
      </c>
      <c r="AX1481" s="10"/>
      <c r="AY1481" s="10" t="s">
        <v>66</v>
      </c>
    </row>
    <row r="1482" ht="22.5" hidden="1" customHeight="1">
      <c r="A1482" s="9" t="s">
        <v>14861</v>
      </c>
      <c r="B1482" s="10" t="s">
        <v>14862</v>
      </c>
      <c r="C1482" s="10" t="s">
        <v>43</v>
      </c>
      <c r="D1482" s="10" t="s">
        <v>9839</v>
      </c>
      <c r="E1482" s="10" t="s">
        <v>45</v>
      </c>
      <c r="F1482" s="11">
        <v>4.0</v>
      </c>
      <c r="G1482" s="11">
        <v>320.0</v>
      </c>
      <c r="H1482" s="11"/>
      <c r="I1482" s="11">
        <v>-54.4</v>
      </c>
      <c r="J1482" s="11">
        <v>-79.8</v>
      </c>
      <c r="K1482" s="11"/>
      <c r="L1482" s="11">
        <v>201.8</v>
      </c>
      <c r="M1482" s="10" t="s">
        <v>12218</v>
      </c>
      <c r="N1482" s="10" t="s">
        <v>50</v>
      </c>
      <c r="O1482" s="10" t="s">
        <v>143</v>
      </c>
      <c r="P1482" s="10" t="s">
        <v>144</v>
      </c>
      <c r="Q1482" s="10" t="s">
        <v>145</v>
      </c>
      <c r="R1482" s="10" t="s">
        <v>74</v>
      </c>
      <c r="S1482" s="11">
        <v>80.0</v>
      </c>
      <c r="T1482" s="11">
        <v>33.38</v>
      </c>
      <c r="U1482" s="11" t="s">
        <v>51</v>
      </c>
      <c r="V1482" s="10" t="s">
        <v>52</v>
      </c>
      <c r="W1482" s="10" t="s">
        <v>14863</v>
      </c>
      <c r="X1482" s="10" t="s">
        <v>14864</v>
      </c>
      <c r="Y1482" s="10" t="s">
        <v>14865</v>
      </c>
      <c r="Z1482" s="10" t="s">
        <v>50</v>
      </c>
      <c r="AA1482" s="10" t="s">
        <v>50</v>
      </c>
      <c r="AB1482" s="10" t="s">
        <v>14863</v>
      </c>
      <c r="AC1482" s="10" t="s">
        <v>14866</v>
      </c>
      <c r="AD1482" s="10" t="s">
        <v>14867</v>
      </c>
      <c r="AE1482" s="10" t="s">
        <v>2590</v>
      </c>
      <c r="AF1482" s="10" t="s">
        <v>185</v>
      </c>
      <c r="AG1482" s="10" t="s">
        <v>2591</v>
      </c>
      <c r="AH1482" s="10" t="s">
        <v>60</v>
      </c>
      <c r="AI1482" s="10" t="s">
        <v>13406</v>
      </c>
      <c r="AJ1482" s="10" t="s">
        <v>14064</v>
      </c>
      <c r="AK1482" s="10" t="s">
        <v>14868</v>
      </c>
      <c r="AL1482" s="10" t="s">
        <v>64</v>
      </c>
      <c r="AM1482" s="10" t="s">
        <v>14869</v>
      </c>
      <c r="AN1482" s="10" t="s">
        <v>50</v>
      </c>
      <c r="AO1482" s="11" t="s">
        <v>50</v>
      </c>
      <c r="AP1482" s="10" t="s">
        <v>50</v>
      </c>
      <c r="AQ1482" s="10" t="s">
        <v>50</v>
      </c>
      <c r="AR1482" s="10" t="s">
        <v>50</v>
      </c>
      <c r="AS1482" s="10" t="s">
        <v>50</v>
      </c>
      <c r="AT1482" s="10" t="s">
        <v>50</v>
      </c>
      <c r="AU1482" s="10" t="s">
        <v>50</v>
      </c>
      <c r="AV1482" s="11"/>
      <c r="AW1482" s="10" t="s">
        <v>66</v>
      </c>
      <c r="AX1482" s="10"/>
      <c r="AY1482" s="10" t="s">
        <v>66</v>
      </c>
    </row>
    <row r="1483" ht="22.5" hidden="1" customHeight="1">
      <c r="A1483" s="9" t="s">
        <v>14870</v>
      </c>
      <c r="B1483" s="10" t="s">
        <v>14871</v>
      </c>
      <c r="C1483" s="10" t="s">
        <v>43</v>
      </c>
      <c r="D1483" s="10" t="s">
        <v>13108</v>
      </c>
      <c r="E1483" s="10" t="s">
        <v>66</v>
      </c>
      <c r="F1483" s="11">
        <v>1.0</v>
      </c>
      <c r="G1483" s="11">
        <v>79.2</v>
      </c>
      <c r="H1483" s="11"/>
      <c r="I1483" s="11">
        <v>-13.46</v>
      </c>
      <c r="J1483" s="11">
        <v>-20.45</v>
      </c>
      <c r="K1483" s="11"/>
      <c r="L1483" s="11">
        <v>45.29</v>
      </c>
      <c r="M1483" s="10" t="s">
        <v>46</v>
      </c>
      <c r="N1483" s="10" t="s">
        <v>45</v>
      </c>
      <c r="O1483" s="10" t="s">
        <v>892</v>
      </c>
      <c r="P1483" s="10" t="s">
        <v>893</v>
      </c>
      <c r="Q1483" s="10" t="s">
        <v>894</v>
      </c>
      <c r="R1483" s="10" t="s">
        <v>74</v>
      </c>
      <c r="S1483" s="11">
        <v>79.2</v>
      </c>
      <c r="T1483" s="11">
        <v>2.97</v>
      </c>
      <c r="U1483" s="11" t="s">
        <v>51</v>
      </c>
      <c r="V1483" s="10" t="s">
        <v>52</v>
      </c>
      <c r="W1483" s="10" t="s">
        <v>14872</v>
      </c>
      <c r="X1483" s="10" t="s">
        <v>14873</v>
      </c>
      <c r="Y1483" s="10" t="s">
        <v>14874</v>
      </c>
      <c r="Z1483" s="10" t="s">
        <v>50</v>
      </c>
      <c r="AA1483" s="10" t="s">
        <v>50</v>
      </c>
      <c r="AB1483" s="10" t="s">
        <v>14872</v>
      </c>
      <c r="AC1483" s="10" t="s">
        <v>14875</v>
      </c>
      <c r="AD1483" s="10" t="s">
        <v>14876</v>
      </c>
      <c r="AE1483" s="10" t="s">
        <v>322</v>
      </c>
      <c r="AF1483" s="10" t="s">
        <v>323</v>
      </c>
      <c r="AG1483" s="10" t="s">
        <v>14877</v>
      </c>
      <c r="AH1483" s="10" t="s">
        <v>60</v>
      </c>
      <c r="AI1483" s="10" t="s">
        <v>13406</v>
      </c>
      <c r="AJ1483" s="10" t="s">
        <v>14878</v>
      </c>
      <c r="AK1483" s="10" t="s">
        <v>14879</v>
      </c>
      <c r="AL1483" s="10" t="s">
        <v>64</v>
      </c>
      <c r="AM1483" s="10" t="s">
        <v>14880</v>
      </c>
      <c r="AN1483" s="10" t="s">
        <v>50</v>
      </c>
      <c r="AO1483" s="11" t="s">
        <v>50</v>
      </c>
      <c r="AP1483" s="10" t="s">
        <v>50</v>
      </c>
      <c r="AQ1483" s="10" t="s">
        <v>50</v>
      </c>
      <c r="AR1483" s="10" t="s">
        <v>50</v>
      </c>
      <c r="AS1483" s="10" t="s">
        <v>50</v>
      </c>
      <c r="AT1483" s="10" t="s">
        <v>50</v>
      </c>
      <c r="AU1483" s="10" t="s">
        <v>50</v>
      </c>
      <c r="AV1483" s="11"/>
      <c r="AW1483" s="10" t="s">
        <v>66</v>
      </c>
      <c r="AX1483" s="10"/>
      <c r="AY1483" s="10" t="s">
        <v>66</v>
      </c>
    </row>
    <row r="1484" ht="22.5" hidden="1" customHeight="1">
      <c r="A1484" s="9" t="s">
        <v>14881</v>
      </c>
      <c r="B1484" s="10" t="s">
        <v>14882</v>
      </c>
      <c r="C1484" s="10" t="s">
        <v>43</v>
      </c>
      <c r="D1484" s="10" t="s">
        <v>13049</v>
      </c>
      <c r="E1484" s="10" t="s">
        <v>45</v>
      </c>
      <c r="F1484" s="11">
        <v>1.0</v>
      </c>
      <c r="G1484" s="11">
        <v>79.0</v>
      </c>
      <c r="H1484" s="11"/>
      <c r="I1484" s="11">
        <v>-13.43</v>
      </c>
      <c r="J1484" s="11">
        <v>-19.95</v>
      </c>
      <c r="K1484" s="11"/>
      <c r="L1484" s="11">
        <v>45.62</v>
      </c>
      <c r="M1484" s="10" t="s">
        <v>12218</v>
      </c>
      <c r="N1484" s="10" t="s">
        <v>45</v>
      </c>
      <c r="O1484" s="10" t="s">
        <v>766</v>
      </c>
      <c r="P1484" s="10" t="s">
        <v>767</v>
      </c>
      <c r="Q1484" s="10" t="s">
        <v>768</v>
      </c>
      <c r="R1484" s="10" t="s">
        <v>74</v>
      </c>
      <c r="S1484" s="11">
        <v>79.0</v>
      </c>
      <c r="T1484" s="11">
        <v>13.62</v>
      </c>
      <c r="U1484" s="11" t="s">
        <v>51</v>
      </c>
      <c r="V1484" s="10" t="s">
        <v>52</v>
      </c>
      <c r="W1484" s="10" t="s">
        <v>14883</v>
      </c>
      <c r="X1484" s="10" t="s">
        <v>14884</v>
      </c>
      <c r="Y1484" s="10" t="s">
        <v>14885</v>
      </c>
      <c r="Z1484" s="10" t="s">
        <v>50</v>
      </c>
      <c r="AA1484" s="10" t="s">
        <v>50</v>
      </c>
      <c r="AB1484" s="10" t="s">
        <v>14883</v>
      </c>
      <c r="AC1484" s="10" t="s">
        <v>14886</v>
      </c>
      <c r="AD1484" s="10" t="s">
        <v>14887</v>
      </c>
      <c r="AE1484" s="10" t="s">
        <v>1861</v>
      </c>
      <c r="AF1484" s="10" t="s">
        <v>58</v>
      </c>
      <c r="AG1484" s="10" t="s">
        <v>14888</v>
      </c>
      <c r="AH1484" s="10" t="s">
        <v>60</v>
      </c>
      <c r="AI1484" s="10" t="s">
        <v>13406</v>
      </c>
      <c r="AJ1484" s="10" t="s">
        <v>14294</v>
      </c>
      <c r="AK1484" s="10" t="s">
        <v>14889</v>
      </c>
      <c r="AL1484" s="10" t="s">
        <v>64</v>
      </c>
      <c r="AM1484" s="10" t="s">
        <v>14890</v>
      </c>
      <c r="AN1484" s="10" t="s">
        <v>50</v>
      </c>
      <c r="AO1484" s="11" t="s">
        <v>50</v>
      </c>
      <c r="AP1484" s="10" t="s">
        <v>50</v>
      </c>
      <c r="AQ1484" s="10" t="s">
        <v>50</v>
      </c>
      <c r="AR1484" s="10" t="s">
        <v>50</v>
      </c>
      <c r="AS1484" s="10" t="s">
        <v>50</v>
      </c>
      <c r="AT1484" s="10" t="s">
        <v>50</v>
      </c>
      <c r="AU1484" s="10" t="s">
        <v>50</v>
      </c>
      <c r="AV1484" s="11"/>
      <c r="AW1484" s="10" t="s">
        <v>66</v>
      </c>
      <c r="AX1484" s="10"/>
      <c r="AY1484" s="10" t="s">
        <v>66</v>
      </c>
    </row>
    <row r="1485" ht="22.5" hidden="1" customHeight="1">
      <c r="A1485" s="9" t="s">
        <v>14891</v>
      </c>
      <c r="B1485" s="10" t="s">
        <v>14892</v>
      </c>
      <c r="C1485" s="10" t="s">
        <v>43</v>
      </c>
      <c r="D1485" s="10" t="s">
        <v>13049</v>
      </c>
      <c r="E1485" s="10" t="s">
        <v>66</v>
      </c>
      <c r="F1485" s="11">
        <v>1.0</v>
      </c>
      <c r="G1485" s="11">
        <v>43.7</v>
      </c>
      <c r="H1485" s="11">
        <v>13.11</v>
      </c>
      <c r="I1485" s="11">
        <v>-13.43</v>
      </c>
      <c r="J1485" s="11">
        <v>-13.11</v>
      </c>
      <c r="K1485" s="11"/>
      <c r="L1485" s="11">
        <v>32.89</v>
      </c>
      <c r="M1485" s="10" t="s">
        <v>46</v>
      </c>
      <c r="N1485" s="10" t="s">
        <v>45</v>
      </c>
      <c r="O1485" s="10" t="s">
        <v>176</v>
      </c>
      <c r="P1485" s="10" t="s">
        <v>177</v>
      </c>
      <c r="Q1485" s="10" t="s">
        <v>178</v>
      </c>
      <c r="R1485" s="10" t="s">
        <v>74</v>
      </c>
      <c r="S1485" s="11">
        <v>43.7</v>
      </c>
      <c r="T1485" s="11">
        <v>22.58</v>
      </c>
      <c r="U1485" s="11" t="s">
        <v>51</v>
      </c>
      <c r="V1485" s="10" t="s">
        <v>52</v>
      </c>
      <c r="W1485" s="10" t="s">
        <v>14893</v>
      </c>
      <c r="X1485" s="10" t="s">
        <v>14894</v>
      </c>
      <c r="Y1485" s="10" t="s">
        <v>14895</v>
      </c>
      <c r="Z1485" s="10" t="s">
        <v>50</v>
      </c>
      <c r="AA1485" s="10" t="s">
        <v>50</v>
      </c>
      <c r="AB1485" s="10" t="s">
        <v>14893</v>
      </c>
      <c r="AC1485" s="10" t="s">
        <v>14896</v>
      </c>
      <c r="AD1485" s="10" t="s">
        <v>14897</v>
      </c>
      <c r="AE1485" s="10" t="s">
        <v>151</v>
      </c>
      <c r="AF1485" s="10" t="s">
        <v>151</v>
      </c>
      <c r="AG1485" s="10" t="s">
        <v>14898</v>
      </c>
      <c r="AH1485" s="10" t="s">
        <v>60</v>
      </c>
      <c r="AI1485" s="10" t="s">
        <v>13406</v>
      </c>
      <c r="AJ1485" s="10" t="s">
        <v>14559</v>
      </c>
      <c r="AK1485" s="10" t="s">
        <v>14797</v>
      </c>
      <c r="AL1485" s="10" t="s">
        <v>64</v>
      </c>
      <c r="AM1485" s="10" t="s">
        <v>14899</v>
      </c>
      <c r="AN1485" s="10" t="s">
        <v>14900</v>
      </c>
      <c r="AO1485" s="11" t="s">
        <v>50</v>
      </c>
      <c r="AP1485" s="10" t="s">
        <v>50</v>
      </c>
      <c r="AQ1485" s="10" t="s">
        <v>50</v>
      </c>
      <c r="AR1485" s="10" t="s">
        <v>50</v>
      </c>
      <c r="AS1485" s="10" t="s">
        <v>50</v>
      </c>
      <c r="AT1485" s="10" t="s">
        <v>50</v>
      </c>
      <c r="AU1485" s="10" t="s">
        <v>50</v>
      </c>
      <c r="AV1485" s="11"/>
      <c r="AW1485" s="10" t="s">
        <v>66</v>
      </c>
      <c r="AX1485" s="10"/>
      <c r="AY1485" s="10" t="s">
        <v>66</v>
      </c>
    </row>
    <row r="1486" ht="22.5" hidden="1" customHeight="1">
      <c r="A1486" s="9" t="s">
        <v>14901</v>
      </c>
      <c r="B1486" s="10" t="s">
        <v>14902</v>
      </c>
      <c r="C1486" s="10" t="s">
        <v>43</v>
      </c>
      <c r="D1486" s="10" t="s">
        <v>13049</v>
      </c>
      <c r="E1486" s="10" t="s">
        <v>66</v>
      </c>
      <c r="F1486" s="11">
        <v>1.0</v>
      </c>
      <c r="G1486" s="11">
        <v>79.0</v>
      </c>
      <c r="H1486" s="11">
        <v>11.33</v>
      </c>
      <c r="I1486" s="11">
        <v>-13.43</v>
      </c>
      <c r="J1486" s="11">
        <v>-31.78</v>
      </c>
      <c r="K1486" s="11"/>
      <c r="L1486" s="11">
        <v>45.12</v>
      </c>
      <c r="M1486" s="10" t="s">
        <v>12218</v>
      </c>
      <c r="N1486" s="10" t="s">
        <v>45</v>
      </c>
      <c r="O1486" s="10" t="s">
        <v>461</v>
      </c>
      <c r="P1486" s="10" t="s">
        <v>462</v>
      </c>
      <c r="Q1486" s="10" t="s">
        <v>463</v>
      </c>
      <c r="R1486" s="10" t="s">
        <v>74</v>
      </c>
      <c r="S1486" s="11">
        <v>79.0</v>
      </c>
      <c r="T1486" s="11">
        <v>10.09</v>
      </c>
      <c r="U1486" s="11" t="s">
        <v>51</v>
      </c>
      <c r="V1486" s="10" t="s">
        <v>52</v>
      </c>
      <c r="W1486" s="10" t="s">
        <v>14903</v>
      </c>
      <c r="X1486" s="10" t="s">
        <v>14904</v>
      </c>
      <c r="Y1486" s="10" t="s">
        <v>14905</v>
      </c>
      <c r="Z1486" s="10" t="s">
        <v>50</v>
      </c>
      <c r="AA1486" s="10" t="s">
        <v>50</v>
      </c>
      <c r="AB1486" s="10" t="s">
        <v>14903</v>
      </c>
      <c r="AC1486" s="10" t="s">
        <v>14906</v>
      </c>
      <c r="AD1486" s="10" t="s">
        <v>14907</v>
      </c>
      <c r="AE1486" s="10" t="s">
        <v>14062</v>
      </c>
      <c r="AF1486" s="10" t="s">
        <v>775</v>
      </c>
      <c r="AG1486" s="10" t="s">
        <v>14908</v>
      </c>
      <c r="AH1486" s="10" t="s">
        <v>60</v>
      </c>
      <c r="AI1486" s="10" t="s">
        <v>13406</v>
      </c>
      <c r="AJ1486" s="10" t="s">
        <v>14064</v>
      </c>
      <c r="AK1486" s="10" t="s">
        <v>14909</v>
      </c>
      <c r="AL1486" s="10" t="s">
        <v>64</v>
      </c>
      <c r="AM1486" s="10" t="s">
        <v>14910</v>
      </c>
      <c r="AN1486" s="10" t="s">
        <v>50</v>
      </c>
      <c r="AO1486" s="11" t="s">
        <v>50</v>
      </c>
      <c r="AP1486" s="10" t="s">
        <v>50</v>
      </c>
      <c r="AQ1486" s="10" t="s">
        <v>50</v>
      </c>
      <c r="AR1486" s="10" t="s">
        <v>50</v>
      </c>
      <c r="AS1486" s="10" t="s">
        <v>50</v>
      </c>
      <c r="AT1486" s="10" t="s">
        <v>50</v>
      </c>
      <c r="AU1486" s="10" t="s">
        <v>50</v>
      </c>
      <c r="AV1486" s="11"/>
      <c r="AW1486" s="10" t="s">
        <v>66</v>
      </c>
      <c r="AX1486" s="10"/>
      <c r="AY1486" s="10" t="s">
        <v>66</v>
      </c>
    </row>
    <row r="1487" ht="22.5" hidden="1" customHeight="1">
      <c r="A1487" s="9" t="s">
        <v>14911</v>
      </c>
      <c r="B1487" s="10" t="s">
        <v>14912</v>
      </c>
      <c r="C1487" s="10" t="s">
        <v>43</v>
      </c>
      <c r="D1487" s="10" t="s">
        <v>13049</v>
      </c>
      <c r="E1487" s="10" t="s">
        <v>66</v>
      </c>
      <c r="F1487" s="11">
        <v>1.0</v>
      </c>
      <c r="G1487" s="11">
        <v>105.0</v>
      </c>
      <c r="H1487" s="11"/>
      <c r="I1487" s="11">
        <v>-19.95</v>
      </c>
      <c r="J1487" s="11">
        <v>-19.95</v>
      </c>
      <c r="K1487" s="11"/>
      <c r="L1487" s="11">
        <v>65.1</v>
      </c>
      <c r="M1487" s="10" t="s">
        <v>12218</v>
      </c>
      <c r="N1487" s="10" t="s">
        <v>50</v>
      </c>
      <c r="O1487" s="10" t="s">
        <v>100</v>
      </c>
      <c r="P1487" s="10" t="s">
        <v>101</v>
      </c>
      <c r="Q1487" s="10" t="s">
        <v>102</v>
      </c>
      <c r="R1487" s="10" t="s">
        <v>50</v>
      </c>
      <c r="S1487" s="11">
        <v>105.0</v>
      </c>
      <c r="T1487" s="11">
        <v>38.61</v>
      </c>
      <c r="U1487" s="11" t="s">
        <v>51</v>
      </c>
      <c r="V1487" s="10" t="s">
        <v>52</v>
      </c>
      <c r="W1487" s="10" t="s">
        <v>14913</v>
      </c>
      <c r="X1487" s="10" t="s">
        <v>14914</v>
      </c>
      <c r="Y1487" s="10" t="s">
        <v>14915</v>
      </c>
      <c r="Z1487" s="10" t="s">
        <v>50</v>
      </c>
      <c r="AA1487" s="10" t="s">
        <v>50</v>
      </c>
      <c r="AB1487" s="10" t="s">
        <v>14913</v>
      </c>
      <c r="AC1487" s="10" t="s">
        <v>14916</v>
      </c>
      <c r="AD1487" s="10" t="s">
        <v>14917</v>
      </c>
      <c r="AE1487" s="10" t="s">
        <v>296</v>
      </c>
      <c r="AF1487" s="10" t="s">
        <v>58</v>
      </c>
      <c r="AG1487" s="10" t="s">
        <v>14918</v>
      </c>
      <c r="AH1487" s="10" t="s">
        <v>60</v>
      </c>
      <c r="AI1487" s="10" t="s">
        <v>13406</v>
      </c>
      <c r="AJ1487" s="10" t="s">
        <v>14134</v>
      </c>
      <c r="AK1487" s="10" t="s">
        <v>14919</v>
      </c>
      <c r="AL1487" s="10" t="s">
        <v>64</v>
      </c>
      <c r="AM1487" s="10" t="s">
        <v>14920</v>
      </c>
      <c r="AN1487" s="10" t="s">
        <v>50</v>
      </c>
      <c r="AO1487" s="11" t="s">
        <v>50</v>
      </c>
      <c r="AP1487" s="10" t="s">
        <v>50</v>
      </c>
      <c r="AQ1487" s="10" t="s">
        <v>50</v>
      </c>
      <c r="AR1487" s="10" t="s">
        <v>50</v>
      </c>
      <c r="AS1487" s="10" t="s">
        <v>50</v>
      </c>
      <c r="AT1487" s="10" t="s">
        <v>50</v>
      </c>
      <c r="AU1487" s="10" t="s">
        <v>50</v>
      </c>
      <c r="AV1487" s="11"/>
      <c r="AW1487" s="10" t="s">
        <v>66</v>
      </c>
      <c r="AX1487" s="10"/>
      <c r="AY1487" s="10" t="s">
        <v>66</v>
      </c>
    </row>
    <row r="1488" ht="22.5" hidden="1" customHeight="1">
      <c r="A1488" s="9" t="s">
        <v>14921</v>
      </c>
      <c r="B1488" s="10" t="s">
        <v>14922</v>
      </c>
      <c r="C1488" s="10" t="s">
        <v>43</v>
      </c>
      <c r="D1488" s="10" t="s">
        <v>14923</v>
      </c>
      <c r="E1488" s="10" t="s">
        <v>66</v>
      </c>
      <c r="F1488" s="11">
        <v>1.0</v>
      </c>
      <c r="G1488" s="11">
        <v>79.2</v>
      </c>
      <c r="H1488" s="11"/>
      <c r="I1488" s="11">
        <v>-13.46</v>
      </c>
      <c r="J1488" s="11">
        <v>-20.45</v>
      </c>
      <c r="K1488" s="11"/>
      <c r="L1488" s="11">
        <v>45.29</v>
      </c>
      <c r="M1488" s="10" t="s">
        <v>12218</v>
      </c>
      <c r="N1488" s="10" t="s">
        <v>50</v>
      </c>
      <c r="O1488" s="10" t="s">
        <v>412</v>
      </c>
      <c r="P1488" s="10" t="s">
        <v>413</v>
      </c>
      <c r="Q1488" s="10" t="s">
        <v>414</v>
      </c>
      <c r="R1488" s="10" t="s">
        <v>415</v>
      </c>
      <c r="S1488" s="11">
        <v>79.2</v>
      </c>
      <c r="T1488" s="11">
        <v>10.05</v>
      </c>
      <c r="U1488" s="11" t="s">
        <v>51</v>
      </c>
      <c r="V1488" s="10" t="s">
        <v>52</v>
      </c>
      <c r="W1488" s="10" t="s">
        <v>14924</v>
      </c>
      <c r="X1488" s="10" t="s">
        <v>14925</v>
      </c>
      <c r="Y1488" s="10" t="s">
        <v>14926</v>
      </c>
      <c r="Z1488" s="10" t="s">
        <v>50</v>
      </c>
      <c r="AA1488" s="10" t="s">
        <v>50</v>
      </c>
      <c r="AB1488" s="10" t="s">
        <v>14924</v>
      </c>
      <c r="AC1488" s="10" t="s">
        <v>14927</v>
      </c>
      <c r="AD1488" s="10" t="s">
        <v>14928</v>
      </c>
      <c r="AE1488" s="10" t="s">
        <v>235</v>
      </c>
      <c r="AF1488" s="10" t="s">
        <v>58</v>
      </c>
      <c r="AG1488" s="10" t="s">
        <v>14929</v>
      </c>
      <c r="AH1488" s="10" t="s">
        <v>60</v>
      </c>
      <c r="AI1488" s="10" t="s">
        <v>13406</v>
      </c>
      <c r="AJ1488" s="10" t="s">
        <v>14930</v>
      </c>
      <c r="AK1488" s="10" t="s">
        <v>14931</v>
      </c>
      <c r="AL1488" s="10" t="s">
        <v>64</v>
      </c>
      <c r="AM1488" s="10" t="s">
        <v>14932</v>
      </c>
      <c r="AN1488" s="10" t="s">
        <v>50</v>
      </c>
      <c r="AO1488" s="11" t="s">
        <v>50</v>
      </c>
      <c r="AP1488" s="10" t="s">
        <v>50</v>
      </c>
      <c r="AQ1488" s="10" t="s">
        <v>50</v>
      </c>
      <c r="AR1488" s="10" t="s">
        <v>50</v>
      </c>
      <c r="AS1488" s="10" t="s">
        <v>50</v>
      </c>
      <c r="AT1488" s="10" t="s">
        <v>50</v>
      </c>
      <c r="AU1488" s="10" t="s">
        <v>50</v>
      </c>
      <c r="AV1488" s="11"/>
      <c r="AW1488" s="10" t="s">
        <v>66</v>
      </c>
      <c r="AX1488" s="10"/>
      <c r="AY1488" s="10" t="s">
        <v>66</v>
      </c>
    </row>
    <row r="1489" ht="22.5" hidden="1" customHeight="1">
      <c r="A1489" s="9" t="s">
        <v>14933</v>
      </c>
      <c r="B1489" s="10" t="s">
        <v>14934</v>
      </c>
      <c r="C1489" s="10" t="s">
        <v>43</v>
      </c>
      <c r="D1489" s="10" t="s">
        <v>13120</v>
      </c>
      <c r="E1489" s="10" t="s">
        <v>45</v>
      </c>
      <c r="F1489" s="11">
        <v>1.0</v>
      </c>
      <c r="G1489" s="11">
        <v>80.0</v>
      </c>
      <c r="H1489" s="11"/>
      <c r="I1489" s="11">
        <v>-13.6</v>
      </c>
      <c r="J1489" s="11">
        <v>-19.95</v>
      </c>
      <c r="K1489" s="11"/>
      <c r="L1489" s="11">
        <v>50.45</v>
      </c>
      <c r="M1489" s="10" t="s">
        <v>12218</v>
      </c>
      <c r="N1489" s="10" t="s">
        <v>45</v>
      </c>
      <c r="O1489" s="10" t="s">
        <v>143</v>
      </c>
      <c r="P1489" s="10" t="s">
        <v>144</v>
      </c>
      <c r="Q1489" s="10" t="s">
        <v>145</v>
      </c>
      <c r="R1489" s="10" t="s">
        <v>74</v>
      </c>
      <c r="S1489" s="11">
        <v>80.0</v>
      </c>
      <c r="T1489" s="11">
        <v>33.38</v>
      </c>
      <c r="U1489" s="11" t="s">
        <v>51</v>
      </c>
      <c r="V1489" s="10" t="s">
        <v>52</v>
      </c>
      <c r="W1489" s="10" t="s">
        <v>14935</v>
      </c>
      <c r="X1489" s="10" t="s">
        <v>14936</v>
      </c>
      <c r="Y1489" s="10" t="s">
        <v>14937</v>
      </c>
      <c r="Z1489" s="10" t="s">
        <v>50</v>
      </c>
      <c r="AA1489" s="10" t="s">
        <v>50</v>
      </c>
      <c r="AB1489" s="10" t="s">
        <v>14935</v>
      </c>
      <c r="AC1489" s="10" t="s">
        <v>14938</v>
      </c>
      <c r="AD1489" s="10" t="s">
        <v>14939</v>
      </c>
      <c r="AE1489" s="10" t="s">
        <v>11592</v>
      </c>
      <c r="AF1489" s="10" t="s">
        <v>185</v>
      </c>
      <c r="AG1489" s="10" t="s">
        <v>11593</v>
      </c>
      <c r="AH1489" s="10" t="s">
        <v>60</v>
      </c>
      <c r="AI1489" s="10" t="s">
        <v>13406</v>
      </c>
      <c r="AJ1489" s="10" t="s">
        <v>14940</v>
      </c>
      <c r="AK1489" s="10" t="s">
        <v>14941</v>
      </c>
      <c r="AL1489" s="10" t="s">
        <v>64</v>
      </c>
      <c r="AM1489" s="10" t="s">
        <v>14942</v>
      </c>
      <c r="AN1489" s="10" t="s">
        <v>50</v>
      </c>
      <c r="AO1489" s="11" t="s">
        <v>50</v>
      </c>
      <c r="AP1489" s="10" t="s">
        <v>50</v>
      </c>
      <c r="AQ1489" s="10" t="s">
        <v>50</v>
      </c>
      <c r="AR1489" s="10" t="s">
        <v>50</v>
      </c>
      <c r="AS1489" s="10" t="s">
        <v>50</v>
      </c>
      <c r="AT1489" s="10" t="s">
        <v>50</v>
      </c>
      <c r="AU1489" s="10" t="s">
        <v>50</v>
      </c>
      <c r="AV1489" s="11"/>
      <c r="AW1489" s="10" t="s">
        <v>66</v>
      </c>
      <c r="AX1489" s="10"/>
      <c r="AY1489" s="10" t="s">
        <v>66</v>
      </c>
    </row>
    <row r="1490" ht="22.5" hidden="1" customHeight="1">
      <c r="A1490" s="9" t="s">
        <v>14943</v>
      </c>
      <c r="B1490" s="10" t="s">
        <v>14944</v>
      </c>
      <c r="C1490" s="10" t="s">
        <v>43</v>
      </c>
      <c r="D1490" s="10" t="s">
        <v>14945</v>
      </c>
      <c r="E1490" s="10" t="s">
        <v>45</v>
      </c>
      <c r="F1490" s="11">
        <v>1.0</v>
      </c>
      <c r="G1490" s="11">
        <v>80.0</v>
      </c>
      <c r="H1490" s="11"/>
      <c r="I1490" s="11">
        <v>-13.6</v>
      </c>
      <c r="J1490" s="11">
        <v>-19.95</v>
      </c>
      <c r="K1490" s="11"/>
      <c r="L1490" s="11">
        <v>50.45</v>
      </c>
      <c r="M1490" s="10" t="s">
        <v>12218</v>
      </c>
      <c r="N1490" s="10" t="s">
        <v>45</v>
      </c>
      <c r="O1490" s="10" t="s">
        <v>143</v>
      </c>
      <c r="P1490" s="10" t="s">
        <v>144</v>
      </c>
      <c r="Q1490" s="10" t="s">
        <v>145</v>
      </c>
      <c r="R1490" s="10" t="s">
        <v>74</v>
      </c>
      <c r="S1490" s="11">
        <v>80.0</v>
      </c>
      <c r="T1490" s="11">
        <v>33.38</v>
      </c>
      <c r="U1490" s="11" t="s">
        <v>51</v>
      </c>
      <c r="V1490" s="10" t="s">
        <v>52</v>
      </c>
      <c r="W1490" s="10" t="s">
        <v>14946</v>
      </c>
      <c r="X1490" s="10" t="s">
        <v>14947</v>
      </c>
      <c r="Y1490" s="10" t="s">
        <v>14948</v>
      </c>
      <c r="Z1490" s="10" t="s">
        <v>50</v>
      </c>
      <c r="AA1490" s="10" t="s">
        <v>50</v>
      </c>
      <c r="AB1490" s="10" t="s">
        <v>14946</v>
      </c>
      <c r="AC1490" s="10" t="s">
        <v>14949</v>
      </c>
      <c r="AD1490" s="10" t="s">
        <v>14950</v>
      </c>
      <c r="AE1490" s="10" t="s">
        <v>151</v>
      </c>
      <c r="AF1490" s="10" t="s">
        <v>151</v>
      </c>
      <c r="AG1490" s="10" t="s">
        <v>14951</v>
      </c>
      <c r="AH1490" s="10" t="s">
        <v>60</v>
      </c>
      <c r="AI1490" s="10" t="s">
        <v>13406</v>
      </c>
      <c r="AJ1490" s="10" t="s">
        <v>14952</v>
      </c>
      <c r="AK1490" s="10" t="s">
        <v>14953</v>
      </c>
      <c r="AL1490" s="10" t="s">
        <v>64</v>
      </c>
      <c r="AM1490" s="10" t="s">
        <v>14954</v>
      </c>
      <c r="AN1490" s="10" t="s">
        <v>50</v>
      </c>
      <c r="AO1490" s="11" t="s">
        <v>50</v>
      </c>
      <c r="AP1490" s="10" t="s">
        <v>50</v>
      </c>
      <c r="AQ1490" s="10" t="s">
        <v>50</v>
      </c>
      <c r="AR1490" s="10" t="s">
        <v>50</v>
      </c>
      <c r="AS1490" s="10" t="s">
        <v>50</v>
      </c>
      <c r="AT1490" s="10" t="s">
        <v>50</v>
      </c>
      <c r="AU1490" s="10" t="s">
        <v>50</v>
      </c>
      <c r="AV1490" s="11"/>
      <c r="AW1490" s="10" t="s">
        <v>66</v>
      </c>
      <c r="AX1490" s="10"/>
      <c r="AY1490" s="10" t="s">
        <v>66</v>
      </c>
    </row>
    <row r="1491" ht="22.5" hidden="1" customHeight="1">
      <c r="A1491" s="9" t="s">
        <v>14955</v>
      </c>
      <c r="B1491" s="10" t="s">
        <v>14956</v>
      </c>
      <c r="C1491" s="10" t="s">
        <v>43</v>
      </c>
      <c r="D1491" s="10" t="s">
        <v>14923</v>
      </c>
      <c r="E1491" s="10" t="s">
        <v>66</v>
      </c>
      <c r="F1491" s="11">
        <v>1.0</v>
      </c>
      <c r="G1491" s="11">
        <v>43.7</v>
      </c>
      <c r="H1491" s="11">
        <v>14.15</v>
      </c>
      <c r="I1491" s="11">
        <v>-13.43</v>
      </c>
      <c r="J1491" s="11">
        <v>-14.15</v>
      </c>
      <c r="K1491" s="11"/>
      <c r="L1491" s="11">
        <v>32.89</v>
      </c>
      <c r="M1491" s="10" t="s">
        <v>12218</v>
      </c>
      <c r="N1491" s="10" t="s">
        <v>45</v>
      </c>
      <c r="O1491" s="10" t="s">
        <v>176</v>
      </c>
      <c r="P1491" s="10" t="s">
        <v>177</v>
      </c>
      <c r="Q1491" s="10" t="s">
        <v>178</v>
      </c>
      <c r="R1491" s="10" t="s">
        <v>74</v>
      </c>
      <c r="S1491" s="11">
        <v>43.7</v>
      </c>
      <c r="T1491" s="11">
        <v>22.58</v>
      </c>
      <c r="U1491" s="11" t="s">
        <v>51</v>
      </c>
      <c r="V1491" s="10" t="s">
        <v>52</v>
      </c>
      <c r="W1491" s="10" t="s">
        <v>14957</v>
      </c>
      <c r="X1491" s="10" t="s">
        <v>14958</v>
      </c>
      <c r="Y1491" s="10" t="s">
        <v>14959</v>
      </c>
      <c r="Z1491" s="10" t="s">
        <v>50</v>
      </c>
      <c r="AA1491" s="10" t="s">
        <v>50</v>
      </c>
      <c r="AB1491" s="10" t="s">
        <v>14957</v>
      </c>
      <c r="AC1491" s="10" t="s">
        <v>14960</v>
      </c>
      <c r="AD1491" s="10" t="s">
        <v>14961</v>
      </c>
      <c r="AE1491" s="10" t="s">
        <v>4633</v>
      </c>
      <c r="AF1491" s="10" t="s">
        <v>58</v>
      </c>
      <c r="AG1491" s="10" t="s">
        <v>14962</v>
      </c>
      <c r="AH1491" s="10" t="s">
        <v>60</v>
      </c>
      <c r="AI1491" s="10" t="s">
        <v>13406</v>
      </c>
      <c r="AJ1491" s="10" t="s">
        <v>14930</v>
      </c>
      <c r="AK1491" s="10" t="s">
        <v>14963</v>
      </c>
      <c r="AL1491" s="10" t="s">
        <v>64</v>
      </c>
      <c r="AM1491" s="10" t="s">
        <v>14964</v>
      </c>
      <c r="AN1491" s="10" t="s">
        <v>50</v>
      </c>
      <c r="AO1491" s="11" t="s">
        <v>50</v>
      </c>
      <c r="AP1491" s="10" t="s">
        <v>50</v>
      </c>
      <c r="AQ1491" s="10" t="s">
        <v>50</v>
      </c>
      <c r="AR1491" s="10" t="s">
        <v>50</v>
      </c>
      <c r="AS1491" s="10" t="s">
        <v>50</v>
      </c>
      <c r="AT1491" s="10" t="s">
        <v>50</v>
      </c>
      <c r="AU1491" s="10" t="s">
        <v>50</v>
      </c>
      <c r="AV1491" s="11"/>
      <c r="AW1491" s="10" t="s">
        <v>66</v>
      </c>
      <c r="AX1491" s="10"/>
      <c r="AY1491" s="10" t="s">
        <v>66</v>
      </c>
    </row>
    <row r="1492" ht="22.5" hidden="1" customHeight="1">
      <c r="A1492" s="9" t="s">
        <v>14965</v>
      </c>
      <c r="B1492" s="10" t="s">
        <v>14966</v>
      </c>
      <c r="C1492" s="10" t="s">
        <v>43</v>
      </c>
      <c r="D1492" s="10" t="s">
        <v>14945</v>
      </c>
      <c r="E1492" s="10" t="s">
        <v>66</v>
      </c>
      <c r="F1492" s="11">
        <v>1.0</v>
      </c>
      <c r="G1492" s="11">
        <v>80.0</v>
      </c>
      <c r="H1492" s="11"/>
      <c r="I1492" s="11">
        <v>-13.6</v>
      </c>
      <c r="J1492" s="11">
        <v>-19.95</v>
      </c>
      <c r="K1492" s="11"/>
      <c r="L1492" s="11">
        <v>50.45</v>
      </c>
      <c r="M1492" s="10" t="s">
        <v>12218</v>
      </c>
      <c r="N1492" s="10" t="s">
        <v>50</v>
      </c>
      <c r="O1492" s="10" t="s">
        <v>143</v>
      </c>
      <c r="P1492" s="10" t="s">
        <v>144</v>
      </c>
      <c r="Q1492" s="10" t="s">
        <v>145</v>
      </c>
      <c r="R1492" s="10" t="s">
        <v>74</v>
      </c>
      <c r="S1492" s="11">
        <v>80.0</v>
      </c>
      <c r="T1492" s="11">
        <v>33.38</v>
      </c>
      <c r="U1492" s="11" t="s">
        <v>51</v>
      </c>
      <c r="V1492" s="10" t="s">
        <v>52</v>
      </c>
      <c r="W1492" s="10" t="s">
        <v>14967</v>
      </c>
      <c r="X1492" s="10" t="s">
        <v>14968</v>
      </c>
      <c r="Y1492" s="10" t="s">
        <v>14969</v>
      </c>
      <c r="Z1492" s="10" t="s">
        <v>50</v>
      </c>
      <c r="AA1492" s="10" t="s">
        <v>50</v>
      </c>
      <c r="AB1492" s="10" t="s">
        <v>14967</v>
      </c>
      <c r="AC1492" s="10" t="s">
        <v>14970</v>
      </c>
      <c r="AD1492" s="10" t="s">
        <v>14971</v>
      </c>
      <c r="AE1492" s="10" t="s">
        <v>14972</v>
      </c>
      <c r="AF1492" s="10" t="s">
        <v>323</v>
      </c>
      <c r="AG1492" s="10" t="s">
        <v>14973</v>
      </c>
      <c r="AH1492" s="10" t="s">
        <v>60</v>
      </c>
      <c r="AI1492" s="10" t="s">
        <v>13406</v>
      </c>
      <c r="AJ1492" s="10" t="s">
        <v>14974</v>
      </c>
      <c r="AK1492" s="10" t="s">
        <v>14975</v>
      </c>
      <c r="AL1492" s="10" t="s">
        <v>64</v>
      </c>
      <c r="AM1492" s="10" t="s">
        <v>14976</v>
      </c>
      <c r="AN1492" s="10" t="s">
        <v>50</v>
      </c>
      <c r="AO1492" s="11" t="s">
        <v>50</v>
      </c>
      <c r="AP1492" s="10" t="s">
        <v>50</v>
      </c>
      <c r="AQ1492" s="10" t="s">
        <v>50</v>
      </c>
      <c r="AR1492" s="10" t="s">
        <v>50</v>
      </c>
      <c r="AS1492" s="10" t="s">
        <v>50</v>
      </c>
      <c r="AT1492" s="10" t="s">
        <v>50</v>
      </c>
      <c r="AU1492" s="10" t="s">
        <v>50</v>
      </c>
      <c r="AV1492" s="11"/>
      <c r="AW1492" s="10" t="s">
        <v>66</v>
      </c>
      <c r="AX1492" s="10"/>
      <c r="AY1492" s="10" t="s">
        <v>66</v>
      </c>
    </row>
    <row r="1493" ht="22.5" hidden="1" customHeight="1">
      <c r="A1493" s="9" t="s">
        <v>14977</v>
      </c>
      <c r="B1493" s="10" t="s">
        <v>14978</v>
      </c>
      <c r="C1493" s="10" t="s">
        <v>43</v>
      </c>
      <c r="D1493" s="10" t="s">
        <v>14923</v>
      </c>
      <c r="E1493" s="10" t="s">
        <v>45</v>
      </c>
      <c r="F1493" s="11">
        <v>1.0</v>
      </c>
      <c r="G1493" s="11">
        <v>43.7</v>
      </c>
      <c r="H1493" s="11">
        <v>11.11</v>
      </c>
      <c r="I1493" s="11">
        <v>-13.43</v>
      </c>
      <c r="J1493" s="11">
        <v>-11.11</v>
      </c>
      <c r="K1493" s="11"/>
      <c r="L1493" s="11">
        <v>32.89</v>
      </c>
      <c r="M1493" s="10" t="s">
        <v>12218</v>
      </c>
      <c r="N1493" s="10" t="s">
        <v>50</v>
      </c>
      <c r="O1493" s="10" t="s">
        <v>176</v>
      </c>
      <c r="P1493" s="10" t="s">
        <v>177</v>
      </c>
      <c r="Q1493" s="10" t="s">
        <v>178</v>
      </c>
      <c r="R1493" s="10" t="s">
        <v>74</v>
      </c>
      <c r="S1493" s="11">
        <v>43.7</v>
      </c>
      <c r="T1493" s="11">
        <v>22.58</v>
      </c>
      <c r="U1493" s="11" t="s">
        <v>51</v>
      </c>
      <c r="V1493" s="10" t="s">
        <v>52</v>
      </c>
      <c r="W1493" s="10" t="s">
        <v>14979</v>
      </c>
      <c r="X1493" s="10" t="s">
        <v>14980</v>
      </c>
      <c r="Y1493" s="10" t="s">
        <v>14981</v>
      </c>
      <c r="Z1493" s="10" t="s">
        <v>50</v>
      </c>
      <c r="AA1493" s="10" t="s">
        <v>50</v>
      </c>
      <c r="AB1493" s="10" t="s">
        <v>14979</v>
      </c>
      <c r="AC1493" s="10" t="s">
        <v>14982</v>
      </c>
      <c r="AD1493" s="10" t="s">
        <v>14983</v>
      </c>
      <c r="AE1493" s="10" t="s">
        <v>1010</v>
      </c>
      <c r="AF1493" s="10" t="s">
        <v>58</v>
      </c>
      <c r="AG1493" s="10" t="s">
        <v>14984</v>
      </c>
      <c r="AH1493" s="10" t="s">
        <v>60</v>
      </c>
      <c r="AI1493" s="10" t="s">
        <v>13406</v>
      </c>
      <c r="AJ1493" s="10" t="s">
        <v>14930</v>
      </c>
      <c r="AK1493" s="10" t="s">
        <v>14985</v>
      </c>
      <c r="AL1493" s="10" t="s">
        <v>64</v>
      </c>
      <c r="AM1493" s="10" t="s">
        <v>14986</v>
      </c>
      <c r="AN1493" s="10" t="s">
        <v>50</v>
      </c>
      <c r="AO1493" s="11" t="s">
        <v>50</v>
      </c>
      <c r="AP1493" s="10" t="s">
        <v>50</v>
      </c>
      <c r="AQ1493" s="10" t="s">
        <v>50</v>
      </c>
      <c r="AR1493" s="10" t="s">
        <v>50</v>
      </c>
      <c r="AS1493" s="10" t="s">
        <v>50</v>
      </c>
      <c r="AT1493" s="10" t="s">
        <v>50</v>
      </c>
      <c r="AU1493" s="10" t="s">
        <v>50</v>
      </c>
      <c r="AV1493" s="11"/>
      <c r="AW1493" s="10" t="s">
        <v>66</v>
      </c>
      <c r="AX1493" s="10"/>
      <c r="AY1493" s="10" t="s">
        <v>66</v>
      </c>
    </row>
    <row r="1494" ht="22.5" hidden="1" customHeight="1">
      <c r="A1494" s="9" t="s">
        <v>14987</v>
      </c>
      <c r="B1494" s="10" t="s">
        <v>14988</v>
      </c>
      <c r="C1494" s="10" t="s">
        <v>43</v>
      </c>
      <c r="D1494" s="10" t="s">
        <v>14945</v>
      </c>
      <c r="E1494" s="10" t="s">
        <v>45</v>
      </c>
      <c r="F1494" s="11">
        <v>1.0</v>
      </c>
      <c r="G1494" s="11">
        <v>80.3</v>
      </c>
      <c r="H1494" s="11"/>
      <c r="I1494" s="11">
        <v>-13.65</v>
      </c>
      <c r="J1494" s="11">
        <v>-20.45</v>
      </c>
      <c r="K1494" s="11"/>
      <c r="L1494" s="11">
        <v>46.2</v>
      </c>
      <c r="M1494" s="10" t="s">
        <v>12218</v>
      </c>
      <c r="N1494" s="10" t="s">
        <v>45</v>
      </c>
      <c r="O1494" s="10" t="s">
        <v>127</v>
      </c>
      <c r="P1494" s="10" t="s">
        <v>128</v>
      </c>
      <c r="Q1494" s="10" t="s">
        <v>129</v>
      </c>
      <c r="R1494" s="10" t="s">
        <v>74</v>
      </c>
      <c r="S1494" s="11">
        <v>80.3</v>
      </c>
      <c r="T1494" s="11">
        <v>17.68</v>
      </c>
      <c r="U1494" s="11" t="s">
        <v>51</v>
      </c>
      <c r="V1494" s="10" t="s">
        <v>52</v>
      </c>
      <c r="W1494" s="10" t="s">
        <v>14989</v>
      </c>
      <c r="X1494" s="10" t="s">
        <v>14990</v>
      </c>
      <c r="Y1494" s="10" t="s">
        <v>14991</v>
      </c>
      <c r="Z1494" s="10" t="s">
        <v>50</v>
      </c>
      <c r="AA1494" s="10" t="s">
        <v>50</v>
      </c>
      <c r="AB1494" s="10" t="s">
        <v>14989</v>
      </c>
      <c r="AC1494" s="10" t="s">
        <v>14992</v>
      </c>
      <c r="AD1494" s="10" t="s">
        <v>14993</v>
      </c>
      <c r="AE1494" s="10" t="s">
        <v>14994</v>
      </c>
      <c r="AF1494" s="10" t="s">
        <v>151</v>
      </c>
      <c r="AG1494" s="10" t="s">
        <v>14995</v>
      </c>
      <c r="AH1494" s="10" t="s">
        <v>60</v>
      </c>
      <c r="AI1494" s="10" t="s">
        <v>13406</v>
      </c>
      <c r="AJ1494" s="10" t="s">
        <v>14996</v>
      </c>
      <c r="AK1494" s="10" t="s">
        <v>14997</v>
      </c>
      <c r="AL1494" s="10" t="s">
        <v>64</v>
      </c>
      <c r="AM1494" s="10" t="s">
        <v>14998</v>
      </c>
      <c r="AN1494" s="10" t="s">
        <v>50</v>
      </c>
      <c r="AO1494" s="11" t="s">
        <v>50</v>
      </c>
      <c r="AP1494" s="10" t="s">
        <v>50</v>
      </c>
      <c r="AQ1494" s="10" t="s">
        <v>50</v>
      </c>
      <c r="AR1494" s="10" t="s">
        <v>50</v>
      </c>
      <c r="AS1494" s="10" t="s">
        <v>50</v>
      </c>
      <c r="AT1494" s="10" t="s">
        <v>50</v>
      </c>
      <c r="AU1494" s="10" t="s">
        <v>50</v>
      </c>
      <c r="AV1494" s="11"/>
      <c r="AW1494" s="10" t="s">
        <v>66</v>
      </c>
      <c r="AX1494" s="10"/>
      <c r="AY1494" s="10" t="s">
        <v>66</v>
      </c>
    </row>
    <row r="1495" ht="22.5" hidden="1" customHeight="1">
      <c r="A1495" s="9" t="s">
        <v>14999</v>
      </c>
      <c r="B1495" s="10" t="s">
        <v>15000</v>
      </c>
      <c r="C1495" s="10" t="s">
        <v>43</v>
      </c>
      <c r="D1495" s="10" t="s">
        <v>13120</v>
      </c>
      <c r="E1495" s="10" t="s">
        <v>66</v>
      </c>
      <c r="F1495" s="11">
        <v>1.0</v>
      </c>
      <c r="G1495" s="11">
        <v>120.0</v>
      </c>
      <c r="H1495" s="11">
        <v>7.55</v>
      </c>
      <c r="I1495" s="11">
        <v>-20.4</v>
      </c>
      <c r="J1495" s="11">
        <v>-27.5</v>
      </c>
      <c r="K1495" s="11"/>
      <c r="L1495" s="11">
        <v>86.85</v>
      </c>
      <c r="M1495" s="10" t="s">
        <v>12218</v>
      </c>
      <c r="N1495" s="10" t="s">
        <v>45</v>
      </c>
      <c r="O1495" s="10" t="s">
        <v>85</v>
      </c>
      <c r="P1495" s="10" t="s">
        <v>86</v>
      </c>
      <c r="Q1495" s="10" t="s">
        <v>87</v>
      </c>
      <c r="R1495" s="10" t="s">
        <v>74</v>
      </c>
      <c r="S1495" s="11">
        <v>120.0</v>
      </c>
      <c r="T1495" s="11">
        <v>65.78</v>
      </c>
      <c r="U1495" s="11" t="s">
        <v>51</v>
      </c>
      <c r="V1495" s="10" t="s">
        <v>52</v>
      </c>
      <c r="W1495" s="10" t="s">
        <v>15001</v>
      </c>
      <c r="X1495" s="10" t="s">
        <v>15002</v>
      </c>
      <c r="Y1495" s="10" t="s">
        <v>15003</v>
      </c>
      <c r="Z1495" s="10" t="s">
        <v>50</v>
      </c>
      <c r="AA1495" s="10" t="s">
        <v>50</v>
      </c>
      <c r="AB1495" s="10" t="s">
        <v>15001</v>
      </c>
      <c r="AC1495" s="10" t="s">
        <v>15004</v>
      </c>
      <c r="AD1495" s="10" t="s">
        <v>15005</v>
      </c>
      <c r="AE1495" s="10" t="s">
        <v>15006</v>
      </c>
      <c r="AF1495" s="10" t="s">
        <v>1417</v>
      </c>
      <c r="AG1495" s="10" t="s">
        <v>15007</v>
      </c>
      <c r="AH1495" s="10" t="s">
        <v>60</v>
      </c>
      <c r="AI1495" s="10" t="s">
        <v>13406</v>
      </c>
      <c r="AJ1495" s="10" t="s">
        <v>15008</v>
      </c>
      <c r="AK1495" s="10" t="s">
        <v>15009</v>
      </c>
      <c r="AL1495" s="10" t="s">
        <v>64</v>
      </c>
      <c r="AM1495" s="10" t="s">
        <v>15010</v>
      </c>
      <c r="AN1495" s="10" t="s">
        <v>50</v>
      </c>
      <c r="AO1495" s="11" t="s">
        <v>50</v>
      </c>
      <c r="AP1495" s="10" t="s">
        <v>50</v>
      </c>
      <c r="AQ1495" s="10" t="s">
        <v>50</v>
      </c>
      <c r="AR1495" s="10" t="s">
        <v>50</v>
      </c>
      <c r="AS1495" s="10" t="s">
        <v>50</v>
      </c>
      <c r="AT1495" s="10" t="s">
        <v>50</v>
      </c>
      <c r="AU1495" s="10" t="s">
        <v>50</v>
      </c>
      <c r="AV1495" s="11"/>
      <c r="AW1495" s="10" t="s">
        <v>66</v>
      </c>
      <c r="AX1495" s="10"/>
      <c r="AY1495" s="10" t="s">
        <v>66</v>
      </c>
    </row>
    <row r="1496" ht="22.5" hidden="1" customHeight="1">
      <c r="A1496" s="9" t="s">
        <v>15011</v>
      </c>
      <c r="B1496" s="10" t="s">
        <v>15012</v>
      </c>
      <c r="C1496" s="10" t="s">
        <v>43</v>
      </c>
      <c r="D1496" s="10" t="s">
        <v>14923</v>
      </c>
      <c r="E1496" s="10" t="s">
        <v>66</v>
      </c>
      <c r="F1496" s="11">
        <v>1.0</v>
      </c>
      <c r="G1496" s="11">
        <v>43.7</v>
      </c>
      <c r="H1496" s="11">
        <v>14.15</v>
      </c>
      <c r="I1496" s="11">
        <v>-13.43</v>
      </c>
      <c r="J1496" s="11">
        <v>-14.15</v>
      </c>
      <c r="K1496" s="11"/>
      <c r="L1496" s="11">
        <v>32.89</v>
      </c>
      <c r="M1496" s="10" t="s">
        <v>12218</v>
      </c>
      <c r="N1496" s="10" t="s">
        <v>50</v>
      </c>
      <c r="O1496" s="10" t="s">
        <v>176</v>
      </c>
      <c r="P1496" s="10" t="s">
        <v>177</v>
      </c>
      <c r="Q1496" s="10" t="s">
        <v>178</v>
      </c>
      <c r="R1496" s="10" t="s">
        <v>74</v>
      </c>
      <c r="S1496" s="11">
        <v>43.7</v>
      </c>
      <c r="T1496" s="11">
        <v>22.58</v>
      </c>
      <c r="U1496" s="11" t="s">
        <v>51</v>
      </c>
      <c r="V1496" s="10" t="s">
        <v>52</v>
      </c>
      <c r="W1496" s="10" t="s">
        <v>15013</v>
      </c>
      <c r="X1496" s="10" t="s">
        <v>15014</v>
      </c>
      <c r="Y1496" s="10" t="s">
        <v>15015</v>
      </c>
      <c r="Z1496" s="10" t="s">
        <v>50</v>
      </c>
      <c r="AA1496" s="10" t="s">
        <v>50</v>
      </c>
      <c r="AB1496" s="10" t="s">
        <v>15013</v>
      </c>
      <c r="AC1496" s="10" t="s">
        <v>15016</v>
      </c>
      <c r="AD1496" s="10" t="s">
        <v>15017</v>
      </c>
      <c r="AE1496" s="10" t="s">
        <v>15018</v>
      </c>
      <c r="AF1496" s="10" t="s">
        <v>58</v>
      </c>
      <c r="AG1496" s="10" t="s">
        <v>15019</v>
      </c>
      <c r="AH1496" s="10" t="s">
        <v>60</v>
      </c>
      <c r="AI1496" s="10" t="s">
        <v>13406</v>
      </c>
      <c r="AJ1496" s="10" t="s">
        <v>15008</v>
      </c>
      <c r="AK1496" s="10" t="s">
        <v>15020</v>
      </c>
      <c r="AL1496" s="10" t="s">
        <v>64</v>
      </c>
      <c r="AM1496" s="10" t="s">
        <v>15021</v>
      </c>
      <c r="AN1496" s="10" t="s">
        <v>50</v>
      </c>
      <c r="AO1496" s="11" t="s">
        <v>50</v>
      </c>
      <c r="AP1496" s="10" t="s">
        <v>50</v>
      </c>
      <c r="AQ1496" s="10" t="s">
        <v>50</v>
      </c>
      <c r="AR1496" s="10" t="s">
        <v>50</v>
      </c>
      <c r="AS1496" s="10" t="s">
        <v>50</v>
      </c>
      <c r="AT1496" s="10" t="s">
        <v>50</v>
      </c>
      <c r="AU1496" s="10" t="s">
        <v>50</v>
      </c>
      <c r="AV1496" s="11"/>
      <c r="AW1496" s="10" t="s">
        <v>66</v>
      </c>
      <c r="AX1496" s="10"/>
      <c r="AY1496" s="10" t="s">
        <v>66</v>
      </c>
    </row>
    <row r="1497" ht="22.5" hidden="1" customHeight="1">
      <c r="A1497" s="9" t="s">
        <v>15022</v>
      </c>
      <c r="B1497" s="10" t="s">
        <v>15023</v>
      </c>
      <c r="C1497" s="10" t="s">
        <v>43</v>
      </c>
      <c r="D1497" s="10" t="s">
        <v>13049</v>
      </c>
      <c r="E1497" s="10" t="s">
        <v>66</v>
      </c>
      <c r="F1497" s="11">
        <v>1.0</v>
      </c>
      <c r="G1497" s="11">
        <v>120.0</v>
      </c>
      <c r="H1497" s="11"/>
      <c r="I1497" s="11">
        <v>-20.4</v>
      </c>
      <c r="J1497" s="11">
        <v>-19.95</v>
      </c>
      <c r="K1497" s="11"/>
      <c r="L1497" s="11">
        <v>86.85</v>
      </c>
      <c r="M1497" s="10" t="s">
        <v>12218</v>
      </c>
      <c r="N1497" s="10" t="s">
        <v>45</v>
      </c>
      <c r="O1497" s="10" t="s">
        <v>85</v>
      </c>
      <c r="P1497" s="10" t="s">
        <v>86</v>
      </c>
      <c r="Q1497" s="10" t="s">
        <v>87</v>
      </c>
      <c r="R1497" s="10" t="s">
        <v>74</v>
      </c>
      <c r="S1497" s="11">
        <v>120.0</v>
      </c>
      <c r="T1497" s="11">
        <v>65.78</v>
      </c>
      <c r="U1497" s="11" t="s">
        <v>51</v>
      </c>
      <c r="V1497" s="10" t="s">
        <v>52</v>
      </c>
      <c r="W1497" s="10" t="s">
        <v>15024</v>
      </c>
      <c r="X1497" s="10" t="s">
        <v>15025</v>
      </c>
      <c r="Y1497" s="10" t="s">
        <v>15026</v>
      </c>
      <c r="Z1497" s="10" t="s">
        <v>50</v>
      </c>
      <c r="AA1497" s="10" t="s">
        <v>50</v>
      </c>
      <c r="AB1497" s="10" t="s">
        <v>15024</v>
      </c>
      <c r="AC1497" s="10" t="s">
        <v>15027</v>
      </c>
      <c r="AD1497" s="10" t="s">
        <v>15028</v>
      </c>
      <c r="AE1497" s="10" t="s">
        <v>15029</v>
      </c>
      <c r="AF1497" s="10" t="s">
        <v>2158</v>
      </c>
      <c r="AG1497" s="10" t="s">
        <v>15030</v>
      </c>
      <c r="AH1497" s="10" t="s">
        <v>60</v>
      </c>
      <c r="AI1497" s="10" t="s">
        <v>13406</v>
      </c>
      <c r="AJ1497" s="10" t="s">
        <v>14940</v>
      </c>
      <c r="AK1497" s="10" t="s">
        <v>15031</v>
      </c>
      <c r="AL1497" s="10" t="s">
        <v>64</v>
      </c>
      <c r="AM1497" s="10" t="s">
        <v>15032</v>
      </c>
      <c r="AN1497" s="10" t="s">
        <v>50</v>
      </c>
      <c r="AO1497" s="11" t="s">
        <v>50</v>
      </c>
      <c r="AP1497" s="10" t="s">
        <v>50</v>
      </c>
      <c r="AQ1497" s="10" t="s">
        <v>50</v>
      </c>
      <c r="AR1497" s="10" t="s">
        <v>50</v>
      </c>
      <c r="AS1497" s="10" t="s">
        <v>50</v>
      </c>
      <c r="AT1497" s="10" t="s">
        <v>50</v>
      </c>
      <c r="AU1497" s="10" t="s">
        <v>50</v>
      </c>
      <c r="AV1497" s="11"/>
      <c r="AW1497" s="10" t="s">
        <v>66</v>
      </c>
      <c r="AX1497" s="10"/>
      <c r="AY1497" s="10" t="s">
        <v>66</v>
      </c>
    </row>
    <row r="1498" ht="22.5" hidden="1" customHeight="1">
      <c r="A1498" s="9" t="s">
        <v>15033</v>
      </c>
      <c r="B1498" s="10" t="s">
        <v>15034</v>
      </c>
      <c r="C1498" s="10" t="s">
        <v>43</v>
      </c>
      <c r="D1498" s="10" t="s">
        <v>14923</v>
      </c>
      <c r="E1498" s="10" t="s">
        <v>66</v>
      </c>
      <c r="F1498" s="11">
        <v>1.0</v>
      </c>
      <c r="G1498" s="11">
        <v>105.0</v>
      </c>
      <c r="H1498" s="11"/>
      <c r="I1498" s="11">
        <v>-19.95</v>
      </c>
      <c r="J1498" s="11">
        <v>-19.95</v>
      </c>
      <c r="K1498" s="11"/>
      <c r="L1498" s="11">
        <v>65.1</v>
      </c>
      <c r="M1498" s="10" t="s">
        <v>12218</v>
      </c>
      <c r="N1498" s="10" t="s">
        <v>45</v>
      </c>
      <c r="O1498" s="10" t="s">
        <v>100</v>
      </c>
      <c r="P1498" s="10" t="s">
        <v>101</v>
      </c>
      <c r="Q1498" s="10" t="s">
        <v>102</v>
      </c>
      <c r="R1498" s="10" t="s">
        <v>50</v>
      </c>
      <c r="S1498" s="11">
        <v>105.0</v>
      </c>
      <c r="T1498" s="11">
        <v>38.61</v>
      </c>
      <c r="U1498" s="11" t="s">
        <v>51</v>
      </c>
      <c r="V1498" s="10" t="s">
        <v>52</v>
      </c>
      <c r="W1498" s="10" t="s">
        <v>15035</v>
      </c>
      <c r="X1498" s="10" t="s">
        <v>15036</v>
      </c>
      <c r="Y1498" s="10" t="s">
        <v>15037</v>
      </c>
      <c r="Z1498" s="10" t="s">
        <v>50</v>
      </c>
      <c r="AA1498" s="10" t="s">
        <v>50</v>
      </c>
      <c r="AB1498" s="10" t="s">
        <v>15035</v>
      </c>
      <c r="AC1498" s="10" t="s">
        <v>15038</v>
      </c>
      <c r="AD1498" s="10" t="s">
        <v>15039</v>
      </c>
      <c r="AE1498" s="10" t="s">
        <v>833</v>
      </c>
      <c r="AF1498" s="10" t="s">
        <v>58</v>
      </c>
      <c r="AG1498" s="10" t="s">
        <v>15040</v>
      </c>
      <c r="AH1498" s="10" t="s">
        <v>60</v>
      </c>
      <c r="AI1498" s="10" t="s">
        <v>13406</v>
      </c>
      <c r="AJ1498" s="10" t="s">
        <v>14930</v>
      </c>
      <c r="AK1498" s="10" t="s">
        <v>15041</v>
      </c>
      <c r="AL1498" s="10" t="s">
        <v>64</v>
      </c>
      <c r="AM1498" s="10" t="s">
        <v>15042</v>
      </c>
      <c r="AN1498" s="10" t="s">
        <v>50</v>
      </c>
      <c r="AO1498" s="11" t="s">
        <v>50</v>
      </c>
      <c r="AP1498" s="10" t="s">
        <v>50</v>
      </c>
      <c r="AQ1498" s="10" t="s">
        <v>50</v>
      </c>
      <c r="AR1498" s="10" t="s">
        <v>50</v>
      </c>
      <c r="AS1498" s="10" t="s">
        <v>50</v>
      </c>
      <c r="AT1498" s="10" t="s">
        <v>50</v>
      </c>
      <c r="AU1498" s="10" t="s">
        <v>50</v>
      </c>
      <c r="AV1498" s="11"/>
      <c r="AW1498" s="10" t="s">
        <v>66</v>
      </c>
      <c r="AX1498" s="10"/>
      <c r="AY1498" s="10" t="s">
        <v>66</v>
      </c>
    </row>
    <row r="1499" ht="22.5" hidden="1" customHeight="1">
      <c r="A1499" s="9" t="s">
        <v>15043</v>
      </c>
      <c r="B1499" s="10" t="s">
        <v>15044</v>
      </c>
      <c r="C1499" s="10" t="s">
        <v>43</v>
      </c>
      <c r="D1499" s="10" t="s">
        <v>13175</v>
      </c>
      <c r="E1499" s="10" t="s">
        <v>66</v>
      </c>
      <c r="F1499" s="11">
        <v>1.0</v>
      </c>
      <c r="G1499" s="11">
        <v>80.0</v>
      </c>
      <c r="H1499" s="11"/>
      <c r="I1499" s="11">
        <v>-13.6</v>
      </c>
      <c r="J1499" s="11">
        <v>-19.95</v>
      </c>
      <c r="K1499" s="11"/>
      <c r="L1499" s="11">
        <v>50.45</v>
      </c>
      <c r="M1499" s="10" t="s">
        <v>12218</v>
      </c>
      <c r="N1499" s="10" t="s">
        <v>50</v>
      </c>
      <c r="O1499" s="10" t="s">
        <v>143</v>
      </c>
      <c r="P1499" s="10" t="s">
        <v>144</v>
      </c>
      <c r="Q1499" s="10" t="s">
        <v>145</v>
      </c>
      <c r="R1499" s="10" t="s">
        <v>74</v>
      </c>
      <c r="S1499" s="11">
        <v>80.0</v>
      </c>
      <c r="T1499" s="11">
        <v>33.38</v>
      </c>
      <c r="U1499" s="11" t="s">
        <v>51</v>
      </c>
      <c r="V1499" s="10" t="s">
        <v>52</v>
      </c>
      <c r="W1499" s="10" t="s">
        <v>15045</v>
      </c>
      <c r="X1499" s="10" t="s">
        <v>15046</v>
      </c>
      <c r="Y1499" s="10" t="s">
        <v>15047</v>
      </c>
      <c r="Z1499" s="10" t="s">
        <v>50</v>
      </c>
      <c r="AA1499" s="10" t="s">
        <v>50</v>
      </c>
      <c r="AB1499" s="10" t="s">
        <v>15045</v>
      </c>
      <c r="AC1499" s="10" t="s">
        <v>15048</v>
      </c>
      <c r="AD1499" s="10" t="s">
        <v>15049</v>
      </c>
      <c r="AE1499" s="10" t="s">
        <v>58</v>
      </c>
      <c r="AF1499" s="10" t="s">
        <v>58</v>
      </c>
      <c r="AG1499" s="10" t="s">
        <v>15050</v>
      </c>
      <c r="AH1499" s="10" t="s">
        <v>60</v>
      </c>
      <c r="AI1499" s="10" t="s">
        <v>13406</v>
      </c>
      <c r="AJ1499" s="10" t="s">
        <v>14930</v>
      </c>
      <c r="AK1499" s="10" t="s">
        <v>15051</v>
      </c>
      <c r="AL1499" s="10" t="s">
        <v>64</v>
      </c>
      <c r="AM1499" s="10" t="s">
        <v>15052</v>
      </c>
      <c r="AN1499" s="10" t="s">
        <v>50</v>
      </c>
      <c r="AO1499" s="11" t="s">
        <v>50</v>
      </c>
      <c r="AP1499" s="10" t="s">
        <v>50</v>
      </c>
      <c r="AQ1499" s="10" t="s">
        <v>50</v>
      </c>
      <c r="AR1499" s="10" t="s">
        <v>50</v>
      </c>
      <c r="AS1499" s="10" t="s">
        <v>50</v>
      </c>
      <c r="AT1499" s="10" t="s">
        <v>50</v>
      </c>
      <c r="AU1499" s="10" t="s">
        <v>50</v>
      </c>
      <c r="AV1499" s="11"/>
      <c r="AW1499" s="10" t="s">
        <v>66</v>
      </c>
      <c r="AX1499" s="10"/>
      <c r="AY1499" s="10" t="s">
        <v>66</v>
      </c>
    </row>
    <row r="1500" ht="22.5" hidden="1" customHeight="1">
      <c r="A1500" s="9" t="s">
        <v>15053</v>
      </c>
      <c r="B1500" s="10" t="s">
        <v>15054</v>
      </c>
      <c r="C1500" s="10" t="s">
        <v>43</v>
      </c>
      <c r="D1500" s="10" t="s">
        <v>13108</v>
      </c>
      <c r="E1500" s="10" t="s">
        <v>66</v>
      </c>
      <c r="F1500" s="11">
        <v>1.0</v>
      </c>
      <c r="G1500" s="11">
        <v>43.7</v>
      </c>
      <c r="H1500" s="11">
        <v>13.87</v>
      </c>
      <c r="I1500" s="11">
        <v>-13.43</v>
      </c>
      <c r="J1500" s="11">
        <v>-13.87</v>
      </c>
      <c r="K1500" s="11"/>
      <c r="L1500" s="11">
        <v>32.89</v>
      </c>
      <c r="M1500" s="10" t="s">
        <v>12218</v>
      </c>
      <c r="N1500" s="10" t="s">
        <v>50</v>
      </c>
      <c r="O1500" s="10" t="s">
        <v>176</v>
      </c>
      <c r="P1500" s="10" t="s">
        <v>177</v>
      </c>
      <c r="Q1500" s="10" t="s">
        <v>178</v>
      </c>
      <c r="R1500" s="10" t="s">
        <v>74</v>
      </c>
      <c r="S1500" s="11">
        <v>43.7</v>
      </c>
      <c r="T1500" s="11">
        <v>22.58</v>
      </c>
      <c r="U1500" s="11" t="s">
        <v>51</v>
      </c>
      <c r="V1500" s="10" t="s">
        <v>52</v>
      </c>
      <c r="W1500" s="10" t="s">
        <v>15055</v>
      </c>
      <c r="X1500" s="10" t="s">
        <v>15056</v>
      </c>
      <c r="Y1500" s="10" t="s">
        <v>15057</v>
      </c>
      <c r="Z1500" s="10" t="s">
        <v>50</v>
      </c>
      <c r="AA1500" s="10" t="s">
        <v>50</v>
      </c>
      <c r="AB1500" s="10" t="s">
        <v>15055</v>
      </c>
      <c r="AC1500" s="10" t="s">
        <v>15058</v>
      </c>
      <c r="AD1500" s="10" t="s">
        <v>15059</v>
      </c>
      <c r="AE1500" s="10" t="s">
        <v>58</v>
      </c>
      <c r="AF1500" s="10" t="s">
        <v>58</v>
      </c>
      <c r="AG1500" s="10" t="s">
        <v>15060</v>
      </c>
      <c r="AH1500" s="10" t="s">
        <v>60</v>
      </c>
      <c r="AI1500" s="10" t="s">
        <v>13406</v>
      </c>
      <c r="AJ1500" s="10" t="s">
        <v>15008</v>
      </c>
      <c r="AK1500" s="10" t="s">
        <v>15061</v>
      </c>
      <c r="AL1500" s="10" t="s">
        <v>64</v>
      </c>
      <c r="AM1500" s="10" t="s">
        <v>15062</v>
      </c>
      <c r="AN1500" s="10" t="s">
        <v>15063</v>
      </c>
      <c r="AO1500" s="11" t="s">
        <v>50</v>
      </c>
      <c r="AP1500" s="10" t="s">
        <v>50</v>
      </c>
      <c r="AQ1500" s="10" t="s">
        <v>50</v>
      </c>
      <c r="AR1500" s="10" t="s">
        <v>50</v>
      </c>
      <c r="AS1500" s="10" t="s">
        <v>50</v>
      </c>
      <c r="AT1500" s="10" t="s">
        <v>50</v>
      </c>
      <c r="AU1500" s="10" t="s">
        <v>50</v>
      </c>
      <c r="AV1500" s="11"/>
      <c r="AW1500" s="10" t="s">
        <v>66</v>
      </c>
      <c r="AX1500" s="10"/>
      <c r="AY1500" s="10" t="s">
        <v>66</v>
      </c>
    </row>
    <row r="1501" ht="22.5" hidden="1" customHeight="1">
      <c r="A1501" s="9" t="s">
        <v>15064</v>
      </c>
      <c r="B1501" s="10" t="s">
        <v>15065</v>
      </c>
      <c r="C1501" s="10" t="s">
        <v>43</v>
      </c>
      <c r="D1501" s="10" t="s">
        <v>14945</v>
      </c>
      <c r="E1501" s="10" t="s">
        <v>66</v>
      </c>
      <c r="F1501" s="11">
        <v>1.0</v>
      </c>
      <c r="G1501" s="11">
        <v>79.35</v>
      </c>
      <c r="H1501" s="11"/>
      <c r="I1501" s="11">
        <v>-15.08</v>
      </c>
      <c r="J1501" s="11">
        <v>-19.95</v>
      </c>
      <c r="K1501" s="11"/>
      <c r="L1501" s="11">
        <v>44.32</v>
      </c>
      <c r="M1501" s="10" t="s">
        <v>12218</v>
      </c>
      <c r="N1501" s="10" t="s">
        <v>50</v>
      </c>
      <c r="O1501" s="10" t="s">
        <v>47</v>
      </c>
      <c r="P1501" s="10" t="s">
        <v>48</v>
      </c>
      <c r="Q1501" s="10" t="s">
        <v>49</v>
      </c>
      <c r="R1501" s="10" t="s">
        <v>50</v>
      </c>
      <c r="S1501" s="11">
        <v>79.35</v>
      </c>
      <c r="T1501" s="11">
        <v>12.45</v>
      </c>
      <c r="U1501" s="11" t="s">
        <v>51</v>
      </c>
      <c r="V1501" s="10" t="s">
        <v>52</v>
      </c>
      <c r="W1501" s="10" t="s">
        <v>15066</v>
      </c>
      <c r="X1501" s="10" t="s">
        <v>15067</v>
      </c>
      <c r="Y1501" s="10" t="s">
        <v>15068</v>
      </c>
      <c r="Z1501" s="10" t="s">
        <v>50</v>
      </c>
      <c r="AA1501" s="10" t="s">
        <v>50</v>
      </c>
      <c r="AB1501" s="10" t="s">
        <v>15066</v>
      </c>
      <c r="AC1501" s="10" t="s">
        <v>15069</v>
      </c>
      <c r="AD1501" s="10" t="s">
        <v>15070</v>
      </c>
      <c r="AE1501" s="10" t="s">
        <v>15071</v>
      </c>
      <c r="AF1501" s="10" t="s">
        <v>151</v>
      </c>
      <c r="AG1501" s="10" t="s">
        <v>15072</v>
      </c>
      <c r="AH1501" s="10" t="s">
        <v>60</v>
      </c>
      <c r="AI1501" s="10" t="s">
        <v>13406</v>
      </c>
      <c r="AJ1501" s="10" t="s">
        <v>15073</v>
      </c>
      <c r="AK1501" s="10" t="s">
        <v>15074</v>
      </c>
      <c r="AL1501" s="10" t="s">
        <v>64</v>
      </c>
      <c r="AM1501" s="10" t="s">
        <v>15075</v>
      </c>
      <c r="AN1501" s="10" t="s">
        <v>50</v>
      </c>
      <c r="AO1501" s="11" t="s">
        <v>50</v>
      </c>
      <c r="AP1501" s="10" t="s">
        <v>50</v>
      </c>
      <c r="AQ1501" s="10" t="s">
        <v>50</v>
      </c>
      <c r="AR1501" s="10" t="s">
        <v>50</v>
      </c>
      <c r="AS1501" s="10" t="s">
        <v>50</v>
      </c>
      <c r="AT1501" s="10" t="s">
        <v>50</v>
      </c>
      <c r="AU1501" s="10" t="s">
        <v>50</v>
      </c>
      <c r="AV1501" s="11"/>
      <c r="AW1501" s="10" t="s">
        <v>66</v>
      </c>
      <c r="AX1501" s="10"/>
      <c r="AY1501" s="10" t="s">
        <v>66</v>
      </c>
    </row>
    <row r="1502" ht="22.5" hidden="1" customHeight="1">
      <c r="A1502" s="9" t="s">
        <v>15076</v>
      </c>
      <c r="B1502" s="10" t="s">
        <v>15077</v>
      </c>
      <c r="C1502" s="10" t="s">
        <v>43</v>
      </c>
      <c r="D1502" s="10" t="s">
        <v>14923</v>
      </c>
      <c r="E1502" s="10" t="s">
        <v>66</v>
      </c>
      <c r="F1502" s="11">
        <v>1.0</v>
      </c>
      <c r="G1502" s="11">
        <v>43.7</v>
      </c>
      <c r="H1502" s="11">
        <v>14.15</v>
      </c>
      <c r="I1502" s="11">
        <v>-13.43</v>
      </c>
      <c r="J1502" s="11">
        <v>-14.15</v>
      </c>
      <c r="K1502" s="11"/>
      <c r="L1502" s="11">
        <v>32.89</v>
      </c>
      <c r="M1502" s="10" t="s">
        <v>12218</v>
      </c>
      <c r="N1502" s="10" t="s">
        <v>50</v>
      </c>
      <c r="O1502" s="10" t="s">
        <v>176</v>
      </c>
      <c r="P1502" s="10" t="s">
        <v>177</v>
      </c>
      <c r="Q1502" s="10" t="s">
        <v>178</v>
      </c>
      <c r="R1502" s="10" t="s">
        <v>74</v>
      </c>
      <c r="S1502" s="11">
        <v>43.7</v>
      </c>
      <c r="T1502" s="11">
        <v>22.58</v>
      </c>
      <c r="U1502" s="11" t="s">
        <v>51</v>
      </c>
      <c r="V1502" s="10" t="s">
        <v>52</v>
      </c>
      <c r="W1502" s="10" t="s">
        <v>15078</v>
      </c>
      <c r="X1502" s="10" t="s">
        <v>15079</v>
      </c>
      <c r="Y1502" s="10" t="s">
        <v>15080</v>
      </c>
      <c r="Z1502" s="10" t="s">
        <v>50</v>
      </c>
      <c r="AA1502" s="10" t="s">
        <v>50</v>
      </c>
      <c r="AB1502" s="10" t="s">
        <v>15078</v>
      </c>
      <c r="AC1502" s="10" t="s">
        <v>15081</v>
      </c>
      <c r="AD1502" s="10" t="s">
        <v>15082</v>
      </c>
      <c r="AE1502" s="10" t="s">
        <v>15083</v>
      </c>
      <c r="AF1502" s="10" t="s">
        <v>58</v>
      </c>
      <c r="AG1502" s="10" t="s">
        <v>15084</v>
      </c>
      <c r="AH1502" s="10" t="s">
        <v>60</v>
      </c>
      <c r="AI1502" s="10" t="s">
        <v>13406</v>
      </c>
      <c r="AJ1502" s="10" t="s">
        <v>15085</v>
      </c>
      <c r="AK1502" s="10" t="s">
        <v>15086</v>
      </c>
      <c r="AL1502" s="10" t="s">
        <v>64</v>
      </c>
      <c r="AM1502" s="10" t="s">
        <v>15087</v>
      </c>
      <c r="AN1502" s="10" t="s">
        <v>50</v>
      </c>
      <c r="AO1502" s="11" t="s">
        <v>50</v>
      </c>
      <c r="AP1502" s="10" t="s">
        <v>50</v>
      </c>
      <c r="AQ1502" s="10" t="s">
        <v>50</v>
      </c>
      <c r="AR1502" s="10" t="s">
        <v>50</v>
      </c>
      <c r="AS1502" s="10" t="s">
        <v>50</v>
      </c>
      <c r="AT1502" s="10" t="s">
        <v>50</v>
      </c>
      <c r="AU1502" s="10" t="s">
        <v>50</v>
      </c>
      <c r="AV1502" s="11"/>
      <c r="AW1502" s="10" t="s">
        <v>66</v>
      </c>
      <c r="AX1502" s="10"/>
      <c r="AY1502" s="10" t="s">
        <v>66</v>
      </c>
    </row>
    <row r="1503" ht="22.5" hidden="1" customHeight="1">
      <c r="A1503" s="9" t="s">
        <v>15088</v>
      </c>
      <c r="B1503" s="10" t="s">
        <v>15089</v>
      </c>
      <c r="C1503" s="10" t="s">
        <v>43</v>
      </c>
      <c r="D1503" s="10" t="s">
        <v>14945</v>
      </c>
      <c r="E1503" s="10" t="s">
        <v>66</v>
      </c>
      <c r="F1503" s="11">
        <v>1.0</v>
      </c>
      <c r="G1503" s="11">
        <v>43.7</v>
      </c>
      <c r="H1503" s="11">
        <v>13.77</v>
      </c>
      <c r="I1503" s="11">
        <v>-13.43</v>
      </c>
      <c r="J1503" s="11">
        <v>-13.77</v>
      </c>
      <c r="K1503" s="11"/>
      <c r="L1503" s="11">
        <v>32.89</v>
      </c>
      <c r="M1503" s="10" t="s">
        <v>12218</v>
      </c>
      <c r="N1503" s="10" t="s">
        <v>50</v>
      </c>
      <c r="O1503" s="10" t="s">
        <v>176</v>
      </c>
      <c r="P1503" s="10" t="s">
        <v>177</v>
      </c>
      <c r="Q1503" s="10" t="s">
        <v>178</v>
      </c>
      <c r="R1503" s="10" t="s">
        <v>74</v>
      </c>
      <c r="S1503" s="11">
        <v>43.7</v>
      </c>
      <c r="T1503" s="11">
        <v>22.58</v>
      </c>
      <c r="U1503" s="11" t="s">
        <v>51</v>
      </c>
      <c r="V1503" s="10" t="s">
        <v>52</v>
      </c>
      <c r="W1503" s="10" t="s">
        <v>15090</v>
      </c>
      <c r="X1503" s="10" t="s">
        <v>15091</v>
      </c>
      <c r="Y1503" s="10" t="s">
        <v>15092</v>
      </c>
      <c r="Z1503" s="10" t="s">
        <v>50</v>
      </c>
      <c r="AA1503" s="10" t="s">
        <v>50</v>
      </c>
      <c r="AB1503" s="10" t="s">
        <v>15090</v>
      </c>
      <c r="AC1503" s="10" t="s">
        <v>15093</v>
      </c>
      <c r="AD1503" s="10" t="s">
        <v>15094</v>
      </c>
      <c r="AE1503" s="10" t="s">
        <v>9820</v>
      </c>
      <c r="AF1503" s="10" t="s">
        <v>323</v>
      </c>
      <c r="AG1503" s="10" t="s">
        <v>15095</v>
      </c>
      <c r="AH1503" s="10" t="s">
        <v>60</v>
      </c>
      <c r="AI1503" s="10" t="s">
        <v>13406</v>
      </c>
      <c r="AJ1503" s="10" t="s">
        <v>15096</v>
      </c>
      <c r="AK1503" s="10" t="s">
        <v>15097</v>
      </c>
      <c r="AL1503" s="10" t="s">
        <v>64</v>
      </c>
      <c r="AM1503" s="10" t="s">
        <v>15098</v>
      </c>
      <c r="AN1503" s="10" t="s">
        <v>50</v>
      </c>
      <c r="AO1503" s="11" t="s">
        <v>50</v>
      </c>
      <c r="AP1503" s="10" t="s">
        <v>50</v>
      </c>
      <c r="AQ1503" s="10" t="s">
        <v>50</v>
      </c>
      <c r="AR1503" s="10" t="s">
        <v>50</v>
      </c>
      <c r="AS1503" s="10" t="s">
        <v>50</v>
      </c>
      <c r="AT1503" s="10" t="s">
        <v>50</v>
      </c>
      <c r="AU1503" s="10" t="s">
        <v>50</v>
      </c>
      <c r="AV1503" s="11"/>
      <c r="AW1503" s="10" t="s">
        <v>66</v>
      </c>
      <c r="AX1503" s="10"/>
      <c r="AY1503" s="10" t="s">
        <v>66</v>
      </c>
    </row>
    <row r="1504" ht="22.5" hidden="1" customHeight="1">
      <c r="A1504" s="9" t="s">
        <v>15099</v>
      </c>
      <c r="B1504" s="10" t="s">
        <v>15100</v>
      </c>
      <c r="C1504" s="10" t="s">
        <v>5415</v>
      </c>
      <c r="D1504" s="10" t="s">
        <v>5416</v>
      </c>
      <c r="E1504" s="10" t="s">
        <v>66</v>
      </c>
      <c r="F1504" s="11">
        <v>1.0</v>
      </c>
      <c r="G1504" s="11">
        <v>80.0</v>
      </c>
      <c r="H1504" s="11"/>
      <c r="I1504" s="11">
        <v>-13.6</v>
      </c>
      <c r="J1504" s="11">
        <v>-19.95</v>
      </c>
      <c r="K1504" s="11">
        <v>-28.16</v>
      </c>
      <c r="L1504" s="11">
        <v>22.29</v>
      </c>
      <c r="M1504" s="10" t="s">
        <v>12218</v>
      </c>
      <c r="N1504" s="10" t="s">
        <v>45</v>
      </c>
      <c r="O1504" s="10" t="s">
        <v>143</v>
      </c>
      <c r="P1504" s="10" t="s">
        <v>144</v>
      </c>
      <c r="Q1504" s="10" t="s">
        <v>145</v>
      </c>
      <c r="R1504" s="10" t="s">
        <v>74</v>
      </c>
      <c r="S1504" s="11">
        <v>80.0</v>
      </c>
      <c r="T1504" s="11">
        <v>33.38</v>
      </c>
      <c r="U1504" s="11" t="s">
        <v>51</v>
      </c>
      <c r="V1504" s="10" t="s">
        <v>52</v>
      </c>
      <c r="W1504" s="10" t="s">
        <v>15101</v>
      </c>
      <c r="X1504" s="10" t="s">
        <v>15102</v>
      </c>
      <c r="Y1504" s="10" t="s">
        <v>15103</v>
      </c>
      <c r="Z1504" s="10" t="s">
        <v>50</v>
      </c>
      <c r="AA1504" s="10" t="s">
        <v>50</v>
      </c>
      <c r="AB1504" s="10" t="s">
        <v>15101</v>
      </c>
      <c r="AC1504" s="10" t="s">
        <v>15104</v>
      </c>
      <c r="AD1504" s="10" t="s">
        <v>15105</v>
      </c>
      <c r="AE1504" s="10" t="s">
        <v>2235</v>
      </c>
      <c r="AF1504" s="10" t="s">
        <v>775</v>
      </c>
      <c r="AG1504" s="10" t="s">
        <v>15106</v>
      </c>
      <c r="AH1504" s="10" t="s">
        <v>60</v>
      </c>
      <c r="AI1504" s="10" t="s">
        <v>13406</v>
      </c>
      <c r="AJ1504" s="10" t="s">
        <v>15107</v>
      </c>
      <c r="AK1504" s="10" t="s">
        <v>15108</v>
      </c>
      <c r="AL1504" s="10" t="s">
        <v>64</v>
      </c>
      <c r="AM1504" s="10" t="s">
        <v>15109</v>
      </c>
      <c r="AN1504" s="10" t="s">
        <v>50</v>
      </c>
      <c r="AO1504" s="11" t="s">
        <v>50</v>
      </c>
      <c r="AP1504" s="10" t="s">
        <v>50</v>
      </c>
      <c r="AQ1504" s="10" t="s">
        <v>50</v>
      </c>
      <c r="AR1504" s="10" t="s">
        <v>50</v>
      </c>
      <c r="AS1504" s="10" t="s">
        <v>50</v>
      </c>
      <c r="AT1504" s="10" t="s">
        <v>50</v>
      </c>
      <c r="AU1504" s="10" t="s">
        <v>50</v>
      </c>
      <c r="AV1504" s="11"/>
      <c r="AW1504" s="10" t="s">
        <v>66</v>
      </c>
      <c r="AX1504" s="10">
        <v>1.0</v>
      </c>
      <c r="AY1504" s="10" t="s">
        <v>66</v>
      </c>
    </row>
    <row r="1505" ht="22.5" hidden="1" customHeight="1">
      <c r="A1505" s="9" t="s">
        <v>15110</v>
      </c>
      <c r="B1505" s="10" t="s">
        <v>15111</v>
      </c>
      <c r="C1505" s="10" t="s">
        <v>43</v>
      </c>
      <c r="D1505" s="10" t="s">
        <v>14923</v>
      </c>
      <c r="E1505" s="10" t="s">
        <v>66</v>
      </c>
      <c r="F1505" s="11">
        <v>1.0</v>
      </c>
      <c r="G1505" s="11">
        <v>80.6</v>
      </c>
      <c r="H1505" s="11"/>
      <c r="I1505" s="11">
        <v>-13.7</v>
      </c>
      <c r="J1505" s="11">
        <v>-20.45</v>
      </c>
      <c r="K1505" s="11"/>
      <c r="L1505" s="11">
        <v>46.45</v>
      </c>
      <c r="M1505" s="10" t="s">
        <v>12218</v>
      </c>
      <c r="N1505" s="10" t="s">
        <v>45</v>
      </c>
      <c r="O1505" s="10" t="s">
        <v>265</v>
      </c>
      <c r="P1505" s="10" t="s">
        <v>266</v>
      </c>
      <c r="Q1505" s="10" t="s">
        <v>267</v>
      </c>
      <c r="R1505" s="10" t="s">
        <v>74</v>
      </c>
      <c r="S1505" s="11">
        <v>80.6</v>
      </c>
      <c r="T1505" s="11">
        <v>26.22</v>
      </c>
      <c r="U1505" s="11" t="s">
        <v>51</v>
      </c>
      <c r="V1505" s="10" t="s">
        <v>52</v>
      </c>
      <c r="W1505" s="10" t="s">
        <v>15112</v>
      </c>
      <c r="X1505" s="10" t="s">
        <v>15113</v>
      </c>
      <c r="Y1505" s="10" t="s">
        <v>15114</v>
      </c>
      <c r="Z1505" s="10" t="s">
        <v>50</v>
      </c>
      <c r="AA1505" s="10" t="s">
        <v>50</v>
      </c>
      <c r="AB1505" s="10" t="s">
        <v>15112</v>
      </c>
      <c r="AC1505" s="10" t="s">
        <v>15115</v>
      </c>
      <c r="AD1505" s="10" t="s">
        <v>15116</v>
      </c>
      <c r="AE1505" s="10" t="s">
        <v>14857</v>
      </c>
      <c r="AF1505" s="10" t="s">
        <v>58</v>
      </c>
      <c r="AG1505" s="10" t="s">
        <v>15117</v>
      </c>
      <c r="AH1505" s="10" t="s">
        <v>60</v>
      </c>
      <c r="AI1505" s="10" t="s">
        <v>13406</v>
      </c>
      <c r="AJ1505" s="10" t="s">
        <v>15008</v>
      </c>
      <c r="AK1505" s="10" t="s">
        <v>15118</v>
      </c>
      <c r="AL1505" s="10" t="s">
        <v>64</v>
      </c>
      <c r="AM1505" s="10" t="s">
        <v>15119</v>
      </c>
      <c r="AN1505" s="10" t="s">
        <v>50</v>
      </c>
      <c r="AO1505" s="11" t="s">
        <v>50</v>
      </c>
      <c r="AP1505" s="10" t="s">
        <v>50</v>
      </c>
      <c r="AQ1505" s="10" t="s">
        <v>50</v>
      </c>
      <c r="AR1505" s="10" t="s">
        <v>50</v>
      </c>
      <c r="AS1505" s="10" t="s">
        <v>50</v>
      </c>
      <c r="AT1505" s="10" t="s">
        <v>50</v>
      </c>
      <c r="AU1505" s="10" t="s">
        <v>50</v>
      </c>
      <c r="AV1505" s="11"/>
      <c r="AW1505" s="10" t="s">
        <v>66</v>
      </c>
      <c r="AX1505" s="10"/>
      <c r="AY1505" s="10" t="s">
        <v>66</v>
      </c>
    </row>
    <row r="1506" ht="22.5" hidden="1" customHeight="1">
      <c r="A1506" s="9" t="s">
        <v>15120</v>
      </c>
      <c r="B1506" s="10" t="s">
        <v>15121</v>
      </c>
      <c r="C1506" s="10" t="s">
        <v>43</v>
      </c>
      <c r="D1506" s="10" t="s">
        <v>13108</v>
      </c>
      <c r="E1506" s="10" t="s">
        <v>66</v>
      </c>
      <c r="F1506" s="11">
        <v>1.0</v>
      </c>
      <c r="G1506" s="11">
        <v>79.0</v>
      </c>
      <c r="H1506" s="11"/>
      <c r="I1506" s="11">
        <v>-13.43</v>
      </c>
      <c r="J1506" s="11">
        <v>-20.45</v>
      </c>
      <c r="K1506" s="11"/>
      <c r="L1506" s="11">
        <v>45.12</v>
      </c>
      <c r="M1506" s="10" t="s">
        <v>12218</v>
      </c>
      <c r="N1506" s="10" t="s">
        <v>45</v>
      </c>
      <c r="O1506" s="10" t="s">
        <v>160</v>
      </c>
      <c r="P1506" s="10" t="s">
        <v>161</v>
      </c>
      <c r="Q1506" s="10" t="s">
        <v>162</v>
      </c>
      <c r="R1506" s="10" t="s">
        <v>74</v>
      </c>
      <c r="S1506" s="11">
        <v>79.0</v>
      </c>
      <c r="T1506" s="11">
        <v>2.49</v>
      </c>
      <c r="U1506" s="11" t="s">
        <v>51</v>
      </c>
      <c r="V1506" s="10" t="s">
        <v>52</v>
      </c>
      <c r="W1506" s="10" t="s">
        <v>15122</v>
      </c>
      <c r="X1506" s="10" t="s">
        <v>15123</v>
      </c>
      <c r="Y1506" s="10" t="s">
        <v>15124</v>
      </c>
      <c r="Z1506" s="10" t="s">
        <v>50</v>
      </c>
      <c r="AA1506" s="10" t="s">
        <v>50</v>
      </c>
      <c r="AB1506" s="10" t="s">
        <v>15122</v>
      </c>
      <c r="AC1506" s="10" t="s">
        <v>15125</v>
      </c>
      <c r="AD1506" s="10" t="s">
        <v>15126</v>
      </c>
      <c r="AE1506" s="10" t="s">
        <v>58</v>
      </c>
      <c r="AF1506" s="10" t="s">
        <v>58</v>
      </c>
      <c r="AG1506" s="10" t="s">
        <v>15127</v>
      </c>
      <c r="AH1506" s="10" t="s">
        <v>60</v>
      </c>
      <c r="AI1506" s="10" t="s">
        <v>13406</v>
      </c>
      <c r="AJ1506" s="10" t="s">
        <v>14930</v>
      </c>
      <c r="AK1506" s="10" t="s">
        <v>15128</v>
      </c>
      <c r="AL1506" s="10" t="s">
        <v>64</v>
      </c>
      <c r="AM1506" s="10" t="s">
        <v>15129</v>
      </c>
      <c r="AN1506" s="10" t="s">
        <v>15130</v>
      </c>
      <c r="AO1506" s="11" t="s">
        <v>50</v>
      </c>
      <c r="AP1506" s="10" t="s">
        <v>50</v>
      </c>
      <c r="AQ1506" s="10" t="s">
        <v>50</v>
      </c>
      <c r="AR1506" s="10" t="s">
        <v>50</v>
      </c>
      <c r="AS1506" s="10" t="s">
        <v>50</v>
      </c>
      <c r="AT1506" s="10" t="s">
        <v>50</v>
      </c>
      <c r="AU1506" s="10" t="s">
        <v>50</v>
      </c>
      <c r="AV1506" s="11"/>
      <c r="AW1506" s="10" t="s">
        <v>66</v>
      </c>
      <c r="AX1506" s="10"/>
      <c r="AY1506" s="10" t="s">
        <v>66</v>
      </c>
    </row>
    <row r="1507" ht="22.5" hidden="1" customHeight="1">
      <c r="A1507" s="9" t="s">
        <v>15131</v>
      </c>
      <c r="B1507" s="10" t="s">
        <v>15132</v>
      </c>
      <c r="C1507" s="10" t="s">
        <v>43</v>
      </c>
      <c r="D1507" s="10" t="s">
        <v>13120</v>
      </c>
      <c r="E1507" s="10" t="s">
        <v>66</v>
      </c>
      <c r="F1507" s="11">
        <v>1.0</v>
      </c>
      <c r="G1507" s="11">
        <v>79.2</v>
      </c>
      <c r="H1507" s="11"/>
      <c r="I1507" s="11">
        <v>-13.46</v>
      </c>
      <c r="J1507" s="11">
        <v>-20.45</v>
      </c>
      <c r="K1507" s="11"/>
      <c r="L1507" s="11">
        <v>45.29</v>
      </c>
      <c r="M1507" s="10" t="s">
        <v>12218</v>
      </c>
      <c r="N1507" s="10" t="s">
        <v>45</v>
      </c>
      <c r="O1507" s="10" t="s">
        <v>412</v>
      </c>
      <c r="P1507" s="10" t="s">
        <v>413</v>
      </c>
      <c r="Q1507" s="10" t="s">
        <v>414</v>
      </c>
      <c r="R1507" s="10" t="s">
        <v>415</v>
      </c>
      <c r="S1507" s="11">
        <v>79.2</v>
      </c>
      <c r="T1507" s="11">
        <v>10.05</v>
      </c>
      <c r="U1507" s="11" t="s">
        <v>51</v>
      </c>
      <c r="V1507" s="10" t="s">
        <v>52</v>
      </c>
      <c r="W1507" s="10" t="s">
        <v>15133</v>
      </c>
      <c r="X1507" s="10" t="s">
        <v>15134</v>
      </c>
      <c r="Y1507" s="10" t="s">
        <v>15135</v>
      </c>
      <c r="Z1507" s="10" t="s">
        <v>50</v>
      </c>
      <c r="AA1507" s="10" t="s">
        <v>50</v>
      </c>
      <c r="AB1507" s="10" t="s">
        <v>15133</v>
      </c>
      <c r="AC1507" s="10" t="s">
        <v>15136</v>
      </c>
      <c r="AD1507" s="10" t="s">
        <v>15137</v>
      </c>
      <c r="AE1507" s="10" t="s">
        <v>15138</v>
      </c>
      <c r="AF1507" s="10" t="s">
        <v>323</v>
      </c>
      <c r="AG1507" s="10" t="s">
        <v>15139</v>
      </c>
      <c r="AH1507" s="10" t="s">
        <v>60</v>
      </c>
      <c r="AI1507" s="10" t="s">
        <v>13406</v>
      </c>
      <c r="AJ1507" s="10" t="s">
        <v>15140</v>
      </c>
      <c r="AK1507" s="10" t="s">
        <v>15141</v>
      </c>
      <c r="AL1507" s="10" t="s">
        <v>64</v>
      </c>
      <c r="AM1507" s="10" t="s">
        <v>15142</v>
      </c>
      <c r="AN1507" s="10" t="s">
        <v>50</v>
      </c>
      <c r="AO1507" s="11" t="s">
        <v>50</v>
      </c>
      <c r="AP1507" s="10" t="s">
        <v>50</v>
      </c>
      <c r="AQ1507" s="10" t="s">
        <v>50</v>
      </c>
      <c r="AR1507" s="10" t="s">
        <v>50</v>
      </c>
      <c r="AS1507" s="10" t="s">
        <v>50</v>
      </c>
      <c r="AT1507" s="10" t="s">
        <v>50</v>
      </c>
      <c r="AU1507" s="10" t="s">
        <v>50</v>
      </c>
      <c r="AV1507" s="11"/>
      <c r="AW1507" s="10" t="s">
        <v>66</v>
      </c>
      <c r="AX1507" s="10"/>
      <c r="AY1507" s="10" t="s">
        <v>66</v>
      </c>
    </row>
    <row r="1508" ht="22.5" hidden="1" customHeight="1">
      <c r="A1508" s="9" t="s">
        <v>15143</v>
      </c>
      <c r="B1508" s="10" t="s">
        <v>15144</v>
      </c>
      <c r="C1508" s="10" t="s">
        <v>43</v>
      </c>
      <c r="D1508" s="10" t="s">
        <v>14923</v>
      </c>
      <c r="E1508" s="10" t="s">
        <v>66</v>
      </c>
      <c r="F1508" s="11">
        <v>1.0</v>
      </c>
      <c r="G1508" s="11">
        <v>43.7</v>
      </c>
      <c r="H1508" s="11">
        <v>23.5</v>
      </c>
      <c r="I1508" s="11">
        <v>-13.43</v>
      </c>
      <c r="J1508" s="11">
        <v>-23.5</v>
      </c>
      <c r="K1508" s="11"/>
      <c r="L1508" s="11">
        <v>32.89</v>
      </c>
      <c r="M1508" s="10" t="s">
        <v>12218</v>
      </c>
      <c r="N1508" s="10" t="s">
        <v>45</v>
      </c>
      <c r="O1508" s="10" t="s">
        <v>176</v>
      </c>
      <c r="P1508" s="10" t="s">
        <v>177</v>
      </c>
      <c r="Q1508" s="10" t="s">
        <v>178</v>
      </c>
      <c r="R1508" s="10" t="s">
        <v>74</v>
      </c>
      <c r="S1508" s="11">
        <v>43.7</v>
      </c>
      <c r="T1508" s="11">
        <v>22.58</v>
      </c>
      <c r="U1508" s="11" t="s">
        <v>51</v>
      </c>
      <c r="V1508" s="10" t="s">
        <v>52</v>
      </c>
      <c r="W1508" s="10" t="s">
        <v>15145</v>
      </c>
      <c r="X1508" s="10" t="s">
        <v>15146</v>
      </c>
      <c r="Y1508" s="10" t="s">
        <v>15147</v>
      </c>
      <c r="Z1508" s="10" t="s">
        <v>50</v>
      </c>
      <c r="AA1508" s="10" t="s">
        <v>50</v>
      </c>
      <c r="AB1508" s="10" t="s">
        <v>15145</v>
      </c>
      <c r="AC1508" s="10" t="s">
        <v>15148</v>
      </c>
      <c r="AD1508" s="10" t="s">
        <v>15149</v>
      </c>
      <c r="AE1508" s="10" t="s">
        <v>15150</v>
      </c>
      <c r="AF1508" s="10" t="s">
        <v>323</v>
      </c>
      <c r="AG1508" s="10" t="s">
        <v>15151</v>
      </c>
      <c r="AH1508" s="10" t="s">
        <v>60</v>
      </c>
      <c r="AI1508" s="10" t="s">
        <v>13406</v>
      </c>
      <c r="AJ1508" s="10" t="s">
        <v>15152</v>
      </c>
      <c r="AK1508" s="10" t="s">
        <v>15153</v>
      </c>
      <c r="AL1508" s="10" t="s">
        <v>64</v>
      </c>
      <c r="AM1508" s="10" t="s">
        <v>15154</v>
      </c>
      <c r="AN1508" s="10" t="s">
        <v>50</v>
      </c>
      <c r="AO1508" s="11" t="s">
        <v>50</v>
      </c>
      <c r="AP1508" s="10" t="s">
        <v>50</v>
      </c>
      <c r="AQ1508" s="10" t="s">
        <v>50</v>
      </c>
      <c r="AR1508" s="10" t="s">
        <v>50</v>
      </c>
      <c r="AS1508" s="10" t="s">
        <v>50</v>
      </c>
      <c r="AT1508" s="10" t="s">
        <v>50</v>
      </c>
      <c r="AU1508" s="10" t="s">
        <v>50</v>
      </c>
      <c r="AV1508" s="11"/>
      <c r="AW1508" s="10" t="s">
        <v>66</v>
      </c>
      <c r="AX1508" s="10"/>
      <c r="AY1508" s="10" t="s">
        <v>66</v>
      </c>
    </row>
    <row r="1509" ht="22.5" hidden="1" customHeight="1">
      <c r="A1509" s="9" t="s">
        <v>15155</v>
      </c>
      <c r="B1509" s="10" t="s">
        <v>15156</v>
      </c>
      <c r="C1509" s="10" t="s">
        <v>43</v>
      </c>
      <c r="D1509" s="10" t="s">
        <v>13120</v>
      </c>
      <c r="E1509" s="10" t="s">
        <v>66</v>
      </c>
      <c r="F1509" s="11">
        <v>1.0</v>
      </c>
      <c r="G1509" s="11">
        <v>43.7</v>
      </c>
      <c r="H1509" s="11">
        <v>10.54</v>
      </c>
      <c r="I1509" s="11">
        <v>-13.43</v>
      </c>
      <c r="J1509" s="11">
        <v>-10.54</v>
      </c>
      <c r="K1509" s="11"/>
      <c r="L1509" s="11">
        <v>32.89</v>
      </c>
      <c r="M1509" s="10" t="s">
        <v>12218</v>
      </c>
      <c r="N1509" s="10" t="s">
        <v>50</v>
      </c>
      <c r="O1509" s="10" t="s">
        <v>176</v>
      </c>
      <c r="P1509" s="10" t="s">
        <v>177</v>
      </c>
      <c r="Q1509" s="10" t="s">
        <v>178</v>
      </c>
      <c r="R1509" s="10" t="s">
        <v>74</v>
      </c>
      <c r="S1509" s="11">
        <v>43.7</v>
      </c>
      <c r="T1509" s="11">
        <v>22.58</v>
      </c>
      <c r="U1509" s="11" t="s">
        <v>51</v>
      </c>
      <c r="V1509" s="10" t="s">
        <v>52</v>
      </c>
      <c r="W1509" s="10" t="s">
        <v>15157</v>
      </c>
      <c r="X1509" s="10" t="s">
        <v>15158</v>
      </c>
      <c r="Y1509" s="10" t="s">
        <v>15159</v>
      </c>
      <c r="Z1509" s="10" t="s">
        <v>50</v>
      </c>
      <c r="AA1509" s="10" t="s">
        <v>50</v>
      </c>
      <c r="AB1509" s="10" t="s">
        <v>15157</v>
      </c>
      <c r="AC1509" s="10" t="s">
        <v>15160</v>
      </c>
      <c r="AD1509" s="10" t="s">
        <v>15161</v>
      </c>
      <c r="AE1509" s="10" t="s">
        <v>492</v>
      </c>
      <c r="AF1509" s="10" t="s">
        <v>58</v>
      </c>
      <c r="AG1509" s="10" t="s">
        <v>15162</v>
      </c>
      <c r="AH1509" s="10" t="s">
        <v>60</v>
      </c>
      <c r="AI1509" s="10" t="s">
        <v>13406</v>
      </c>
      <c r="AJ1509" s="10" t="s">
        <v>14930</v>
      </c>
      <c r="AK1509" s="10" t="s">
        <v>15163</v>
      </c>
      <c r="AL1509" s="10" t="s">
        <v>64</v>
      </c>
      <c r="AM1509" s="10" t="s">
        <v>15164</v>
      </c>
      <c r="AN1509" s="10" t="s">
        <v>15165</v>
      </c>
      <c r="AO1509" s="11" t="s">
        <v>50</v>
      </c>
      <c r="AP1509" s="10" t="s">
        <v>50</v>
      </c>
      <c r="AQ1509" s="10" t="s">
        <v>50</v>
      </c>
      <c r="AR1509" s="10" t="s">
        <v>50</v>
      </c>
      <c r="AS1509" s="10" t="s">
        <v>50</v>
      </c>
      <c r="AT1509" s="10" t="s">
        <v>50</v>
      </c>
      <c r="AU1509" s="10" t="s">
        <v>50</v>
      </c>
      <c r="AV1509" s="11"/>
      <c r="AW1509" s="10" t="s">
        <v>66</v>
      </c>
      <c r="AX1509" s="10"/>
      <c r="AY1509" s="10" t="s">
        <v>66</v>
      </c>
    </row>
    <row r="1510" ht="22.5" hidden="1" customHeight="1">
      <c r="A1510" s="9" t="s">
        <v>15166</v>
      </c>
      <c r="B1510" s="10" t="s">
        <v>15167</v>
      </c>
      <c r="C1510" s="10" t="s">
        <v>43</v>
      </c>
      <c r="D1510" s="10" t="s">
        <v>14923</v>
      </c>
      <c r="E1510" s="10" t="s">
        <v>45</v>
      </c>
      <c r="F1510" s="11">
        <v>1.0</v>
      </c>
      <c r="G1510" s="11">
        <v>120.0</v>
      </c>
      <c r="H1510" s="11"/>
      <c r="I1510" s="11">
        <v>-20.4</v>
      </c>
      <c r="J1510" s="11">
        <v>-19.95</v>
      </c>
      <c r="K1510" s="11"/>
      <c r="L1510" s="11">
        <v>86.85</v>
      </c>
      <c r="M1510" s="10" t="s">
        <v>12218</v>
      </c>
      <c r="N1510" s="10" t="s">
        <v>45</v>
      </c>
      <c r="O1510" s="10" t="s">
        <v>85</v>
      </c>
      <c r="P1510" s="10" t="s">
        <v>86</v>
      </c>
      <c r="Q1510" s="10" t="s">
        <v>87</v>
      </c>
      <c r="R1510" s="10" t="s">
        <v>74</v>
      </c>
      <c r="S1510" s="11">
        <v>120.0</v>
      </c>
      <c r="T1510" s="11">
        <v>65.78</v>
      </c>
      <c r="U1510" s="11" t="s">
        <v>51</v>
      </c>
      <c r="V1510" s="10" t="s">
        <v>52</v>
      </c>
      <c r="W1510" s="10" t="s">
        <v>15168</v>
      </c>
      <c r="X1510" s="10" t="s">
        <v>15169</v>
      </c>
      <c r="Y1510" s="10" t="s">
        <v>15170</v>
      </c>
      <c r="Z1510" s="10" t="s">
        <v>50</v>
      </c>
      <c r="AA1510" s="10" t="s">
        <v>50</v>
      </c>
      <c r="AB1510" s="10" t="s">
        <v>15168</v>
      </c>
      <c r="AC1510" s="10" t="s">
        <v>15171</v>
      </c>
      <c r="AD1510" s="10" t="s">
        <v>15172</v>
      </c>
      <c r="AE1510" s="10" t="s">
        <v>2999</v>
      </c>
      <c r="AF1510" s="10" t="s">
        <v>58</v>
      </c>
      <c r="AG1510" s="10" t="s">
        <v>15173</v>
      </c>
      <c r="AH1510" s="10" t="s">
        <v>60</v>
      </c>
      <c r="AI1510" s="10" t="s">
        <v>13406</v>
      </c>
      <c r="AJ1510" s="10" t="s">
        <v>15008</v>
      </c>
      <c r="AK1510" s="10" t="s">
        <v>15174</v>
      </c>
      <c r="AL1510" s="10" t="s">
        <v>64</v>
      </c>
      <c r="AM1510" s="10" t="s">
        <v>15175</v>
      </c>
      <c r="AN1510" s="10" t="s">
        <v>50</v>
      </c>
      <c r="AO1510" s="11" t="s">
        <v>50</v>
      </c>
      <c r="AP1510" s="10" t="s">
        <v>50</v>
      </c>
      <c r="AQ1510" s="10" t="s">
        <v>50</v>
      </c>
      <c r="AR1510" s="10" t="s">
        <v>50</v>
      </c>
      <c r="AS1510" s="10" t="s">
        <v>50</v>
      </c>
      <c r="AT1510" s="10" t="s">
        <v>50</v>
      </c>
      <c r="AU1510" s="10" t="s">
        <v>50</v>
      </c>
      <c r="AV1510" s="11"/>
      <c r="AW1510" s="10" t="s">
        <v>66</v>
      </c>
      <c r="AX1510" s="10"/>
      <c r="AY1510" s="10" t="s">
        <v>66</v>
      </c>
    </row>
    <row r="1511" ht="22.5" hidden="1" customHeight="1">
      <c r="A1511" s="9" t="s">
        <v>15176</v>
      </c>
      <c r="B1511" s="10" t="s">
        <v>15177</v>
      </c>
      <c r="C1511" s="10" t="s">
        <v>43</v>
      </c>
      <c r="D1511" s="10" t="s">
        <v>14923</v>
      </c>
      <c r="E1511" s="10" t="s">
        <v>66</v>
      </c>
      <c r="F1511" s="11">
        <v>1.0</v>
      </c>
      <c r="G1511" s="11">
        <v>120.0</v>
      </c>
      <c r="H1511" s="11"/>
      <c r="I1511" s="11">
        <v>-20.4</v>
      </c>
      <c r="J1511" s="11">
        <v>-19.95</v>
      </c>
      <c r="K1511" s="11"/>
      <c r="L1511" s="11">
        <v>86.85</v>
      </c>
      <c r="M1511" s="10" t="s">
        <v>12218</v>
      </c>
      <c r="N1511" s="10" t="s">
        <v>45</v>
      </c>
      <c r="O1511" s="10" t="s">
        <v>85</v>
      </c>
      <c r="P1511" s="10" t="s">
        <v>86</v>
      </c>
      <c r="Q1511" s="10" t="s">
        <v>87</v>
      </c>
      <c r="R1511" s="10" t="s">
        <v>74</v>
      </c>
      <c r="S1511" s="11">
        <v>120.0</v>
      </c>
      <c r="T1511" s="11">
        <v>65.78</v>
      </c>
      <c r="U1511" s="11" t="s">
        <v>51</v>
      </c>
      <c r="V1511" s="10" t="s">
        <v>52</v>
      </c>
      <c r="W1511" s="10" t="s">
        <v>15178</v>
      </c>
      <c r="X1511" s="10" t="s">
        <v>15179</v>
      </c>
      <c r="Y1511" s="10" t="s">
        <v>15180</v>
      </c>
      <c r="Z1511" s="10" t="s">
        <v>50</v>
      </c>
      <c r="AA1511" s="10" t="s">
        <v>50</v>
      </c>
      <c r="AB1511" s="10" t="s">
        <v>15178</v>
      </c>
      <c r="AC1511" s="10" t="s">
        <v>15181</v>
      </c>
      <c r="AD1511" s="10" t="s">
        <v>15182</v>
      </c>
      <c r="AE1511" s="10" t="s">
        <v>6499</v>
      </c>
      <c r="AF1511" s="10" t="s">
        <v>323</v>
      </c>
      <c r="AG1511" s="10" t="s">
        <v>15183</v>
      </c>
      <c r="AH1511" s="10" t="s">
        <v>60</v>
      </c>
      <c r="AI1511" s="10" t="s">
        <v>13406</v>
      </c>
      <c r="AJ1511" s="10" t="s">
        <v>15140</v>
      </c>
      <c r="AK1511" s="10" t="s">
        <v>15184</v>
      </c>
      <c r="AL1511" s="10" t="s">
        <v>64</v>
      </c>
      <c r="AM1511" s="10" t="s">
        <v>15185</v>
      </c>
      <c r="AN1511" s="10" t="s">
        <v>50</v>
      </c>
      <c r="AO1511" s="11" t="s">
        <v>50</v>
      </c>
      <c r="AP1511" s="10" t="s">
        <v>50</v>
      </c>
      <c r="AQ1511" s="10" t="s">
        <v>50</v>
      </c>
      <c r="AR1511" s="10" t="s">
        <v>50</v>
      </c>
      <c r="AS1511" s="10" t="s">
        <v>50</v>
      </c>
      <c r="AT1511" s="10" t="s">
        <v>50</v>
      </c>
      <c r="AU1511" s="10" t="s">
        <v>50</v>
      </c>
      <c r="AV1511" s="11"/>
      <c r="AW1511" s="10" t="s">
        <v>66</v>
      </c>
      <c r="AX1511" s="10"/>
      <c r="AY1511" s="10" t="s">
        <v>66</v>
      </c>
    </row>
    <row r="1512" ht="22.5" hidden="1" customHeight="1">
      <c r="A1512" s="9" t="s">
        <v>15186</v>
      </c>
      <c r="B1512" s="10" t="s">
        <v>15187</v>
      </c>
      <c r="C1512" s="10" t="s">
        <v>43</v>
      </c>
      <c r="D1512" s="10" t="s">
        <v>14945</v>
      </c>
      <c r="E1512" s="10" t="s">
        <v>66</v>
      </c>
      <c r="F1512" s="11">
        <v>1.0</v>
      </c>
      <c r="G1512" s="11">
        <v>120.0</v>
      </c>
      <c r="H1512" s="11"/>
      <c r="I1512" s="11">
        <v>-20.4</v>
      </c>
      <c r="J1512" s="11">
        <v>-19.95</v>
      </c>
      <c r="K1512" s="11"/>
      <c r="L1512" s="11">
        <v>86.85</v>
      </c>
      <c r="M1512" s="10" t="s">
        <v>12218</v>
      </c>
      <c r="N1512" s="10" t="s">
        <v>50</v>
      </c>
      <c r="O1512" s="10" t="s">
        <v>85</v>
      </c>
      <c r="P1512" s="10" t="s">
        <v>86</v>
      </c>
      <c r="Q1512" s="10" t="s">
        <v>87</v>
      </c>
      <c r="R1512" s="10" t="s">
        <v>74</v>
      </c>
      <c r="S1512" s="11">
        <v>120.0</v>
      </c>
      <c r="T1512" s="11">
        <v>65.78</v>
      </c>
      <c r="U1512" s="11" t="s">
        <v>51</v>
      </c>
      <c r="V1512" s="10" t="s">
        <v>52</v>
      </c>
      <c r="W1512" s="10" t="s">
        <v>15188</v>
      </c>
      <c r="X1512" s="10" t="s">
        <v>15189</v>
      </c>
      <c r="Y1512" s="10" t="s">
        <v>15190</v>
      </c>
      <c r="Z1512" s="10" t="s">
        <v>50</v>
      </c>
      <c r="AA1512" s="10" t="s">
        <v>50</v>
      </c>
      <c r="AB1512" s="10" t="s">
        <v>15188</v>
      </c>
      <c r="AC1512" s="10" t="s">
        <v>15191</v>
      </c>
      <c r="AD1512" s="10" t="s">
        <v>15192</v>
      </c>
      <c r="AE1512" s="10" t="s">
        <v>10789</v>
      </c>
      <c r="AF1512" s="10" t="s">
        <v>151</v>
      </c>
      <c r="AG1512" s="10" t="s">
        <v>15193</v>
      </c>
      <c r="AH1512" s="10" t="s">
        <v>60</v>
      </c>
      <c r="AI1512" s="10" t="s">
        <v>13406</v>
      </c>
      <c r="AJ1512" s="10" t="s">
        <v>15194</v>
      </c>
      <c r="AK1512" s="10" t="s">
        <v>15195</v>
      </c>
      <c r="AL1512" s="10" t="s">
        <v>64</v>
      </c>
      <c r="AM1512" s="10" t="s">
        <v>15196</v>
      </c>
      <c r="AN1512" s="10" t="s">
        <v>50</v>
      </c>
      <c r="AO1512" s="11" t="s">
        <v>50</v>
      </c>
      <c r="AP1512" s="10" t="s">
        <v>50</v>
      </c>
      <c r="AQ1512" s="10" t="s">
        <v>50</v>
      </c>
      <c r="AR1512" s="10" t="s">
        <v>50</v>
      </c>
      <c r="AS1512" s="10" t="s">
        <v>50</v>
      </c>
      <c r="AT1512" s="10" t="s">
        <v>50</v>
      </c>
      <c r="AU1512" s="10" t="s">
        <v>50</v>
      </c>
      <c r="AV1512" s="11"/>
      <c r="AW1512" s="10" t="s">
        <v>66</v>
      </c>
      <c r="AX1512" s="10"/>
      <c r="AY1512" s="10" t="s">
        <v>66</v>
      </c>
    </row>
    <row r="1513" ht="22.5" hidden="1" customHeight="1">
      <c r="A1513" s="9" t="s">
        <v>15197</v>
      </c>
      <c r="B1513" s="10" t="s">
        <v>15198</v>
      </c>
      <c r="C1513" s="10" t="s">
        <v>43</v>
      </c>
      <c r="D1513" s="10" t="s">
        <v>14945</v>
      </c>
      <c r="E1513" s="10" t="s">
        <v>45</v>
      </c>
      <c r="F1513" s="11">
        <v>2.0</v>
      </c>
      <c r="G1513" s="11">
        <v>87.4</v>
      </c>
      <c r="H1513" s="11">
        <v>8.11</v>
      </c>
      <c r="I1513" s="11">
        <v>-26.86</v>
      </c>
      <c r="J1513" s="11">
        <v>-8.11</v>
      </c>
      <c r="K1513" s="11"/>
      <c r="L1513" s="11">
        <v>65.78</v>
      </c>
      <c r="M1513" s="10" t="s">
        <v>12218</v>
      </c>
      <c r="N1513" s="10" t="s">
        <v>50</v>
      </c>
      <c r="O1513" s="10" t="s">
        <v>176</v>
      </c>
      <c r="P1513" s="10" t="s">
        <v>177</v>
      </c>
      <c r="Q1513" s="10" t="s">
        <v>178</v>
      </c>
      <c r="R1513" s="10" t="s">
        <v>74</v>
      </c>
      <c r="S1513" s="11">
        <v>43.7</v>
      </c>
      <c r="T1513" s="11">
        <f t="shared" ref="T1513:T1514" si="7">2*22.58</f>
        <v>45.16</v>
      </c>
      <c r="U1513" s="11" t="s">
        <v>51</v>
      </c>
      <c r="V1513" s="10" t="s">
        <v>52</v>
      </c>
      <c r="W1513" s="10" t="s">
        <v>15199</v>
      </c>
      <c r="X1513" s="10" t="s">
        <v>15200</v>
      </c>
      <c r="Y1513" s="10" t="s">
        <v>15201</v>
      </c>
      <c r="Z1513" s="10" t="s">
        <v>50</v>
      </c>
      <c r="AA1513" s="10" t="s">
        <v>50</v>
      </c>
      <c r="AB1513" s="10" t="s">
        <v>15199</v>
      </c>
      <c r="AC1513" s="10" t="s">
        <v>15202</v>
      </c>
      <c r="AD1513" s="10" t="s">
        <v>15203</v>
      </c>
      <c r="AE1513" s="10" t="s">
        <v>2076</v>
      </c>
      <c r="AF1513" s="10" t="s">
        <v>151</v>
      </c>
      <c r="AG1513" s="10" t="s">
        <v>15204</v>
      </c>
      <c r="AH1513" s="10" t="s">
        <v>60</v>
      </c>
      <c r="AI1513" s="10" t="s">
        <v>13406</v>
      </c>
      <c r="AJ1513" s="10" t="s">
        <v>15096</v>
      </c>
      <c r="AK1513" s="10" t="s">
        <v>15205</v>
      </c>
      <c r="AL1513" s="10" t="s">
        <v>64</v>
      </c>
      <c r="AM1513" s="10" t="s">
        <v>15206</v>
      </c>
      <c r="AN1513" s="10" t="s">
        <v>50</v>
      </c>
      <c r="AO1513" s="11" t="s">
        <v>50</v>
      </c>
      <c r="AP1513" s="10" t="s">
        <v>50</v>
      </c>
      <c r="AQ1513" s="10" t="s">
        <v>50</v>
      </c>
      <c r="AR1513" s="10" t="s">
        <v>50</v>
      </c>
      <c r="AS1513" s="10" t="s">
        <v>50</v>
      </c>
      <c r="AT1513" s="10" t="s">
        <v>50</v>
      </c>
      <c r="AU1513" s="10" t="s">
        <v>50</v>
      </c>
      <c r="AV1513" s="11"/>
      <c r="AW1513" s="10" t="s">
        <v>66</v>
      </c>
      <c r="AX1513" s="10"/>
      <c r="AY1513" s="10" t="s">
        <v>66</v>
      </c>
    </row>
    <row r="1514" ht="22.5" hidden="1" customHeight="1">
      <c r="A1514" s="9" t="s">
        <v>15207</v>
      </c>
      <c r="B1514" s="10" t="s">
        <v>15208</v>
      </c>
      <c r="C1514" s="10" t="s">
        <v>43</v>
      </c>
      <c r="D1514" s="10" t="s">
        <v>13108</v>
      </c>
      <c r="E1514" s="10" t="s">
        <v>45</v>
      </c>
      <c r="F1514" s="11">
        <v>2.0</v>
      </c>
      <c r="G1514" s="11">
        <v>87.4</v>
      </c>
      <c r="H1514" s="11">
        <v>6.31</v>
      </c>
      <c r="I1514" s="11">
        <v>-26.86</v>
      </c>
      <c r="J1514" s="11">
        <v>-6.31</v>
      </c>
      <c r="K1514" s="11"/>
      <c r="L1514" s="11">
        <v>65.78</v>
      </c>
      <c r="M1514" s="10" t="s">
        <v>12218</v>
      </c>
      <c r="N1514" s="10" t="s">
        <v>50</v>
      </c>
      <c r="O1514" s="10" t="s">
        <v>176</v>
      </c>
      <c r="P1514" s="10" t="s">
        <v>177</v>
      </c>
      <c r="Q1514" s="10" t="s">
        <v>178</v>
      </c>
      <c r="R1514" s="10" t="s">
        <v>74</v>
      </c>
      <c r="S1514" s="11">
        <v>43.7</v>
      </c>
      <c r="T1514" s="11">
        <f t="shared" si="7"/>
        <v>45.16</v>
      </c>
      <c r="U1514" s="11" t="s">
        <v>51</v>
      </c>
      <c r="V1514" s="10" t="s">
        <v>52</v>
      </c>
      <c r="W1514" s="10" t="s">
        <v>15209</v>
      </c>
      <c r="X1514" s="10" t="s">
        <v>15210</v>
      </c>
      <c r="Y1514" s="10" t="s">
        <v>15211</v>
      </c>
      <c r="Z1514" s="10" t="s">
        <v>50</v>
      </c>
      <c r="AA1514" s="10" t="s">
        <v>50</v>
      </c>
      <c r="AB1514" s="10" t="s">
        <v>15209</v>
      </c>
      <c r="AC1514" s="10" t="s">
        <v>15212</v>
      </c>
      <c r="AD1514" s="10" t="s">
        <v>15213</v>
      </c>
      <c r="AE1514" s="10" t="s">
        <v>15214</v>
      </c>
      <c r="AF1514" s="10" t="s">
        <v>119</v>
      </c>
      <c r="AG1514" s="10" t="s">
        <v>15215</v>
      </c>
      <c r="AH1514" s="10" t="s">
        <v>60</v>
      </c>
      <c r="AI1514" s="10" t="s">
        <v>13406</v>
      </c>
      <c r="AJ1514" s="10" t="s">
        <v>15216</v>
      </c>
      <c r="AK1514" s="10" t="s">
        <v>15217</v>
      </c>
      <c r="AL1514" s="10" t="s">
        <v>64</v>
      </c>
      <c r="AM1514" s="10" t="s">
        <v>15218</v>
      </c>
      <c r="AN1514" s="10" t="s">
        <v>50</v>
      </c>
      <c r="AO1514" s="11" t="s">
        <v>50</v>
      </c>
      <c r="AP1514" s="10" t="s">
        <v>50</v>
      </c>
      <c r="AQ1514" s="10" t="s">
        <v>50</v>
      </c>
      <c r="AR1514" s="10" t="s">
        <v>50</v>
      </c>
      <c r="AS1514" s="10" t="s">
        <v>50</v>
      </c>
      <c r="AT1514" s="10" t="s">
        <v>50</v>
      </c>
      <c r="AU1514" s="10" t="s">
        <v>50</v>
      </c>
      <c r="AV1514" s="11"/>
      <c r="AW1514" s="10" t="s">
        <v>66</v>
      </c>
      <c r="AX1514" s="10"/>
      <c r="AY1514" s="10" t="s">
        <v>66</v>
      </c>
    </row>
    <row r="1515" ht="22.5" hidden="1" customHeight="1">
      <c r="A1515" s="9" t="s">
        <v>15219</v>
      </c>
      <c r="B1515" s="10" t="s">
        <v>15220</v>
      </c>
      <c r="C1515" s="10" t="s">
        <v>43</v>
      </c>
      <c r="D1515" s="10" t="s">
        <v>14923</v>
      </c>
      <c r="E1515" s="10" t="s">
        <v>66</v>
      </c>
      <c r="F1515" s="11">
        <v>1.0</v>
      </c>
      <c r="G1515" s="11">
        <v>80.0</v>
      </c>
      <c r="H1515" s="11"/>
      <c r="I1515" s="11">
        <v>-13.6</v>
      </c>
      <c r="J1515" s="11">
        <v>-19.95</v>
      </c>
      <c r="K1515" s="11"/>
      <c r="L1515" s="11">
        <v>50.45</v>
      </c>
      <c r="M1515" s="10" t="s">
        <v>12218</v>
      </c>
      <c r="N1515" s="10" t="s">
        <v>50</v>
      </c>
      <c r="O1515" s="10" t="s">
        <v>143</v>
      </c>
      <c r="P1515" s="10" t="s">
        <v>144</v>
      </c>
      <c r="Q1515" s="10" t="s">
        <v>145</v>
      </c>
      <c r="R1515" s="10" t="s">
        <v>74</v>
      </c>
      <c r="S1515" s="11">
        <v>80.0</v>
      </c>
      <c r="T1515" s="11">
        <v>33.38</v>
      </c>
      <c r="U1515" s="11" t="s">
        <v>51</v>
      </c>
      <c r="V1515" s="10" t="s">
        <v>52</v>
      </c>
      <c r="W1515" s="10" t="s">
        <v>15221</v>
      </c>
      <c r="X1515" s="10" t="s">
        <v>15222</v>
      </c>
      <c r="Y1515" s="10" t="s">
        <v>15223</v>
      </c>
      <c r="Z1515" s="10" t="s">
        <v>50</v>
      </c>
      <c r="AA1515" s="10" t="s">
        <v>50</v>
      </c>
      <c r="AB1515" s="10" t="s">
        <v>15221</v>
      </c>
      <c r="AC1515" s="10" t="s">
        <v>15224</v>
      </c>
      <c r="AD1515" s="10" t="s">
        <v>15225</v>
      </c>
      <c r="AE1515" s="10" t="s">
        <v>3830</v>
      </c>
      <c r="AF1515" s="10" t="s">
        <v>58</v>
      </c>
      <c r="AG1515" s="10" t="s">
        <v>15226</v>
      </c>
      <c r="AH1515" s="10" t="s">
        <v>60</v>
      </c>
      <c r="AI1515" s="10" t="s">
        <v>13406</v>
      </c>
      <c r="AJ1515" s="10" t="s">
        <v>15085</v>
      </c>
      <c r="AK1515" s="10" t="s">
        <v>15227</v>
      </c>
      <c r="AL1515" s="10" t="s">
        <v>64</v>
      </c>
      <c r="AM1515" s="10" t="s">
        <v>15228</v>
      </c>
      <c r="AN1515" s="10" t="s">
        <v>50</v>
      </c>
      <c r="AO1515" s="11" t="s">
        <v>50</v>
      </c>
      <c r="AP1515" s="10" t="s">
        <v>50</v>
      </c>
      <c r="AQ1515" s="10" t="s">
        <v>50</v>
      </c>
      <c r="AR1515" s="10" t="s">
        <v>50</v>
      </c>
      <c r="AS1515" s="10" t="s">
        <v>50</v>
      </c>
      <c r="AT1515" s="10" t="s">
        <v>50</v>
      </c>
      <c r="AU1515" s="10" t="s">
        <v>50</v>
      </c>
      <c r="AV1515" s="11"/>
      <c r="AW1515" s="10" t="s">
        <v>66</v>
      </c>
      <c r="AX1515" s="10"/>
      <c r="AY1515" s="10" t="s">
        <v>66</v>
      </c>
    </row>
    <row r="1516" ht="22.5" hidden="1" customHeight="1">
      <c r="A1516" s="9" t="s">
        <v>15229</v>
      </c>
      <c r="B1516" s="10" t="s">
        <v>15230</v>
      </c>
      <c r="C1516" s="10" t="s">
        <v>43</v>
      </c>
      <c r="D1516" s="10" t="s">
        <v>13108</v>
      </c>
      <c r="E1516" s="10" t="s">
        <v>66</v>
      </c>
      <c r="F1516" s="11">
        <v>1.0</v>
      </c>
      <c r="G1516" s="11">
        <v>79.2</v>
      </c>
      <c r="H1516" s="11"/>
      <c r="I1516" s="11">
        <v>-13.46</v>
      </c>
      <c r="J1516" s="11">
        <v>-20.45</v>
      </c>
      <c r="K1516" s="11"/>
      <c r="L1516" s="11">
        <v>45.29</v>
      </c>
      <c r="M1516" s="10" t="s">
        <v>12218</v>
      </c>
      <c r="N1516" s="10" t="s">
        <v>45</v>
      </c>
      <c r="O1516" s="10" t="s">
        <v>412</v>
      </c>
      <c r="P1516" s="10" t="s">
        <v>413</v>
      </c>
      <c r="Q1516" s="10" t="s">
        <v>414</v>
      </c>
      <c r="R1516" s="10" t="s">
        <v>415</v>
      </c>
      <c r="S1516" s="11">
        <v>79.2</v>
      </c>
      <c r="T1516" s="11">
        <v>10.05</v>
      </c>
      <c r="U1516" s="11" t="s">
        <v>51</v>
      </c>
      <c r="V1516" s="10" t="s">
        <v>52</v>
      </c>
      <c r="W1516" s="10" t="s">
        <v>15231</v>
      </c>
      <c r="X1516" s="10" t="s">
        <v>15232</v>
      </c>
      <c r="Y1516" s="10" t="s">
        <v>15233</v>
      </c>
      <c r="Z1516" s="10" t="s">
        <v>50</v>
      </c>
      <c r="AA1516" s="10" t="s">
        <v>50</v>
      </c>
      <c r="AB1516" s="10" t="s">
        <v>15231</v>
      </c>
      <c r="AC1516" s="10" t="s">
        <v>15234</v>
      </c>
      <c r="AD1516" s="10" t="s">
        <v>15235</v>
      </c>
      <c r="AE1516" s="10" t="s">
        <v>8561</v>
      </c>
      <c r="AF1516" s="10" t="s">
        <v>214</v>
      </c>
      <c r="AG1516" s="10" t="s">
        <v>15236</v>
      </c>
      <c r="AH1516" s="10" t="s">
        <v>60</v>
      </c>
      <c r="AI1516" s="10" t="s">
        <v>13406</v>
      </c>
      <c r="AJ1516" s="10" t="s">
        <v>15216</v>
      </c>
      <c r="AK1516" s="10" t="s">
        <v>15237</v>
      </c>
      <c r="AL1516" s="10" t="s">
        <v>64</v>
      </c>
      <c r="AM1516" s="10" t="s">
        <v>15238</v>
      </c>
      <c r="AN1516" s="10" t="s">
        <v>50</v>
      </c>
      <c r="AO1516" s="11" t="s">
        <v>50</v>
      </c>
      <c r="AP1516" s="10" t="s">
        <v>50</v>
      </c>
      <c r="AQ1516" s="10" t="s">
        <v>50</v>
      </c>
      <c r="AR1516" s="10" t="s">
        <v>50</v>
      </c>
      <c r="AS1516" s="10" t="s">
        <v>50</v>
      </c>
      <c r="AT1516" s="10" t="s">
        <v>50</v>
      </c>
      <c r="AU1516" s="10" t="s">
        <v>50</v>
      </c>
      <c r="AV1516" s="11"/>
      <c r="AW1516" s="10" t="s">
        <v>66</v>
      </c>
      <c r="AX1516" s="10"/>
      <c r="AY1516" s="10" t="s">
        <v>66</v>
      </c>
    </row>
    <row r="1517" ht="22.5" hidden="1" customHeight="1">
      <c r="A1517" s="9" t="s">
        <v>15239</v>
      </c>
      <c r="B1517" s="10" t="s">
        <v>15240</v>
      </c>
      <c r="C1517" s="10" t="s">
        <v>43</v>
      </c>
      <c r="D1517" s="10" t="s">
        <v>14923</v>
      </c>
      <c r="E1517" s="10" t="s">
        <v>66</v>
      </c>
      <c r="F1517" s="11">
        <v>1.0</v>
      </c>
      <c r="G1517" s="11">
        <v>79.35</v>
      </c>
      <c r="H1517" s="11"/>
      <c r="I1517" s="11">
        <v>-15.08</v>
      </c>
      <c r="J1517" s="11">
        <v>-19.95</v>
      </c>
      <c r="K1517" s="11"/>
      <c r="L1517" s="11">
        <v>44.32</v>
      </c>
      <c r="M1517" s="10" t="s">
        <v>12218</v>
      </c>
      <c r="N1517" s="10" t="s">
        <v>45</v>
      </c>
      <c r="O1517" s="10" t="s">
        <v>47</v>
      </c>
      <c r="P1517" s="10" t="s">
        <v>48</v>
      </c>
      <c r="Q1517" s="10" t="s">
        <v>49</v>
      </c>
      <c r="R1517" s="10" t="s">
        <v>50</v>
      </c>
      <c r="S1517" s="11">
        <v>79.35</v>
      </c>
      <c r="T1517" s="11">
        <v>12.45</v>
      </c>
      <c r="U1517" s="11" t="s">
        <v>51</v>
      </c>
      <c r="V1517" s="10" t="s">
        <v>52</v>
      </c>
      <c r="W1517" s="10" t="s">
        <v>15241</v>
      </c>
      <c r="X1517" s="10" t="s">
        <v>15242</v>
      </c>
      <c r="Y1517" s="10" t="s">
        <v>15243</v>
      </c>
      <c r="Z1517" s="10" t="s">
        <v>50</v>
      </c>
      <c r="AA1517" s="10" t="s">
        <v>50</v>
      </c>
      <c r="AB1517" s="10" t="s">
        <v>15241</v>
      </c>
      <c r="AC1517" s="10" t="s">
        <v>15244</v>
      </c>
      <c r="AD1517" s="10" t="s">
        <v>15245</v>
      </c>
      <c r="AE1517" s="10" t="s">
        <v>492</v>
      </c>
      <c r="AF1517" s="10" t="s">
        <v>58</v>
      </c>
      <c r="AG1517" s="10" t="s">
        <v>15246</v>
      </c>
      <c r="AH1517" s="10" t="s">
        <v>60</v>
      </c>
      <c r="AI1517" s="10" t="s">
        <v>13406</v>
      </c>
      <c r="AJ1517" s="10" t="s">
        <v>14930</v>
      </c>
      <c r="AK1517" s="10" t="s">
        <v>15247</v>
      </c>
      <c r="AL1517" s="10" t="s">
        <v>64</v>
      </c>
      <c r="AM1517" s="10" t="s">
        <v>15248</v>
      </c>
      <c r="AN1517" s="10" t="s">
        <v>50</v>
      </c>
      <c r="AO1517" s="11" t="s">
        <v>50</v>
      </c>
      <c r="AP1517" s="10" t="s">
        <v>50</v>
      </c>
      <c r="AQ1517" s="10" t="s">
        <v>50</v>
      </c>
      <c r="AR1517" s="10" t="s">
        <v>50</v>
      </c>
      <c r="AS1517" s="10" t="s">
        <v>50</v>
      </c>
      <c r="AT1517" s="10" t="s">
        <v>50</v>
      </c>
      <c r="AU1517" s="10" t="s">
        <v>50</v>
      </c>
      <c r="AV1517" s="11"/>
      <c r="AW1517" s="10" t="s">
        <v>66</v>
      </c>
      <c r="AX1517" s="10"/>
      <c r="AY1517" s="10" t="s">
        <v>66</v>
      </c>
    </row>
    <row r="1518" ht="22.5" hidden="1" customHeight="1">
      <c r="A1518" s="9" t="s">
        <v>15249</v>
      </c>
      <c r="B1518" s="10" t="s">
        <v>15250</v>
      </c>
      <c r="C1518" s="10" t="s">
        <v>43</v>
      </c>
      <c r="D1518" s="10" t="s">
        <v>14923</v>
      </c>
      <c r="E1518" s="10" t="s">
        <v>66</v>
      </c>
      <c r="F1518" s="11">
        <v>1.0</v>
      </c>
      <c r="G1518" s="11">
        <v>80.0</v>
      </c>
      <c r="H1518" s="11"/>
      <c r="I1518" s="11">
        <v>-13.6</v>
      </c>
      <c r="J1518" s="11">
        <v>-19.95</v>
      </c>
      <c r="K1518" s="11"/>
      <c r="L1518" s="11">
        <v>50.45</v>
      </c>
      <c r="M1518" s="10" t="s">
        <v>12218</v>
      </c>
      <c r="N1518" s="10" t="s">
        <v>50</v>
      </c>
      <c r="O1518" s="10" t="s">
        <v>143</v>
      </c>
      <c r="P1518" s="10" t="s">
        <v>144</v>
      </c>
      <c r="Q1518" s="10" t="s">
        <v>145</v>
      </c>
      <c r="R1518" s="10" t="s">
        <v>74</v>
      </c>
      <c r="S1518" s="11">
        <v>80.0</v>
      </c>
      <c r="T1518" s="11">
        <v>33.38</v>
      </c>
      <c r="U1518" s="11" t="s">
        <v>51</v>
      </c>
      <c r="V1518" s="10" t="s">
        <v>52</v>
      </c>
      <c r="W1518" s="10" t="s">
        <v>15251</v>
      </c>
      <c r="X1518" s="10" t="s">
        <v>15252</v>
      </c>
      <c r="Y1518" s="10" t="s">
        <v>15253</v>
      </c>
      <c r="Z1518" s="10" t="s">
        <v>50</v>
      </c>
      <c r="AA1518" s="10" t="s">
        <v>50</v>
      </c>
      <c r="AB1518" s="10" t="s">
        <v>15251</v>
      </c>
      <c r="AC1518" s="10" t="s">
        <v>15254</v>
      </c>
      <c r="AD1518" s="10" t="s">
        <v>15255</v>
      </c>
      <c r="AE1518" s="10" t="s">
        <v>384</v>
      </c>
      <c r="AF1518" s="10" t="s">
        <v>214</v>
      </c>
      <c r="AG1518" s="10" t="s">
        <v>15256</v>
      </c>
      <c r="AH1518" s="10" t="s">
        <v>60</v>
      </c>
      <c r="AI1518" s="10" t="s">
        <v>13406</v>
      </c>
      <c r="AJ1518" s="10" t="s">
        <v>15257</v>
      </c>
      <c r="AK1518" s="10" t="s">
        <v>15258</v>
      </c>
      <c r="AL1518" s="10" t="s">
        <v>64</v>
      </c>
      <c r="AM1518" s="10" t="s">
        <v>15259</v>
      </c>
      <c r="AN1518" s="10" t="s">
        <v>50</v>
      </c>
      <c r="AO1518" s="11" t="s">
        <v>50</v>
      </c>
      <c r="AP1518" s="10" t="s">
        <v>50</v>
      </c>
      <c r="AQ1518" s="10" t="s">
        <v>50</v>
      </c>
      <c r="AR1518" s="10" t="s">
        <v>50</v>
      </c>
      <c r="AS1518" s="10" t="s">
        <v>50</v>
      </c>
      <c r="AT1518" s="10" t="s">
        <v>50</v>
      </c>
      <c r="AU1518" s="10" t="s">
        <v>50</v>
      </c>
      <c r="AV1518" s="11"/>
      <c r="AW1518" s="10" t="s">
        <v>66</v>
      </c>
      <c r="AX1518" s="10"/>
      <c r="AY1518" s="10" t="s">
        <v>66</v>
      </c>
    </row>
    <row r="1519" ht="22.5" hidden="1" customHeight="1">
      <c r="A1519" s="9" t="s">
        <v>15260</v>
      </c>
      <c r="B1519" s="10" t="s">
        <v>15261</v>
      </c>
      <c r="C1519" s="10" t="s">
        <v>43</v>
      </c>
      <c r="D1519" s="10" t="s">
        <v>14923</v>
      </c>
      <c r="E1519" s="10" t="s">
        <v>66</v>
      </c>
      <c r="F1519" s="11">
        <v>1.0</v>
      </c>
      <c r="G1519" s="11">
        <v>80.0</v>
      </c>
      <c r="H1519" s="11"/>
      <c r="I1519" s="11">
        <v>-13.6</v>
      </c>
      <c r="J1519" s="11">
        <v>-19.95</v>
      </c>
      <c r="K1519" s="11"/>
      <c r="L1519" s="11">
        <v>50.45</v>
      </c>
      <c r="M1519" s="10" t="s">
        <v>12218</v>
      </c>
      <c r="N1519" s="10" t="s">
        <v>50</v>
      </c>
      <c r="O1519" s="10" t="s">
        <v>143</v>
      </c>
      <c r="P1519" s="10" t="s">
        <v>144</v>
      </c>
      <c r="Q1519" s="10" t="s">
        <v>145</v>
      </c>
      <c r="R1519" s="10" t="s">
        <v>74</v>
      </c>
      <c r="S1519" s="11">
        <v>80.0</v>
      </c>
      <c r="T1519" s="11">
        <v>33.38</v>
      </c>
      <c r="U1519" s="11" t="s">
        <v>51</v>
      </c>
      <c r="V1519" s="10" t="s">
        <v>52</v>
      </c>
      <c r="W1519" s="10" t="s">
        <v>15262</v>
      </c>
      <c r="X1519" s="10" t="s">
        <v>15263</v>
      </c>
      <c r="Y1519" s="10" t="s">
        <v>15264</v>
      </c>
      <c r="Z1519" s="10" t="s">
        <v>50</v>
      </c>
      <c r="AA1519" s="10" t="s">
        <v>50</v>
      </c>
      <c r="AB1519" s="10" t="s">
        <v>15262</v>
      </c>
      <c r="AC1519" s="10" t="s">
        <v>15265</v>
      </c>
      <c r="AD1519" s="10" t="s">
        <v>15266</v>
      </c>
      <c r="AE1519" s="10" t="s">
        <v>296</v>
      </c>
      <c r="AF1519" s="10" t="s">
        <v>58</v>
      </c>
      <c r="AG1519" s="10" t="s">
        <v>15267</v>
      </c>
      <c r="AH1519" s="10" t="s">
        <v>60</v>
      </c>
      <c r="AI1519" s="10" t="s">
        <v>13406</v>
      </c>
      <c r="AJ1519" s="10" t="s">
        <v>15008</v>
      </c>
      <c r="AK1519" s="10" t="s">
        <v>15268</v>
      </c>
      <c r="AL1519" s="10" t="s">
        <v>64</v>
      </c>
      <c r="AM1519" s="10" t="s">
        <v>15269</v>
      </c>
      <c r="AN1519" s="10" t="s">
        <v>50</v>
      </c>
      <c r="AO1519" s="11" t="s">
        <v>50</v>
      </c>
      <c r="AP1519" s="10" t="s">
        <v>50</v>
      </c>
      <c r="AQ1519" s="10" t="s">
        <v>50</v>
      </c>
      <c r="AR1519" s="10" t="s">
        <v>50</v>
      </c>
      <c r="AS1519" s="10" t="s">
        <v>50</v>
      </c>
      <c r="AT1519" s="10" t="s">
        <v>50</v>
      </c>
      <c r="AU1519" s="10" t="s">
        <v>50</v>
      </c>
      <c r="AV1519" s="11"/>
      <c r="AW1519" s="10" t="s">
        <v>66</v>
      </c>
      <c r="AX1519" s="10"/>
      <c r="AY1519" s="10" t="s">
        <v>66</v>
      </c>
    </row>
    <row r="1520" ht="22.5" hidden="1" customHeight="1">
      <c r="A1520" s="9" t="s">
        <v>15270</v>
      </c>
      <c r="B1520" s="10" t="s">
        <v>15271</v>
      </c>
      <c r="C1520" s="10" t="s">
        <v>43</v>
      </c>
      <c r="D1520" s="10" t="s">
        <v>14923</v>
      </c>
      <c r="E1520" s="10" t="s">
        <v>66</v>
      </c>
      <c r="F1520" s="11">
        <v>1.0</v>
      </c>
      <c r="G1520" s="11">
        <v>79.2</v>
      </c>
      <c r="H1520" s="11">
        <v>9.11</v>
      </c>
      <c r="I1520" s="11">
        <v>-13.46</v>
      </c>
      <c r="J1520" s="11">
        <v>-29.56</v>
      </c>
      <c r="K1520" s="11"/>
      <c r="L1520" s="11">
        <v>45.29</v>
      </c>
      <c r="M1520" s="10" t="s">
        <v>12218</v>
      </c>
      <c r="N1520" s="10" t="s">
        <v>45</v>
      </c>
      <c r="O1520" s="10" t="s">
        <v>892</v>
      </c>
      <c r="P1520" s="10" t="s">
        <v>893</v>
      </c>
      <c r="Q1520" s="10" t="s">
        <v>894</v>
      </c>
      <c r="R1520" s="10" t="s">
        <v>74</v>
      </c>
      <c r="S1520" s="11">
        <v>79.2</v>
      </c>
      <c r="T1520" s="11">
        <v>2.97</v>
      </c>
      <c r="U1520" s="11" t="s">
        <v>51</v>
      </c>
      <c r="V1520" s="10" t="s">
        <v>52</v>
      </c>
      <c r="W1520" s="10" t="s">
        <v>15272</v>
      </c>
      <c r="X1520" s="10" t="s">
        <v>15273</v>
      </c>
      <c r="Y1520" s="10" t="s">
        <v>15274</v>
      </c>
      <c r="Z1520" s="10" t="s">
        <v>50</v>
      </c>
      <c r="AA1520" s="10" t="s">
        <v>50</v>
      </c>
      <c r="AB1520" s="10" t="s">
        <v>15272</v>
      </c>
      <c r="AC1520" s="10" t="s">
        <v>15275</v>
      </c>
      <c r="AD1520" s="10" t="s">
        <v>15276</v>
      </c>
      <c r="AE1520" s="10" t="s">
        <v>15277</v>
      </c>
      <c r="AF1520" s="10" t="s">
        <v>136</v>
      </c>
      <c r="AG1520" s="10" t="s">
        <v>15278</v>
      </c>
      <c r="AH1520" s="10" t="s">
        <v>60</v>
      </c>
      <c r="AI1520" s="10" t="s">
        <v>13406</v>
      </c>
      <c r="AJ1520" s="10" t="s">
        <v>15279</v>
      </c>
      <c r="AK1520" s="10" t="s">
        <v>15280</v>
      </c>
      <c r="AL1520" s="10" t="s">
        <v>64</v>
      </c>
      <c r="AM1520" s="10" t="s">
        <v>15281</v>
      </c>
      <c r="AN1520" s="10" t="s">
        <v>50</v>
      </c>
      <c r="AO1520" s="11" t="s">
        <v>50</v>
      </c>
      <c r="AP1520" s="10" t="s">
        <v>50</v>
      </c>
      <c r="AQ1520" s="10" t="s">
        <v>50</v>
      </c>
      <c r="AR1520" s="10" t="s">
        <v>50</v>
      </c>
      <c r="AS1520" s="10" t="s">
        <v>50</v>
      </c>
      <c r="AT1520" s="10" t="s">
        <v>50</v>
      </c>
      <c r="AU1520" s="10" t="s">
        <v>50</v>
      </c>
      <c r="AV1520" s="11"/>
      <c r="AW1520" s="10" t="s">
        <v>66</v>
      </c>
      <c r="AX1520" s="10"/>
      <c r="AY1520" s="10" t="s">
        <v>66</v>
      </c>
    </row>
    <row r="1521" ht="22.5" hidden="1" customHeight="1">
      <c r="A1521" s="9" t="s">
        <v>15282</v>
      </c>
      <c r="B1521" s="10" t="s">
        <v>15283</v>
      </c>
      <c r="C1521" s="10" t="s">
        <v>43</v>
      </c>
      <c r="D1521" s="10" t="s">
        <v>13120</v>
      </c>
      <c r="E1521" s="10" t="s">
        <v>66</v>
      </c>
      <c r="F1521" s="11">
        <v>1.0</v>
      </c>
      <c r="G1521" s="11">
        <v>80.0</v>
      </c>
      <c r="H1521" s="11"/>
      <c r="I1521" s="11">
        <v>-13.6</v>
      </c>
      <c r="J1521" s="11">
        <v>-19.95</v>
      </c>
      <c r="K1521" s="11"/>
      <c r="L1521" s="11">
        <v>50.45</v>
      </c>
      <c r="M1521" s="10" t="s">
        <v>12218</v>
      </c>
      <c r="N1521" s="10" t="s">
        <v>50</v>
      </c>
      <c r="O1521" s="10" t="s">
        <v>143</v>
      </c>
      <c r="P1521" s="10" t="s">
        <v>144</v>
      </c>
      <c r="Q1521" s="10" t="s">
        <v>145</v>
      </c>
      <c r="R1521" s="10" t="s">
        <v>74</v>
      </c>
      <c r="S1521" s="11">
        <v>80.0</v>
      </c>
      <c r="T1521" s="11">
        <v>33.38</v>
      </c>
      <c r="U1521" s="11" t="s">
        <v>51</v>
      </c>
      <c r="V1521" s="10" t="s">
        <v>52</v>
      </c>
      <c r="W1521" s="10" t="s">
        <v>15284</v>
      </c>
      <c r="X1521" s="10" t="s">
        <v>15285</v>
      </c>
      <c r="Y1521" s="10" t="s">
        <v>15286</v>
      </c>
      <c r="Z1521" s="10" t="s">
        <v>50</v>
      </c>
      <c r="AA1521" s="10" t="s">
        <v>50</v>
      </c>
      <c r="AB1521" s="10" t="s">
        <v>15284</v>
      </c>
      <c r="AC1521" s="10" t="s">
        <v>15287</v>
      </c>
      <c r="AD1521" s="10" t="s">
        <v>15288</v>
      </c>
      <c r="AE1521" s="10" t="s">
        <v>15289</v>
      </c>
      <c r="AF1521" s="10" t="s">
        <v>214</v>
      </c>
      <c r="AG1521" s="10" t="s">
        <v>15290</v>
      </c>
      <c r="AH1521" s="10" t="s">
        <v>60</v>
      </c>
      <c r="AI1521" s="10" t="s">
        <v>13406</v>
      </c>
      <c r="AJ1521" s="10" t="s">
        <v>15291</v>
      </c>
      <c r="AK1521" s="10" t="s">
        <v>15292</v>
      </c>
      <c r="AL1521" s="10" t="s">
        <v>64</v>
      </c>
      <c r="AM1521" s="10" t="s">
        <v>15293</v>
      </c>
      <c r="AN1521" s="10" t="s">
        <v>50</v>
      </c>
      <c r="AO1521" s="11" t="s">
        <v>50</v>
      </c>
      <c r="AP1521" s="10" t="s">
        <v>50</v>
      </c>
      <c r="AQ1521" s="10" t="s">
        <v>50</v>
      </c>
      <c r="AR1521" s="10" t="s">
        <v>50</v>
      </c>
      <c r="AS1521" s="10" t="s">
        <v>50</v>
      </c>
      <c r="AT1521" s="10" t="s">
        <v>50</v>
      </c>
      <c r="AU1521" s="10" t="s">
        <v>50</v>
      </c>
      <c r="AV1521" s="11"/>
      <c r="AW1521" s="10" t="s">
        <v>66</v>
      </c>
      <c r="AX1521" s="10"/>
      <c r="AY1521" s="10" t="s">
        <v>66</v>
      </c>
    </row>
    <row r="1522" ht="22.5" hidden="1" customHeight="1">
      <c r="A1522" s="9" t="s">
        <v>15294</v>
      </c>
      <c r="B1522" s="10" t="s">
        <v>15295</v>
      </c>
      <c r="C1522" s="10" t="s">
        <v>43</v>
      </c>
      <c r="D1522" s="10" t="s">
        <v>13120</v>
      </c>
      <c r="E1522" s="10" t="s">
        <v>66</v>
      </c>
      <c r="F1522" s="11">
        <v>1.0</v>
      </c>
      <c r="G1522" s="11">
        <v>43.7</v>
      </c>
      <c r="H1522" s="11">
        <v>13.87</v>
      </c>
      <c r="I1522" s="11">
        <v>-13.43</v>
      </c>
      <c r="J1522" s="11">
        <v>-13.87</v>
      </c>
      <c r="K1522" s="11"/>
      <c r="L1522" s="11">
        <v>32.89</v>
      </c>
      <c r="M1522" s="10" t="s">
        <v>12218</v>
      </c>
      <c r="N1522" s="10" t="s">
        <v>50</v>
      </c>
      <c r="O1522" s="10" t="s">
        <v>176</v>
      </c>
      <c r="P1522" s="10" t="s">
        <v>177</v>
      </c>
      <c r="Q1522" s="10" t="s">
        <v>178</v>
      </c>
      <c r="R1522" s="10" t="s">
        <v>74</v>
      </c>
      <c r="S1522" s="11">
        <v>43.7</v>
      </c>
      <c r="T1522" s="11">
        <v>22.58</v>
      </c>
      <c r="U1522" s="11" t="s">
        <v>51</v>
      </c>
      <c r="V1522" s="10" t="s">
        <v>52</v>
      </c>
      <c r="W1522" s="10" t="s">
        <v>15296</v>
      </c>
      <c r="X1522" s="10" t="s">
        <v>15297</v>
      </c>
      <c r="Y1522" s="10" t="s">
        <v>15298</v>
      </c>
      <c r="Z1522" s="10" t="s">
        <v>50</v>
      </c>
      <c r="AA1522" s="10" t="s">
        <v>50</v>
      </c>
      <c r="AB1522" s="10" t="s">
        <v>15296</v>
      </c>
      <c r="AC1522" s="10" t="s">
        <v>15299</v>
      </c>
      <c r="AD1522" s="10" t="s">
        <v>15300</v>
      </c>
      <c r="AE1522" s="10" t="s">
        <v>58</v>
      </c>
      <c r="AF1522" s="10" t="s">
        <v>58</v>
      </c>
      <c r="AG1522" s="10" t="s">
        <v>15301</v>
      </c>
      <c r="AH1522" s="10" t="s">
        <v>60</v>
      </c>
      <c r="AI1522" s="10" t="s">
        <v>13406</v>
      </c>
      <c r="AJ1522" s="10" t="s">
        <v>15302</v>
      </c>
      <c r="AK1522" s="10" t="s">
        <v>15303</v>
      </c>
      <c r="AL1522" s="10" t="s">
        <v>64</v>
      </c>
      <c r="AM1522" s="10" t="s">
        <v>15304</v>
      </c>
      <c r="AN1522" s="10" t="s">
        <v>15305</v>
      </c>
      <c r="AO1522" s="11" t="s">
        <v>50</v>
      </c>
      <c r="AP1522" s="10" t="s">
        <v>50</v>
      </c>
      <c r="AQ1522" s="10" t="s">
        <v>50</v>
      </c>
      <c r="AR1522" s="10" t="s">
        <v>50</v>
      </c>
      <c r="AS1522" s="10" t="s">
        <v>50</v>
      </c>
      <c r="AT1522" s="10" t="s">
        <v>50</v>
      </c>
      <c r="AU1522" s="10" t="s">
        <v>50</v>
      </c>
      <c r="AV1522" s="11"/>
      <c r="AW1522" s="10" t="s">
        <v>66</v>
      </c>
      <c r="AX1522" s="10"/>
      <c r="AY1522" s="10" t="s">
        <v>66</v>
      </c>
    </row>
    <row r="1523" ht="22.5" hidden="1" customHeight="1">
      <c r="A1523" s="9" t="s">
        <v>15306</v>
      </c>
      <c r="B1523" s="10" t="s">
        <v>15307</v>
      </c>
      <c r="C1523" s="10" t="s">
        <v>43</v>
      </c>
      <c r="D1523" s="10" t="s">
        <v>13120</v>
      </c>
      <c r="E1523" s="10" t="s">
        <v>45</v>
      </c>
      <c r="F1523" s="11">
        <v>1.0</v>
      </c>
      <c r="G1523" s="11">
        <v>90.0</v>
      </c>
      <c r="H1523" s="11"/>
      <c r="I1523" s="11">
        <v>-15.3</v>
      </c>
      <c r="J1523" s="11">
        <v>-20.45</v>
      </c>
      <c r="K1523" s="11"/>
      <c r="L1523" s="11">
        <v>59.65</v>
      </c>
      <c r="M1523" s="10" t="s">
        <v>12218</v>
      </c>
      <c r="N1523" s="10" t="s">
        <v>45</v>
      </c>
      <c r="O1523" s="10" t="s">
        <v>5094</v>
      </c>
      <c r="P1523" s="10" t="s">
        <v>5095</v>
      </c>
      <c r="Q1523" s="10" t="s">
        <v>5096</v>
      </c>
      <c r="R1523" s="10" t="s">
        <v>74</v>
      </c>
      <c r="S1523" s="11">
        <v>90.0</v>
      </c>
      <c r="T1523" s="11">
        <v>39.99</v>
      </c>
      <c r="U1523" s="11" t="s">
        <v>51</v>
      </c>
      <c r="V1523" s="10" t="s">
        <v>52</v>
      </c>
      <c r="W1523" s="10" t="s">
        <v>15308</v>
      </c>
      <c r="X1523" s="10" t="s">
        <v>15309</v>
      </c>
      <c r="Y1523" s="10" t="s">
        <v>15310</v>
      </c>
      <c r="Z1523" s="10" t="s">
        <v>50</v>
      </c>
      <c r="AA1523" s="10" t="s">
        <v>50</v>
      </c>
      <c r="AB1523" s="10" t="s">
        <v>15308</v>
      </c>
      <c r="AC1523" s="10" t="s">
        <v>15311</v>
      </c>
      <c r="AD1523" s="10" t="s">
        <v>15312</v>
      </c>
      <c r="AE1523" s="10" t="s">
        <v>1089</v>
      </c>
      <c r="AF1523" s="10" t="s">
        <v>284</v>
      </c>
      <c r="AG1523" s="10" t="s">
        <v>15313</v>
      </c>
      <c r="AH1523" s="10" t="s">
        <v>60</v>
      </c>
      <c r="AI1523" s="10" t="s">
        <v>13406</v>
      </c>
      <c r="AJ1523" s="10" t="s">
        <v>15314</v>
      </c>
      <c r="AK1523" s="10" t="s">
        <v>15315</v>
      </c>
      <c r="AL1523" s="10" t="s">
        <v>64</v>
      </c>
      <c r="AM1523" s="10" t="s">
        <v>15316</v>
      </c>
      <c r="AN1523" s="10" t="s">
        <v>50</v>
      </c>
      <c r="AO1523" s="11" t="s">
        <v>50</v>
      </c>
      <c r="AP1523" s="10" t="s">
        <v>50</v>
      </c>
      <c r="AQ1523" s="10" t="s">
        <v>50</v>
      </c>
      <c r="AR1523" s="10" t="s">
        <v>50</v>
      </c>
      <c r="AS1523" s="10" t="s">
        <v>50</v>
      </c>
      <c r="AT1523" s="10" t="s">
        <v>50</v>
      </c>
      <c r="AU1523" s="10" t="s">
        <v>50</v>
      </c>
      <c r="AV1523" s="11"/>
      <c r="AW1523" s="10" t="s">
        <v>66</v>
      </c>
      <c r="AX1523" s="10"/>
      <c r="AY1523" s="10" t="s">
        <v>66</v>
      </c>
    </row>
    <row r="1524" ht="22.5" hidden="1" customHeight="1">
      <c r="A1524" s="9" t="s">
        <v>15317</v>
      </c>
      <c r="B1524" s="10" t="s">
        <v>15318</v>
      </c>
      <c r="C1524" s="10" t="s">
        <v>43</v>
      </c>
      <c r="D1524" s="10" t="s">
        <v>14945</v>
      </c>
      <c r="E1524" s="10" t="s">
        <v>66</v>
      </c>
      <c r="F1524" s="11">
        <v>1.0</v>
      </c>
      <c r="G1524" s="11">
        <v>43.7</v>
      </c>
      <c r="H1524" s="11">
        <v>11.11</v>
      </c>
      <c r="I1524" s="11">
        <v>-13.43</v>
      </c>
      <c r="J1524" s="11">
        <v>-11.11</v>
      </c>
      <c r="K1524" s="11"/>
      <c r="L1524" s="11">
        <v>32.89</v>
      </c>
      <c r="M1524" s="10" t="s">
        <v>12218</v>
      </c>
      <c r="N1524" s="10" t="s">
        <v>50</v>
      </c>
      <c r="O1524" s="10" t="s">
        <v>176</v>
      </c>
      <c r="P1524" s="10" t="s">
        <v>177</v>
      </c>
      <c r="Q1524" s="10" t="s">
        <v>178</v>
      </c>
      <c r="R1524" s="10" t="s">
        <v>74</v>
      </c>
      <c r="S1524" s="11">
        <v>43.7</v>
      </c>
      <c r="T1524" s="11">
        <v>22.58</v>
      </c>
      <c r="U1524" s="11" t="s">
        <v>51</v>
      </c>
      <c r="V1524" s="10" t="s">
        <v>52</v>
      </c>
      <c r="W1524" s="10" t="s">
        <v>15319</v>
      </c>
      <c r="X1524" s="10" t="s">
        <v>15320</v>
      </c>
      <c r="Y1524" s="10" t="s">
        <v>15321</v>
      </c>
      <c r="Z1524" s="10" t="s">
        <v>50</v>
      </c>
      <c r="AA1524" s="10" t="s">
        <v>50</v>
      </c>
      <c r="AB1524" s="10" t="s">
        <v>15319</v>
      </c>
      <c r="AC1524" s="10" t="s">
        <v>15322</v>
      </c>
      <c r="AD1524" s="10" t="s">
        <v>15323</v>
      </c>
      <c r="AE1524" s="10" t="s">
        <v>58</v>
      </c>
      <c r="AF1524" s="10" t="s">
        <v>58</v>
      </c>
      <c r="AG1524" s="10" t="s">
        <v>15324</v>
      </c>
      <c r="AH1524" s="10" t="s">
        <v>60</v>
      </c>
      <c r="AI1524" s="10" t="s">
        <v>13406</v>
      </c>
      <c r="AJ1524" s="10" t="s">
        <v>15325</v>
      </c>
      <c r="AK1524" s="10" t="s">
        <v>15326</v>
      </c>
      <c r="AL1524" s="10" t="s">
        <v>64</v>
      </c>
      <c r="AM1524" s="10" t="s">
        <v>15327</v>
      </c>
      <c r="AN1524" s="10" t="s">
        <v>50</v>
      </c>
      <c r="AO1524" s="11" t="s">
        <v>50</v>
      </c>
      <c r="AP1524" s="10" t="s">
        <v>50</v>
      </c>
      <c r="AQ1524" s="10" t="s">
        <v>50</v>
      </c>
      <c r="AR1524" s="10" t="s">
        <v>50</v>
      </c>
      <c r="AS1524" s="10" t="s">
        <v>50</v>
      </c>
      <c r="AT1524" s="10" t="s">
        <v>50</v>
      </c>
      <c r="AU1524" s="10" t="s">
        <v>50</v>
      </c>
      <c r="AV1524" s="11"/>
      <c r="AW1524" s="10" t="s">
        <v>66</v>
      </c>
      <c r="AX1524" s="10"/>
      <c r="AY1524" s="10" t="s">
        <v>66</v>
      </c>
    </row>
    <row r="1525" ht="22.5" hidden="1" customHeight="1">
      <c r="A1525" s="9" t="s">
        <v>15328</v>
      </c>
      <c r="B1525" s="10" t="s">
        <v>15329</v>
      </c>
      <c r="C1525" s="10" t="s">
        <v>43</v>
      </c>
      <c r="D1525" s="10" t="s">
        <v>14923</v>
      </c>
      <c r="E1525" s="10" t="s">
        <v>66</v>
      </c>
      <c r="F1525" s="11">
        <v>1.0</v>
      </c>
      <c r="G1525" s="11">
        <v>79.0</v>
      </c>
      <c r="H1525" s="11"/>
      <c r="I1525" s="11">
        <v>-13.43</v>
      </c>
      <c r="J1525" s="11">
        <v>-19.95</v>
      </c>
      <c r="K1525" s="11"/>
      <c r="L1525" s="11">
        <v>45.62</v>
      </c>
      <c r="M1525" s="10" t="s">
        <v>12218</v>
      </c>
      <c r="N1525" s="10" t="s">
        <v>45</v>
      </c>
      <c r="O1525" s="10" t="s">
        <v>766</v>
      </c>
      <c r="P1525" s="10" t="s">
        <v>767</v>
      </c>
      <c r="Q1525" s="10" t="s">
        <v>768</v>
      </c>
      <c r="R1525" s="10" t="s">
        <v>74</v>
      </c>
      <c r="S1525" s="11">
        <v>79.0</v>
      </c>
      <c r="T1525" s="11">
        <v>13.62</v>
      </c>
      <c r="U1525" s="11" t="s">
        <v>51</v>
      </c>
      <c r="V1525" s="10" t="s">
        <v>52</v>
      </c>
      <c r="W1525" s="10" t="s">
        <v>15330</v>
      </c>
      <c r="X1525" s="10" t="s">
        <v>15331</v>
      </c>
      <c r="Y1525" s="10" t="s">
        <v>15332</v>
      </c>
      <c r="Z1525" s="10" t="s">
        <v>50</v>
      </c>
      <c r="AA1525" s="10" t="s">
        <v>50</v>
      </c>
      <c r="AB1525" s="10" t="s">
        <v>15330</v>
      </c>
      <c r="AC1525" s="10" t="s">
        <v>15333</v>
      </c>
      <c r="AD1525" s="10" t="s">
        <v>15334</v>
      </c>
      <c r="AE1525" s="10" t="s">
        <v>361</v>
      </c>
      <c r="AF1525" s="10" t="s">
        <v>323</v>
      </c>
      <c r="AG1525" s="10" t="s">
        <v>15335</v>
      </c>
      <c r="AH1525" s="10" t="s">
        <v>60</v>
      </c>
      <c r="AI1525" s="10" t="s">
        <v>13406</v>
      </c>
      <c r="AJ1525" s="10" t="s">
        <v>15336</v>
      </c>
      <c r="AK1525" s="10" t="s">
        <v>15337</v>
      </c>
      <c r="AL1525" s="10" t="s">
        <v>64</v>
      </c>
      <c r="AM1525" s="10" t="s">
        <v>15338</v>
      </c>
      <c r="AN1525" s="10" t="s">
        <v>50</v>
      </c>
      <c r="AO1525" s="11" t="s">
        <v>50</v>
      </c>
      <c r="AP1525" s="10" t="s">
        <v>50</v>
      </c>
      <c r="AQ1525" s="10" t="s">
        <v>50</v>
      </c>
      <c r="AR1525" s="10" t="s">
        <v>50</v>
      </c>
      <c r="AS1525" s="10" t="s">
        <v>50</v>
      </c>
      <c r="AT1525" s="10" t="s">
        <v>50</v>
      </c>
      <c r="AU1525" s="10" t="s">
        <v>50</v>
      </c>
      <c r="AV1525" s="11"/>
      <c r="AW1525" s="10" t="s">
        <v>66</v>
      </c>
      <c r="AX1525" s="10"/>
      <c r="AY1525" s="10" t="s">
        <v>66</v>
      </c>
    </row>
    <row r="1526" ht="22.5" hidden="1" customHeight="1">
      <c r="A1526" s="9" t="s">
        <v>15339</v>
      </c>
      <c r="B1526" s="10" t="s">
        <v>15340</v>
      </c>
      <c r="C1526" s="10" t="s">
        <v>43</v>
      </c>
      <c r="D1526" s="10" t="s">
        <v>14923</v>
      </c>
      <c r="E1526" s="10" t="s">
        <v>45</v>
      </c>
      <c r="F1526" s="11">
        <v>1.0</v>
      </c>
      <c r="G1526" s="11">
        <v>80.0</v>
      </c>
      <c r="H1526" s="11"/>
      <c r="I1526" s="11">
        <v>-13.6</v>
      </c>
      <c r="J1526" s="11">
        <v>-19.95</v>
      </c>
      <c r="K1526" s="11"/>
      <c r="L1526" s="11">
        <v>50.45</v>
      </c>
      <c r="M1526" s="10" t="s">
        <v>12218</v>
      </c>
      <c r="N1526" s="10" t="s">
        <v>50</v>
      </c>
      <c r="O1526" s="10" t="s">
        <v>143</v>
      </c>
      <c r="P1526" s="10" t="s">
        <v>144</v>
      </c>
      <c r="Q1526" s="10" t="s">
        <v>145</v>
      </c>
      <c r="R1526" s="10" t="s">
        <v>74</v>
      </c>
      <c r="S1526" s="11">
        <v>80.0</v>
      </c>
      <c r="T1526" s="11">
        <v>33.38</v>
      </c>
      <c r="U1526" s="11" t="s">
        <v>51</v>
      </c>
      <c r="V1526" s="10" t="s">
        <v>52</v>
      </c>
      <c r="W1526" s="10" t="s">
        <v>15341</v>
      </c>
      <c r="X1526" s="10" t="s">
        <v>15342</v>
      </c>
      <c r="Y1526" s="10" t="s">
        <v>15343</v>
      </c>
      <c r="Z1526" s="10" t="s">
        <v>50</v>
      </c>
      <c r="AA1526" s="10" t="s">
        <v>50</v>
      </c>
      <c r="AB1526" s="10" t="s">
        <v>15341</v>
      </c>
      <c r="AC1526" s="10" t="s">
        <v>15344</v>
      </c>
      <c r="AD1526" s="10" t="s">
        <v>15345</v>
      </c>
      <c r="AE1526" s="10" t="s">
        <v>857</v>
      </c>
      <c r="AF1526" s="10" t="s">
        <v>58</v>
      </c>
      <c r="AG1526" s="10" t="s">
        <v>15346</v>
      </c>
      <c r="AH1526" s="10" t="s">
        <v>60</v>
      </c>
      <c r="AI1526" s="10" t="s">
        <v>13406</v>
      </c>
      <c r="AJ1526" s="10" t="s">
        <v>15085</v>
      </c>
      <c r="AK1526" s="10" t="s">
        <v>15347</v>
      </c>
      <c r="AL1526" s="10" t="s">
        <v>64</v>
      </c>
      <c r="AM1526" s="10" t="s">
        <v>15348</v>
      </c>
      <c r="AN1526" s="10" t="s">
        <v>50</v>
      </c>
      <c r="AO1526" s="11" t="s">
        <v>50</v>
      </c>
      <c r="AP1526" s="10" t="s">
        <v>50</v>
      </c>
      <c r="AQ1526" s="10" t="s">
        <v>50</v>
      </c>
      <c r="AR1526" s="10" t="s">
        <v>50</v>
      </c>
      <c r="AS1526" s="10" t="s">
        <v>50</v>
      </c>
      <c r="AT1526" s="10" t="s">
        <v>50</v>
      </c>
      <c r="AU1526" s="10" t="s">
        <v>50</v>
      </c>
      <c r="AV1526" s="11"/>
      <c r="AW1526" s="10" t="s">
        <v>66</v>
      </c>
      <c r="AX1526" s="10"/>
      <c r="AY1526" s="10" t="s">
        <v>66</v>
      </c>
    </row>
    <row r="1527" ht="22.5" hidden="1" customHeight="1">
      <c r="A1527" s="9" t="s">
        <v>15349</v>
      </c>
      <c r="B1527" s="10" t="s">
        <v>15350</v>
      </c>
      <c r="C1527" s="10" t="s">
        <v>43</v>
      </c>
      <c r="D1527" s="10" t="s">
        <v>13108</v>
      </c>
      <c r="E1527" s="10" t="s">
        <v>66</v>
      </c>
      <c r="F1527" s="11">
        <v>1.0</v>
      </c>
      <c r="G1527" s="11">
        <v>79.2</v>
      </c>
      <c r="H1527" s="11"/>
      <c r="I1527" s="11">
        <v>-13.46</v>
      </c>
      <c r="J1527" s="11">
        <v>-20.45</v>
      </c>
      <c r="K1527" s="11"/>
      <c r="L1527" s="11">
        <v>45.29</v>
      </c>
      <c r="M1527" s="10" t="s">
        <v>12218</v>
      </c>
      <c r="N1527" s="10" t="s">
        <v>45</v>
      </c>
      <c r="O1527" s="10" t="s">
        <v>892</v>
      </c>
      <c r="P1527" s="10" t="s">
        <v>893</v>
      </c>
      <c r="Q1527" s="10" t="s">
        <v>894</v>
      </c>
      <c r="R1527" s="10" t="s">
        <v>74</v>
      </c>
      <c r="S1527" s="11">
        <v>79.2</v>
      </c>
      <c r="T1527" s="11">
        <v>2.97</v>
      </c>
      <c r="U1527" s="11" t="s">
        <v>51</v>
      </c>
      <c r="V1527" s="10" t="s">
        <v>52</v>
      </c>
      <c r="W1527" s="10" t="s">
        <v>15351</v>
      </c>
      <c r="X1527" s="10" t="s">
        <v>15352</v>
      </c>
      <c r="Y1527" s="10" t="s">
        <v>15353</v>
      </c>
      <c r="Z1527" s="10" t="s">
        <v>50</v>
      </c>
      <c r="AA1527" s="10" t="s">
        <v>50</v>
      </c>
      <c r="AB1527" s="10" t="s">
        <v>15351</v>
      </c>
      <c r="AC1527" s="10" t="s">
        <v>15354</v>
      </c>
      <c r="AD1527" s="10" t="s">
        <v>15355</v>
      </c>
      <c r="AE1527" s="10" t="s">
        <v>15356</v>
      </c>
      <c r="AF1527" s="10" t="s">
        <v>284</v>
      </c>
      <c r="AG1527" s="10" t="s">
        <v>15357</v>
      </c>
      <c r="AH1527" s="10" t="s">
        <v>60</v>
      </c>
      <c r="AI1527" s="10" t="s">
        <v>13406</v>
      </c>
      <c r="AJ1527" s="10" t="s">
        <v>15216</v>
      </c>
      <c r="AK1527" s="10" t="s">
        <v>15358</v>
      </c>
      <c r="AL1527" s="10" t="s">
        <v>64</v>
      </c>
      <c r="AM1527" s="10" t="s">
        <v>15359</v>
      </c>
      <c r="AN1527" s="10" t="s">
        <v>15360</v>
      </c>
      <c r="AO1527" s="11" t="s">
        <v>50</v>
      </c>
      <c r="AP1527" s="10" t="s">
        <v>50</v>
      </c>
      <c r="AQ1527" s="10" t="s">
        <v>50</v>
      </c>
      <c r="AR1527" s="10" t="s">
        <v>50</v>
      </c>
      <c r="AS1527" s="10" t="s">
        <v>50</v>
      </c>
      <c r="AT1527" s="10" t="s">
        <v>50</v>
      </c>
      <c r="AU1527" s="10" t="s">
        <v>50</v>
      </c>
      <c r="AV1527" s="11"/>
      <c r="AW1527" s="10" t="s">
        <v>66</v>
      </c>
      <c r="AX1527" s="10"/>
      <c r="AY1527" s="10" t="s">
        <v>66</v>
      </c>
    </row>
    <row r="1528" ht="22.5" hidden="1" customHeight="1">
      <c r="A1528" s="9" t="s">
        <v>15361</v>
      </c>
      <c r="B1528" s="10" t="s">
        <v>15362</v>
      </c>
      <c r="C1528" s="10" t="s">
        <v>43</v>
      </c>
      <c r="D1528" s="10" t="s">
        <v>14923</v>
      </c>
      <c r="E1528" s="10" t="s">
        <v>66</v>
      </c>
      <c r="F1528" s="11">
        <v>1.0</v>
      </c>
      <c r="G1528" s="11">
        <v>36.8</v>
      </c>
      <c r="H1528" s="11">
        <v>27.26</v>
      </c>
      <c r="I1528" s="11">
        <v>-12.26</v>
      </c>
      <c r="J1528" s="11">
        <v>-27.26</v>
      </c>
      <c r="K1528" s="11"/>
      <c r="L1528" s="11">
        <v>26.38</v>
      </c>
      <c r="M1528" s="10" t="s">
        <v>12218</v>
      </c>
      <c r="N1528" s="10" t="s">
        <v>45</v>
      </c>
      <c r="O1528" s="10" t="s">
        <v>71</v>
      </c>
      <c r="P1528" s="10" t="s">
        <v>72</v>
      </c>
      <c r="Q1528" s="10" t="s">
        <v>73</v>
      </c>
      <c r="R1528" s="10" t="s">
        <v>74</v>
      </c>
      <c r="S1528" s="11">
        <v>36.8</v>
      </c>
      <c r="T1528" s="11">
        <v>4.58</v>
      </c>
      <c r="U1528" s="11" t="s">
        <v>51</v>
      </c>
      <c r="V1528" s="10" t="s">
        <v>52</v>
      </c>
      <c r="W1528" s="10" t="s">
        <v>15363</v>
      </c>
      <c r="X1528" s="10" t="s">
        <v>15364</v>
      </c>
      <c r="Y1528" s="10" t="s">
        <v>15365</v>
      </c>
      <c r="Z1528" s="10" t="s">
        <v>50</v>
      </c>
      <c r="AA1528" s="10" t="s">
        <v>50</v>
      </c>
      <c r="AB1528" s="10" t="s">
        <v>15363</v>
      </c>
      <c r="AC1528" s="10" t="s">
        <v>15366</v>
      </c>
      <c r="AD1528" s="10" t="s">
        <v>15367</v>
      </c>
      <c r="AE1528" s="10" t="s">
        <v>15368</v>
      </c>
      <c r="AF1528" s="10" t="s">
        <v>136</v>
      </c>
      <c r="AG1528" s="10" t="s">
        <v>15369</v>
      </c>
      <c r="AH1528" s="10" t="s">
        <v>60</v>
      </c>
      <c r="AI1528" s="10" t="s">
        <v>13406</v>
      </c>
      <c r="AJ1528" s="10" t="s">
        <v>15279</v>
      </c>
      <c r="AK1528" s="10" t="s">
        <v>15370</v>
      </c>
      <c r="AL1528" s="10" t="s">
        <v>64</v>
      </c>
      <c r="AM1528" s="10" t="s">
        <v>15371</v>
      </c>
      <c r="AN1528" s="10" t="s">
        <v>50</v>
      </c>
      <c r="AO1528" s="11" t="s">
        <v>50</v>
      </c>
      <c r="AP1528" s="10" t="s">
        <v>50</v>
      </c>
      <c r="AQ1528" s="10" t="s">
        <v>50</v>
      </c>
      <c r="AR1528" s="10" t="s">
        <v>50</v>
      </c>
      <c r="AS1528" s="10" t="s">
        <v>50</v>
      </c>
      <c r="AT1528" s="10" t="s">
        <v>50</v>
      </c>
      <c r="AU1528" s="10" t="s">
        <v>50</v>
      </c>
      <c r="AV1528" s="11"/>
      <c r="AW1528" s="10" t="s">
        <v>66</v>
      </c>
      <c r="AX1528" s="10"/>
      <c r="AY1528" s="10" t="s">
        <v>66</v>
      </c>
    </row>
    <row r="1529" ht="22.5" hidden="1" customHeight="1">
      <c r="A1529" s="9" t="s">
        <v>15372</v>
      </c>
      <c r="B1529" s="10" t="s">
        <v>15373</v>
      </c>
      <c r="C1529" s="10" t="s">
        <v>43</v>
      </c>
      <c r="D1529" s="10" t="s">
        <v>13120</v>
      </c>
      <c r="E1529" s="10" t="s">
        <v>66</v>
      </c>
      <c r="F1529" s="11">
        <v>1.0</v>
      </c>
      <c r="G1529" s="11">
        <v>79.2</v>
      </c>
      <c r="H1529" s="11"/>
      <c r="I1529" s="11">
        <v>-13.46</v>
      </c>
      <c r="J1529" s="11">
        <v>-20.45</v>
      </c>
      <c r="K1529" s="11"/>
      <c r="L1529" s="11">
        <v>45.29</v>
      </c>
      <c r="M1529" s="10" t="s">
        <v>12218</v>
      </c>
      <c r="N1529" s="10" t="s">
        <v>45</v>
      </c>
      <c r="O1529" s="10" t="s">
        <v>412</v>
      </c>
      <c r="P1529" s="10" t="s">
        <v>413</v>
      </c>
      <c r="Q1529" s="10" t="s">
        <v>414</v>
      </c>
      <c r="R1529" s="10" t="s">
        <v>415</v>
      </c>
      <c r="S1529" s="11">
        <v>79.2</v>
      </c>
      <c r="T1529" s="11">
        <v>10.05</v>
      </c>
      <c r="U1529" s="11" t="s">
        <v>51</v>
      </c>
      <c r="V1529" s="10" t="s">
        <v>52</v>
      </c>
      <c r="W1529" s="10" t="s">
        <v>15374</v>
      </c>
      <c r="X1529" s="10" t="s">
        <v>15375</v>
      </c>
      <c r="Y1529" s="10" t="s">
        <v>15376</v>
      </c>
      <c r="Z1529" s="10" t="s">
        <v>50</v>
      </c>
      <c r="AA1529" s="10" t="s">
        <v>50</v>
      </c>
      <c r="AB1529" s="10" t="s">
        <v>15374</v>
      </c>
      <c r="AC1529" s="10" t="s">
        <v>15377</v>
      </c>
      <c r="AD1529" s="10" t="s">
        <v>15378</v>
      </c>
      <c r="AE1529" s="10" t="s">
        <v>1245</v>
      </c>
      <c r="AF1529" s="10" t="s">
        <v>185</v>
      </c>
      <c r="AG1529" s="10" t="s">
        <v>15379</v>
      </c>
      <c r="AH1529" s="10" t="s">
        <v>60</v>
      </c>
      <c r="AI1529" s="10" t="s">
        <v>13406</v>
      </c>
      <c r="AJ1529" s="10" t="s">
        <v>15085</v>
      </c>
      <c r="AK1529" s="10" t="s">
        <v>15380</v>
      </c>
      <c r="AL1529" s="10" t="s">
        <v>64</v>
      </c>
      <c r="AM1529" s="10" t="s">
        <v>15381</v>
      </c>
      <c r="AN1529" s="10" t="s">
        <v>50</v>
      </c>
      <c r="AO1529" s="11" t="s">
        <v>50</v>
      </c>
      <c r="AP1529" s="10" t="s">
        <v>50</v>
      </c>
      <c r="AQ1529" s="10" t="s">
        <v>50</v>
      </c>
      <c r="AR1529" s="10" t="s">
        <v>50</v>
      </c>
      <c r="AS1529" s="10" t="s">
        <v>50</v>
      </c>
      <c r="AT1529" s="10" t="s">
        <v>50</v>
      </c>
      <c r="AU1529" s="10" t="s">
        <v>50</v>
      </c>
      <c r="AV1529" s="11"/>
      <c r="AW1529" s="10" t="s">
        <v>66</v>
      </c>
      <c r="AX1529" s="10"/>
      <c r="AY1529" s="10" t="s">
        <v>66</v>
      </c>
    </row>
    <row r="1530" ht="22.5" hidden="1" customHeight="1">
      <c r="A1530" s="9" t="s">
        <v>15382</v>
      </c>
      <c r="B1530" s="10" t="s">
        <v>15383</v>
      </c>
      <c r="C1530" s="10" t="s">
        <v>43</v>
      </c>
      <c r="D1530" s="10" t="s">
        <v>14923</v>
      </c>
      <c r="E1530" s="10" t="s">
        <v>45</v>
      </c>
      <c r="F1530" s="11">
        <v>2.0</v>
      </c>
      <c r="G1530" s="11">
        <v>160.0</v>
      </c>
      <c r="H1530" s="11"/>
      <c r="I1530" s="11">
        <v>-27.2</v>
      </c>
      <c r="J1530" s="11">
        <v>-39.9</v>
      </c>
      <c r="K1530" s="11"/>
      <c r="L1530" s="11">
        <v>100.9</v>
      </c>
      <c r="M1530" s="10" t="s">
        <v>12218</v>
      </c>
      <c r="N1530" s="10" t="s">
        <v>45</v>
      </c>
      <c r="O1530" s="10" t="s">
        <v>143</v>
      </c>
      <c r="P1530" s="10" t="s">
        <v>144</v>
      </c>
      <c r="Q1530" s="10" t="s">
        <v>145</v>
      </c>
      <c r="R1530" s="10" t="s">
        <v>74</v>
      </c>
      <c r="S1530" s="11">
        <v>80.0</v>
      </c>
      <c r="T1530" s="11">
        <v>33.38</v>
      </c>
      <c r="U1530" s="11" t="s">
        <v>51</v>
      </c>
      <c r="V1530" s="10" t="s">
        <v>52</v>
      </c>
      <c r="W1530" s="10" t="s">
        <v>15384</v>
      </c>
      <c r="X1530" s="10" t="s">
        <v>15385</v>
      </c>
      <c r="Y1530" s="10" t="s">
        <v>15386</v>
      </c>
      <c r="Z1530" s="10" t="s">
        <v>50</v>
      </c>
      <c r="AA1530" s="10" t="s">
        <v>50</v>
      </c>
      <c r="AB1530" s="10" t="s">
        <v>15384</v>
      </c>
      <c r="AC1530" s="10" t="s">
        <v>15387</v>
      </c>
      <c r="AD1530" s="10" t="s">
        <v>15388</v>
      </c>
      <c r="AE1530" s="10" t="s">
        <v>6842</v>
      </c>
      <c r="AF1530" s="10" t="s">
        <v>58</v>
      </c>
      <c r="AG1530" s="10" t="s">
        <v>15389</v>
      </c>
      <c r="AH1530" s="10" t="s">
        <v>60</v>
      </c>
      <c r="AI1530" s="10" t="s">
        <v>13406</v>
      </c>
      <c r="AJ1530" s="10" t="s">
        <v>15390</v>
      </c>
      <c r="AK1530" s="10" t="s">
        <v>15391</v>
      </c>
      <c r="AL1530" s="10" t="s">
        <v>64</v>
      </c>
      <c r="AM1530" s="10" t="s">
        <v>15392</v>
      </c>
      <c r="AN1530" s="10" t="s">
        <v>50</v>
      </c>
      <c r="AO1530" s="11" t="s">
        <v>50</v>
      </c>
      <c r="AP1530" s="10" t="s">
        <v>50</v>
      </c>
      <c r="AQ1530" s="10" t="s">
        <v>50</v>
      </c>
      <c r="AR1530" s="10" t="s">
        <v>50</v>
      </c>
      <c r="AS1530" s="10" t="s">
        <v>50</v>
      </c>
      <c r="AT1530" s="10" t="s">
        <v>50</v>
      </c>
      <c r="AU1530" s="10" t="s">
        <v>50</v>
      </c>
      <c r="AV1530" s="11"/>
      <c r="AW1530" s="10" t="s">
        <v>66</v>
      </c>
      <c r="AX1530" s="10"/>
      <c r="AY1530" s="10" t="s">
        <v>66</v>
      </c>
    </row>
    <row r="1531" ht="22.5" hidden="1" customHeight="1">
      <c r="A1531" s="9" t="s">
        <v>15393</v>
      </c>
      <c r="B1531" s="10" t="s">
        <v>15394</v>
      </c>
      <c r="C1531" s="10" t="s">
        <v>43</v>
      </c>
      <c r="D1531" s="10" t="s">
        <v>13175</v>
      </c>
      <c r="E1531" s="10" t="s">
        <v>66</v>
      </c>
      <c r="F1531" s="11">
        <v>1.0</v>
      </c>
      <c r="G1531" s="11">
        <v>120.0</v>
      </c>
      <c r="H1531" s="11"/>
      <c r="I1531" s="11">
        <v>-20.4</v>
      </c>
      <c r="J1531" s="11">
        <v>-19.95</v>
      </c>
      <c r="K1531" s="11"/>
      <c r="L1531" s="11">
        <v>86.85</v>
      </c>
      <c r="M1531" s="10" t="s">
        <v>12218</v>
      </c>
      <c r="N1531" s="10" t="s">
        <v>45</v>
      </c>
      <c r="O1531" s="10" t="s">
        <v>85</v>
      </c>
      <c r="P1531" s="10" t="s">
        <v>86</v>
      </c>
      <c r="Q1531" s="10" t="s">
        <v>87</v>
      </c>
      <c r="R1531" s="10" t="s">
        <v>74</v>
      </c>
      <c r="S1531" s="11">
        <v>120.0</v>
      </c>
      <c r="T1531" s="11">
        <v>65.78</v>
      </c>
      <c r="U1531" s="11" t="s">
        <v>51</v>
      </c>
      <c r="V1531" s="10" t="s">
        <v>52</v>
      </c>
      <c r="W1531" s="10" t="s">
        <v>15395</v>
      </c>
      <c r="X1531" s="10" t="s">
        <v>15396</v>
      </c>
      <c r="Y1531" s="10" t="s">
        <v>15397</v>
      </c>
      <c r="Z1531" s="10" t="s">
        <v>50</v>
      </c>
      <c r="AA1531" s="10" t="s">
        <v>50</v>
      </c>
      <c r="AB1531" s="10" t="s">
        <v>15395</v>
      </c>
      <c r="AC1531" s="10" t="s">
        <v>15398</v>
      </c>
      <c r="AD1531" s="10" t="s">
        <v>15399</v>
      </c>
      <c r="AE1531" s="10" t="s">
        <v>6842</v>
      </c>
      <c r="AF1531" s="10" t="s">
        <v>58</v>
      </c>
      <c r="AG1531" s="10" t="s">
        <v>15400</v>
      </c>
      <c r="AH1531" s="10" t="s">
        <v>60</v>
      </c>
      <c r="AI1531" s="10" t="s">
        <v>13406</v>
      </c>
      <c r="AJ1531" s="10" t="s">
        <v>13302</v>
      </c>
      <c r="AK1531" s="10" t="s">
        <v>15401</v>
      </c>
      <c r="AL1531" s="10" t="s">
        <v>64</v>
      </c>
      <c r="AM1531" s="10" t="s">
        <v>15402</v>
      </c>
      <c r="AN1531" s="10" t="s">
        <v>50</v>
      </c>
      <c r="AO1531" s="11" t="s">
        <v>50</v>
      </c>
      <c r="AP1531" s="10" t="s">
        <v>50</v>
      </c>
      <c r="AQ1531" s="10" t="s">
        <v>50</v>
      </c>
      <c r="AR1531" s="10" t="s">
        <v>50</v>
      </c>
      <c r="AS1531" s="10" t="s">
        <v>50</v>
      </c>
      <c r="AT1531" s="10" t="s">
        <v>50</v>
      </c>
      <c r="AU1531" s="10" t="s">
        <v>50</v>
      </c>
      <c r="AV1531" s="11"/>
      <c r="AW1531" s="10" t="s">
        <v>66</v>
      </c>
      <c r="AX1531" s="10"/>
      <c r="AY1531" s="10" t="s">
        <v>66</v>
      </c>
    </row>
    <row r="1532" ht="22.5" hidden="1" customHeight="1">
      <c r="A1532" s="9" t="s">
        <v>15403</v>
      </c>
      <c r="B1532" s="10" t="s">
        <v>15404</v>
      </c>
      <c r="C1532" s="10" t="s">
        <v>43</v>
      </c>
      <c r="D1532" s="10" t="s">
        <v>13108</v>
      </c>
      <c r="E1532" s="10" t="s">
        <v>45</v>
      </c>
      <c r="F1532" s="11">
        <v>1.0</v>
      </c>
      <c r="G1532" s="11">
        <v>79.35</v>
      </c>
      <c r="H1532" s="11"/>
      <c r="I1532" s="11">
        <v>-15.08</v>
      </c>
      <c r="J1532" s="11">
        <v>-19.95</v>
      </c>
      <c r="K1532" s="11"/>
      <c r="L1532" s="11">
        <v>44.32</v>
      </c>
      <c r="M1532" s="10" t="s">
        <v>12218</v>
      </c>
      <c r="N1532" s="10" t="s">
        <v>50</v>
      </c>
      <c r="O1532" s="10" t="s">
        <v>47</v>
      </c>
      <c r="P1532" s="10" t="s">
        <v>48</v>
      </c>
      <c r="Q1532" s="10" t="s">
        <v>49</v>
      </c>
      <c r="R1532" s="10" t="s">
        <v>50</v>
      </c>
      <c r="S1532" s="11">
        <v>79.35</v>
      </c>
      <c r="T1532" s="11">
        <v>12.45</v>
      </c>
      <c r="U1532" s="11" t="s">
        <v>51</v>
      </c>
      <c r="V1532" s="10" t="s">
        <v>52</v>
      </c>
      <c r="W1532" s="10" t="s">
        <v>11697</v>
      </c>
      <c r="X1532" s="10" t="s">
        <v>11698</v>
      </c>
      <c r="Y1532" s="10" t="s">
        <v>11699</v>
      </c>
      <c r="Z1532" s="10" t="s">
        <v>50</v>
      </c>
      <c r="AA1532" s="10" t="s">
        <v>50</v>
      </c>
      <c r="AB1532" s="10" t="s">
        <v>11697</v>
      </c>
      <c r="AC1532" s="10" t="s">
        <v>11700</v>
      </c>
      <c r="AD1532" s="10" t="s">
        <v>11701</v>
      </c>
      <c r="AE1532" s="10" t="s">
        <v>11702</v>
      </c>
      <c r="AF1532" s="10" t="s">
        <v>185</v>
      </c>
      <c r="AG1532" s="10" t="s">
        <v>11703</v>
      </c>
      <c r="AH1532" s="10" t="s">
        <v>60</v>
      </c>
      <c r="AI1532" s="10" t="s">
        <v>13406</v>
      </c>
      <c r="AJ1532" s="10" t="s">
        <v>13148</v>
      </c>
      <c r="AK1532" s="10" t="s">
        <v>15405</v>
      </c>
      <c r="AL1532" s="10" t="s">
        <v>64</v>
      </c>
      <c r="AM1532" s="10" t="s">
        <v>15406</v>
      </c>
      <c r="AN1532" s="10" t="s">
        <v>50</v>
      </c>
      <c r="AO1532" s="11" t="s">
        <v>50</v>
      </c>
      <c r="AP1532" s="10" t="s">
        <v>50</v>
      </c>
      <c r="AQ1532" s="10" t="s">
        <v>50</v>
      </c>
      <c r="AR1532" s="10" t="s">
        <v>50</v>
      </c>
      <c r="AS1532" s="10" t="s">
        <v>50</v>
      </c>
      <c r="AT1532" s="10" t="s">
        <v>50</v>
      </c>
      <c r="AU1532" s="10" t="s">
        <v>50</v>
      </c>
      <c r="AV1532" s="11"/>
      <c r="AW1532" s="10" t="s">
        <v>66</v>
      </c>
      <c r="AX1532" s="10"/>
      <c r="AY1532" s="10" t="s">
        <v>66</v>
      </c>
    </row>
    <row r="1533" ht="22.5" hidden="1" customHeight="1">
      <c r="A1533" s="9" t="s">
        <v>15407</v>
      </c>
      <c r="B1533" s="10" t="s">
        <v>15408</v>
      </c>
      <c r="C1533" s="10" t="s">
        <v>43</v>
      </c>
      <c r="D1533" s="10" t="s">
        <v>13108</v>
      </c>
      <c r="E1533" s="10" t="s">
        <v>66</v>
      </c>
      <c r="F1533" s="11">
        <v>1.0</v>
      </c>
      <c r="G1533" s="11">
        <v>80.0</v>
      </c>
      <c r="H1533" s="11"/>
      <c r="I1533" s="11">
        <v>-13.6</v>
      </c>
      <c r="J1533" s="11">
        <v>-19.95</v>
      </c>
      <c r="K1533" s="11"/>
      <c r="L1533" s="11">
        <v>50.45</v>
      </c>
      <c r="M1533" s="10" t="s">
        <v>12218</v>
      </c>
      <c r="N1533" s="10" t="s">
        <v>45</v>
      </c>
      <c r="O1533" s="10" t="s">
        <v>143</v>
      </c>
      <c r="P1533" s="10" t="s">
        <v>144</v>
      </c>
      <c r="Q1533" s="10" t="s">
        <v>145</v>
      </c>
      <c r="R1533" s="10" t="s">
        <v>74</v>
      </c>
      <c r="S1533" s="11">
        <v>80.0</v>
      </c>
      <c r="T1533" s="11">
        <v>33.38</v>
      </c>
      <c r="U1533" s="11" t="s">
        <v>51</v>
      </c>
      <c r="V1533" s="10" t="s">
        <v>52</v>
      </c>
      <c r="W1533" s="10" t="s">
        <v>15409</v>
      </c>
      <c r="X1533" s="10" t="s">
        <v>15410</v>
      </c>
      <c r="Y1533" s="10" t="s">
        <v>15411</v>
      </c>
      <c r="Z1533" s="10" t="s">
        <v>50</v>
      </c>
      <c r="AA1533" s="10" t="s">
        <v>50</v>
      </c>
      <c r="AB1533" s="10" t="s">
        <v>15409</v>
      </c>
      <c r="AC1533" s="10" t="s">
        <v>15412</v>
      </c>
      <c r="AD1533" s="10" t="s">
        <v>15413</v>
      </c>
      <c r="AE1533" s="10" t="s">
        <v>15414</v>
      </c>
      <c r="AF1533" s="10" t="s">
        <v>323</v>
      </c>
      <c r="AG1533" s="10" t="s">
        <v>15415</v>
      </c>
      <c r="AH1533" s="10" t="s">
        <v>60</v>
      </c>
      <c r="AI1533" s="10" t="s">
        <v>13406</v>
      </c>
      <c r="AJ1533" s="10" t="s">
        <v>15416</v>
      </c>
      <c r="AK1533" s="10" t="s">
        <v>15417</v>
      </c>
      <c r="AL1533" s="10" t="s">
        <v>64</v>
      </c>
      <c r="AM1533" s="10" t="s">
        <v>15418</v>
      </c>
      <c r="AN1533" s="10" t="s">
        <v>50</v>
      </c>
      <c r="AO1533" s="11" t="s">
        <v>50</v>
      </c>
      <c r="AP1533" s="10" t="s">
        <v>50</v>
      </c>
      <c r="AQ1533" s="10" t="s">
        <v>50</v>
      </c>
      <c r="AR1533" s="10" t="s">
        <v>50</v>
      </c>
      <c r="AS1533" s="10" t="s">
        <v>50</v>
      </c>
      <c r="AT1533" s="10" t="s">
        <v>50</v>
      </c>
      <c r="AU1533" s="10" t="s">
        <v>50</v>
      </c>
      <c r="AV1533" s="11"/>
      <c r="AW1533" s="10" t="s">
        <v>66</v>
      </c>
      <c r="AX1533" s="10"/>
      <c r="AY1533" s="10" t="s">
        <v>66</v>
      </c>
    </row>
    <row r="1534" ht="22.5" hidden="1" customHeight="1">
      <c r="A1534" s="9" t="s">
        <v>15419</v>
      </c>
      <c r="B1534" s="10" t="s">
        <v>15420</v>
      </c>
      <c r="C1534" s="10" t="s">
        <v>43</v>
      </c>
      <c r="D1534" s="10" t="s">
        <v>13108</v>
      </c>
      <c r="E1534" s="10" t="s">
        <v>66</v>
      </c>
      <c r="F1534" s="11">
        <v>1.0</v>
      </c>
      <c r="G1534" s="11">
        <v>79.0</v>
      </c>
      <c r="H1534" s="11"/>
      <c r="I1534" s="11">
        <v>-13.43</v>
      </c>
      <c r="J1534" s="11">
        <v>-19.95</v>
      </c>
      <c r="K1534" s="11"/>
      <c r="L1534" s="11">
        <v>45.62</v>
      </c>
      <c r="M1534" s="10" t="s">
        <v>12218</v>
      </c>
      <c r="N1534" s="10" t="s">
        <v>50</v>
      </c>
      <c r="O1534" s="10" t="s">
        <v>766</v>
      </c>
      <c r="P1534" s="10" t="s">
        <v>767</v>
      </c>
      <c r="Q1534" s="10" t="s">
        <v>768</v>
      </c>
      <c r="R1534" s="10" t="s">
        <v>74</v>
      </c>
      <c r="S1534" s="11">
        <v>79.0</v>
      </c>
      <c r="T1534" s="11">
        <v>13.62</v>
      </c>
      <c r="U1534" s="11" t="s">
        <v>51</v>
      </c>
      <c r="V1534" s="10" t="s">
        <v>52</v>
      </c>
      <c r="W1534" s="10" t="s">
        <v>15421</v>
      </c>
      <c r="X1534" s="10" t="s">
        <v>15422</v>
      </c>
      <c r="Y1534" s="10" t="s">
        <v>15423</v>
      </c>
      <c r="Z1534" s="10" t="s">
        <v>50</v>
      </c>
      <c r="AA1534" s="10" t="s">
        <v>50</v>
      </c>
      <c r="AB1534" s="10" t="s">
        <v>15421</v>
      </c>
      <c r="AC1534" s="10" t="s">
        <v>15424</v>
      </c>
      <c r="AD1534" s="10" t="s">
        <v>15425</v>
      </c>
      <c r="AE1534" s="10" t="s">
        <v>58</v>
      </c>
      <c r="AF1534" s="10" t="s">
        <v>58</v>
      </c>
      <c r="AG1534" s="10" t="s">
        <v>15426</v>
      </c>
      <c r="AH1534" s="10" t="s">
        <v>60</v>
      </c>
      <c r="AI1534" s="10" t="s">
        <v>13406</v>
      </c>
      <c r="AJ1534" s="10" t="s">
        <v>13127</v>
      </c>
      <c r="AK1534" s="10" t="s">
        <v>15427</v>
      </c>
      <c r="AL1534" s="10" t="s">
        <v>64</v>
      </c>
      <c r="AM1534" s="10" t="s">
        <v>15428</v>
      </c>
      <c r="AN1534" s="10" t="s">
        <v>50</v>
      </c>
      <c r="AO1534" s="11" t="s">
        <v>50</v>
      </c>
      <c r="AP1534" s="10" t="s">
        <v>50</v>
      </c>
      <c r="AQ1534" s="10" t="s">
        <v>50</v>
      </c>
      <c r="AR1534" s="10" t="s">
        <v>50</v>
      </c>
      <c r="AS1534" s="10" t="s">
        <v>50</v>
      </c>
      <c r="AT1534" s="10" t="s">
        <v>50</v>
      </c>
      <c r="AU1534" s="10" t="s">
        <v>50</v>
      </c>
      <c r="AV1534" s="11"/>
      <c r="AW1534" s="10" t="s">
        <v>66</v>
      </c>
      <c r="AX1534" s="10"/>
      <c r="AY1534" s="10" t="s">
        <v>66</v>
      </c>
    </row>
    <row r="1535" ht="22.5" hidden="1" customHeight="1">
      <c r="A1535" s="9" t="s">
        <v>15429</v>
      </c>
      <c r="B1535" s="10" t="s">
        <v>15430</v>
      </c>
      <c r="C1535" s="10" t="s">
        <v>43</v>
      </c>
      <c r="D1535" s="10" t="s">
        <v>13175</v>
      </c>
      <c r="E1535" s="10" t="s">
        <v>66</v>
      </c>
      <c r="F1535" s="11">
        <v>1.0</v>
      </c>
      <c r="G1535" s="11">
        <v>120.0</v>
      </c>
      <c r="H1535" s="11"/>
      <c r="I1535" s="11">
        <v>-20.4</v>
      </c>
      <c r="J1535" s="11">
        <v>-19.95</v>
      </c>
      <c r="K1535" s="11"/>
      <c r="L1535" s="11">
        <v>86.85</v>
      </c>
      <c r="M1535" s="10" t="s">
        <v>12218</v>
      </c>
      <c r="N1535" s="10" t="s">
        <v>45</v>
      </c>
      <c r="O1535" s="10" t="s">
        <v>85</v>
      </c>
      <c r="P1535" s="10" t="s">
        <v>86</v>
      </c>
      <c r="Q1535" s="10" t="s">
        <v>87</v>
      </c>
      <c r="R1535" s="10" t="s">
        <v>74</v>
      </c>
      <c r="S1535" s="11">
        <v>120.0</v>
      </c>
      <c r="T1535" s="11">
        <v>65.78</v>
      </c>
      <c r="U1535" s="11" t="s">
        <v>51</v>
      </c>
      <c r="V1535" s="10" t="s">
        <v>52</v>
      </c>
      <c r="W1535" s="10" t="s">
        <v>15431</v>
      </c>
      <c r="X1535" s="10" t="s">
        <v>15432</v>
      </c>
      <c r="Y1535" s="10" t="s">
        <v>15433</v>
      </c>
      <c r="Z1535" s="10" t="s">
        <v>50</v>
      </c>
      <c r="AA1535" s="10" t="s">
        <v>50</v>
      </c>
      <c r="AB1535" s="10" t="s">
        <v>15431</v>
      </c>
      <c r="AC1535" s="10" t="s">
        <v>15434</v>
      </c>
      <c r="AD1535" s="10" t="s">
        <v>15435</v>
      </c>
      <c r="AE1535" s="10" t="s">
        <v>10866</v>
      </c>
      <c r="AF1535" s="10" t="s">
        <v>58</v>
      </c>
      <c r="AG1535" s="10" t="s">
        <v>15436</v>
      </c>
      <c r="AH1535" s="10" t="s">
        <v>60</v>
      </c>
      <c r="AI1535" s="10" t="s">
        <v>13406</v>
      </c>
      <c r="AJ1535" s="10" t="s">
        <v>13127</v>
      </c>
      <c r="AK1535" s="10" t="s">
        <v>15437</v>
      </c>
      <c r="AL1535" s="10" t="s">
        <v>64</v>
      </c>
      <c r="AM1535" s="10" t="s">
        <v>15438</v>
      </c>
      <c r="AN1535" s="10" t="s">
        <v>50</v>
      </c>
      <c r="AO1535" s="11" t="s">
        <v>50</v>
      </c>
      <c r="AP1535" s="10" t="s">
        <v>50</v>
      </c>
      <c r="AQ1535" s="10" t="s">
        <v>50</v>
      </c>
      <c r="AR1535" s="10" t="s">
        <v>50</v>
      </c>
      <c r="AS1535" s="10" t="s">
        <v>50</v>
      </c>
      <c r="AT1535" s="10" t="s">
        <v>50</v>
      </c>
      <c r="AU1535" s="10" t="s">
        <v>50</v>
      </c>
      <c r="AV1535" s="11"/>
      <c r="AW1535" s="10" t="s">
        <v>66</v>
      </c>
      <c r="AX1535" s="10"/>
      <c r="AY1535" s="10" t="s">
        <v>66</v>
      </c>
    </row>
    <row r="1536" ht="22.5" hidden="1" customHeight="1">
      <c r="A1536" s="9" t="s">
        <v>15439</v>
      </c>
      <c r="B1536" s="10" t="s">
        <v>15440</v>
      </c>
      <c r="C1536" s="10" t="s">
        <v>43</v>
      </c>
      <c r="D1536" s="10" t="s">
        <v>13175</v>
      </c>
      <c r="E1536" s="10" t="s">
        <v>66</v>
      </c>
      <c r="F1536" s="11">
        <v>1.0</v>
      </c>
      <c r="G1536" s="11">
        <v>105.0</v>
      </c>
      <c r="H1536" s="11"/>
      <c r="I1536" s="11">
        <v>-19.95</v>
      </c>
      <c r="J1536" s="11">
        <v>-19.95</v>
      </c>
      <c r="K1536" s="11"/>
      <c r="L1536" s="11">
        <v>65.1</v>
      </c>
      <c r="M1536" s="10" t="s">
        <v>12218</v>
      </c>
      <c r="N1536" s="10" t="s">
        <v>50</v>
      </c>
      <c r="O1536" s="10" t="s">
        <v>100</v>
      </c>
      <c r="P1536" s="10" t="s">
        <v>101</v>
      </c>
      <c r="Q1536" s="10" t="s">
        <v>102</v>
      </c>
      <c r="R1536" s="10" t="s">
        <v>50</v>
      </c>
      <c r="S1536" s="11">
        <v>105.0</v>
      </c>
      <c r="T1536" s="11">
        <v>38.61</v>
      </c>
      <c r="U1536" s="11" t="s">
        <v>51</v>
      </c>
      <c r="V1536" s="10" t="s">
        <v>52</v>
      </c>
      <c r="W1536" s="10" t="s">
        <v>15441</v>
      </c>
      <c r="X1536" s="10" t="s">
        <v>15442</v>
      </c>
      <c r="Y1536" s="10" t="s">
        <v>15443</v>
      </c>
      <c r="Z1536" s="10" t="s">
        <v>50</v>
      </c>
      <c r="AA1536" s="10" t="s">
        <v>50</v>
      </c>
      <c r="AB1536" s="10" t="s">
        <v>15441</v>
      </c>
      <c r="AC1536" s="10" t="s">
        <v>15444</v>
      </c>
      <c r="AD1536" s="10" t="s">
        <v>15445</v>
      </c>
      <c r="AE1536" s="10" t="s">
        <v>3019</v>
      </c>
      <c r="AF1536" s="10" t="s">
        <v>58</v>
      </c>
      <c r="AG1536" s="10" t="s">
        <v>15446</v>
      </c>
      <c r="AH1536" s="10" t="s">
        <v>60</v>
      </c>
      <c r="AI1536" s="10" t="s">
        <v>13406</v>
      </c>
      <c r="AJ1536" s="10" t="s">
        <v>13148</v>
      </c>
      <c r="AK1536" s="10" t="s">
        <v>15447</v>
      </c>
      <c r="AL1536" s="10" t="s">
        <v>64</v>
      </c>
      <c r="AM1536" s="10" t="s">
        <v>15448</v>
      </c>
      <c r="AN1536" s="10" t="s">
        <v>50</v>
      </c>
      <c r="AO1536" s="11" t="s">
        <v>50</v>
      </c>
      <c r="AP1536" s="10" t="s">
        <v>50</v>
      </c>
      <c r="AQ1536" s="10" t="s">
        <v>50</v>
      </c>
      <c r="AR1536" s="10" t="s">
        <v>50</v>
      </c>
      <c r="AS1536" s="10" t="s">
        <v>50</v>
      </c>
      <c r="AT1536" s="10" t="s">
        <v>50</v>
      </c>
      <c r="AU1536" s="10" t="s">
        <v>50</v>
      </c>
      <c r="AV1536" s="11"/>
      <c r="AW1536" s="10" t="s">
        <v>66</v>
      </c>
      <c r="AX1536" s="10"/>
      <c r="AY1536" s="10" t="s">
        <v>66</v>
      </c>
    </row>
    <row r="1537" ht="22.5" hidden="1" customHeight="1">
      <c r="A1537" s="9" t="s">
        <v>15449</v>
      </c>
      <c r="B1537" s="10" t="s">
        <v>15450</v>
      </c>
      <c r="C1537" s="10" t="s">
        <v>43</v>
      </c>
      <c r="D1537" s="10" t="s">
        <v>13120</v>
      </c>
      <c r="E1537" s="10" t="s">
        <v>66</v>
      </c>
      <c r="F1537" s="11">
        <v>1.0</v>
      </c>
      <c r="G1537" s="11">
        <v>80.6</v>
      </c>
      <c r="H1537" s="11">
        <v>19.6</v>
      </c>
      <c r="I1537" s="11">
        <v>-13.7</v>
      </c>
      <c r="J1537" s="11">
        <v>-40.05</v>
      </c>
      <c r="K1537" s="11"/>
      <c r="L1537" s="11">
        <v>46.45</v>
      </c>
      <c r="M1537" s="10" t="s">
        <v>12218</v>
      </c>
      <c r="N1537" s="10" t="s">
        <v>45</v>
      </c>
      <c r="O1537" s="10" t="s">
        <v>265</v>
      </c>
      <c r="P1537" s="10" t="s">
        <v>266</v>
      </c>
      <c r="Q1537" s="10" t="s">
        <v>267</v>
      </c>
      <c r="R1537" s="10" t="s">
        <v>74</v>
      </c>
      <c r="S1537" s="11">
        <v>80.6</v>
      </c>
      <c r="T1537" s="11">
        <v>26.22</v>
      </c>
      <c r="U1537" s="11" t="s">
        <v>51</v>
      </c>
      <c r="V1537" s="10" t="s">
        <v>52</v>
      </c>
      <c r="W1537" s="10" t="s">
        <v>15451</v>
      </c>
      <c r="X1537" s="10" t="s">
        <v>15452</v>
      </c>
      <c r="Y1537" s="10" t="s">
        <v>15453</v>
      </c>
      <c r="Z1537" s="10" t="s">
        <v>50</v>
      </c>
      <c r="AA1537" s="10" t="s">
        <v>50</v>
      </c>
      <c r="AB1537" s="10" t="s">
        <v>15451</v>
      </c>
      <c r="AC1537" s="10" t="s">
        <v>15454</v>
      </c>
      <c r="AD1537" s="10" t="s">
        <v>15455</v>
      </c>
      <c r="AE1537" s="10" t="s">
        <v>15456</v>
      </c>
      <c r="AF1537" s="10" t="s">
        <v>1417</v>
      </c>
      <c r="AG1537" s="10" t="s">
        <v>15457</v>
      </c>
      <c r="AH1537" s="10" t="s">
        <v>60</v>
      </c>
      <c r="AI1537" s="10" t="s">
        <v>13406</v>
      </c>
      <c r="AJ1537" s="10" t="s">
        <v>13127</v>
      </c>
      <c r="AK1537" s="10" t="s">
        <v>15458</v>
      </c>
      <c r="AL1537" s="10" t="s">
        <v>64</v>
      </c>
      <c r="AM1537" s="10" t="s">
        <v>15459</v>
      </c>
      <c r="AN1537" s="10" t="s">
        <v>50</v>
      </c>
      <c r="AO1537" s="11" t="s">
        <v>50</v>
      </c>
      <c r="AP1537" s="10" t="s">
        <v>50</v>
      </c>
      <c r="AQ1537" s="10" t="s">
        <v>50</v>
      </c>
      <c r="AR1537" s="10" t="s">
        <v>50</v>
      </c>
      <c r="AS1537" s="10" t="s">
        <v>50</v>
      </c>
      <c r="AT1537" s="10" t="s">
        <v>50</v>
      </c>
      <c r="AU1537" s="10" t="s">
        <v>50</v>
      </c>
      <c r="AV1537" s="11"/>
      <c r="AW1537" s="10" t="s">
        <v>66</v>
      </c>
      <c r="AX1537" s="10"/>
      <c r="AY1537" s="10" t="s">
        <v>66</v>
      </c>
    </row>
    <row r="1538" ht="22.5" hidden="1" customHeight="1">
      <c r="A1538" s="9" t="s">
        <v>15460</v>
      </c>
      <c r="B1538" s="10" t="s">
        <v>15461</v>
      </c>
      <c r="C1538" s="10" t="s">
        <v>43</v>
      </c>
      <c r="D1538" s="10" t="s">
        <v>9839</v>
      </c>
      <c r="E1538" s="10" t="s">
        <v>66</v>
      </c>
      <c r="F1538" s="11">
        <v>1.0</v>
      </c>
      <c r="G1538" s="11">
        <v>92.15</v>
      </c>
      <c r="H1538" s="11">
        <v>26.08</v>
      </c>
      <c r="I1538" s="11">
        <v>-17.51</v>
      </c>
      <c r="J1538" s="11">
        <v>-46.53</v>
      </c>
      <c r="K1538" s="11"/>
      <c r="L1538" s="11">
        <v>59.72</v>
      </c>
      <c r="M1538" s="10" t="s">
        <v>12218</v>
      </c>
      <c r="N1538" s="10" t="s">
        <v>45</v>
      </c>
      <c r="O1538" s="10" t="s">
        <v>586</v>
      </c>
      <c r="P1538" s="10" t="s">
        <v>587</v>
      </c>
      <c r="Q1538" s="10" t="s">
        <v>588</v>
      </c>
      <c r="R1538" s="10" t="s">
        <v>50</v>
      </c>
      <c r="S1538" s="11">
        <v>92.15</v>
      </c>
      <c r="T1538" s="11">
        <v>20.76</v>
      </c>
      <c r="U1538" s="11" t="s">
        <v>51</v>
      </c>
      <c r="V1538" s="10" t="s">
        <v>52</v>
      </c>
      <c r="W1538" s="10" t="s">
        <v>15462</v>
      </c>
      <c r="X1538" s="10" t="s">
        <v>15463</v>
      </c>
      <c r="Y1538" s="10" t="s">
        <v>15464</v>
      </c>
      <c r="Z1538" s="10" t="s">
        <v>50</v>
      </c>
      <c r="AA1538" s="10" t="s">
        <v>50</v>
      </c>
      <c r="AB1538" s="10" t="s">
        <v>15462</v>
      </c>
      <c r="AC1538" s="10" t="s">
        <v>15465</v>
      </c>
      <c r="AD1538" s="10" t="s">
        <v>15466</v>
      </c>
      <c r="AE1538" s="10" t="s">
        <v>12190</v>
      </c>
      <c r="AF1538" s="10" t="s">
        <v>2648</v>
      </c>
      <c r="AG1538" s="10" t="s">
        <v>12191</v>
      </c>
      <c r="AH1538" s="10" t="s">
        <v>60</v>
      </c>
      <c r="AI1538" s="10" t="s">
        <v>13406</v>
      </c>
      <c r="AJ1538" s="10" t="s">
        <v>15416</v>
      </c>
      <c r="AK1538" s="10" t="s">
        <v>12430</v>
      </c>
      <c r="AL1538" s="10" t="s">
        <v>64</v>
      </c>
      <c r="AM1538" s="10" t="s">
        <v>15467</v>
      </c>
      <c r="AN1538" s="10" t="s">
        <v>50</v>
      </c>
      <c r="AO1538" s="11" t="s">
        <v>50</v>
      </c>
      <c r="AP1538" s="10" t="s">
        <v>50</v>
      </c>
      <c r="AQ1538" s="10" t="s">
        <v>50</v>
      </c>
      <c r="AR1538" s="10" t="s">
        <v>50</v>
      </c>
      <c r="AS1538" s="10" t="s">
        <v>50</v>
      </c>
      <c r="AT1538" s="10" t="s">
        <v>50</v>
      </c>
      <c r="AU1538" s="10" t="s">
        <v>50</v>
      </c>
      <c r="AV1538" s="11"/>
      <c r="AW1538" s="10" t="s">
        <v>66</v>
      </c>
      <c r="AX1538" s="10"/>
      <c r="AY1538" s="10" t="s">
        <v>66</v>
      </c>
    </row>
    <row r="1539" ht="22.5" hidden="1" customHeight="1">
      <c r="A1539" s="12" t="s">
        <v>15468</v>
      </c>
      <c r="B1539" s="13" t="s">
        <v>15469</v>
      </c>
      <c r="C1539" s="13" t="s">
        <v>1976</v>
      </c>
      <c r="D1539" s="13" t="s">
        <v>50</v>
      </c>
      <c r="E1539" s="13" t="s">
        <v>50</v>
      </c>
      <c r="F1539" s="14"/>
      <c r="G1539" s="14">
        <v>125.4</v>
      </c>
      <c r="H1539" s="14"/>
      <c r="I1539" s="14">
        <v>-37.56</v>
      </c>
      <c r="J1539" s="14"/>
      <c r="K1539" s="14"/>
      <c r="L1539" s="14">
        <v>95.36</v>
      </c>
      <c r="M1539" s="13" t="s">
        <v>12218</v>
      </c>
      <c r="N1539" s="13" t="s">
        <v>50</v>
      </c>
      <c r="O1539" s="13" t="s">
        <v>50</v>
      </c>
      <c r="P1539" s="13" t="s">
        <v>50</v>
      </c>
      <c r="Q1539" s="13" t="s">
        <v>50</v>
      </c>
      <c r="R1539" s="13" t="s">
        <v>50</v>
      </c>
      <c r="S1539" s="14"/>
      <c r="T1539" s="14"/>
      <c r="U1539" s="14" t="s">
        <v>50</v>
      </c>
      <c r="V1539" s="13" t="s">
        <v>52</v>
      </c>
      <c r="W1539" s="13" t="s">
        <v>15470</v>
      </c>
      <c r="X1539" s="13" t="s">
        <v>15471</v>
      </c>
      <c r="Y1539" s="13" t="s">
        <v>15472</v>
      </c>
      <c r="Z1539" s="13" t="s">
        <v>50</v>
      </c>
      <c r="AA1539" s="13" t="s">
        <v>50</v>
      </c>
      <c r="AB1539" s="13" t="s">
        <v>15470</v>
      </c>
      <c r="AC1539" s="13" t="s">
        <v>15473</v>
      </c>
      <c r="AD1539" s="13" t="s">
        <v>15474</v>
      </c>
      <c r="AE1539" s="13" t="s">
        <v>1815</v>
      </c>
      <c r="AF1539" s="13" t="s">
        <v>185</v>
      </c>
      <c r="AG1539" s="13" t="s">
        <v>1816</v>
      </c>
      <c r="AH1539" s="13" t="s">
        <v>60</v>
      </c>
      <c r="AI1539" s="13" t="s">
        <v>13406</v>
      </c>
      <c r="AJ1539" s="13" t="s">
        <v>15475</v>
      </c>
      <c r="AK1539" s="13" t="s">
        <v>15476</v>
      </c>
      <c r="AL1539" s="13" t="s">
        <v>64</v>
      </c>
      <c r="AM1539" s="13" t="s">
        <v>15477</v>
      </c>
      <c r="AN1539" s="13" t="s">
        <v>50</v>
      </c>
      <c r="AO1539" s="15" t="s">
        <v>50</v>
      </c>
      <c r="AP1539" s="13" t="s">
        <v>50</v>
      </c>
      <c r="AQ1539" s="13" t="s">
        <v>50</v>
      </c>
      <c r="AR1539" s="13" t="s">
        <v>50</v>
      </c>
      <c r="AS1539" s="13" t="s">
        <v>50</v>
      </c>
      <c r="AT1539" s="13" t="s">
        <v>50</v>
      </c>
      <c r="AU1539" s="13" t="s">
        <v>50</v>
      </c>
      <c r="AV1539" s="15"/>
      <c r="AW1539" s="13" t="s">
        <v>50</v>
      </c>
      <c r="AX1539" s="13"/>
      <c r="AY1539" s="13" t="s">
        <v>50</v>
      </c>
    </row>
    <row r="1540" ht="22.5" hidden="1" customHeight="1">
      <c r="A1540" s="16" t="s">
        <v>15478</v>
      </c>
      <c r="B1540" s="17" t="s">
        <v>15469</v>
      </c>
      <c r="C1540" s="17" t="s">
        <v>43</v>
      </c>
      <c r="D1540" s="17" t="s">
        <v>13108</v>
      </c>
      <c r="E1540" s="17" t="s">
        <v>45</v>
      </c>
      <c r="F1540" s="18">
        <v>1.0</v>
      </c>
      <c r="G1540" s="18"/>
      <c r="H1540" s="18"/>
      <c r="I1540" s="18"/>
      <c r="J1540" s="18"/>
      <c r="K1540" s="18"/>
      <c r="L1540" s="18"/>
      <c r="M1540" s="17" t="s">
        <v>50</v>
      </c>
      <c r="N1540" s="17" t="s">
        <v>45</v>
      </c>
      <c r="O1540" s="17" t="s">
        <v>9112</v>
      </c>
      <c r="P1540" s="17" t="s">
        <v>9113</v>
      </c>
      <c r="Q1540" s="17" t="s">
        <v>9114</v>
      </c>
      <c r="R1540" s="17" t="s">
        <v>74</v>
      </c>
      <c r="S1540" s="18">
        <v>35.15</v>
      </c>
      <c r="T1540" s="18">
        <v>10.05</v>
      </c>
      <c r="U1540" s="18" t="s">
        <v>194</v>
      </c>
      <c r="V1540" s="17" t="s">
        <v>50</v>
      </c>
      <c r="W1540" s="17" t="s">
        <v>50</v>
      </c>
      <c r="X1540" s="17" t="s">
        <v>50</v>
      </c>
      <c r="Y1540" s="17" t="s">
        <v>50</v>
      </c>
      <c r="Z1540" s="17" t="s">
        <v>50</v>
      </c>
      <c r="AA1540" s="17" t="s">
        <v>50</v>
      </c>
      <c r="AB1540" s="17" t="s">
        <v>50</v>
      </c>
      <c r="AC1540" s="17" t="s">
        <v>50</v>
      </c>
      <c r="AD1540" s="17" t="s">
        <v>50</v>
      </c>
      <c r="AE1540" s="17" t="s">
        <v>50</v>
      </c>
      <c r="AF1540" s="17" t="s">
        <v>50</v>
      </c>
      <c r="AG1540" s="17" t="s">
        <v>50</v>
      </c>
      <c r="AH1540" s="17" t="s">
        <v>50</v>
      </c>
      <c r="AI1540" s="17" t="s">
        <v>50</v>
      </c>
      <c r="AJ1540" s="17" t="s">
        <v>50</v>
      </c>
      <c r="AK1540" s="17" t="s">
        <v>50</v>
      </c>
      <c r="AL1540" s="17" t="s">
        <v>50</v>
      </c>
      <c r="AM1540" s="17" t="s">
        <v>50</v>
      </c>
      <c r="AN1540" s="17" t="s">
        <v>50</v>
      </c>
      <c r="AO1540" s="18" t="s">
        <v>50</v>
      </c>
      <c r="AP1540" s="17" t="s">
        <v>50</v>
      </c>
      <c r="AQ1540" s="17" t="s">
        <v>50</v>
      </c>
      <c r="AR1540" s="17" t="s">
        <v>50</v>
      </c>
      <c r="AS1540" s="17" t="s">
        <v>50</v>
      </c>
      <c r="AT1540" s="17" t="s">
        <v>50</v>
      </c>
      <c r="AU1540" s="17" t="s">
        <v>50</v>
      </c>
      <c r="AV1540" s="18"/>
      <c r="AW1540" s="17" t="s">
        <v>66</v>
      </c>
      <c r="AX1540" s="17"/>
      <c r="AY1540" s="17" t="s">
        <v>66</v>
      </c>
    </row>
    <row r="1541" ht="22.5" hidden="1" customHeight="1">
      <c r="A1541" s="16" t="s">
        <v>15479</v>
      </c>
      <c r="B1541" s="17" t="s">
        <v>15469</v>
      </c>
      <c r="C1541" s="17" t="s">
        <v>43</v>
      </c>
      <c r="D1541" s="17" t="s">
        <v>13108</v>
      </c>
      <c r="E1541" s="17" t="s">
        <v>45</v>
      </c>
      <c r="F1541" s="18">
        <v>1.0</v>
      </c>
      <c r="G1541" s="18"/>
      <c r="H1541" s="18"/>
      <c r="I1541" s="18"/>
      <c r="J1541" s="18"/>
      <c r="K1541" s="18"/>
      <c r="L1541" s="18"/>
      <c r="M1541" s="17" t="s">
        <v>50</v>
      </c>
      <c r="N1541" s="17" t="s">
        <v>45</v>
      </c>
      <c r="O1541" s="17" t="s">
        <v>888</v>
      </c>
      <c r="P1541" s="17" t="s">
        <v>889</v>
      </c>
      <c r="Q1541" s="17" t="s">
        <v>890</v>
      </c>
      <c r="R1541" s="17" t="s">
        <v>74</v>
      </c>
      <c r="S1541" s="18">
        <v>46.55</v>
      </c>
      <c r="T1541" s="18">
        <v>16.46</v>
      </c>
      <c r="U1541" s="18" t="s">
        <v>51</v>
      </c>
      <c r="V1541" s="17" t="s">
        <v>50</v>
      </c>
      <c r="W1541" s="17" t="s">
        <v>50</v>
      </c>
      <c r="X1541" s="17" t="s">
        <v>50</v>
      </c>
      <c r="Y1541" s="17" t="s">
        <v>50</v>
      </c>
      <c r="Z1541" s="17" t="s">
        <v>50</v>
      </c>
      <c r="AA1541" s="17" t="s">
        <v>50</v>
      </c>
      <c r="AB1541" s="17" t="s">
        <v>50</v>
      </c>
      <c r="AC1541" s="17" t="s">
        <v>50</v>
      </c>
      <c r="AD1541" s="17" t="s">
        <v>50</v>
      </c>
      <c r="AE1541" s="17" t="s">
        <v>50</v>
      </c>
      <c r="AF1541" s="17" t="s">
        <v>50</v>
      </c>
      <c r="AG1541" s="17" t="s">
        <v>50</v>
      </c>
      <c r="AH1541" s="17" t="s">
        <v>50</v>
      </c>
      <c r="AI1541" s="17" t="s">
        <v>50</v>
      </c>
      <c r="AJ1541" s="17" t="s">
        <v>50</v>
      </c>
      <c r="AK1541" s="17" t="s">
        <v>50</v>
      </c>
      <c r="AL1541" s="17" t="s">
        <v>50</v>
      </c>
      <c r="AM1541" s="17" t="s">
        <v>50</v>
      </c>
      <c r="AN1541" s="17" t="s">
        <v>50</v>
      </c>
      <c r="AO1541" s="18" t="s">
        <v>50</v>
      </c>
      <c r="AP1541" s="17" t="s">
        <v>50</v>
      </c>
      <c r="AQ1541" s="17" t="s">
        <v>50</v>
      </c>
      <c r="AR1541" s="17" t="s">
        <v>50</v>
      </c>
      <c r="AS1541" s="17" t="s">
        <v>50</v>
      </c>
      <c r="AT1541" s="17" t="s">
        <v>50</v>
      </c>
      <c r="AU1541" s="17" t="s">
        <v>50</v>
      </c>
      <c r="AV1541" s="18"/>
      <c r="AW1541" s="17" t="s">
        <v>66</v>
      </c>
      <c r="AX1541" s="17"/>
      <c r="AY1541" s="17" t="s">
        <v>66</v>
      </c>
    </row>
    <row r="1542" ht="22.5" hidden="1" customHeight="1">
      <c r="A1542" s="16" t="s">
        <v>15480</v>
      </c>
      <c r="B1542" s="17" t="s">
        <v>15469</v>
      </c>
      <c r="C1542" s="17" t="s">
        <v>43</v>
      </c>
      <c r="D1542" s="17" t="s">
        <v>13108</v>
      </c>
      <c r="E1542" s="17" t="s">
        <v>45</v>
      </c>
      <c r="F1542" s="18">
        <v>1.0</v>
      </c>
      <c r="G1542" s="18"/>
      <c r="H1542" s="18"/>
      <c r="I1542" s="18"/>
      <c r="J1542" s="18"/>
      <c r="K1542" s="18"/>
      <c r="L1542" s="18"/>
      <c r="M1542" s="17" t="s">
        <v>50</v>
      </c>
      <c r="N1542" s="17" t="s">
        <v>45</v>
      </c>
      <c r="O1542" s="17" t="s">
        <v>176</v>
      </c>
      <c r="P1542" s="17" t="s">
        <v>177</v>
      </c>
      <c r="Q1542" s="17" t="s">
        <v>178</v>
      </c>
      <c r="R1542" s="17" t="s">
        <v>74</v>
      </c>
      <c r="S1542" s="18">
        <v>43.7</v>
      </c>
      <c r="T1542" s="18">
        <v>22.58</v>
      </c>
      <c r="U1542" s="18" t="s">
        <v>51</v>
      </c>
      <c r="V1542" s="17" t="s">
        <v>50</v>
      </c>
      <c r="W1542" s="17" t="s">
        <v>50</v>
      </c>
      <c r="X1542" s="17" t="s">
        <v>50</v>
      </c>
      <c r="Y1542" s="17" t="s">
        <v>50</v>
      </c>
      <c r="Z1542" s="17" t="s">
        <v>50</v>
      </c>
      <c r="AA1542" s="17" t="s">
        <v>50</v>
      </c>
      <c r="AB1542" s="17" t="s">
        <v>50</v>
      </c>
      <c r="AC1542" s="17" t="s">
        <v>50</v>
      </c>
      <c r="AD1542" s="17" t="s">
        <v>50</v>
      </c>
      <c r="AE1542" s="17" t="s">
        <v>50</v>
      </c>
      <c r="AF1542" s="17" t="s">
        <v>50</v>
      </c>
      <c r="AG1542" s="17" t="s">
        <v>50</v>
      </c>
      <c r="AH1542" s="17" t="s">
        <v>50</v>
      </c>
      <c r="AI1542" s="17" t="s">
        <v>50</v>
      </c>
      <c r="AJ1542" s="17" t="s">
        <v>50</v>
      </c>
      <c r="AK1542" s="17" t="s">
        <v>50</v>
      </c>
      <c r="AL1542" s="17" t="s">
        <v>50</v>
      </c>
      <c r="AM1542" s="17" t="s">
        <v>50</v>
      </c>
      <c r="AN1542" s="17" t="s">
        <v>50</v>
      </c>
      <c r="AO1542" s="18" t="s">
        <v>50</v>
      </c>
      <c r="AP1542" s="17" t="s">
        <v>50</v>
      </c>
      <c r="AQ1542" s="17" t="s">
        <v>50</v>
      </c>
      <c r="AR1542" s="17" t="s">
        <v>50</v>
      </c>
      <c r="AS1542" s="17" t="s">
        <v>50</v>
      </c>
      <c r="AT1542" s="17" t="s">
        <v>50</v>
      </c>
      <c r="AU1542" s="17" t="s">
        <v>50</v>
      </c>
      <c r="AV1542" s="18"/>
      <c r="AW1542" s="17" t="s">
        <v>66</v>
      </c>
      <c r="AX1542" s="17"/>
      <c r="AY1542" s="17" t="s">
        <v>66</v>
      </c>
    </row>
    <row r="1543" ht="22.5" hidden="1" customHeight="1">
      <c r="A1543" s="9" t="s">
        <v>15481</v>
      </c>
      <c r="B1543" s="10" t="s">
        <v>15482</v>
      </c>
      <c r="C1543" s="10" t="s">
        <v>43</v>
      </c>
      <c r="D1543" s="10" t="s">
        <v>13175</v>
      </c>
      <c r="E1543" s="10" t="s">
        <v>66</v>
      </c>
      <c r="F1543" s="11">
        <v>1.0</v>
      </c>
      <c r="G1543" s="11">
        <v>80.0</v>
      </c>
      <c r="H1543" s="11"/>
      <c r="I1543" s="11">
        <v>-13.6</v>
      </c>
      <c r="J1543" s="11">
        <v>-19.95</v>
      </c>
      <c r="K1543" s="11"/>
      <c r="L1543" s="11">
        <v>50.45</v>
      </c>
      <c r="M1543" s="10" t="s">
        <v>12218</v>
      </c>
      <c r="N1543" s="10" t="s">
        <v>45</v>
      </c>
      <c r="O1543" s="10" t="s">
        <v>143</v>
      </c>
      <c r="P1543" s="10" t="s">
        <v>144</v>
      </c>
      <c r="Q1543" s="10" t="s">
        <v>145</v>
      </c>
      <c r="R1543" s="10" t="s">
        <v>74</v>
      </c>
      <c r="S1543" s="11">
        <v>80.0</v>
      </c>
      <c r="T1543" s="11">
        <v>33.38</v>
      </c>
      <c r="U1543" s="11" t="s">
        <v>51</v>
      </c>
      <c r="V1543" s="10" t="s">
        <v>52</v>
      </c>
      <c r="W1543" s="10" t="s">
        <v>15483</v>
      </c>
      <c r="X1543" s="10" t="s">
        <v>15484</v>
      </c>
      <c r="Y1543" s="10" t="s">
        <v>15485</v>
      </c>
      <c r="Z1543" s="10" t="s">
        <v>50</v>
      </c>
      <c r="AA1543" s="10" t="s">
        <v>50</v>
      </c>
      <c r="AB1543" s="10" t="s">
        <v>15483</v>
      </c>
      <c r="AC1543" s="10" t="s">
        <v>15486</v>
      </c>
      <c r="AD1543" s="10" t="s">
        <v>15487</v>
      </c>
      <c r="AE1543" s="10" t="s">
        <v>740</v>
      </c>
      <c r="AF1543" s="10" t="s">
        <v>119</v>
      </c>
      <c r="AG1543" s="10" t="s">
        <v>15488</v>
      </c>
      <c r="AH1543" s="10" t="s">
        <v>60</v>
      </c>
      <c r="AI1543" s="10" t="s">
        <v>13406</v>
      </c>
      <c r="AJ1543" s="10" t="s">
        <v>13115</v>
      </c>
      <c r="AK1543" s="10" t="s">
        <v>15489</v>
      </c>
      <c r="AL1543" s="10" t="s">
        <v>64</v>
      </c>
      <c r="AM1543" s="10" t="s">
        <v>15490</v>
      </c>
      <c r="AN1543" s="10" t="s">
        <v>50</v>
      </c>
      <c r="AO1543" s="11" t="s">
        <v>50</v>
      </c>
      <c r="AP1543" s="10" t="s">
        <v>50</v>
      </c>
      <c r="AQ1543" s="10" t="s">
        <v>50</v>
      </c>
      <c r="AR1543" s="10" t="s">
        <v>50</v>
      </c>
      <c r="AS1543" s="10" t="s">
        <v>50</v>
      </c>
      <c r="AT1543" s="10" t="s">
        <v>50</v>
      </c>
      <c r="AU1543" s="10" t="s">
        <v>50</v>
      </c>
      <c r="AV1543" s="11"/>
      <c r="AW1543" s="10" t="s">
        <v>66</v>
      </c>
      <c r="AX1543" s="10"/>
      <c r="AY1543" s="10" t="s">
        <v>66</v>
      </c>
    </row>
    <row r="1544" ht="22.5" hidden="1" customHeight="1">
      <c r="A1544" s="9" t="s">
        <v>15491</v>
      </c>
      <c r="B1544" s="10" t="s">
        <v>15492</v>
      </c>
      <c r="C1544" s="10" t="s">
        <v>43</v>
      </c>
      <c r="D1544" s="10" t="s">
        <v>13175</v>
      </c>
      <c r="E1544" s="10" t="s">
        <v>66</v>
      </c>
      <c r="F1544" s="11">
        <v>1.0</v>
      </c>
      <c r="G1544" s="11">
        <v>80.0</v>
      </c>
      <c r="H1544" s="11"/>
      <c r="I1544" s="11">
        <v>-13.6</v>
      </c>
      <c r="J1544" s="11">
        <v>-19.95</v>
      </c>
      <c r="K1544" s="11"/>
      <c r="L1544" s="11">
        <v>50.45</v>
      </c>
      <c r="M1544" s="10" t="s">
        <v>12218</v>
      </c>
      <c r="N1544" s="10" t="s">
        <v>45</v>
      </c>
      <c r="O1544" s="10" t="s">
        <v>143</v>
      </c>
      <c r="P1544" s="10" t="s">
        <v>144</v>
      </c>
      <c r="Q1544" s="10" t="s">
        <v>145</v>
      </c>
      <c r="R1544" s="10" t="s">
        <v>74</v>
      </c>
      <c r="S1544" s="11">
        <v>80.0</v>
      </c>
      <c r="T1544" s="11">
        <v>33.38</v>
      </c>
      <c r="U1544" s="11" t="s">
        <v>51</v>
      </c>
      <c r="V1544" s="10" t="s">
        <v>52</v>
      </c>
      <c r="W1544" s="10" t="s">
        <v>15493</v>
      </c>
      <c r="X1544" s="10" t="s">
        <v>15494</v>
      </c>
      <c r="Y1544" s="10" t="s">
        <v>15495</v>
      </c>
      <c r="Z1544" s="10" t="s">
        <v>50</v>
      </c>
      <c r="AA1544" s="10" t="s">
        <v>50</v>
      </c>
      <c r="AB1544" s="10" t="s">
        <v>15493</v>
      </c>
      <c r="AC1544" s="10" t="s">
        <v>15496</v>
      </c>
      <c r="AD1544" s="10" t="s">
        <v>15497</v>
      </c>
      <c r="AE1544" s="10" t="s">
        <v>151</v>
      </c>
      <c r="AF1544" s="10" t="s">
        <v>151</v>
      </c>
      <c r="AG1544" s="10" t="s">
        <v>15498</v>
      </c>
      <c r="AH1544" s="10" t="s">
        <v>60</v>
      </c>
      <c r="AI1544" s="10" t="s">
        <v>13406</v>
      </c>
      <c r="AJ1544" s="10" t="s">
        <v>13138</v>
      </c>
      <c r="AK1544" s="10" t="s">
        <v>15499</v>
      </c>
      <c r="AL1544" s="10" t="s">
        <v>64</v>
      </c>
      <c r="AM1544" s="10" t="s">
        <v>15500</v>
      </c>
      <c r="AN1544" s="10" t="s">
        <v>50</v>
      </c>
      <c r="AO1544" s="11" t="s">
        <v>50</v>
      </c>
      <c r="AP1544" s="10" t="s">
        <v>50</v>
      </c>
      <c r="AQ1544" s="10" t="s">
        <v>50</v>
      </c>
      <c r="AR1544" s="10" t="s">
        <v>50</v>
      </c>
      <c r="AS1544" s="10" t="s">
        <v>50</v>
      </c>
      <c r="AT1544" s="10" t="s">
        <v>50</v>
      </c>
      <c r="AU1544" s="10" t="s">
        <v>50</v>
      </c>
      <c r="AV1544" s="11"/>
      <c r="AW1544" s="10" t="s">
        <v>66</v>
      </c>
      <c r="AX1544" s="10"/>
      <c r="AY1544" s="10" t="s">
        <v>66</v>
      </c>
    </row>
    <row r="1545" ht="22.5" hidden="1" customHeight="1">
      <c r="A1545" s="9" t="s">
        <v>15501</v>
      </c>
      <c r="B1545" s="10" t="s">
        <v>15502</v>
      </c>
      <c r="C1545" s="10" t="s">
        <v>43</v>
      </c>
      <c r="D1545" s="10" t="s">
        <v>13175</v>
      </c>
      <c r="E1545" s="10" t="s">
        <v>66</v>
      </c>
      <c r="F1545" s="11">
        <v>1.0</v>
      </c>
      <c r="G1545" s="11">
        <v>79.2</v>
      </c>
      <c r="H1545" s="11"/>
      <c r="I1545" s="11">
        <v>-15.05</v>
      </c>
      <c r="J1545" s="11">
        <v>-19.95</v>
      </c>
      <c r="K1545" s="11"/>
      <c r="L1545" s="11">
        <v>44.2</v>
      </c>
      <c r="M1545" s="10" t="s">
        <v>12218</v>
      </c>
      <c r="N1545" s="10" t="s">
        <v>45</v>
      </c>
      <c r="O1545" s="10" t="s">
        <v>586</v>
      </c>
      <c r="P1545" s="10" t="s">
        <v>1467</v>
      </c>
      <c r="Q1545" s="10" t="s">
        <v>1468</v>
      </c>
      <c r="R1545" s="10" t="s">
        <v>50</v>
      </c>
      <c r="S1545" s="11">
        <v>79.2</v>
      </c>
      <c r="T1545" s="11">
        <v>9.89</v>
      </c>
      <c r="U1545" s="11" t="s">
        <v>51</v>
      </c>
      <c r="V1545" s="10" t="s">
        <v>52</v>
      </c>
      <c r="W1545" s="10" t="s">
        <v>15503</v>
      </c>
      <c r="X1545" s="10" t="s">
        <v>15504</v>
      </c>
      <c r="Y1545" s="10" t="s">
        <v>15505</v>
      </c>
      <c r="Z1545" s="10" t="s">
        <v>50</v>
      </c>
      <c r="AA1545" s="10" t="s">
        <v>50</v>
      </c>
      <c r="AB1545" s="10" t="s">
        <v>15503</v>
      </c>
      <c r="AC1545" s="10" t="s">
        <v>15506</v>
      </c>
      <c r="AD1545" s="10" t="s">
        <v>15507</v>
      </c>
      <c r="AE1545" s="10" t="s">
        <v>58</v>
      </c>
      <c r="AF1545" s="10" t="s">
        <v>58</v>
      </c>
      <c r="AG1545" s="10" t="s">
        <v>15508</v>
      </c>
      <c r="AH1545" s="10" t="s">
        <v>60</v>
      </c>
      <c r="AI1545" s="10" t="s">
        <v>13406</v>
      </c>
      <c r="AJ1545" s="10" t="s">
        <v>13127</v>
      </c>
      <c r="AK1545" s="10" t="s">
        <v>15509</v>
      </c>
      <c r="AL1545" s="10" t="s">
        <v>64</v>
      </c>
      <c r="AM1545" s="10" t="s">
        <v>15510</v>
      </c>
      <c r="AN1545" s="10" t="s">
        <v>50</v>
      </c>
      <c r="AO1545" s="11" t="s">
        <v>50</v>
      </c>
      <c r="AP1545" s="10" t="s">
        <v>50</v>
      </c>
      <c r="AQ1545" s="10" t="s">
        <v>50</v>
      </c>
      <c r="AR1545" s="10" t="s">
        <v>50</v>
      </c>
      <c r="AS1545" s="10" t="s">
        <v>50</v>
      </c>
      <c r="AT1545" s="10" t="s">
        <v>50</v>
      </c>
      <c r="AU1545" s="10" t="s">
        <v>50</v>
      </c>
      <c r="AV1545" s="11"/>
      <c r="AW1545" s="10" t="s">
        <v>66</v>
      </c>
      <c r="AX1545" s="10"/>
      <c r="AY1545" s="10" t="s">
        <v>66</v>
      </c>
    </row>
    <row r="1546" ht="22.5" hidden="1" customHeight="1">
      <c r="A1546" s="12" t="s">
        <v>15511</v>
      </c>
      <c r="B1546" s="13" t="s">
        <v>15512</v>
      </c>
      <c r="C1546" s="13" t="s">
        <v>747</v>
      </c>
      <c r="D1546" s="13" t="s">
        <v>50</v>
      </c>
      <c r="E1546" s="13" t="s">
        <v>50</v>
      </c>
      <c r="F1546" s="14"/>
      <c r="G1546" s="14">
        <v>199.0</v>
      </c>
      <c r="H1546" s="14"/>
      <c r="I1546" s="14">
        <v>-33.83</v>
      </c>
      <c r="J1546" s="14">
        <v>-39.9</v>
      </c>
      <c r="K1546" s="14"/>
      <c r="L1546" s="14">
        <v>132.47</v>
      </c>
      <c r="M1546" s="13" t="s">
        <v>12218</v>
      </c>
      <c r="N1546" s="13" t="s">
        <v>50</v>
      </c>
      <c r="O1546" s="13" t="s">
        <v>50</v>
      </c>
      <c r="P1546" s="13" t="s">
        <v>50</v>
      </c>
      <c r="Q1546" s="13" t="s">
        <v>50</v>
      </c>
      <c r="R1546" s="13" t="s">
        <v>50</v>
      </c>
      <c r="S1546" s="14"/>
      <c r="T1546" s="14"/>
      <c r="U1546" s="14" t="s">
        <v>50</v>
      </c>
      <c r="V1546" s="13" t="s">
        <v>52</v>
      </c>
      <c r="W1546" s="13" t="s">
        <v>15513</v>
      </c>
      <c r="X1546" s="13" t="s">
        <v>15514</v>
      </c>
      <c r="Y1546" s="13" t="s">
        <v>15515</v>
      </c>
      <c r="Z1546" s="13" t="s">
        <v>50</v>
      </c>
      <c r="AA1546" s="13" t="s">
        <v>50</v>
      </c>
      <c r="AB1546" s="13" t="s">
        <v>15513</v>
      </c>
      <c r="AC1546" s="13" t="s">
        <v>15516</v>
      </c>
      <c r="AD1546" s="13" t="s">
        <v>15517</v>
      </c>
      <c r="AE1546" s="13" t="s">
        <v>15518</v>
      </c>
      <c r="AF1546" s="13" t="s">
        <v>58</v>
      </c>
      <c r="AG1546" s="13" t="s">
        <v>15519</v>
      </c>
      <c r="AH1546" s="13" t="s">
        <v>60</v>
      </c>
      <c r="AI1546" s="13" t="s">
        <v>13406</v>
      </c>
      <c r="AJ1546" s="13" t="s">
        <v>13148</v>
      </c>
      <c r="AK1546" s="13" t="s">
        <v>15520</v>
      </c>
      <c r="AL1546" s="13" t="s">
        <v>64</v>
      </c>
      <c r="AM1546" s="13" t="s">
        <v>15521</v>
      </c>
      <c r="AN1546" s="13" t="s">
        <v>15522</v>
      </c>
      <c r="AO1546" s="15" t="s">
        <v>50</v>
      </c>
      <c r="AP1546" s="13" t="s">
        <v>50</v>
      </c>
      <c r="AQ1546" s="13" t="s">
        <v>50</v>
      </c>
      <c r="AR1546" s="13" t="s">
        <v>50</v>
      </c>
      <c r="AS1546" s="13" t="s">
        <v>50</v>
      </c>
      <c r="AT1546" s="13" t="s">
        <v>50</v>
      </c>
      <c r="AU1546" s="13" t="s">
        <v>50</v>
      </c>
      <c r="AV1546" s="15"/>
      <c r="AW1546" s="13" t="s">
        <v>50</v>
      </c>
      <c r="AX1546" s="13"/>
      <c r="AY1546" s="13" t="s">
        <v>50</v>
      </c>
    </row>
    <row r="1547" ht="22.5" hidden="1" customHeight="1">
      <c r="A1547" s="16" t="s">
        <v>15523</v>
      </c>
      <c r="B1547" s="17" t="s">
        <v>15512</v>
      </c>
      <c r="C1547" s="17" t="s">
        <v>43</v>
      </c>
      <c r="D1547" s="17" t="s">
        <v>13108</v>
      </c>
      <c r="E1547" s="17" t="s">
        <v>45</v>
      </c>
      <c r="F1547" s="18">
        <v>1.0</v>
      </c>
      <c r="G1547" s="18"/>
      <c r="H1547" s="18"/>
      <c r="I1547" s="18"/>
      <c r="J1547" s="18"/>
      <c r="K1547" s="18"/>
      <c r="L1547" s="18"/>
      <c r="M1547" s="17" t="s">
        <v>50</v>
      </c>
      <c r="N1547" s="17" t="s">
        <v>50</v>
      </c>
      <c r="O1547" s="17" t="s">
        <v>85</v>
      </c>
      <c r="P1547" s="17" t="s">
        <v>86</v>
      </c>
      <c r="Q1547" s="17" t="s">
        <v>87</v>
      </c>
      <c r="R1547" s="17" t="s">
        <v>74</v>
      </c>
      <c r="S1547" s="18">
        <v>120.0</v>
      </c>
      <c r="T1547" s="18">
        <v>65.78</v>
      </c>
      <c r="U1547" s="18" t="s">
        <v>51</v>
      </c>
      <c r="V1547" s="17" t="s">
        <v>50</v>
      </c>
      <c r="W1547" s="17" t="s">
        <v>50</v>
      </c>
      <c r="X1547" s="17" t="s">
        <v>50</v>
      </c>
      <c r="Y1547" s="17" t="s">
        <v>50</v>
      </c>
      <c r="Z1547" s="17" t="s">
        <v>50</v>
      </c>
      <c r="AA1547" s="17" t="s">
        <v>50</v>
      </c>
      <c r="AB1547" s="17" t="s">
        <v>50</v>
      </c>
      <c r="AC1547" s="17" t="s">
        <v>50</v>
      </c>
      <c r="AD1547" s="17" t="s">
        <v>50</v>
      </c>
      <c r="AE1547" s="17" t="s">
        <v>50</v>
      </c>
      <c r="AF1547" s="17" t="s">
        <v>50</v>
      </c>
      <c r="AG1547" s="17" t="s">
        <v>50</v>
      </c>
      <c r="AH1547" s="17" t="s">
        <v>50</v>
      </c>
      <c r="AI1547" s="17" t="s">
        <v>50</v>
      </c>
      <c r="AJ1547" s="17" t="s">
        <v>50</v>
      </c>
      <c r="AK1547" s="17" t="s">
        <v>50</v>
      </c>
      <c r="AL1547" s="17" t="s">
        <v>50</v>
      </c>
      <c r="AM1547" s="17" t="s">
        <v>50</v>
      </c>
      <c r="AN1547" s="17" t="s">
        <v>50</v>
      </c>
      <c r="AO1547" s="18" t="s">
        <v>50</v>
      </c>
      <c r="AP1547" s="17" t="s">
        <v>50</v>
      </c>
      <c r="AQ1547" s="17" t="s">
        <v>50</v>
      </c>
      <c r="AR1547" s="17" t="s">
        <v>50</v>
      </c>
      <c r="AS1547" s="17" t="s">
        <v>50</v>
      </c>
      <c r="AT1547" s="17" t="s">
        <v>50</v>
      </c>
      <c r="AU1547" s="17" t="s">
        <v>50</v>
      </c>
      <c r="AV1547" s="18"/>
      <c r="AW1547" s="17" t="s">
        <v>66</v>
      </c>
      <c r="AX1547" s="17"/>
      <c r="AY1547" s="17" t="s">
        <v>66</v>
      </c>
    </row>
    <row r="1548" ht="22.5" hidden="1" customHeight="1">
      <c r="A1548" s="16" t="s">
        <v>15524</v>
      </c>
      <c r="B1548" s="17" t="s">
        <v>15512</v>
      </c>
      <c r="C1548" s="17" t="s">
        <v>43</v>
      </c>
      <c r="D1548" s="17" t="s">
        <v>13108</v>
      </c>
      <c r="E1548" s="17" t="s">
        <v>45</v>
      </c>
      <c r="F1548" s="18">
        <v>1.0</v>
      </c>
      <c r="G1548" s="18"/>
      <c r="H1548" s="18"/>
      <c r="I1548" s="18"/>
      <c r="J1548" s="18"/>
      <c r="K1548" s="18"/>
      <c r="L1548" s="18"/>
      <c r="M1548" s="17" t="s">
        <v>50</v>
      </c>
      <c r="N1548" s="17" t="s">
        <v>50</v>
      </c>
      <c r="O1548" s="17" t="s">
        <v>766</v>
      </c>
      <c r="P1548" s="17" t="s">
        <v>767</v>
      </c>
      <c r="Q1548" s="17" t="s">
        <v>768</v>
      </c>
      <c r="R1548" s="17" t="s">
        <v>74</v>
      </c>
      <c r="S1548" s="18">
        <v>79.0</v>
      </c>
      <c r="T1548" s="18">
        <v>13.62</v>
      </c>
      <c r="U1548" s="18" t="s">
        <v>51</v>
      </c>
      <c r="V1548" s="17" t="s">
        <v>50</v>
      </c>
      <c r="W1548" s="17" t="s">
        <v>50</v>
      </c>
      <c r="X1548" s="17" t="s">
        <v>50</v>
      </c>
      <c r="Y1548" s="17" t="s">
        <v>50</v>
      </c>
      <c r="Z1548" s="17" t="s">
        <v>50</v>
      </c>
      <c r="AA1548" s="17" t="s">
        <v>50</v>
      </c>
      <c r="AB1548" s="17" t="s">
        <v>50</v>
      </c>
      <c r="AC1548" s="17" t="s">
        <v>50</v>
      </c>
      <c r="AD1548" s="17" t="s">
        <v>50</v>
      </c>
      <c r="AE1548" s="17" t="s">
        <v>50</v>
      </c>
      <c r="AF1548" s="17" t="s">
        <v>50</v>
      </c>
      <c r="AG1548" s="17" t="s">
        <v>50</v>
      </c>
      <c r="AH1548" s="17" t="s">
        <v>50</v>
      </c>
      <c r="AI1548" s="17" t="s">
        <v>50</v>
      </c>
      <c r="AJ1548" s="17" t="s">
        <v>50</v>
      </c>
      <c r="AK1548" s="17" t="s">
        <v>50</v>
      </c>
      <c r="AL1548" s="17" t="s">
        <v>50</v>
      </c>
      <c r="AM1548" s="17" t="s">
        <v>50</v>
      </c>
      <c r="AN1548" s="17" t="s">
        <v>50</v>
      </c>
      <c r="AO1548" s="18" t="s">
        <v>50</v>
      </c>
      <c r="AP1548" s="17" t="s">
        <v>50</v>
      </c>
      <c r="AQ1548" s="17" t="s">
        <v>50</v>
      </c>
      <c r="AR1548" s="17" t="s">
        <v>50</v>
      </c>
      <c r="AS1548" s="17" t="s">
        <v>50</v>
      </c>
      <c r="AT1548" s="17" t="s">
        <v>50</v>
      </c>
      <c r="AU1548" s="17" t="s">
        <v>50</v>
      </c>
      <c r="AV1548" s="18"/>
      <c r="AW1548" s="17" t="s">
        <v>66</v>
      </c>
      <c r="AX1548" s="17"/>
      <c r="AY1548" s="17" t="s">
        <v>66</v>
      </c>
    </row>
    <row r="1549" ht="22.5" hidden="1" customHeight="1">
      <c r="A1549" s="9" t="s">
        <v>15525</v>
      </c>
      <c r="B1549" s="10" t="s">
        <v>15526</v>
      </c>
      <c r="C1549" s="10" t="s">
        <v>1385</v>
      </c>
      <c r="D1549" s="10" t="s">
        <v>15527</v>
      </c>
      <c r="E1549" s="10" t="s">
        <v>66</v>
      </c>
      <c r="F1549" s="11">
        <v>1.0</v>
      </c>
      <c r="G1549" s="11">
        <v>80.6</v>
      </c>
      <c r="H1549" s="11"/>
      <c r="I1549" s="11">
        <v>-13.7</v>
      </c>
      <c r="J1549" s="11">
        <v>-20.45</v>
      </c>
      <c r="K1549" s="11"/>
      <c r="L1549" s="11">
        <v>46.45</v>
      </c>
      <c r="M1549" s="10" t="s">
        <v>12218</v>
      </c>
      <c r="N1549" s="10" t="s">
        <v>45</v>
      </c>
      <c r="O1549" s="10" t="s">
        <v>265</v>
      </c>
      <c r="P1549" s="10" t="s">
        <v>266</v>
      </c>
      <c r="Q1549" s="10" t="s">
        <v>267</v>
      </c>
      <c r="R1549" s="10" t="s">
        <v>74</v>
      </c>
      <c r="S1549" s="11">
        <v>80.6</v>
      </c>
      <c r="T1549" s="11">
        <v>26.22</v>
      </c>
      <c r="U1549" s="11" t="s">
        <v>51</v>
      </c>
      <c r="V1549" s="10" t="s">
        <v>52</v>
      </c>
      <c r="W1549" s="10" t="s">
        <v>15528</v>
      </c>
      <c r="X1549" s="10" t="s">
        <v>15529</v>
      </c>
      <c r="Y1549" s="10" t="s">
        <v>15530</v>
      </c>
      <c r="Z1549" s="10" t="s">
        <v>50</v>
      </c>
      <c r="AA1549" s="10" t="s">
        <v>50</v>
      </c>
      <c r="AB1549" s="10" t="s">
        <v>15528</v>
      </c>
      <c r="AC1549" s="10" t="s">
        <v>15531</v>
      </c>
      <c r="AD1549" s="10" t="s">
        <v>1391</v>
      </c>
      <c r="AE1549" s="10" t="s">
        <v>151</v>
      </c>
      <c r="AF1549" s="10" t="s">
        <v>151</v>
      </c>
      <c r="AG1549" s="10" t="s">
        <v>1392</v>
      </c>
      <c r="AH1549" s="10" t="s">
        <v>60</v>
      </c>
      <c r="AI1549" s="10" t="s">
        <v>13406</v>
      </c>
      <c r="AJ1549" s="10" t="s">
        <v>15532</v>
      </c>
      <c r="AK1549" s="10" t="s">
        <v>50</v>
      </c>
      <c r="AL1549" s="10" t="s">
        <v>64</v>
      </c>
      <c r="AM1549" s="10" t="s">
        <v>15533</v>
      </c>
      <c r="AN1549" s="10" t="s">
        <v>1395</v>
      </c>
      <c r="AO1549" s="11" t="s">
        <v>50</v>
      </c>
      <c r="AP1549" s="10" t="s">
        <v>50</v>
      </c>
      <c r="AQ1549" s="10" t="s">
        <v>50</v>
      </c>
      <c r="AR1549" s="10" t="s">
        <v>50</v>
      </c>
      <c r="AS1549" s="10" t="s">
        <v>50</v>
      </c>
      <c r="AT1549" s="10" t="s">
        <v>50</v>
      </c>
      <c r="AU1549" s="10" t="s">
        <v>50</v>
      </c>
      <c r="AV1549" s="11"/>
      <c r="AW1549" s="9" t="s">
        <v>45</v>
      </c>
      <c r="AX1549" s="10"/>
      <c r="AY1549" s="10" t="s">
        <v>66</v>
      </c>
    </row>
    <row r="1550" ht="22.5" hidden="1" customHeight="1">
      <c r="A1550" s="9" t="s">
        <v>15534</v>
      </c>
      <c r="B1550" s="10" t="s">
        <v>15535</v>
      </c>
      <c r="C1550" s="10" t="s">
        <v>43</v>
      </c>
      <c r="D1550" s="10" t="s">
        <v>13175</v>
      </c>
      <c r="E1550" s="10" t="s">
        <v>66</v>
      </c>
      <c r="F1550" s="11">
        <v>1.0</v>
      </c>
      <c r="G1550" s="11">
        <v>105.0</v>
      </c>
      <c r="H1550" s="11"/>
      <c r="I1550" s="11">
        <v>-19.95</v>
      </c>
      <c r="J1550" s="11">
        <v>-19.95</v>
      </c>
      <c r="K1550" s="11"/>
      <c r="L1550" s="11">
        <v>65.1</v>
      </c>
      <c r="M1550" s="10" t="s">
        <v>12218</v>
      </c>
      <c r="N1550" s="10" t="s">
        <v>50</v>
      </c>
      <c r="O1550" s="10" t="s">
        <v>100</v>
      </c>
      <c r="P1550" s="10" t="s">
        <v>101</v>
      </c>
      <c r="Q1550" s="10" t="s">
        <v>102</v>
      </c>
      <c r="R1550" s="10" t="s">
        <v>50</v>
      </c>
      <c r="S1550" s="11">
        <v>105.0</v>
      </c>
      <c r="T1550" s="11">
        <v>38.61</v>
      </c>
      <c r="U1550" s="11" t="s">
        <v>51</v>
      </c>
      <c r="V1550" s="10" t="s">
        <v>52</v>
      </c>
      <c r="W1550" s="10" t="s">
        <v>15536</v>
      </c>
      <c r="X1550" s="10" t="s">
        <v>15537</v>
      </c>
      <c r="Y1550" s="10" t="s">
        <v>15538</v>
      </c>
      <c r="Z1550" s="10" t="s">
        <v>50</v>
      </c>
      <c r="AA1550" s="10" t="s">
        <v>50</v>
      </c>
      <c r="AB1550" s="10" t="s">
        <v>15536</v>
      </c>
      <c r="AC1550" s="10" t="s">
        <v>15539</v>
      </c>
      <c r="AD1550" s="10" t="s">
        <v>15540</v>
      </c>
      <c r="AE1550" s="10" t="s">
        <v>14857</v>
      </c>
      <c r="AF1550" s="10" t="s">
        <v>58</v>
      </c>
      <c r="AG1550" s="10" t="s">
        <v>15541</v>
      </c>
      <c r="AH1550" s="10" t="s">
        <v>60</v>
      </c>
      <c r="AI1550" s="10" t="s">
        <v>13406</v>
      </c>
      <c r="AJ1550" s="10" t="s">
        <v>13127</v>
      </c>
      <c r="AK1550" s="10" t="s">
        <v>13237</v>
      </c>
      <c r="AL1550" s="10" t="s">
        <v>64</v>
      </c>
      <c r="AM1550" s="10" t="s">
        <v>15542</v>
      </c>
      <c r="AN1550" s="10" t="s">
        <v>50</v>
      </c>
      <c r="AO1550" s="11" t="s">
        <v>50</v>
      </c>
      <c r="AP1550" s="10" t="s">
        <v>50</v>
      </c>
      <c r="AQ1550" s="10" t="s">
        <v>50</v>
      </c>
      <c r="AR1550" s="10" t="s">
        <v>50</v>
      </c>
      <c r="AS1550" s="10" t="s">
        <v>50</v>
      </c>
      <c r="AT1550" s="10" t="s">
        <v>50</v>
      </c>
      <c r="AU1550" s="10" t="s">
        <v>50</v>
      </c>
      <c r="AV1550" s="11"/>
      <c r="AW1550" s="10" t="s">
        <v>66</v>
      </c>
      <c r="AX1550" s="10"/>
      <c r="AY1550" s="10" t="s">
        <v>66</v>
      </c>
    </row>
    <row r="1551" ht="22.5" hidden="1" customHeight="1">
      <c r="A1551" s="9" t="s">
        <v>15543</v>
      </c>
      <c r="B1551" s="10" t="s">
        <v>15544</v>
      </c>
      <c r="C1551" s="10" t="s">
        <v>43</v>
      </c>
      <c r="D1551" s="10" t="s">
        <v>13120</v>
      </c>
      <c r="E1551" s="10" t="s">
        <v>66</v>
      </c>
      <c r="F1551" s="11">
        <v>1.0</v>
      </c>
      <c r="G1551" s="11">
        <v>48.0</v>
      </c>
      <c r="H1551" s="11">
        <v>14.15</v>
      </c>
      <c r="I1551" s="11">
        <v>-14.16</v>
      </c>
      <c r="J1551" s="11">
        <v>-14.15</v>
      </c>
      <c r="K1551" s="11"/>
      <c r="L1551" s="11">
        <v>33.84</v>
      </c>
      <c r="M1551" s="10" t="s">
        <v>12218</v>
      </c>
      <c r="N1551" s="10" t="s">
        <v>50</v>
      </c>
      <c r="O1551" s="10" t="s">
        <v>4556</v>
      </c>
      <c r="P1551" s="10" t="s">
        <v>4557</v>
      </c>
      <c r="Q1551" s="10" t="s">
        <v>4558</v>
      </c>
      <c r="R1551" s="10" t="s">
        <v>74</v>
      </c>
      <c r="S1551" s="11">
        <v>48.0</v>
      </c>
      <c r="T1551" s="11">
        <v>8.73</v>
      </c>
      <c r="U1551" s="11" t="s">
        <v>51</v>
      </c>
      <c r="V1551" s="10" t="s">
        <v>52</v>
      </c>
      <c r="W1551" s="10" t="s">
        <v>15545</v>
      </c>
      <c r="X1551" s="10" t="s">
        <v>15546</v>
      </c>
      <c r="Y1551" s="10" t="s">
        <v>15547</v>
      </c>
      <c r="Z1551" s="10" t="s">
        <v>50</v>
      </c>
      <c r="AA1551" s="10" t="s">
        <v>50</v>
      </c>
      <c r="AB1551" s="10" t="s">
        <v>15545</v>
      </c>
      <c r="AC1551" s="10" t="s">
        <v>15548</v>
      </c>
      <c r="AD1551" s="10" t="s">
        <v>15549</v>
      </c>
      <c r="AE1551" s="10" t="s">
        <v>1089</v>
      </c>
      <c r="AF1551" s="10" t="s">
        <v>284</v>
      </c>
      <c r="AG1551" s="10" t="s">
        <v>1090</v>
      </c>
      <c r="AH1551" s="10" t="s">
        <v>60</v>
      </c>
      <c r="AI1551" s="10" t="s">
        <v>13406</v>
      </c>
      <c r="AJ1551" s="10" t="s">
        <v>13115</v>
      </c>
      <c r="AK1551" s="10" t="s">
        <v>15550</v>
      </c>
      <c r="AL1551" s="10" t="s">
        <v>64</v>
      </c>
      <c r="AM1551" s="10" t="s">
        <v>15551</v>
      </c>
      <c r="AN1551" s="10" t="s">
        <v>50</v>
      </c>
      <c r="AO1551" s="11" t="s">
        <v>50</v>
      </c>
      <c r="AP1551" s="10" t="s">
        <v>50</v>
      </c>
      <c r="AQ1551" s="10" t="s">
        <v>50</v>
      </c>
      <c r="AR1551" s="10" t="s">
        <v>50</v>
      </c>
      <c r="AS1551" s="10" t="s">
        <v>50</v>
      </c>
      <c r="AT1551" s="10" t="s">
        <v>50</v>
      </c>
      <c r="AU1551" s="10" t="s">
        <v>50</v>
      </c>
      <c r="AV1551" s="11"/>
      <c r="AW1551" s="10" t="s">
        <v>66</v>
      </c>
      <c r="AX1551" s="10"/>
      <c r="AY1551" s="10" t="s">
        <v>66</v>
      </c>
    </row>
    <row r="1552" ht="22.5" hidden="1" customHeight="1">
      <c r="A1552" s="9" t="s">
        <v>15552</v>
      </c>
      <c r="B1552" s="10" t="s">
        <v>15553</v>
      </c>
      <c r="C1552" s="10" t="s">
        <v>43</v>
      </c>
      <c r="D1552" s="10" t="s">
        <v>14923</v>
      </c>
      <c r="E1552" s="10" t="s">
        <v>66</v>
      </c>
      <c r="F1552" s="11">
        <v>1.0</v>
      </c>
      <c r="G1552" s="11">
        <v>43.7</v>
      </c>
      <c r="H1552" s="11">
        <v>13.77</v>
      </c>
      <c r="I1552" s="11">
        <v>-13.43</v>
      </c>
      <c r="J1552" s="11">
        <v>-13.77</v>
      </c>
      <c r="K1552" s="11"/>
      <c r="L1552" s="11">
        <v>32.89</v>
      </c>
      <c r="M1552" s="10" t="s">
        <v>12218</v>
      </c>
      <c r="N1552" s="10" t="s">
        <v>50</v>
      </c>
      <c r="O1552" s="10" t="s">
        <v>176</v>
      </c>
      <c r="P1552" s="10" t="s">
        <v>177</v>
      </c>
      <c r="Q1552" s="10" t="s">
        <v>178</v>
      </c>
      <c r="R1552" s="10" t="s">
        <v>74</v>
      </c>
      <c r="S1552" s="11">
        <v>43.7</v>
      </c>
      <c r="T1552" s="11">
        <v>22.58</v>
      </c>
      <c r="U1552" s="11" t="s">
        <v>51</v>
      </c>
      <c r="V1552" s="10" t="s">
        <v>52</v>
      </c>
      <c r="W1552" s="10" t="s">
        <v>15554</v>
      </c>
      <c r="X1552" s="10" t="s">
        <v>15555</v>
      </c>
      <c r="Y1552" s="10" t="s">
        <v>15556</v>
      </c>
      <c r="Z1552" s="10" t="s">
        <v>50</v>
      </c>
      <c r="AA1552" s="10" t="s">
        <v>50</v>
      </c>
      <c r="AB1552" s="10" t="s">
        <v>15554</v>
      </c>
      <c r="AC1552" s="10" t="s">
        <v>15557</v>
      </c>
      <c r="AD1552" s="10" t="s">
        <v>15558</v>
      </c>
      <c r="AE1552" s="10" t="s">
        <v>151</v>
      </c>
      <c r="AF1552" s="10" t="s">
        <v>151</v>
      </c>
      <c r="AG1552" s="10" t="s">
        <v>15559</v>
      </c>
      <c r="AH1552" s="10" t="s">
        <v>60</v>
      </c>
      <c r="AI1552" s="10" t="s">
        <v>13406</v>
      </c>
      <c r="AJ1552" s="10" t="s">
        <v>15560</v>
      </c>
      <c r="AK1552" s="10" t="s">
        <v>15561</v>
      </c>
      <c r="AL1552" s="10" t="s">
        <v>64</v>
      </c>
      <c r="AM1552" s="10" t="s">
        <v>15562</v>
      </c>
      <c r="AN1552" s="10" t="s">
        <v>50</v>
      </c>
      <c r="AO1552" s="11" t="s">
        <v>50</v>
      </c>
      <c r="AP1552" s="10" t="s">
        <v>50</v>
      </c>
      <c r="AQ1552" s="10" t="s">
        <v>50</v>
      </c>
      <c r="AR1552" s="10" t="s">
        <v>50</v>
      </c>
      <c r="AS1552" s="10" t="s">
        <v>50</v>
      </c>
      <c r="AT1552" s="10" t="s">
        <v>50</v>
      </c>
      <c r="AU1552" s="10" t="s">
        <v>50</v>
      </c>
      <c r="AV1552" s="11"/>
      <c r="AW1552" s="10" t="s">
        <v>66</v>
      </c>
      <c r="AX1552" s="10"/>
      <c r="AY1552" s="10" t="s">
        <v>66</v>
      </c>
    </row>
    <row r="1553" ht="22.5" hidden="1" customHeight="1">
      <c r="A1553" s="9" t="s">
        <v>15563</v>
      </c>
      <c r="B1553" s="10" t="s">
        <v>15564</v>
      </c>
      <c r="C1553" s="10" t="s">
        <v>43</v>
      </c>
      <c r="D1553" s="10" t="s">
        <v>13120</v>
      </c>
      <c r="E1553" s="10" t="s">
        <v>66</v>
      </c>
      <c r="F1553" s="11">
        <v>1.0</v>
      </c>
      <c r="G1553" s="11">
        <v>80.6</v>
      </c>
      <c r="H1553" s="11">
        <v>19.6</v>
      </c>
      <c r="I1553" s="11">
        <v>-13.7</v>
      </c>
      <c r="J1553" s="11">
        <v>-40.05</v>
      </c>
      <c r="K1553" s="11"/>
      <c r="L1553" s="11">
        <v>46.45</v>
      </c>
      <c r="M1553" s="10" t="s">
        <v>12218</v>
      </c>
      <c r="N1553" s="10" t="s">
        <v>45</v>
      </c>
      <c r="O1553" s="10" t="s">
        <v>265</v>
      </c>
      <c r="P1553" s="10" t="s">
        <v>266</v>
      </c>
      <c r="Q1553" s="10" t="s">
        <v>267</v>
      </c>
      <c r="R1553" s="10" t="s">
        <v>74</v>
      </c>
      <c r="S1553" s="11">
        <v>80.6</v>
      </c>
      <c r="T1553" s="11">
        <v>26.22</v>
      </c>
      <c r="U1553" s="11" t="s">
        <v>51</v>
      </c>
      <c r="V1553" s="10" t="s">
        <v>52</v>
      </c>
      <c r="W1553" s="10" t="s">
        <v>15565</v>
      </c>
      <c r="X1553" s="10" t="s">
        <v>15566</v>
      </c>
      <c r="Y1553" s="10" t="s">
        <v>15567</v>
      </c>
      <c r="Z1553" s="10" t="s">
        <v>50</v>
      </c>
      <c r="AA1553" s="10" t="s">
        <v>50</v>
      </c>
      <c r="AB1553" s="10" t="s">
        <v>15565</v>
      </c>
      <c r="AC1553" s="10" t="s">
        <v>15568</v>
      </c>
      <c r="AD1553" s="10" t="s">
        <v>15569</v>
      </c>
      <c r="AE1553" s="10" t="s">
        <v>2975</v>
      </c>
      <c r="AF1553" s="10" t="s">
        <v>2976</v>
      </c>
      <c r="AG1553" s="10" t="s">
        <v>15570</v>
      </c>
      <c r="AH1553" s="10" t="s">
        <v>60</v>
      </c>
      <c r="AI1553" s="10" t="s">
        <v>13406</v>
      </c>
      <c r="AJ1553" s="10" t="s">
        <v>13127</v>
      </c>
      <c r="AK1553" s="10" t="s">
        <v>15571</v>
      </c>
      <c r="AL1553" s="10" t="s">
        <v>64</v>
      </c>
      <c r="AM1553" s="10" t="s">
        <v>15572</v>
      </c>
      <c r="AN1553" s="10" t="s">
        <v>50</v>
      </c>
      <c r="AO1553" s="11" t="s">
        <v>50</v>
      </c>
      <c r="AP1553" s="10" t="s">
        <v>50</v>
      </c>
      <c r="AQ1553" s="10" t="s">
        <v>50</v>
      </c>
      <c r="AR1553" s="10" t="s">
        <v>50</v>
      </c>
      <c r="AS1553" s="10" t="s">
        <v>50</v>
      </c>
      <c r="AT1553" s="10" t="s">
        <v>50</v>
      </c>
      <c r="AU1553" s="10" t="s">
        <v>50</v>
      </c>
      <c r="AV1553" s="11"/>
      <c r="AW1553" s="10" t="s">
        <v>66</v>
      </c>
      <c r="AX1553" s="10"/>
      <c r="AY1553" s="10" t="s">
        <v>66</v>
      </c>
    </row>
    <row r="1554" ht="22.5" hidden="1" customHeight="1">
      <c r="A1554" s="9" t="s">
        <v>15573</v>
      </c>
      <c r="B1554" s="10" t="s">
        <v>15574</v>
      </c>
      <c r="C1554" s="10" t="s">
        <v>43</v>
      </c>
      <c r="D1554" s="10" t="s">
        <v>13108</v>
      </c>
      <c r="E1554" s="10" t="s">
        <v>45</v>
      </c>
      <c r="F1554" s="11">
        <v>2.0</v>
      </c>
      <c r="G1554" s="11">
        <v>158.4</v>
      </c>
      <c r="H1554" s="11"/>
      <c r="I1554" s="11">
        <v>-26.92</v>
      </c>
      <c r="J1554" s="11">
        <v>-40.9</v>
      </c>
      <c r="K1554" s="11"/>
      <c r="L1554" s="11">
        <v>90.58</v>
      </c>
      <c r="M1554" s="10" t="s">
        <v>12218</v>
      </c>
      <c r="N1554" s="10" t="s">
        <v>45</v>
      </c>
      <c r="O1554" s="10" t="s">
        <v>892</v>
      </c>
      <c r="P1554" s="10" t="s">
        <v>893</v>
      </c>
      <c r="Q1554" s="10" t="s">
        <v>894</v>
      </c>
      <c r="R1554" s="10" t="s">
        <v>74</v>
      </c>
      <c r="S1554" s="11">
        <v>79.2</v>
      </c>
      <c r="T1554" s="11">
        <v>2.97</v>
      </c>
      <c r="U1554" s="11" t="s">
        <v>51</v>
      </c>
      <c r="V1554" s="10" t="s">
        <v>52</v>
      </c>
      <c r="W1554" s="10" t="s">
        <v>15575</v>
      </c>
      <c r="X1554" s="10" t="s">
        <v>15576</v>
      </c>
      <c r="Y1554" s="10" t="s">
        <v>15577</v>
      </c>
      <c r="Z1554" s="10" t="s">
        <v>50</v>
      </c>
      <c r="AA1554" s="10" t="s">
        <v>50</v>
      </c>
      <c r="AB1554" s="10" t="s">
        <v>15575</v>
      </c>
      <c r="AC1554" s="10" t="s">
        <v>15578</v>
      </c>
      <c r="AD1554" s="10" t="s">
        <v>15579</v>
      </c>
      <c r="AE1554" s="10" t="s">
        <v>3359</v>
      </c>
      <c r="AF1554" s="10" t="s">
        <v>185</v>
      </c>
      <c r="AG1554" s="10" t="s">
        <v>15580</v>
      </c>
      <c r="AH1554" s="10" t="s">
        <v>60</v>
      </c>
      <c r="AI1554" s="10" t="s">
        <v>13406</v>
      </c>
      <c r="AJ1554" s="10" t="s">
        <v>15416</v>
      </c>
      <c r="AK1554" s="10" t="s">
        <v>15581</v>
      </c>
      <c r="AL1554" s="10" t="s">
        <v>64</v>
      </c>
      <c r="AM1554" s="10" t="s">
        <v>15582</v>
      </c>
      <c r="AN1554" s="10" t="s">
        <v>50</v>
      </c>
      <c r="AO1554" s="11" t="s">
        <v>50</v>
      </c>
      <c r="AP1554" s="10" t="s">
        <v>50</v>
      </c>
      <c r="AQ1554" s="10" t="s">
        <v>50</v>
      </c>
      <c r="AR1554" s="10" t="s">
        <v>50</v>
      </c>
      <c r="AS1554" s="10" t="s">
        <v>50</v>
      </c>
      <c r="AT1554" s="10" t="s">
        <v>50</v>
      </c>
      <c r="AU1554" s="10" t="s">
        <v>50</v>
      </c>
      <c r="AV1554" s="11"/>
      <c r="AW1554" s="10" t="s">
        <v>66</v>
      </c>
      <c r="AX1554" s="10"/>
      <c r="AY1554" s="10" t="s">
        <v>66</v>
      </c>
    </row>
    <row r="1555" ht="22.5" hidden="1" customHeight="1">
      <c r="A1555" s="9" t="s">
        <v>15583</v>
      </c>
      <c r="B1555" s="10" t="s">
        <v>15584</v>
      </c>
      <c r="C1555" s="10" t="s">
        <v>43</v>
      </c>
      <c r="D1555" s="10" t="s">
        <v>14923</v>
      </c>
      <c r="E1555" s="10" t="s">
        <v>66</v>
      </c>
      <c r="F1555" s="11">
        <v>1.0</v>
      </c>
      <c r="G1555" s="11">
        <v>43.7</v>
      </c>
      <c r="H1555" s="11">
        <v>13.77</v>
      </c>
      <c r="I1555" s="11">
        <v>-13.43</v>
      </c>
      <c r="J1555" s="11">
        <v>-13.77</v>
      </c>
      <c r="K1555" s="11"/>
      <c r="L1555" s="11">
        <v>32.89</v>
      </c>
      <c r="M1555" s="10" t="s">
        <v>12218</v>
      </c>
      <c r="N1555" s="10" t="s">
        <v>45</v>
      </c>
      <c r="O1555" s="10" t="s">
        <v>176</v>
      </c>
      <c r="P1555" s="10" t="s">
        <v>177</v>
      </c>
      <c r="Q1555" s="10" t="s">
        <v>178</v>
      </c>
      <c r="R1555" s="10" t="s">
        <v>74</v>
      </c>
      <c r="S1555" s="11">
        <v>43.7</v>
      </c>
      <c r="T1555" s="11">
        <v>22.58</v>
      </c>
      <c r="U1555" s="11" t="s">
        <v>51</v>
      </c>
      <c r="V1555" s="10" t="s">
        <v>52</v>
      </c>
      <c r="W1555" s="10" t="s">
        <v>15585</v>
      </c>
      <c r="X1555" s="10" t="s">
        <v>15586</v>
      </c>
      <c r="Y1555" s="10" t="s">
        <v>15587</v>
      </c>
      <c r="Z1555" s="10" t="s">
        <v>50</v>
      </c>
      <c r="AA1555" s="10" t="s">
        <v>50</v>
      </c>
      <c r="AB1555" s="10" t="s">
        <v>15585</v>
      </c>
      <c r="AC1555" s="10" t="s">
        <v>15588</v>
      </c>
      <c r="AD1555" s="10" t="s">
        <v>15589</v>
      </c>
      <c r="AE1555" s="10" t="s">
        <v>151</v>
      </c>
      <c r="AF1555" s="10" t="s">
        <v>151</v>
      </c>
      <c r="AG1555" s="10" t="s">
        <v>15590</v>
      </c>
      <c r="AH1555" s="10" t="s">
        <v>60</v>
      </c>
      <c r="AI1555" s="10" t="s">
        <v>13406</v>
      </c>
      <c r="AJ1555" s="10" t="s">
        <v>15560</v>
      </c>
      <c r="AK1555" s="10" t="s">
        <v>15591</v>
      </c>
      <c r="AL1555" s="10" t="s">
        <v>64</v>
      </c>
      <c r="AM1555" s="10" t="s">
        <v>15592</v>
      </c>
      <c r="AN1555" s="10" t="s">
        <v>50</v>
      </c>
      <c r="AO1555" s="11" t="s">
        <v>50</v>
      </c>
      <c r="AP1555" s="10" t="s">
        <v>50</v>
      </c>
      <c r="AQ1555" s="10" t="s">
        <v>50</v>
      </c>
      <c r="AR1555" s="10" t="s">
        <v>50</v>
      </c>
      <c r="AS1555" s="10" t="s">
        <v>50</v>
      </c>
      <c r="AT1555" s="10" t="s">
        <v>50</v>
      </c>
      <c r="AU1555" s="10" t="s">
        <v>50</v>
      </c>
      <c r="AV1555" s="11"/>
      <c r="AW1555" s="10" t="s">
        <v>66</v>
      </c>
      <c r="AX1555" s="10"/>
      <c r="AY1555" s="10" t="s">
        <v>66</v>
      </c>
    </row>
    <row r="1556" ht="22.5" hidden="1" customHeight="1">
      <c r="A1556" s="9" t="s">
        <v>15593</v>
      </c>
      <c r="B1556" s="10" t="s">
        <v>15594</v>
      </c>
      <c r="C1556" s="10" t="s">
        <v>43</v>
      </c>
      <c r="D1556" s="10" t="s">
        <v>13120</v>
      </c>
      <c r="E1556" s="10" t="s">
        <v>45</v>
      </c>
      <c r="F1556" s="11">
        <v>1.0</v>
      </c>
      <c r="G1556" s="11">
        <v>43.7</v>
      </c>
      <c r="H1556" s="11">
        <v>13.77</v>
      </c>
      <c r="I1556" s="11">
        <v>-13.43</v>
      </c>
      <c r="J1556" s="11">
        <v>-13.77</v>
      </c>
      <c r="K1556" s="11"/>
      <c r="L1556" s="11">
        <v>32.89</v>
      </c>
      <c r="M1556" s="10" t="s">
        <v>12218</v>
      </c>
      <c r="N1556" s="10" t="s">
        <v>50</v>
      </c>
      <c r="O1556" s="10" t="s">
        <v>176</v>
      </c>
      <c r="P1556" s="10" t="s">
        <v>177</v>
      </c>
      <c r="Q1556" s="10" t="s">
        <v>178</v>
      </c>
      <c r="R1556" s="10" t="s">
        <v>74</v>
      </c>
      <c r="S1556" s="11">
        <v>43.7</v>
      </c>
      <c r="T1556" s="11">
        <v>22.58</v>
      </c>
      <c r="U1556" s="11" t="s">
        <v>51</v>
      </c>
      <c r="V1556" s="10" t="s">
        <v>52</v>
      </c>
      <c r="W1556" s="10" t="s">
        <v>15595</v>
      </c>
      <c r="X1556" s="10" t="s">
        <v>15596</v>
      </c>
      <c r="Y1556" s="10" t="s">
        <v>15597</v>
      </c>
      <c r="Z1556" s="10" t="s">
        <v>50</v>
      </c>
      <c r="AA1556" s="10" t="s">
        <v>50</v>
      </c>
      <c r="AB1556" s="10" t="s">
        <v>15595</v>
      </c>
      <c r="AC1556" s="10" t="s">
        <v>15598</v>
      </c>
      <c r="AD1556" s="10" t="s">
        <v>15599</v>
      </c>
      <c r="AE1556" s="10" t="s">
        <v>1181</v>
      </c>
      <c r="AF1556" s="10" t="s">
        <v>323</v>
      </c>
      <c r="AG1556" s="10" t="s">
        <v>15600</v>
      </c>
      <c r="AH1556" s="10" t="s">
        <v>60</v>
      </c>
      <c r="AI1556" s="10" t="s">
        <v>13406</v>
      </c>
      <c r="AJ1556" s="10" t="s">
        <v>15601</v>
      </c>
      <c r="AK1556" s="10" t="s">
        <v>15602</v>
      </c>
      <c r="AL1556" s="10" t="s">
        <v>64</v>
      </c>
      <c r="AM1556" s="10" t="s">
        <v>15603</v>
      </c>
      <c r="AN1556" s="10" t="s">
        <v>50</v>
      </c>
      <c r="AO1556" s="11" t="s">
        <v>50</v>
      </c>
      <c r="AP1556" s="10" t="s">
        <v>50</v>
      </c>
      <c r="AQ1556" s="10" t="s">
        <v>50</v>
      </c>
      <c r="AR1556" s="10" t="s">
        <v>50</v>
      </c>
      <c r="AS1556" s="10" t="s">
        <v>50</v>
      </c>
      <c r="AT1556" s="10" t="s">
        <v>50</v>
      </c>
      <c r="AU1556" s="10" t="s">
        <v>50</v>
      </c>
      <c r="AV1556" s="11"/>
      <c r="AW1556" s="10" t="s">
        <v>66</v>
      </c>
      <c r="AX1556" s="10"/>
      <c r="AY1556" s="10" t="s">
        <v>66</v>
      </c>
    </row>
    <row r="1557" ht="22.5" hidden="1" customHeight="1">
      <c r="A1557" s="9" t="s">
        <v>15604</v>
      </c>
      <c r="B1557" s="10" t="s">
        <v>15594</v>
      </c>
      <c r="C1557" s="10" t="s">
        <v>43</v>
      </c>
      <c r="D1557" s="10" t="s">
        <v>14923</v>
      </c>
      <c r="E1557" s="10" t="s">
        <v>66</v>
      </c>
      <c r="F1557" s="11">
        <v>1.0</v>
      </c>
      <c r="G1557" s="11">
        <v>105.0</v>
      </c>
      <c r="H1557" s="11"/>
      <c r="I1557" s="11">
        <v>-19.95</v>
      </c>
      <c r="J1557" s="11">
        <v>-19.95</v>
      </c>
      <c r="K1557" s="11"/>
      <c r="L1557" s="11">
        <v>65.1</v>
      </c>
      <c r="M1557" s="10" t="s">
        <v>12218</v>
      </c>
      <c r="N1557" s="10" t="s">
        <v>45</v>
      </c>
      <c r="O1557" s="10" t="s">
        <v>100</v>
      </c>
      <c r="P1557" s="10" t="s">
        <v>101</v>
      </c>
      <c r="Q1557" s="10" t="s">
        <v>102</v>
      </c>
      <c r="R1557" s="10" t="s">
        <v>50</v>
      </c>
      <c r="S1557" s="11">
        <v>105.0</v>
      </c>
      <c r="T1557" s="11">
        <v>38.61</v>
      </c>
      <c r="U1557" s="11" t="s">
        <v>51</v>
      </c>
      <c r="V1557" s="10" t="s">
        <v>52</v>
      </c>
      <c r="W1557" s="10" t="s">
        <v>15605</v>
      </c>
      <c r="X1557" s="10" t="s">
        <v>15606</v>
      </c>
      <c r="Y1557" s="10" t="s">
        <v>15607</v>
      </c>
      <c r="Z1557" s="10" t="s">
        <v>50</v>
      </c>
      <c r="AA1557" s="10" t="s">
        <v>50</v>
      </c>
      <c r="AB1557" s="10" t="s">
        <v>15605</v>
      </c>
      <c r="AC1557" s="10" t="s">
        <v>15608</v>
      </c>
      <c r="AD1557" s="10" t="s">
        <v>15609</v>
      </c>
      <c r="AE1557" s="10" t="s">
        <v>151</v>
      </c>
      <c r="AF1557" s="10" t="s">
        <v>151</v>
      </c>
      <c r="AG1557" s="10" t="s">
        <v>15610</v>
      </c>
      <c r="AH1557" s="10" t="s">
        <v>60</v>
      </c>
      <c r="AI1557" s="10" t="s">
        <v>13406</v>
      </c>
      <c r="AJ1557" s="10" t="s">
        <v>15611</v>
      </c>
      <c r="AK1557" s="10" t="s">
        <v>15612</v>
      </c>
      <c r="AL1557" s="10" t="s">
        <v>64</v>
      </c>
      <c r="AM1557" s="10" t="s">
        <v>15613</v>
      </c>
      <c r="AN1557" s="10" t="s">
        <v>50</v>
      </c>
      <c r="AO1557" s="11" t="s">
        <v>50</v>
      </c>
      <c r="AP1557" s="10" t="s">
        <v>50</v>
      </c>
      <c r="AQ1557" s="10" t="s">
        <v>50</v>
      </c>
      <c r="AR1557" s="10" t="s">
        <v>50</v>
      </c>
      <c r="AS1557" s="10" t="s">
        <v>50</v>
      </c>
      <c r="AT1557" s="10" t="s">
        <v>50</v>
      </c>
      <c r="AU1557" s="10" t="s">
        <v>50</v>
      </c>
      <c r="AV1557" s="11"/>
      <c r="AW1557" s="10" t="s">
        <v>66</v>
      </c>
      <c r="AX1557" s="10"/>
      <c r="AY1557" s="10" t="s">
        <v>66</v>
      </c>
    </row>
    <row r="1558" ht="22.5" hidden="1" customHeight="1">
      <c r="A1558" s="9" t="s">
        <v>15614</v>
      </c>
      <c r="B1558" s="10" t="s">
        <v>15615</v>
      </c>
      <c r="C1558" s="10" t="s">
        <v>43</v>
      </c>
      <c r="D1558" s="10" t="s">
        <v>13108</v>
      </c>
      <c r="E1558" s="10" t="s">
        <v>66</v>
      </c>
      <c r="F1558" s="11">
        <v>1.0</v>
      </c>
      <c r="G1558" s="11">
        <v>120.0</v>
      </c>
      <c r="H1558" s="11"/>
      <c r="I1558" s="11">
        <v>-20.4</v>
      </c>
      <c r="J1558" s="11">
        <v>-19.95</v>
      </c>
      <c r="K1558" s="11"/>
      <c r="L1558" s="11">
        <v>86.85</v>
      </c>
      <c r="M1558" s="10" t="s">
        <v>12218</v>
      </c>
      <c r="N1558" s="10" t="s">
        <v>50</v>
      </c>
      <c r="O1558" s="10" t="s">
        <v>85</v>
      </c>
      <c r="P1558" s="10" t="s">
        <v>86</v>
      </c>
      <c r="Q1558" s="10" t="s">
        <v>87</v>
      </c>
      <c r="R1558" s="10" t="s">
        <v>74</v>
      </c>
      <c r="S1558" s="11">
        <v>120.0</v>
      </c>
      <c r="T1558" s="11">
        <v>65.78</v>
      </c>
      <c r="U1558" s="11" t="s">
        <v>51</v>
      </c>
      <c r="V1558" s="10" t="s">
        <v>52</v>
      </c>
      <c r="W1558" s="10" t="s">
        <v>15616</v>
      </c>
      <c r="X1558" s="10" t="s">
        <v>15617</v>
      </c>
      <c r="Y1558" s="10" t="s">
        <v>15618</v>
      </c>
      <c r="Z1558" s="10" t="s">
        <v>50</v>
      </c>
      <c r="AA1558" s="10" t="s">
        <v>50</v>
      </c>
      <c r="AB1558" s="10" t="s">
        <v>15616</v>
      </c>
      <c r="AC1558" s="10" t="s">
        <v>15619</v>
      </c>
      <c r="AD1558" s="10" t="s">
        <v>15620</v>
      </c>
      <c r="AE1558" s="10" t="s">
        <v>15621</v>
      </c>
      <c r="AF1558" s="10" t="s">
        <v>185</v>
      </c>
      <c r="AG1558" s="10" t="s">
        <v>15622</v>
      </c>
      <c r="AH1558" s="10" t="s">
        <v>60</v>
      </c>
      <c r="AI1558" s="10" t="s">
        <v>13406</v>
      </c>
      <c r="AJ1558" s="10" t="s">
        <v>15416</v>
      </c>
      <c r="AK1558" s="10" t="s">
        <v>15623</v>
      </c>
      <c r="AL1558" s="10" t="s">
        <v>64</v>
      </c>
      <c r="AM1558" s="10" t="s">
        <v>15624</v>
      </c>
      <c r="AN1558" s="10" t="s">
        <v>50</v>
      </c>
      <c r="AO1558" s="11" t="s">
        <v>50</v>
      </c>
      <c r="AP1558" s="10" t="s">
        <v>50</v>
      </c>
      <c r="AQ1558" s="10" t="s">
        <v>50</v>
      </c>
      <c r="AR1558" s="10" t="s">
        <v>50</v>
      </c>
      <c r="AS1558" s="10" t="s">
        <v>50</v>
      </c>
      <c r="AT1558" s="10" t="s">
        <v>50</v>
      </c>
      <c r="AU1558" s="10" t="s">
        <v>50</v>
      </c>
      <c r="AV1558" s="11"/>
      <c r="AW1558" s="10" t="s">
        <v>66</v>
      </c>
      <c r="AX1558" s="10"/>
      <c r="AY1558" s="10" t="s">
        <v>66</v>
      </c>
    </row>
    <row r="1559" ht="22.5" hidden="1" customHeight="1">
      <c r="A1559" s="9" t="s">
        <v>15625</v>
      </c>
      <c r="B1559" s="10" t="s">
        <v>15626</v>
      </c>
      <c r="C1559" s="10" t="s">
        <v>43</v>
      </c>
      <c r="D1559" s="10" t="s">
        <v>13120</v>
      </c>
      <c r="E1559" s="10" t="s">
        <v>66</v>
      </c>
      <c r="F1559" s="11">
        <v>1.0</v>
      </c>
      <c r="G1559" s="11">
        <v>80.0</v>
      </c>
      <c r="H1559" s="11"/>
      <c r="I1559" s="11">
        <v>-13.6</v>
      </c>
      <c r="J1559" s="11">
        <v>-19.95</v>
      </c>
      <c r="K1559" s="11"/>
      <c r="L1559" s="11">
        <v>50.45</v>
      </c>
      <c r="M1559" s="10" t="s">
        <v>12218</v>
      </c>
      <c r="N1559" s="10" t="s">
        <v>45</v>
      </c>
      <c r="O1559" s="10" t="s">
        <v>143</v>
      </c>
      <c r="P1559" s="10" t="s">
        <v>144</v>
      </c>
      <c r="Q1559" s="10" t="s">
        <v>145</v>
      </c>
      <c r="R1559" s="10" t="s">
        <v>74</v>
      </c>
      <c r="S1559" s="11">
        <v>80.0</v>
      </c>
      <c r="T1559" s="11">
        <v>33.38</v>
      </c>
      <c r="U1559" s="11" t="s">
        <v>51</v>
      </c>
      <c r="V1559" s="10" t="s">
        <v>52</v>
      </c>
      <c r="W1559" s="10" t="s">
        <v>15627</v>
      </c>
      <c r="X1559" s="10" t="s">
        <v>15628</v>
      </c>
      <c r="Y1559" s="10" t="s">
        <v>15629</v>
      </c>
      <c r="Z1559" s="10" t="s">
        <v>50</v>
      </c>
      <c r="AA1559" s="10" t="s">
        <v>50</v>
      </c>
      <c r="AB1559" s="10" t="s">
        <v>15627</v>
      </c>
      <c r="AC1559" s="10" t="s">
        <v>15630</v>
      </c>
      <c r="AD1559" s="10" t="s">
        <v>15631</v>
      </c>
      <c r="AE1559" s="10" t="s">
        <v>1089</v>
      </c>
      <c r="AF1559" s="10" t="s">
        <v>284</v>
      </c>
      <c r="AG1559" s="10" t="s">
        <v>15632</v>
      </c>
      <c r="AH1559" s="10" t="s">
        <v>60</v>
      </c>
      <c r="AI1559" s="10" t="s">
        <v>13406</v>
      </c>
      <c r="AJ1559" s="10" t="s">
        <v>13115</v>
      </c>
      <c r="AK1559" s="10" t="s">
        <v>15633</v>
      </c>
      <c r="AL1559" s="10" t="s">
        <v>64</v>
      </c>
      <c r="AM1559" s="10" t="s">
        <v>15634</v>
      </c>
      <c r="AN1559" s="10" t="s">
        <v>50</v>
      </c>
      <c r="AO1559" s="11" t="s">
        <v>50</v>
      </c>
      <c r="AP1559" s="10" t="s">
        <v>50</v>
      </c>
      <c r="AQ1559" s="10" t="s">
        <v>50</v>
      </c>
      <c r="AR1559" s="10" t="s">
        <v>50</v>
      </c>
      <c r="AS1559" s="10" t="s">
        <v>50</v>
      </c>
      <c r="AT1559" s="10" t="s">
        <v>50</v>
      </c>
      <c r="AU1559" s="10" t="s">
        <v>50</v>
      </c>
      <c r="AV1559" s="11"/>
      <c r="AW1559" s="10" t="s">
        <v>66</v>
      </c>
      <c r="AX1559" s="10"/>
      <c r="AY1559" s="10" t="s">
        <v>66</v>
      </c>
    </row>
    <row r="1560" ht="22.5" hidden="1" customHeight="1">
      <c r="A1560" s="9" t="s">
        <v>15635</v>
      </c>
      <c r="B1560" s="10" t="s">
        <v>15636</v>
      </c>
      <c r="C1560" s="10" t="s">
        <v>43</v>
      </c>
      <c r="D1560" s="10" t="s">
        <v>13175</v>
      </c>
      <c r="E1560" s="10" t="s">
        <v>66</v>
      </c>
      <c r="F1560" s="11">
        <v>1.0</v>
      </c>
      <c r="G1560" s="11">
        <v>79.2</v>
      </c>
      <c r="H1560" s="11"/>
      <c r="I1560" s="11">
        <v>-13.46</v>
      </c>
      <c r="J1560" s="11">
        <v>-20.45</v>
      </c>
      <c r="K1560" s="11"/>
      <c r="L1560" s="11">
        <v>45.29</v>
      </c>
      <c r="M1560" s="10" t="s">
        <v>12218</v>
      </c>
      <c r="N1560" s="10" t="s">
        <v>45</v>
      </c>
      <c r="O1560" s="10" t="s">
        <v>412</v>
      </c>
      <c r="P1560" s="10" t="s">
        <v>413</v>
      </c>
      <c r="Q1560" s="10" t="s">
        <v>414</v>
      </c>
      <c r="R1560" s="10" t="s">
        <v>415</v>
      </c>
      <c r="S1560" s="11">
        <v>79.2</v>
      </c>
      <c r="T1560" s="11">
        <v>10.05</v>
      </c>
      <c r="U1560" s="11" t="s">
        <v>51</v>
      </c>
      <c r="V1560" s="10" t="s">
        <v>52</v>
      </c>
      <c r="W1560" s="10" t="s">
        <v>15637</v>
      </c>
      <c r="X1560" s="10" t="s">
        <v>15638</v>
      </c>
      <c r="Y1560" s="10" t="s">
        <v>15639</v>
      </c>
      <c r="Z1560" s="10" t="s">
        <v>50</v>
      </c>
      <c r="AA1560" s="10" t="s">
        <v>50</v>
      </c>
      <c r="AB1560" s="10" t="s">
        <v>15637</v>
      </c>
      <c r="AC1560" s="10" t="s">
        <v>15640</v>
      </c>
      <c r="AD1560" s="10" t="s">
        <v>15641</v>
      </c>
      <c r="AE1560" s="10" t="s">
        <v>7258</v>
      </c>
      <c r="AF1560" s="10" t="s">
        <v>58</v>
      </c>
      <c r="AG1560" s="10" t="s">
        <v>15642</v>
      </c>
      <c r="AH1560" s="10" t="s">
        <v>60</v>
      </c>
      <c r="AI1560" s="10" t="s">
        <v>13406</v>
      </c>
      <c r="AJ1560" s="10" t="s">
        <v>13148</v>
      </c>
      <c r="AK1560" s="10" t="s">
        <v>15643</v>
      </c>
      <c r="AL1560" s="10" t="s">
        <v>64</v>
      </c>
      <c r="AM1560" s="10" t="s">
        <v>15644</v>
      </c>
      <c r="AN1560" s="10" t="s">
        <v>50</v>
      </c>
      <c r="AO1560" s="11" t="s">
        <v>50</v>
      </c>
      <c r="AP1560" s="10" t="s">
        <v>50</v>
      </c>
      <c r="AQ1560" s="10" t="s">
        <v>50</v>
      </c>
      <c r="AR1560" s="10" t="s">
        <v>50</v>
      </c>
      <c r="AS1560" s="10" t="s">
        <v>50</v>
      </c>
      <c r="AT1560" s="10" t="s">
        <v>50</v>
      </c>
      <c r="AU1560" s="10" t="s">
        <v>50</v>
      </c>
      <c r="AV1560" s="11"/>
      <c r="AW1560" s="10" t="s">
        <v>66</v>
      </c>
      <c r="AX1560" s="10"/>
      <c r="AY1560" s="10" t="s">
        <v>66</v>
      </c>
    </row>
    <row r="1561" ht="22.5" hidden="1" customHeight="1">
      <c r="A1561" s="9" t="s">
        <v>15645</v>
      </c>
      <c r="B1561" s="10" t="s">
        <v>15646</v>
      </c>
      <c r="C1561" s="10" t="s">
        <v>43</v>
      </c>
      <c r="D1561" s="10" t="s">
        <v>12217</v>
      </c>
      <c r="E1561" s="10" t="s">
        <v>66</v>
      </c>
      <c r="F1561" s="11">
        <v>1.0</v>
      </c>
      <c r="G1561" s="11">
        <v>88.4</v>
      </c>
      <c r="H1561" s="11">
        <v>10.08</v>
      </c>
      <c r="I1561" s="11">
        <v>-15.03</v>
      </c>
      <c r="J1561" s="11">
        <v>-30.03</v>
      </c>
      <c r="K1561" s="11"/>
      <c r="L1561" s="11">
        <v>53.42</v>
      </c>
      <c r="M1561" s="10" t="s">
        <v>12218</v>
      </c>
      <c r="N1561" s="10" t="s">
        <v>50</v>
      </c>
      <c r="O1561" s="10" t="s">
        <v>314</v>
      </c>
      <c r="P1561" s="10" t="s">
        <v>315</v>
      </c>
      <c r="Q1561" s="10" t="s">
        <v>316</v>
      </c>
      <c r="R1561" s="10" t="s">
        <v>74</v>
      </c>
      <c r="S1561" s="11">
        <v>88.4</v>
      </c>
      <c r="T1561" s="11">
        <v>6.66</v>
      </c>
      <c r="U1561" s="11" t="s">
        <v>51</v>
      </c>
      <c r="V1561" s="10" t="s">
        <v>52</v>
      </c>
      <c r="W1561" s="10" t="s">
        <v>15647</v>
      </c>
      <c r="X1561" s="10" t="s">
        <v>15648</v>
      </c>
      <c r="Y1561" s="10" t="s">
        <v>15649</v>
      </c>
      <c r="Z1561" s="10" t="s">
        <v>50</v>
      </c>
      <c r="AA1561" s="10" t="s">
        <v>50</v>
      </c>
      <c r="AB1561" s="10" t="s">
        <v>15647</v>
      </c>
      <c r="AC1561" s="10" t="s">
        <v>15650</v>
      </c>
      <c r="AD1561" s="10" t="s">
        <v>15651</v>
      </c>
      <c r="AE1561" s="10" t="s">
        <v>15652</v>
      </c>
      <c r="AF1561" s="10" t="s">
        <v>561</v>
      </c>
      <c r="AG1561" s="10" t="s">
        <v>15653</v>
      </c>
      <c r="AH1561" s="10" t="s">
        <v>60</v>
      </c>
      <c r="AI1561" s="10" t="s">
        <v>13406</v>
      </c>
      <c r="AJ1561" s="10" t="s">
        <v>13148</v>
      </c>
      <c r="AK1561" s="10" t="s">
        <v>15654</v>
      </c>
      <c r="AL1561" s="10" t="s">
        <v>64</v>
      </c>
      <c r="AM1561" s="10" t="s">
        <v>15655</v>
      </c>
      <c r="AN1561" s="10" t="s">
        <v>50</v>
      </c>
      <c r="AO1561" s="11" t="s">
        <v>50</v>
      </c>
      <c r="AP1561" s="10" t="s">
        <v>50</v>
      </c>
      <c r="AQ1561" s="10" t="s">
        <v>50</v>
      </c>
      <c r="AR1561" s="10" t="s">
        <v>50</v>
      </c>
      <c r="AS1561" s="10" t="s">
        <v>50</v>
      </c>
      <c r="AT1561" s="10" t="s">
        <v>50</v>
      </c>
      <c r="AU1561" s="10" t="s">
        <v>50</v>
      </c>
      <c r="AV1561" s="11"/>
      <c r="AW1561" s="10" t="s">
        <v>66</v>
      </c>
      <c r="AX1561" s="10"/>
      <c r="AY1561" s="10" t="s">
        <v>66</v>
      </c>
    </row>
    <row r="1562" ht="22.5" hidden="1" customHeight="1">
      <c r="A1562" s="9" t="s">
        <v>15656</v>
      </c>
      <c r="B1562" s="10" t="s">
        <v>15657</v>
      </c>
      <c r="C1562" s="10" t="s">
        <v>43</v>
      </c>
      <c r="D1562" s="10" t="s">
        <v>13175</v>
      </c>
      <c r="E1562" s="10" t="s">
        <v>45</v>
      </c>
      <c r="F1562" s="11">
        <v>1.0</v>
      </c>
      <c r="G1562" s="11">
        <v>79.0</v>
      </c>
      <c r="H1562" s="11"/>
      <c r="I1562" s="11">
        <v>-13.43</v>
      </c>
      <c r="J1562" s="11">
        <v>-19.95</v>
      </c>
      <c r="K1562" s="11"/>
      <c r="L1562" s="11">
        <v>45.62</v>
      </c>
      <c r="M1562" s="10" t="s">
        <v>12218</v>
      </c>
      <c r="N1562" s="10" t="s">
        <v>45</v>
      </c>
      <c r="O1562" s="10" t="s">
        <v>766</v>
      </c>
      <c r="P1562" s="10" t="s">
        <v>767</v>
      </c>
      <c r="Q1562" s="10" t="s">
        <v>768</v>
      </c>
      <c r="R1562" s="10" t="s">
        <v>74</v>
      </c>
      <c r="S1562" s="11">
        <v>79.0</v>
      </c>
      <c r="T1562" s="11">
        <v>13.62</v>
      </c>
      <c r="U1562" s="11" t="s">
        <v>51</v>
      </c>
      <c r="V1562" s="10" t="s">
        <v>52</v>
      </c>
      <c r="W1562" s="10" t="s">
        <v>15658</v>
      </c>
      <c r="X1562" s="10" t="s">
        <v>15659</v>
      </c>
      <c r="Y1562" s="10" t="s">
        <v>15660</v>
      </c>
      <c r="Z1562" s="10" t="s">
        <v>50</v>
      </c>
      <c r="AA1562" s="10" t="s">
        <v>50</v>
      </c>
      <c r="AB1562" s="10" t="s">
        <v>15658</v>
      </c>
      <c r="AC1562" s="10" t="s">
        <v>15661</v>
      </c>
      <c r="AD1562" s="10" t="s">
        <v>15662</v>
      </c>
      <c r="AE1562" s="10" t="s">
        <v>373</v>
      </c>
      <c r="AF1562" s="10" t="s">
        <v>58</v>
      </c>
      <c r="AG1562" s="10" t="s">
        <v>15663</v>
      </c>
      <c r="AH1562" s="10" t="s">
        <v>60</v>
      </c>
      <c r="AI1562" s="10" t="s">
        <v>13406</v>
      </c>
      <c r="AJ1562" s="10" t="s">
        <v>13148</v>
      </c>
      <c r="AK1562" s="10" t="s">
        <v>15664</v>
      </c>
      <c r="AL1562" s="10" t="s">
        <v>64</v>
      </c>
      <c r="AM1562" s="10" t="s">
        <v>15665</v>
      </c>
      <c r="AN1562" s="10" t="s">
        <v>50</v>
      </c>
      <c r="AO1562" s="11" t="s">
        <v>50</v>
      </c>
      <c r="AP1562" s="10" t="s">
        <v>50</v>
      </c>
      <c r="AQ1562" s="10" t="s">
        <v>50</v>
      </c>
      <c r="AR1562" s="10" t="s">
        <v>50</v>
      </c>
      <c r="AS1562" s="10" t="s">
        <v>50</v>
      </c>
      <c r="AT1562" s="10" t="s">
        <v>50</v>
      </c>
      <c r="AU1562" s="10" t="s">
        <v>50</v>
      </c>
      <c r="AV1562" s="11"/>
      <c r="AW1562" s="10" t="s">
        <v>66</v>
      </c>
      <c r="AX1562" s="10"/>
      <c r="AY1562" s="10" t="s">
        <v>66</v>
      </c>
    </row>
    <row r="1563" ht="22.5" hidden="1" customHeight="1">
      <c r="A1563" s="9" t="s">
        <v>15666</v>
      </c>
      <c r="B1563" s="10" t="s">
        <v>15667</v>
      </c>
      <c r="C1563" s="10" t="s">
        <v>43</v>
      </c>
      <c r="D1563" s="10" t="s">
        <v>11161</v>
      </c>
      <c r="E1563" s="10" t="s">
        <v>66</v>
      </c>
      <c r="F1563" s="11">
        <v>1.0</v>
      </c>
      <c r="G1563" s="11">
        <v>79.0</v>
      </c>
      <c r="H1563" s="11"/>
      <c r="I1563" s="11">
        <v>-13.43</v>
      </c>
      <c r="J1563" s="11">
        <v>-20.45</v>
      </c>
      <c r="K1563" s="11"/>
      <c r="L1563" s="11">
        <v>45.12</v>
      </c>
      <c r="M1563" s="10" t="s">
        <v>12218</v>
      </c>
      <c r="N1563" s="10" t="s">
        <v>45</v>
      </c>
      <c r="O1563" s="10" t="s">
        <v>160</v>
      </c>
      <c r="P1563" s="10" t="s">
        <v>161</v>
      </c>
      <c r="Q1563" s="10" t="s">
        <v>162</v>
      </c>
      <c r="R1563" s="10" t="s">
        <v>74</v>
      </c>
      <c r="S1563" s="11">
        <v>79.0</v>
      </c>
      <c r="T1563" s="11">
        <v>2.49</v>
      </c>
      <c r="U1563" s="11" t="s">
        <v>51</v>
      </c>
      <c r="V1563" s="10" t="s">
        <v>52</v>
      </c>
      <c r="W1563" s="10" t="s">
        <v>15668</v>
      </c>
      <c r="X1563" s="10" t="s">
        <v>15669</v>
      </c>
      <c r="Y1563" s="10" t="s">
        <v>15670</v>
      </c>
      <c r="Z1563" s="10" t="s">
        <v>50</v>
      </c>
      <c r="AA1563" s="10" t="s">
        <v>50</v>
      </c>
      <c r="AB1563" s="10" t="s">
        <v>15668</v>
      </c>
      <c r="AC1563" s="10" t="s">
        <v>15671</v>
      </c>
      <c r="AD1563" s="10" t="s">
        <v>15672</v>
      </c>
      <c r="AE1563" s="10" t="s">
        <v>6842</v>
      </c>
      <c r="AF1563" s="10" t="s">
        <v>58</v>
      </c>
      <c r="AG1563" s="10" t="s">
        <v>15673</v>
      </c>
      <c r="AH1563" s="10" t="s">
        <v>60</v>
      </c>
      <c r="AI1563" s="10" t="s">
        <v>13406</v>
      </c>
      <c r="AJ1563" s="10" t="s">
        <v>13302</v>
      </c>
      <c r="AK1563" s="10" t="s">
        <v>15674</v>
      </c>
      <c r="AL1563" s="10" t="s">
        <v>64</v>
      </c>
      <c r="AM1563" s="10" t="s">
        <v>15675</v>
      </c>
      <c r="AN1563" s="10" t="s">
        <v>15676</v>
      </c>
      <c r="AO1563" s="11" t="s">
        <v>50</v>
      </c>
      <c r="AP1563" s="10" t="s">
        <v>50</v>
      </c>
      <c r="AQ1563" s="10" t="s">
        <v>50</v>
      </c>
      <c r="AR1563" s="10" t="s">
        <v>50</v>
      </c>
      <c r="AS1563" s="10" t="s">
        <v>50</v>
      </c>
      <c r="AT1563" s="10" t="s">
        <v>50</v>
      </c>
      <c r="AU1563" s="10" t="s">
        <v>50</v>
      </c>
      <c r="AV1563" s="11"/>
      <c r="AW1563" s="10" t="s">
        <v>66</v>
      </c>
      <c r="AX1563" s="10"/>
      <c r="AY1563" s="10" t="s">
        <v>66</v>
      </c>
    </row>
    <row r="1564" ht="22.5" hidden="1" customHeight="1">
      <c r="A1564" s="9" t="s">
        <v>15677</v>
      </c>
      <c r="B1564" s="10" t="s">
        <v>15678</v>
      </c>
      <c r="C1564" s="10" t="s">
        <v>43</v>
      </c>
      <c r="D1564" s="10" t="s">
        <v>13175</v>
      </c>
      <c r="E1564" s="10" t="s">
        <v>66</v>
      </c>
      <c r="F1564" s="11">
        <v>1.0</v>
      </c>
      <c r="G1564" s="11">
        <v>79.2</v>
      </c>
      <c r="H1564" s="11"/>
      <c r="I1564" s="11">
        <v>-13.46</v>
      </c>
      <c r="J1564" s="11">
        <v>-20.45</v>
      </c>
      <c r="K1564" s="11"/>
      <c r="L1564" s="11">
        <v>45.29</v>
      </c>
      <c r="M1564" s="10" t="s">
        <v>12218</v>
      </c>
      <c r="N1564" s="10" t="s">
        <v>45</v>
      </c>
      <c r="O1564" s="10" t="s">
        <v>892</v>
      </c>
      <c r="P1564" s="10" t="s">
        <v>893</v>
      </c>
      <c r="Q1564" s="10" t="s">
        <v>894</v>
      </c>
      <c r="R1564" s="10" t="s">
        <v>74</v>
      </c>
      <c r="S1564" s="11">
        <v>79.2</v>
      </c>
      <c r="T1564" s="11">
        <v>2.97</v>
      </c>
      <c r="U1564" s="11" t="s">
        <v>51</v>
      </c>
      <c r="V1564" s="10" t="s">
        <v>52</v>
      </c>
      <c r="W1564" s="10" t="s">
        <v>15679</v>
      </c>
      <c r="X1564" s="10" t="s">
        <v>15680</v>
      </c>
      <c r="Y1564" s="10" t="s">
        <v>15681</v>
      </c>
      <c r="Z1564" s="10" t="s">
        <v>50</v>
      </c>
      <c r="AA1564" s="10" t="s">
        <v>50</v>
      </c>
      <c r="AB1564" s="10" t="s">
        <v>15679</v>
      </c>
      <c r="AC1564" s="10" t="s">
        <v>15682</v>
      </c>
      <c r="AD1564" s="10" t="s">
        <v>15683</v>
      </c>
      <c r="AE1564" s="10" t="s">
        <v>4203</v>
      </c>
      <c r="AF1564" s="10" t="s">
        <v>58</v>
      </c>
      <c r="AG1564" s="10" t="s">
        <v>15684</v>
      </c>
      <c r="AH1564" s="10" t="s">
        <v>60</v>
      </c>
      <c r="AI1564" s="10" t="s">
        <v>13406</v>
      </c>
      <c r="AJ1564" s="10" t="s">
        <v>13182</v>
      </c>
      <c r="AK1564" s="10" t="s">
        <v>15685</v>
      </c>
      <c r="AL1564" s="10" t="s">
        <v>64</v>
      </c>
      <c r="AM1564" s="10" t="s">
        <v>15686</v>
      </c>
      <c r="AN1564" s="10" t="s">
        <v>50</v>
      </c>
      <c r="AO1564" s="11" t="s">
        <v>50</v>
      </c>
      <c r="AP1564" s="10" t="s">
        <v>50</v>
      </c>
      <c r="AQ1564" s="10" t="s">
        <v>50</v>
      </c>
      <c r="AR1564" s="10" t="s">
        <v>50</v>
      </c>
      <c r="AS1564" s="10" t="s">
        <v>50</v>
      </c>
      <c r="AT1564" s="10" t="s">
        <v>50</v>
      </c>
      <c r="AU1564" s="10" t="s">
        <v>50</v>
      </c>
      <c r="AV1564" s="11"/>
      <c r="AW1564" s="10" t="s">
        <v>66</v>
      </c>
      <c r="AX1564" s="10"/>
      <c r="AY1564" s="10" t="s">
        <v>66</v>
      </c>
    </row>
    <row r="1565" ht="22.5" hidden="1" customHeight="1">
      <c r="A1565" s="9" t="s">
        <v>15687</v>
      </c>
      <c r="B1565" s="10" t="s">
        <v>15688</v>
      </c>
      <c r="C1565" s="10" t="s">
        <v>43</v>
      </c>
      <c r="D1565" s="10" t="s">
        <v>13120</v>
      </c>
      <c r="E1565" s="10" t="s">
        <v>66</v>
      </c>
      <c r="F1565" s="11">
        <v>1.0</v>
      </c>
      <c r="G1565" s="11">
        <v>81.25</v>
      </c>
      <c r="H1565" s="11"/>
      <c r="I1565" s="11">
        <v>-13.81</v>
      </c>
      <c r="J1565" s="11">
        <v>-19.95</v>
      </c>
      <c r="K1565" s="11"/>
      <c r="L1565" s="11">
        <v>47.49</v>
      </c>
      <c r="M1565" s="10" t="s">
        <v>12218</v>
      </c>
      <c r="N1565" s="10" t="s">
        <v>50</v>
      </c>
      <c r="O1565" s="10" t="s">
        <v>920</v>
      </c>
      <c r="P1565" s="10" t="s">
        <v>921</v>
      </c>
      <c r="Q1565" s="10" t="s">
        <v>922</v>
      </c>
      <c r="R1565" s="10" t="s">
        <v>74</v>
      </c>
      <c r="S1565" s="11">
        <v>81.25</v>
      </c>
      <c r="T1565" s="11">
        <v>26.22</v>
      </c>
      <c r="U1565" s="11" t="s">
        <v>51</v>
      </c>
      <c r="V1565" s="10" t="s">
        <v>52</v>
      </c>
      <c r="W1565" s="10" t="s">
        <v>15689</v>
      </c>
      <c r="X1565" s="10" t="s">
        <v>15690</v>
      </c>
      <c r="Y1565" s="10" t="s">
        <v>15691</v>
      </c>
      <c r="Z1565" s="10" t="s">
        <v>50</v>
      </c>
      <c r="AA1565" s="10" t="s">
        <v>50</v>
      </c>
      <c r="AB1565" s="10" t="s">
        <v>15689</v>
      </c>
      <c r="AC1565" s="10" t="s">
        <v>15692</v>
      </c>
      <c r="AD1565" s="10" t="s">
        <v>15693</v>
      </c>
      <c r="AE1565" s="10" t="s">
        <v>11613</v>
      </c>
      <c r="AF1565" s="10" t="s">
        <v>775</v>
      </c>
      <c r="AG1565" s="10" t="s">
        <v>11614</v>
      </c>
      <c r="AH1565" s="10" t="s">
        <v>60</v>
      </c>
      <c r="AI1565" s="10" t="s">
        <v>13406</v>
      </c>
      <c r="AJ1565" s="10" t="s">
        <v>15416</v>
      </c>
      <c r="AK1565" s="10" t="s">
        <v>15694</v>
      </c>
      <c r="AL1565" s="10" t="s">
        <v>64</v>
      </c>
      <c r="AM1565" s="10" t="s">
        <v>15695</v>
      </c>
      <c r="AN1565" s="10" t="s">
        <v>50</v>
      </c>
      <c r="AO1565" s="11" t="s">
        <v>50</v>
      </c>
      <c r="AP1565" s="10" t="s">
        <v>50</v>
      </c>
      <c r="AQ1565" s="10" t="s">
        <v>50</v>
      </c>
      <c r="AR1565" s="10" t="s">
        <v>50</v>
      </c>
      <c r="AS1565" s="10" t="s">
        <v>50</v>
      </c>
      <c r="AT1565" s="10" t="s">
        <v>50</v>
      </c>
      <c r="AU1565" s="10" t="s">
        <v>50</v>
      </c>
      <c r="AV1565" s="11"/>
      <c r="AW1565" s="10" t="s">
        <v>66</v>
      </c>
      <c r="AX1565" s="10"/>
      <c r="AY1565" s="10" t="s">
        <v>66</v>
      </c>
    </row>
    <row r="1566" ht="22.5" hidden="1" customHeight="1">
      <c r="A1566" s="9" t="s">
        <v>15696</v>
      </c>
      <c r="B1566" s="10" t="s">
        <v>15697</v>
      </c>
      <c r="C1566" s="10" t="s">
        <v>43</v>
      </c>
      <c r="D1566" s="10" t="s">
        <v>13175</v>
      </c>
      <c r="E1566" s="10" t="s">
        <v>66</v>
      </c>
      <c r="F1566" s="11">
        <v>1.0</v>
      </c>
      <c r="G1566" s="11">
        <v>79.2</v>
      </c>
      <c r="H1566" s="11"/>
      <c r="I1566" s="11">
        <v>-13.46</v>
      </c>
      <c r="J1566" s="11">
        <v>-20.45</v>
      </c>
      <c r="K1566" s="11"/>
      <c r="L1566" s="11">
        <v>45.29</v>
      </c>
      <c r="M1566" s="10" t="s">
        <v>12218</v>
      </c>
      <c r="N1566" s="10" t="s">
        <v>45</v>
      </c>
      <c r="O1566" s="10" t="s">
        <v>412</v>
      </c>
      <c r="P1566" s="10" t="s">
        <v>413</v>
      </c>
      <c r="Q1566" s="10" t="s">
        <v>414</v>
      </c>
      <c r="R1566" s="10" t="s">
        <v>415</v>
      </c>
      <c r="S1566" s="11">
        <v>79.2</v>
      </c>
      <c r="T1566" s="11">
        <v>10.05</v>
      </c>
      <c r="U1566" s="11" t="s">
        <v>51</v>
      </c>
      <c r="V1566" s="10" t="s">
        <v>52</v>
      </c>
      <c r="W1566" s="10" t="s">
        <v>15698</v>
      </c>
      <c r="X1566" s="10" t="s">
        <v>15699</v>
      </c>
      <c r="Y1566" s="10" t="s">
        <v>15700</v>
      </c>
      <c r="Z1566" s="10" t="s">
        <v>50</v>
      </c>
      <c r="AA1566" s="10" t="s">
        <v>50</v>
      </c>
      <c r="AB1566" s="10" t="s">
        <v>15698</v>
      </c>
      <c r="AC1566" s="10" t="s">
        <v>15701</v>
      </c>
      <c r="AD1566" s="10" t="s">
        <v>15702</v>
      </c>
      <c r="AE1566" s="10" t="s">
        <v>58</v>
      </c>
      <c r="AF1566" s="10" t="s">
        <v>58</v>
      </c>
      <c r="AG1566" s="10" t="s">
        <v>15703</v>
      </c>
      <c r="AH1566" s="10" t="s">
        <v>60</v>
      </c>
      <c r="AI1566" s="10" t="s">
        <v>13406</v>
      </c>
      <c r="AJ1566" s="10" t="s">
        <v>13148</v>
      </c>
      <c r="AK1566" s="10" t="s">
        <v>15704</v>
      </c>
      <c r="AL1566" s="10" t="s">
        <v>64</v>
      </c>
      <c r="AM1566" s="10" t="s">
        <v>15705</v>
      </c>
      <c r="AN1566" s="10" t="s">
        <v>50</v>
      </c>
      <c r="AO1566" s="11" t="s">
        <v>50</v>
      </c>
      <c r="AP1566" s="10" t="s">
        <v>50</v>
      </c>
      <c r="AQ1566" s="10" t="s">
        <v>50</v>
      </c>
      <c r="AR1566" s="10" t="s">
        <v>50</v>
      </c>
      <c r="AS1566" s="10" t="s">
        <v>50</v>
      </c>
      <c r="AT1566" s="10" t="s">
        <v>50</v>
      </c>
      <c r="AU1566" s="10" t="s">
        <v>50</v>
      </c>
      <c r="AV1566" s="11"/>
      <c r="AW1566" s="10" t="s">
        <v>66</v>
      </c>
      <c r="AX1566" s="10"/>
      <c r="AY1566" s="10" t="s">
        <v>66</v>
      </c>
    </row>
    <row r="1567" ht="22.5" hidden="1" customHeight="1">
      <c r="A1567" s="9" t="s">
        <v>15706</v>
      </c>
      <c r="B1567" s="10" t="s">
        <v>15697</v>
      </c>
      <c r="C1567" s="10" t="s">
        <v>43</v>
      </c>
      <c r="D1567" s="10" t="s">
        <v>13175</v>
      </c>
      <c r="E1567" s="10" t="s">
        <v>45</v>
      </c>
      <c r="F1567" s="11">
        <v>2.0</v>
      </c>
      <c r="G1567" s="11">
        <v>87.4</v>
      </c>
      <c r="H1567" s="11"/>
      <c r="I1567" s="11">
        <v>-26.86</v>
      </c>
      <c r="J1567" s="11"/>
      <c r="K1567" s="11"/>
      <c r="L1567" s="11">
        <v>65.78</v>
      </c>
      <c r="M1567" s="10" t="s">
        <v>12218</v>
      </c>
      <c r="N1567" s="10" t="s">
        <v>50</v>
      </c>
      <c r="O1567" s="10" t="s">
        <v>176</v>
      </c>
      <c r="P1567" s="10" t="s">
        <v>177</v>
      </c>
      <c r="Q1567" s="10" t="s">
        <v>178</v>
      </c>
      <c r="R1567" s="10" t="s">
        <v>74</v>
      </c>
      <c r="S1567" s="11">
        <v>43.7</v>
      </c>
      <c r="T1567" s="11">
        <f>2*22.58</f>
        <v>45.16</v>
      </c>
      <c r="U1567" s="11" t="s">
        <v>51</v>
      </c>
      <c r="V1567" s="10" t="s">
        <v>52</v>
      </c>
      <c r="W1567" s="10" t="s">
        <v>3543</v>
      </c>
      <c r="X1567" s="10" t="s">
        <v>3544</v>
      </c>
      <c r="Y1567" s="10" t="s">
        <v>3545</v>
      </c>
      <c r="Z1567" s="10" t="s">
        <v>50</v>
      </c>
      <c r="AA1567" s="10" t="s">
        <v>50</v>
      </c>
      <c r="AB1567" s="10" t="s">
        <v>3543</v>
      </c>
      <c r="AC1567" s="10" t="s">
        <v>3546</v>
      </c>
      <c r="AD1567" s="10" t="s">
        <v>3547</v>
      </c>
      <c r="AE1567" s="10" t="s">
        <v>1629</v>
      </c>
      <c r="AF1567" s="10" t="s">
        <v>58</v>
      </c>
      <c r="AG1567" s="10" t="s">
        <v>3548</v>
      </c>
      <c r="AH1567" s="10" t="s">
        <v>60</v>
      </c>
      <c r="AI1567" s="10" t="s">
        <v>13406</v>
      </c>
      <c r="AJ1567" s="10" t="s">
        <v>13148</v>
      </c>
      <c r="AK1567" s="10" t="s">
        <v>15707</v>
      </c>
      <c r="AL1567" s="10" t="s">
        <v>64</v>
      </c>
      <c r="AM1567" s="10" t="s">
        <v>15708</v>
      </c>
      <c r="AN1567" s="10" t="s">
        <v>50</v>
      </c>
      <c r="AO1567" s="11" t="s">
        <v>50</v>
      </c>
      <c r="AP1567" s="10" t="s">
        <v>50</v>
      </c>
      <c r="AQ1567" s="10" t="s">
        <v>50</v>
      </c>
      <c r="AR1567" s="10" t="s">
        <v>50</v>
      </c>
      <c r="AS1567" s="10" t="s">
        <v>50</v>
      </c>
      <c r="AT1567" s="10" t="s">
        <v>50</v>
      </c>
      <c r="AU1567" s="10" t="s">
        <v>50</v>
      </c>
      <c r="AV1567" s="11"/>
      <c r="AW1567" s="10" t="s">
        <v>66</v>
      </c>
      <c r="AX1567" s="10"/>
      <c r="AY1567" s="10" t="s">
        <v>66</v>
      </c>
    </row>
    <row r="1568" ht="22.5" hidden="1" customHeight="1">
      <c r="A1568" s="9" t="s">
        <v>15709</v>
      </c>
      <c r="B1568" s="10" t="s">
        <v>15710</v>
      </c>
      <c r="C1568" s="10" t="s">
        <v>43</v>
      </c>
      <c r="D1568" s="10" t="s">
        <v>14923</v>
      </c>
      <c r="E1568" s="10" t="s">
        <v>66</v>
      </c>
      <c r="F1568" s="11">
        <v>1.0</v>
      </c>
      <c r="G1568" s="11">
        <v>43.7</v>
      </c>
      <c r="H1568" s="11">
        <v>23.5</v>
      </c>
      <c r="I1568" s="11">
        <v>-13.43</v>
      </c>
      <c r="J1568" s="11">
        <v>-23.5</v>
      </c>
      <c r="K1568" s="11"/>
      <c r="L1568" s="11">
        <v>32.89</v>
      </c>
      <c r="M1568" s="10" t="s">
        <v>12218</v>
      </c>
      <c r="N1568" s="10" t="s">
        <v>50</v>
      </c>
      <c r="O1568" s="10" t="s">
        <v>176</v>
      </c>
      <c r="P1568" s="10" t="s">
        <v>177</v>
      </c>
      <c r="Q1568" s="10" t="s">
        <v>178</v>
      </c>
      <c r="R1568" s="10" t="s">
        <v>74</v>
      </c>
      <c r="S1568" s="11">
        <v>43.7</v>
      </c>
      <c r="T1568" s="11">
        <v>22.58</v>
      </c>
      <c r="U1568" s="11" t="s">
        <v>51</v>
      </c>
      <c r="V1568" s="10" t="s">
        <v>52</v>
      </c>
      <c r="W1568" s="10" t="s">
        <v>15711</v>
      </c>
      <c r="X1568" s="10" t="s">
        <v>15712</v>
      </c>
      <c r="Y1568" s="10" t="s">
        <v>15713</v>
      </c>
      <c r="Z1568" s="10" t="s">
        <v>50</v>
      </c>
      <c r="AA1568" s="10" t="s">
        <v>50</v>
      </c>
      <c r="AB1568" s="10" t="s">
        <v>15711</v>
      </c>
      <c r="AC1568" s="10" t="s">
        <v>15714</v>
      </c>
      <c r="AD1568" s="10" t="s">
        <v>15715</v>
      </c>
      <c r="AE1568" s="10" t="s">
        <v>15716</v>
      </c>
      <c r="AF1568" s="10" t="s">
        <v>323</v>
      </c>
      <c r="AG1568" s="10" t="s">
        <v>15717</v>
      </c>
      <c r="AH1568" s="10" t="s">
        <v>60</v>
      </c>
      <c r="AI1568" s="10" t="s">
        <v>13406</v>
      </c>
      <c r="AJ1568" s="10" t="s">
        <v>15718</v>
      </c>
      <c r="AK1568" s="10" t="s">
        <v>15719</v>
      </c>
      <c r="AL1568" s="10" t="s">
        <v>64</v>
      </c>
      <c r="AM1568" s="10" t="s">
        <v>15720</v>
      </c>
      <c r="AN1568" s="10" t="s">
        <v>50</v>
      </c>
      <c r="AO1568" s="11" t="s">
        <v>50</v>
      </c>
      <c r="AP1568" s="10" t="s">
        <v>50</v>
      </c>
      <c r="AQ1568" s="10" t="s">
        <v>50</v>
      </c>
      <c r="AR1568" s="10" t="s">
        <v>50</v>
      </c>
      <c r="AS1568" s="10" t="s">
        <v>50</v>
      </c>
      <c r="AT1568" s="10" t="s">
        <v>50</v>
      </c>
      <c r="AU1568" s="10" t="s">
        <v>50</v>
      </c>
      <c r="AV1568" s="11"/>
      <c r="AW1568" s="10" t="s">
        <v>66</v>
      </c>
      <c r="AX1568" s="10"/>
      <c r="AY1568" s="10" t="s">
        <v>66</v>
      </c>
    </row>
    <row r="1569" ht="22.5" hidden="1" customHeight="1">
      <c r="A1569" s="9" t="s">
        <v>15721</v>
      </c>
      <c r="B1569" s="10" t="s">
        <v>15722</v>
      </c>
      <c r="C1569" s="10" t="s">
        <v>43</v>
      </c>
      <c r="D1569" s="10" t="s">
        <v>14923</v>
      </c>
      <c r="E1569" s="10" t="s">
        <v>66</v>
      </c>
      <c r="F1569" s="11">
        <v>1.0</v>
      </c>
      <c r="G1569" s="11">
        <v>43.7</v>
      </c>
      <c r="H1569" s="11">
        <v>14.63</v>
      </c>
      <c r="I1569" s="11">
        <v>-13.43</v>
      </c>
      <c r="J1569" s="11">
        <v>-14.63</v>
      </c>
      <c r="K1569" s="11"/>
      <c r="L1569" s="11">
        <v>32.89</v>
      </c>
      <c r="M1569" s="10" t="s">
        <v>12218</v>
      </c>
      <c r="N1569" s="10" t="s">
        <v>45</v>
      </c>
      <c r="O1569" s="10" t="s">
        <v>176</v>
      </c>
      <c r="P1569" s="10" t="s">
        <v>177</v>
      </c>
      <c r="Q1569" s="10" t="s">
        <v>178</v>
      </c>
      <c r="R1569" s="10" t="s">
        <v>74</v>
      </c>
      <c r="S1569" s="11">
        <v>43.7</v>
      </c>
      <c r="T1569" s="11">
        <v>22.58</v>
      </c>
      <c r="U1569" s="11" t="s">
        <v>51</v>
      </c>
      <c r="V1569" s="10" t="s">
        <v>52</v>
      </c>
      <c r="W1569" s="10" t="s">
        <v>15723</v>
      </c>
      <c r="X1569" s="10" t="s">
        <v>15724</v>
      </c>
      <c r="Y1569" s="10" t="s">
        <v>5043</v>
      </c>
      <c r="Z1569" s="10" t="s">
        <v>50</v>
      </c>
      <c r="AA1569" s="10" t="s">
        <v>50</v>
      </c>
      <c r="AB1569" s="10" t="s">
        <v>15723</v>
      </c>
      <c r="AC1569" s="10" t="s">
        <v>15725</v>
      </c>
      <c r="AD1569" s="10" t="s">
        <v>15726</v>
      </c>
      <c r="AE1569" s="10" t="s">
        <v>373</v>
      </c>
      <c r="AF1569" s="10" t="s">
        <v>58</v>
      </c>
      <c r="AG1569" s="10" t="s">
        <v>5046</v>
      </c>
      <c r="AH1569" s="10" t="s">
        <v>60</v>
      </c>
      <c r="AI1569" s="10" t="s">
        <v>13406</v>
      </c>
      <c r="AJ1569" s="10" t="s">
        <v>14930</v>
      </c>
      <c r="AK1569" s="10" t="s">
        <v>15727</v>
      </c>
      <c r="AL1569" s="10" t="s">
        <v>64</v>
      </c>
      <c r="AM1569" s="10" t="s">
        <v>15728</v>
      </c>
      <c r="AN1569" s="10" t="s">
        <v>50</v>
      </c>
      <c r="AO1569" s="11" t="s">
        <v>50</v>
      </c>
      <c r="AP1569" s="10" t="s">
        <v>50</v>
      </c>
      <c r="AQ1569" s="10" t="s">
        <v>50</v>
      </c>
      <c r="AR1569" s="10" t="s">
        <v>50</v>
      </c>
      <c r="AS1569" s="10" t="s">
        <v>50</v>
      </c>
      <c r="AT1569" s="10" t="s">
        <v>50</v>
      </c>
      <c r="AU1569" s="10" t="s">
        <v>50</v>
      </c>
      <c r="AV1569" s="11"/>
      <c r="AW1569" s="10" t="s">
        <v>66</v>
      </c>
      <c r="AX1569" s="10"/>
      <c r="AY1569" s="10" t="s">
        <v>66</v>
      </c>
    </row>
    <row r="1570" ht="22.5" hidden="1" customHeight="1">
      <c r="A1570" s="9" t="s">
        <v>15729</v>
      </c>
      <c r="B1570" s="10" t="s">
        <v>15730</v>
      </c>
      <c r="C1570" s="10" t="s">
        <v>43</v>
      </c>
      <c r="D1570" s="10" t="s">
        <v>14923</v>
      </c>
      <c r="E1570" s="10" t="s">
        <v>66</v>
      </c>
      <c r="F1570" s="11">
        <v>1.0</v>
      </c>
      <c r="G1570" s="11">
        <v>120.0</v>
      </c>
      <c r="H1570" s="11"/>
      <c r="I1570" s="11">
        <v>-20.4</v>
      </c>
      <c r="J1570" s="11">
        <v>-19.95</v>
      </c>
      <c r="K1570" s="11"/>
      <c r="L1570" s="11">
        <v>86.85</v>
      </c>
      <c r="M1570" s="10" t="s">
        <v>12218</v>
      </c>
      <c r="N1570" s="10" t="s">
        <v>50</v>
      </c>
      <c r="O1570" s="10" t="s">
        <v>85</v>
      </c>
      <c r="P1570" s="10" t="s">
        <v>86</v>
      </c>
      <c r="Q1570" s="10" t="s">
        <v>87</v>
      </c>
      <c r="R1570" s="10" t="s">
        <v>74</v>
      </c>
      <c r="S1570" s="11">
        <v>120.0</v>
      </c>
      <c r="T1570" s="11">
        <v>65.78</v>
      </c>
      <c r="U1570" s="11" t="s">
        <v>51</v>
      </c>
      <c r="V1570" s="10" t="s">
        <v>52</v>
      </c>
      <c r="W1570" s="10" t="s">
        <v>15731</v>
      </c>
      <c r="X1570" s="10" t="s">
        <v>15732</v>
      </c>
      <c r="Y1570" s="10" t="s">
        <v>15733</v>
      </c>
      <c r="Z1570" s="10" t="s">
        <v>50</v>
      </c>
      <c r="AA1570" s="10" t="s">
        <v>50</v>
      </c>
      <c r="AB1570" s="10" t="s">
        <v>15731</v>
      </c>
      <c r="AC1570" s="10" t="s">
        <v>15734</v>
      </c>
      <c r="AD1570" s="10" t="s">
        <v>15735</v>
      </c>
      <c r="AE1570" s="10" t="s">
        <v>2443</v>
      </c>
      <c r="AF1570" s="10" t="s">
        <v>58</v>
      </c>
      <c r="AG1570" s="10" t="s">
        <v>15736</v>
      </c>
      <c r="AH1570" s="10" t="s">
        <v>60</v>
      </c>
      <c r="AI1570" s="10" t="s">
        <v>13406</v>
      </c>
      <c r="AJ1570" s="10" t="s">
        <v>15085</v>
      </c>
      <c r="AK1570" s="10" t="s">
        <v>15737</v>
      </c>
      <c r="AL1570" s="10" t="s">
        <v>64</v>
      </c>
      <c r="AM1570" s="10" t="s">
        <v>15738</v>
      </c>
      <c r="AN1570" s="10" t="s">
        <v>50</v>
      </c>
      <c r="AO1570" s="11" t="s">
        <v>50</v>
      </c>
      <c r="AP1570" s="10" t="s">
        <v>50</v>
      </c>
      <c r="AQ1570" s="10" t="s">
        <v>50</v>
      </c>
      <c r="AR1570" s="10" t="s">
        <v>50</v>
      </c>
      <c r="AS1570" s="10" t="s">
        <v>50</v>
      </c>
      <c r="AT1570" s="10" t="s">
        <v>50</v>
      </c>
      <c r="AU1570" s="10" t="s">
        <v>50</v>
      </c>
      <c r="AV1570" s="11"/>
      <c r="AW1570" s="10" t="s">
        <v>66</v>
      </c>
      <c r="AX1570" s="10"/>
      <c r="AY1570" s="10" t="s">
        <v>66</v>
      </c>
    </row>
    <row r="1571" ht="22.5" hidden="1" customHeight="1">
      <c r="A1571" s="9" t="s">
        <v>15739</v>
      </c>
      <c r="B1571" s="10" t="s">
        <v>15740</v>
      </c>
      <c r="C1571" s="10" t="s">
        <v>43</v>
      </c>
      <c r="D1571" s="10" t="s">
        <v>14923</v>
      </c>
      <c r="E1571" s="10" t="s">
        <v>45</v>
      </c>
      <c r="F1571" s="11">
        <v>1.0</v>
      </c>
      <c r="G1571" s="11">
        <v>80.3</v>
      </c>
      <c r="H1571" s="11"/>
      <c r="I1571" s="11">
        <v>-13.65</v>
      </c>
      <c r="J1571" s="11">
        <v>-20.45</v>
      </c>
      <c r="K1571" s="11"/>
      <c r="L1571" s="11">
        <v>46.2</v>
      </c>
      <c r="M1571" s="10" t="s">
        <v>12218</v>
      </c>
      <c r="N1571" s="10" t="s">
        <v>45</v>
      </c>
      <c r="O1571" s="10" t="s">
        <v>127</v>
      </c>
      <c r="P1571" s="10" t="s">
        <v>128</v>
      </c>
      <c r="Q1571" s="10" t="s">
        <v>129</v>
      </c>
      <c r="R1571" s="10" t="s">
        <v>74</v>
      </c>
      <c r="S1571" s="11">
        <v>80.3</v>
      </c>
      <c r="T1571" s="11">
        <v>17.68</v>
      </c>
      <c r="U1571" s="11" t="s">
        <v>51</v>
      </c>
      <c r="V1571" s="10" t="s">
        <v>52</v>
      </c>
      <c r="W1571" s="10" t="s">
        <v>15741</v>
      </c>
      <c r="X1571" s="10" t="s">
        <v>15742</v>
      </c>
      <c r="Y1571" s="10" t="s">
        <v>15743</v>
      </c>
      <c r="Z1571" s="10" t="s">
        <v>50</v>
      </c>
      <c r="AA1571" s="10" t="s">
        <v>50</v>
      </c>
      <c r="AB1571" s="10" t="s">
        <v>15741</v>
      </c>
      <c r="AC1571" s="10" t="s">
        <v>15744</v>
      </c>
      <c r="AD1571" s="10" t="s">
        <v>15745</v>
      </c>
      <c r="AE1571" s="10" t="s">
        <v>833</v>
      </c>
      <c r="AF1571" s="10" t="s">
        <v>58</v>
      </c>
      <c r="AG1571" s="10" t="s">
        <v>15746</v>
      </c>
      <c r="AH1571" s="10" t="s">
        <v>60</v>
      </c>
      <c r="AI1571" s="10" t="s">
        <v>13406</v>
      </c>
      <c r="AJ1571" s="10" t="s">
        <v>14930</v>
      </c>
      <c r="AK1571" s="10" t="s">
        <v>15747</v>
      </c>
      <c r="AL1571" s="10" t="s">
        <v>64</v>
      </c>
      <c r="AM1571" s="10" t="s">
        <v>15748</v>
      </c>
      <c r="AN1571" s="10" t="s">
        <v>50</v>
      </c>
      <c r="AO1571" s="11" t="s">
        <v>50</v>
      </c>
      <c r="AP1571" s="10" t="s">
        <v>50</v>
      </c>
      <c r="AQ1571" s="10" t="s">
        <v>50</v>
      </c>
      <c r="AR1571" s="10" t="s">
        <v>50</v>
      </c>
      <c r="AS1571" s="10" t="s">
        <v>50</v>
      </c>
      <c r="AT1571" s="10" t="s">
        <v>50</v>
      </c>
      <c r="AU1571" s="10" t="s">
        <v>50</v>
      </c>
      <c r="AV1571" s="11"/>
      <c r="AW1571" s="10" t="s">
        <v>66</v>
      </c>
      <c r="AX1571" s="10"/>
      <c r="AY1571" s="10" t="s">
        <v>66</v>
      </c>
    </row>
    <row r="1572" ht="22.5" hidden="1" customHeight="1">
      <c r="A1572" s="9" t="s">
        <v>15749</v>
      </c>
      <c r="B1572" s="10" t="s">
        <v>15750</v>
      </c>
      <c r="C1572" s="10" t="s">
        <v>43</v>
      </c>
      <c r="D1572" s="10" t="s">
        <v>13120</v>
      </c>
      <c r="E1572" s="10" t="s">
        <v>66</v>
      </c>
      <c r="F1572" s="11">
        <v>1.0</v>
      </c>
      <c r="G1572" s="11">
        <v>80.0</v>
      </c>
      <c r="H1572" s="11"/>
      <c r="I1572" s="11">
        <v>-13.6</v>
      </c>
      <c r="J1572" s="11">
        <v>-19.95</v>
      </c>
      <c r="K1572" s="11"/>
      <c r="L1572" s="11">
        <v>50.45</v>
      </c>
      <c r="M1572" s="10" t="s">
        <v>12218</v>
      </c>
      <c r="N1572" s="10" t="s">
        <v>50</v>
      </c>
      <c r="O1572" s="10" t="s">
        <v>143</v>
      </c>
      <c r="P1572" s="10" t="s">
        <v>144</v>
      </c>
      <c r="Q1572" s="10" t="s">
        <v>145</v>
      </c>
      <c r="R1572" s="10" t="s">
        <v>74</v>
      </c>
      <c r="S1572" s="11">
        <v>80.0</v>
      </c>
      <c r="T1572" s="11">
        <v>33.38</v>
      </c>
      <c r="U1572" s="11" t="s">
        <v>51</v>
      </c>
      <c r="V1572" s="10" t="s">
        <v>52</v>
      </c>
      <c r="W1572" s="10" t="s">
        <v>15751</v>
      </c>
      <c r="X1572" s="10" t="s">
        <v>15752</v>
      </c>
      <c r="Y1572" s="10" t="s">
        <v>15753</v>
      </c>
      <c r="Z1572" s="10" t="s">
        <v>50</v>
      </c>
      <c r="AA1572" s="10" t="s">
        <v>50</v>
      </c>
      <c r="AB1572" s="10" t="s">
        <v>15751</v>
      </c>
      <c r="AC1572" s="10" t="s">
        <v>15754</v>
      </c>
      <c r="AD1572" s="10" t="s">
        <v>15755</v>
      </c>
      <c r="AE1572" s="10" t="s">
        <v>774</v>
      </c>
      <c r="AF1572" s="10" t="s">
        <v>775</v>
      </c>
      <c r="AG1572" s="10" t="s">
        <v>15756</v>
      </c>
      <c r="AH1572" s="10" t="s">
        <v>60</v>
      </c>
      <c r="AI1572" s="10" t="s">
        <v>13406</v>
      </c>
      <c r="AJ1572" s="10" t="s">
        <v>15757</v>
      </c>
      <c r="AK1572" s="10" t="s">
        <v>15758</v>
      </c>
      <c r="AL1572" s="10" t="s">
        <v>64</v>
      </c>
      <c r="AM1572" s="10" t="s">
        <v>15759</v>
      </c>
      <c r="AN1572" s="10" t="s">
        <v>15760</v>
      </c>
      <c r="AO1572" s="11" t="s">
        <v>50</v>
      </c>
      <c r="AP1572" s="10" t="s">
        <v>50</v>
      </c>
      <c r="AQ1572" s="10" t="s">
        <v>50</v>
      </c>
      <c r="AR1572" s="10" t="s">
        <v>50</v>
      </c>
      <c r="AS1572" s="10" t="s">
        <v>50</v>
      </c>
      <c r="AT1572" s="10" t="s">
        <v>50</v>
      </c>
      <c r="AU1572" s="10" t="s">
        <v>50</v>
      </c>
      <c r="AV1572" s="11"/>
      <c r="AW1572" s="10" t="s">
        <v>66</v>
      </c>
      <c r="AX1572" s="10"/>
      <c r="AY1572" s="10" t="s">
        <v>66</v>
      </c>
    </row>
    <row r="1573" ht="22.5" hidden="1" customHeight="1">
      <c r="A1573" s="9" t="s">
        <v>15761</v>
      </c>
      <c r="B1573" s="10" t="s">
        <v>15762</v>
      </c>
      <c r="C1573" s="10" t="s">
        <v>43</v>
      </c>
      <c r="D1573" s="10" t="s">
        <v>13120</v>
      </c>
      <c r="E1573" s="10" t="s">
        <v>45</v>
      </c>
      <c r="F1573" s="11">
        <v>1.0</v>
      </c>
      <c r="G1573" s="11">
        <v>79.35</v>
      </c>
      <c r="H1573" s="11"/>
      <c r="I1573" s="11">
        <v>-15.08</v>
      </c>
      <c r="J1573" s="11">
        <v>-19.95</v>
      </c>
      <c r="K1573" s="11"/>
      <c r="L1573" s="11">
        <v>44.32</v>
      </c>
      <c r="M1573" s="10" t="s">
        <v>12218</v>
      </c>
      <c r="N1573" s="10" t="s">
        <v>45</v>
      </c>
      <c r="O1573" s="10" t="s">
        <v>47</v>
      </c>
      <c r="P1573" s="10" t="s">
        <v>48</v>
      </c>
      <c r="Q1573" s="10" t="s">
        <v>49</v>
      </c>
      <c r="R1573" s="10" t="s">
        <v>50</v>
      </c>
      <c r="S1573" s="11">
        <v>79.35</v>
      </c>
      <c r="T1573" s="11">
        <v>12.45</v>
      </c>
      <c r="U1573" s="11" t="s">
        <v>51</v>
      </c>
      <c r="V1573" s="10" t="s">
        <v>52</v>
      </c>
      <c r="W1573" s="10" t="s">
        <v>15763</v>
      </c>
      <c r="X1573" s="10" t="s">
        <v>15764</v>
      </c>
      <c r="Y1573" s="10" t="s">
        <v>15765</v>
      </c>
      <c r="Z1573" s="10" t="s">
        <v>50</v>
      </c>
      <c r="AA1573" s="10" t="s">
        <v>50</v>
      </c>
      <c r="AB1573" s="10" t="s">
        <v>15763</v>
      </c>
      <c r="AC1573" s="10" t="s">
        <v>15766</v>
      </c>
      <c r="AD1573" s="10" t="s">
        <v>15767</v>
      </c>
      <c r="AE1573" s="10" t="s">
        <v>6888</v>
      </c>
      <c r="AF1573" s="10" t="s">
        <v>185</v>
      </c>
      <c r="AG1573" s="10" t="s">
        <v>6889</v>
      </c>
      <c r="AH1573" s="10" t="s">
        <v>60</v>
      </c>
      <c r="AI1573" s="10" t="s">
        <v>13406</v>
      </c>
      <c r="AJ1573" s="10" t="s">
        <v>15085</v>
      </c>
      <c r="AK1573" s="10" t="s">
        <v>15768</v>
      </c>
      <c r="AL1573" s="10" t="s">
        <v>64</v>
      </c>
      <c r="AM1573" s="10" t="s">
        <v>15769</v>
      </c>
      <c r="AN1573" s="10" t="s">
        <v>50</v>
      </c>
      <c r="AO1573" s="11" t="s">
        <v>50</v>
      </c>
      <c r="AP1573" s="10" t="s">
        <v>50</v>
      </c>
      <c r="AQ1573" s="10" t="s">
        <v>50</v>
      </c>
      <c r="AR1573" s="10" t="s">
        <v>50</v>
      </c>
      <c r="AS1573" s="10" t="s">
        <v>50</v>
      </c>
      <c r="AT1573" s="10" t="s">
        <v>50</v>
      </c>
      <c r="AU1573" s="10" t="s">
        <v>50</v>
      </c>
      <c r="AV1573" s="11"/>
      <c r="AW1573" s="10" t="s">
        <v>66</v>
      </c>
      <c r="AX1573" s="10"/>
      <c r="AY1573" s="10" t="s">
        <v>66</v>
      </c>
    </row>
    <row r="1574" ht="22.5" hidden="1" customHeight="1">
      <c r="A1574" s="9" t="s">
        <v>15770</v>
      </c>
      <c r="B1574" s="10" t="s">
        <v>15771</v>
      </c>
      <c r="C1574" s="10" t="s">
        <v>43</v>
      </c>
      <c r="D1574" s="10" t="s">
        <v>14923</v>
      </c>
      <c r="E1574" s="10" t="s">
        <v>66</v>
      </c>
      <c r="F1574" s="11">
        <v>1.0</v>
      </c>
      <c r="G1574" s="11">
        <v>120.0</v>
      </c>
      <c r="H1574" s="11"/>
      <c r="I1574" s="11">
        <v>-20.4</v>
      </c>
      <c r="J1574" s="11">
        <v>-19.95</v>
      </c>
      <c r="K1574" s="11"/>
      <c r="L1574" s="11">
        <v>86.85</v>
      </c>
      <c r="M1574" s="10" t="s">
        <v>12218</v>
      </c>
      <c r="N1574" s="10" t="s">
        <v>50</v>
      </c>
      <c r="O1574" s="10" t="s">
        <v>85</v>
      </c>
      <c r="P1574" s="10" t="s">
        <v>86</v>
      </c>
      <c r="Q1574" s="10" t="s">
        <v>87</v>
      </c>
      <c r="R1574" s="10" t="s">
        <v>74</v>
      </c>
      <c r="S1574" s="11">
        <v>120.0</v>
      </c>
      <c r="T1574" s="11">
        <v>65.78</v>
      </c>
      <c r="U1574" s="11" t="s">
        <v>51</v>
      </c>
      <c r="V1574" s="10" t="s">
        <v>52</v>
      </c>
      <c r="W1574" s="10" t="s">
        <v>15772</v>
      </c>
      <c r="X1574" s="10" t="s">
        <v>15773</v>
      </c>
      <c r="Y1574" s="10" t="s">
        <v>15774</v>
      </c>
      <c r="Z1574" s="10" t="s">
        <v>50</v>
      </c>
      <c r="AA1574" s="10" t="s">
        <v>50</v>
      </c>
      <c r="AB1574" s="10" t="s">
        <v>15772</v>
      </c>
      <c r="AC1574" s="10" t="s">
        <v>15775</v>
      </c>
      <c r="AD1574" s="10" t="s">
        <v>15776</v>
      </c>
      <c r="AE1574" s="10" t="s">
        <v>15777</v>
      </c>
      <c r="AF1574" s="10" t="s">
        <v>323</v>
      </c>
      <c r="AG1574" s="10" t="s">
        <v>15778</v>
      </c>
      <c r="AH1574" s="10" t="s">
        <v>60</v>
      </c>
      <c r="AI1574" s="10" t="s">
        <v>13406</v>
      </c>
      <c r="AJ1574" s="10" t="s">
        <v>15779</v>
      </c>
      <c r="AK1574" s="10" t="s">
        <v>15780</v>
      </c>
      <c r="AL1574" s="10" t="s">
        <v>64</v>
      </c>
      <c r="AM1574" s="10" t="s">
        <v>15781</v>
      </c>
      <c r="AN1574" s="10" t="s">
        <v>50</v>
      </c>
      <c r="AO1574" s="11" t="s">
        <v>50</v>
      </c>
      <c r="AP1574" s="10" t="s">
        <v>50</v>
      </c>
      <c r="AQ1574" s="10" t="s">
        <v>50</v>
      </c>
      <c r="AR1574" s="10" t="s">
        <v>50</v>
      </c>
      <c r="AS1574" s="10" t="s">
        <v>50</v>
      </c>
      <c r="AT1574" s="10" t="s">
        <v>50</v>
      </c>
      <c r="AU1574" s="10" t="s">
        <v>50</v>
      </c>
      <c r="AV1574" s="11"/>
      <c r="AW1574" s="10" t="s">
        <v>66</v>
      </c>
      <c r="AX1574" s="10"/>
      <c r="AY1574" s="10" t="s">
        <v>66</v>
      </c>
    </row>
    <row r="1575" ht="22.5" hidden="1" customHeight="1">
      <c r="A1575" s="9" t="s">
        <v>15782</v>
      </c>
      <c r="B1575" s="10" t="s">
        <v>15783</v>
      </c>
      <c r="C1575" s="10" t="s">
        <v>43</v>
      </c>
      <c r="D1575" s="10" t="s">
        <v>13120</v>
      </c>
      <c r="E1575" s="10" t="s">
        <v>66</v>
      </c>
      <c r="F1575" s="11">
        <v>1.0</v>
      </c>
      <c r="G1575" s="11">
        <v>120.0</v>
      </c>
      <c r="H1575" s="11"/>
      <c r="I1575" s="11">
        <v>-20.4</v>
      </c>
      <c r="J1575" s="11">
        <v>-19.95</v>
      </c>
      <c r="K1575" s="11"/>
      <c r="L1575" s="11">
        <v>86.85</v>
      </c>
      <c r="M1575" s="10" t="s">
        <v>12218</v>
      </c>
      <c r="N1575" s="10" t="s">
        <v>50</v>
      </c>
      <c r="O1575" s="10" t="s">
        <v>85</v>
      </c>
      <c r="P1575" s="10" t="s">
        <v>86</v>
      </c>
      <c r="Q1575" s="10" t="s">
        <v>87</v>
      </c>
      <c r="R1575" s="10" t="s">
        <v>74</v>
      </c>
      <c r="S1575" s="11">
        <v>120.0</v>
      </c>
      <c r="T1575" s="11">
        <v>65.78</v>
      </c>
      <c r="U1575" s="11" t="s">
        <v>51</v>
      </c>
      <c r="V1575" s="10" t="s">
        <v>52</v>
      </c>
      <c r="W1575" s="10" t="s">
        <v>15784</v>
      </c>
      <c r="X1575" s="10" t="s">
        <v>15785</v>
      </c>
      <c r="Y1575" s="10" t="s">
        <v>15786</v>
      </c>
      <c r="Z1575" s="10" t="s">
        <v>50</v>
      </c>
      <c r="AA1575" s="10" t="s">
        <v>50</v>
      </c>
      <c r="AB1575" s="10" t="s">
        <v>15784</v>
      </c>
      <c r="AC1575" s="10" t="s">
        <v>15787</v>
      </c>
      <c r="AD1575" s="10" t="s">
        <v>15788</v>
      </c>
      <c r="AE1575" s="10" t="s">
        <v>9745</v>
      </c>
      <c r="AF1575" s="10" t="s">
        <v>323</v>
      </c>
      <c r="AG1575" s="10" t="s">
        <v>15789</v>
      </c>
      <c r="AH1575" s="10" t="s">
        <v>60</v>
      </c>
      <c r="AI1575" s="10" t="s">
        <v>13406</v>
      </c>
      <c r="AJ1575" s="10" t="s">
        <v>15152</v>
      </c>
      <c r="AK1575" s="10" t="s">
        <v>15790</v>
      </c>
      <c r="AL1575" s="10" t="s">
        <v>64</v>
      </c>
      <c r="AM1575" s="10" t="s">
        <v>15791</v>
      </c>
      <c r="AN1575" s="10" t="s">
        <v>15792</v>
      </c>
      <c r="AO1575" s="11" t="s">
        <v>50</v>
      </c>
      <c r="AP1575" s="10" t="s">
        <v>50</v>
      </c>
      <c r="AQ1575" s="10" t="s">
        <v>50</v>
      </c>
      <c r="AR1575" s="10" t="s">
        <v>50</v>
      </c>
      <c r="AS1575" s="10" t="s">
        <v>50</v>
      </c>
      <c r="AT1575" s="10" t="s">
        <v>50</v>
      </c>
      <c r="AU1575" s="10" t="s">
        <v>50</v>
      </c>
      <c r="AV1575" s="11"/>
      <c r="AW1575" s="10" t="s">
        <v>66</v>
      </c>
      <c r="AX1575" s="10"/>
      <c r="AY1575" s="10" t="s">
        <v>66</v>
      </c>
    </row>
    <row r="1576" ht="22.5" hidden="1" customHeight="1">
      <c r="A1576" s="9" t="s">
        <v>15793</v>
      </c>
      <c r="B1576" s="10" t="s">
        <v>15794</v>
      </c>
      <c r="C1576" s="10" t="s">
        <v>43</v>
      </c>
      <c r="D1576" s="10" t="s">
        <v>14923</v>
      </c>
      <c r="E1576" s="10" t="s">
        <v>66</v>
      </c>
      <c r="F1576" s="11">
        <v>1.0</v>
      </c>
      <c r="G1576" s="11">
        <v>80.0</v>
      </c>
      <c r="H1576" s="11"/>
      <c r="I1576" s="11">
        <v>-13.6</v>
      </c>
      <c r="J1576" s="11">
        <v>-19.95</v>
      </c>
      <c r="K1576" s="11"/>
      <c r="L1576" s="11">
        <v>50.45</v>
      </c>
      <c r="M1576" s="10" t="s">
        <v>12218</v>
      </c>
      <c r="N1576" s="10" t="s">
        <v>45</v>
      </c>
      <c r="O1576" s="10" t="s">
        <v>143</v>
      </c>
      <c r="P1576" s="10" t="s">
        <v>144</v>
      </c>
      <c r="Q1576" s="10" t="s">
        <v>145</v>
      </c>
      <c r="R1576" s="10" t="s">
        <v>74</v>
      </c>
      <c r="S1576" s="11">
        <v>80.0</v>
      </c>
      <c r="T1576" s="11">
        <v>33.38</v>
      </c>
      <c r="U1576" s="11" t="s">
        <v>51</v>
      </c>
      <c r="V1576" s="10" t="s">
        <v>52</v>
      </c>
      <c r="W1576" s="10" t="s">
        <v>15795</v>
      </c>
      <c r="X1576" s="10" t="s">
        <v>15796</v>
      </c>
      <c r="Y1576" s="10" t="s">
        <v>15797</v>
      </c>
      <c r="Z1576" s="10" t="s">
        <v>50</v>
      </c>
      <c r="AA1576" s="10" t="s">
        <v>50</v>
      </c>
      <c r="AB1576" s="10" t="s">
        <v>15795</v>
      </c>
      <c r="AC1576" s="10" t="s">
        <v>15798</v>
      </c>
      <c r="AD1576" s="10" t="s">
        <v>15799</v>
      </c>
      <c r="AE1576" s="10" t="s">
        <v>2732</v>
      </c>
      <c r="AF1576" s="10" t="s">
        <v>185</v>
      </c>
      <c r="AG1576" s="10" t="s">
        <v>15800</v>
      </c>
      <c r="AH1576" s="10" t="s">
        <v>60</v>
      </c>
      <c r="AI1576" s="10" t="s">
        <v>13406</v>
      </c>
      <c r="AJ1576" s="10" t="s">
        <v>15757</v>
      </c>
      <c r="AK1576" s="10" t="s">
        <v>15801</v>
      </c>
      <c r="AL1576" s="10" t="s">
        <v>64</v>
      </c>
      <c r="AM1576" s="10" t="s">
        <v>15802</v>
      </c>
      <c r="AN1576" s="10" t="s">
        <v>50</v>
      </c>
      <c r="AO1576" s="11" t="s">
        <v>50</v>
      </c>
      <c r="AP1576" s="10" t="s">
        <v>50</v>
      </c>
      <c r="AQ1576" s="10" t="s">
        <v>50</v>
      </c>
      <c r="AR1576" s="10" t="s">
        <v>50</v>
      </c>
      <c r="AS1576" s="10" t="s">
        <v>50</v>
      </c>
      <c r="AT1576" s="10" t="s">
        <v>50</v>
      </c>
      <c r="AU1576" s="10" t="s">
        <v>50</v>
      </c>
      <c r="AV1576" s="11"/>
      <c r="AW1576" s="10" t="s">
        <v>66</v>
      </c>
      <c r="AX1576" s="10"/>
      <c r="AY1576" s="10" t="s">
        <v>66</v>
      </c>
    </row>
    <row r="1577" ht="22.5" hidden="1" customHeight="1">
      <c r="A1577" s="9" t="s">
        <v>15803</v>
      </c>
      <c r="B1577" s="10" t="s">
        <v>15804</v>
      </c>
      <c r="C1577" s="10" t="s">
        <v>43</v>
      </c>
      <c r="D1577" s="10" t="s">
        <v>14923</v>
      </c>
      <c r="E1577" s="10" t="s">
        <v>66</v>
      </c>
      <c r="F1577" s="11">
        <v>1.0</v>
      </c>
      <c r="G1577" s="11">
        <v>80.6</v>
      </c>
      <c r="H1577" s="11"/>
      <c r="I1577" s="11">
        <v>-13.7</v>
      </c>
      <c r="J1577" s="11">
        <v>-20.45</v>
      </c>
      <c r="K1577" s="11"/>
      <c r="L1577" s="11">
        <v>46.45</v>
      </c>
      <c r="M1577" s="10" t="s">
        <v>12218</v>
      </c>
      <c r="N1577" s="10" t="s">
        <v>45</v>
      </c>
      <c r="O1577" s="10" t="s">
        <v>265</v>
      </c>
      <c r="P1577" s="10" t="s">
        <v>266</v>
      </c>
      <c r="Q1577" s="10" t="s">
        <v>267</v>
      </c>
      <c r="R1577" s="10" t="s">
        <v>74</v>
      </c>
      <c r="S1577" s="11">
        <v>80.6</v>
      </c>
      <c r="T1577" s="11">
        <v>26.22</v>
      </c>
      <c r="U1577" s="11" t="s">
        <v>51</v>
      </c>
      <c r="V1577" s="10" t="s">
        <v>52</v>
      </c>
      <c r="W1577" s="10" t="s">
        <v>15805</v>
      </c>
      <c r="X1577" s="10" t="s">
        <v>15806</v>
      </c>
      <c r="Y1577" s="10" t="s">
        <v>15807</v>
      </c>
      <c r="Z1577" s="10" t="s">
        <v>50</v>
      </c>
      <c r="AA1577" s="10" t="s">
        <v>50</v>
      </c>
      <c r="AB1577" s="10" t="s">
        <v>15805</v>
      </c>
      <c r="AC1577" s="10" t="s">
        <v>15808</v>
      </c>
      <c r="AD1577" s="10" t="s">
        <v>15809</v>
      </c>
      <c r="AE1577" s="10" t="s">
        <v>1495</v>
      </c>
      <c r="AF1577" s="10" t="s">
        <v>58</v>
      </c>
      <c r="AG1577" s="10" t="s">
        <v>15810</v>
      </c>
      <c r="AH1577" s="10" t="s">
        <v>60</v>
      </c>
      <c r="AI1577" s="10" t="s">
        <v>13406</v>
      </c>
      <c r="AJ1577" s="10" t="s">
        <v>14930</v>
      </c>
      <c r="AK1577" s="10" t="s">
        <v>15811</v>
      </c>
      <c r="AL1577" s="10" t="s">
        <v>64</v>
      </c>
      <c r="AM1577" s="10" t="s">
        <v>15812</v>
      </c>
      <c r="AN1577" s="10" t="s">
        <v>50</v>
      </c>
      <c r="AO1577" s="11" t="s">
        <v>50</v>
      </c>
      <c r="AP1577" s="10" t="s">
        <v>50</v>
      </c>
      <c r="AQ1577" s="10" t="s">
        <v>50</v>
      </c>
      <c r="AR1577" s="10" t="s">
        <v>50</v>
      </c>
      <c r="AS1577" s="10" t="s">
        <v>50</v>
      </c>
      <c r="AT1577" s="10" t="s">
        <v>50</v>
      </c>
      <c r="AU1577" s="10" t="s">
        <v>50</v>
      </c>
      <c r="AV1577" s="11"/>
      <c r="AW1577" s="10" t="s">
        <v>66</v>
      </c>
      <c r="AX1577" s="10"/>
      <c r="AY1577" s="10" t="s">
        <v>66</v>
      </c>
    </row>
    <row r="1578" ht="22.5" hidden="1" customHeight="1">
      <c r="A1578" s="9" t="s">
        <v>15813</v>
      </c>
      <c r="B1578" s="10" t="s">
        <v>15814</v>
      </c>
      <c r="C1578" s="10" t="s">
        <v>43</v>
      </c>
      <c r="D1578" s="10" t="s">
        <v>13108</v>
      </c>
      <c r="E1578" s="10" t="s">
        <v>66</v>
      </c>
      <c r="F1578" s="11">
        <v>1.0</v>
      </c>
      <c r="G1578" s="11">
        <v>43.7</v>
      </c>
      <c r="H1578" s="11">
        <v>28.7</v>
      </c>
      <c r="I1578" s="11">
        <v>-13.43</v>
      </c>
      <c r="J1578" s="11">
        <v>-28.7</v>
      </c>
      <c r="K1578" s="11"/>
      <c r="L1578" s="11">
        <v>32.89</v>
      </c>
      <c r="M1578" s="10" t="s">
        <v>12218</v>
      </c>
      <c r="N1578" s="10" t="s">
        <v>45</v>
      </c>
      <c r="O1578" s="10" t="s">
        <v>176</v>
      </c>
      <c r="P1578" s="10" t="s">
        <v>177</v>
      </c>
      <c r="Q1578" s="10" t="s">
        <v>178</v>
      </c>
      <c r="R1578" s="10" t="s">
        <v>74</v>
      </c>
      <c r="S1578" s="11">
        <v>43.7</v>
      </c>
      <c r="T1578" s="11">
        <v>22.58</v>
      </c>
      <c r="U1578" s="11" t="s">
        <v>51</v>
      </c>
      <c r="V1578" s="10" t="s">
        <v>52</v>
      </c>
      <c r="W1578" s="10" t="s">
        <v>15815</v>
      </c>
      <c r="X1578" s="10" t="s">
        <v>15816</v>
      </c>
      <c r="Y1578" s="10" t="s">
        <v>15817</v>
      </c>
      <c r="Z1578" s="10" t="s">
        <v>50</v>
      </c>
      <c r="AA1578" s="10" t="s">
        <v>50</v>
      </c>
      <c r="AB1578" s="10" t="s">
        <v>15815</v>
      </c>
      <c r="AC1578" s="10" t="s">
        <v>15818</v>
      </c>
      <c r="AD1578" s="10" t="s">
        <v>15819</v>
      </c>
      <c r="AE1578" s="10" t="s">
        <v>15820</v>
      </c>
      <c r="AF1578" s="10" t="s">
        <v>201</v>
      </c>
      <c r="AG1578" s="10" t="s">
        <v>15821</v>
      </c>
      <c r="AH1578" s="10" t="s">
        <v>60</v>
      </c>
      <c r="AI1578" s="10" t="s">
        <v>13406</v>
      </c>
      <c r="AJ1578" s="10" t="s">
        <v>15008</v>
      </c>
      <c r="AK1578" s="10" t="s">
        <v>15822</v>
      </c>
      <c r="AL1578" s="10" t="s">
        <v>64</v>
      </c>
      <c r="AM1578" s="10" t="s">
        <v>15823</v>
      </c>
      <c r="AN1578" s="10" t="s">
        <v>50</v>
      </c>
      <c r="AO1578" s="11" t="s">
        <v>50</v>
      </c>
      <c r="AP1578" s="10" t="s">
        <v>50</v>
      </c>
      <c r="AQ1578" s="10" t="s">
        <v>50</v>
      </c>
      <c r="AR1578" s="10" t="s">
        <v>50</v>
      </c>
      <c r="AS1578" s="10" t="s">
        <v>50</v>
      </c>
      <c r="AT1578" s="10" t="s">
        <v>50</v>
      </c>
      <c r="AU1578" s="10" t="s">
        <v>50</v>
      </c>
      <c r="AV1578" s="11"/>
      <c r="AW1578" s="10" t="s">
        <v>66</v>
      </c>
      <c r="AX1578" s="10"/>
      <c r="AY1578" s="10" t="s">
        <v>66</v>
      </c>
    </row>
    <row r="1579" ht="22.5" hidden="1" customHeight="1">
      <c r="A1579" s="9" t="s">
        <v>15824</v>
      </c>
      <c r="B1579" s="10" t="s">
        <v>15825</v>
      </c>
      <c r="C1579" s="10" t="s">
        <v>43</v>
      </c>
      <c r="D1579" s="10" t="s">
        <v>13049</v>
      </c>
      <c r="E1579" s="10" t="s">
        <v>66</v>
      </c>
      <c r="F1579" s="11">
        <v>1.0</v>
      </c>
      <c r="G1579" s="11">
        <v>120.0</v>
      </c>
      <c r="H1579" s="11"/>
      <c r="I1579" s="11">
        <v>-20.4</v>
      </c>
      <c r="J1579" s="11">
        <v>-19.95</v>
      </c>
      <c r="K1579" s="11"/>
      <c r="L1579" s="11">
        <v>86.85</v>
      </c>
      <c r="M1579" s="10" t="s">
        <v>12218</v>
      </c>
      <c r="N1579" s="10" t="s">
        <v>45</v>
      </c>
      <c r="O1579" s="10" t="s">
        <v>85</v>
      </c>
      <c r="P1579" s="10" t="s">
        <v>86</v>
      </c>
      <c r="Q1579" s="10" t="s">
        <v>87</v>
      </c>
      <c r="R1579" s="10" t="s">
        <v>74</v>
      </c>
      <c r="S1579" s="11">
        <v>120.0</v>
      </c>
      <c r="T1579" s="11">
        <v>65.78</v>
      </c>
      <c r="U1579" s="11" t="s">
        <v>51</v>
      </c>
      <c r="V1579" s="10" t="s">
        <v>52</v>
      </c>
      <c r="W1579" s="10" t="s">
        <v>15826</v>
      </c>
      <c r="X1579" s="10" t="s">
        <v>15827</v>
      </c>
      <c r="Y1579" s="10" t="s">
        <v>15828</v>
      </c>
      <c r="Z1579" s="10" t="s">
        <v>50</v>
      </c>
      <c r="AA1579" s="10" t="s">
        <v>50</v>
      </c>
      <c r="AB1579" s="10" t="s">
        <v>15826</v>
      </c>
      <c r="AC1579" s="10" t="s">
        <v>15829</v>
      </c>
      <c r="AD1579" s="10" t="s">
        <v>15830</v>
      </c>
      <c r="AE1579" s="10" t="s">
        <v>15831</v>
      </c>
      <c r="AF1579" s="10" t="s">
        <v>284</v>
      </c>
      <c r="AG1579" s="10" t="s">
        <v>15832</v>
      </c>
      <c r="AH1579" s="10" t="s">
        <v>60</v>
      </c>
      <c r="AI1579" s="10" t="s">
        <v>13406</v>
      </c>
      <c r="AJ1579" s="10" t="s">
        <v>15216</v>
      </c>
      <c r="AK1579" s="10" t="s">
        <v>15833</v>
      </c>
      <c r="AL1579" s="10" t="s">
        <v>64</v>
      </c>
      <c r="AM1579" s="10" t="s">
        <v>15834</v>
      </c>
      <c r="AN1579" s="10" t="s">
        <v>50</v>
      </c>
      <c r="AO1579" s="11" t="s">
        <v>50</v>
      </c>
      <c r="AP1579" s="10" t="s">
        <v>50</v>
      </c>
      <c r="AQ1579" s="10" t="s">
        <v>50</v>
      </c>
      <c r="AR1579" s="10" t="s">
        <v>50</v>
      </c>
      <c r="AS1579" s="10" t="s">
        <v>50</v>
      </c>
      <c r="AT1579" s="10" t="s">
        <v>50</v>
      </c>
      <c r="AU1579" s="10" t="s">
        <v>50</v>
      </c>
      <c r="AV1579" s="11"/>
      <c r="AW1579" s="10" t="s">
        <v>66</v>
      </c>
      <c r="AX1579" s="10"/>
      <c r="AY1579" s="10" t="s">
        <v>66</v>
      </c>
    </row>
    <row r="1580" ht="22.5" hidden="1" customHeight="1">
      <c r="A1580" s="9" t="s">
        <v>15835</v>
      </c>
      <c r="B1580" s="10" t="s">
        <v>15836</v>
      </c>
      <c r="C1580" s="10" t="s">
        <v>43</v>
      </c>
      <c r="D1580" s="10" t="s">
        <v>13108</v>
      </c>
      <c r="E1580" s="10" t="s">
        <v>66</v>
      </c>
      <c r="F1580" s="11">
        <v>1.0</v>
      </c>
      <c r="G1580" s="11">
        <v>120.0</v>
      </c>
      <c r="H1580" s="11"/>
      <c r="I1580" s="11">
        <v>-20.4</v>
      </c>
      <c r="J1580" s="11">
        <v>-19.95</v>
      </c>
      <c r="K1580" s="11"/>
      <c r="L1580" s="11">
        <v>86.85</v>
      </c>
      <c r="M1580" s="10" t="s">
        <v>12218</v>
      </c>
      <c r="N1580" s="10" t="s">
        <v>45</v>
      </c>
      <c r="O1580" s="10" t="s">
        <v>85</v>
      </c>
      <c r="P1580" s="10" t="s">
        <v>86</v>
      </c>
      <c r="Q1580" s="10" t="s">
        <v>87</v>
      </c>
      <c r="R1580" s="10" t="s">
        <v>74</v>
      </c>
      <c r="S1580" s="11">
        <v>120.0</v>
      </c>
      <c r="T1580" s="11">
        <v>65.78</v>
      </c>
      <c r="U1580" s="11" t="s">
        <v>51</v>
      </c>
      <c r="V1580" s="10" t="s">
        <v>52</v>
      </c>
      <c r="W1580" s="10" t="s">
        <v>15837</v>
      </c>
      <c r="X1580" s="10" t="s">
        <v>15838</v>
      </c>
      <c r="Y1580" s="10" t="s">
        <v>15839</v>
      </c>
      <c r="Z1580" s="10" t="s">
        <v>50</v>
      </c>
      <c r="AA1580" s="10" t="s">
        <v>50</v>
      </c>
      <c r="AB1580" s="10" t="s">
        <v>15837</v>
      </c>
      <c r="AC1580" s="10" t="s">
        <v>15840</v>
      </c>
      <c r="AD1580" s="10" t="s">
        <v>15841</v>
      </c>
      <c r="AE1580" s="10" t="s">
        <v>4665</v>
      </c>
      <c r="AF1580" s="10" t="s">
        <v>214</v>
      </c>
      <c r="AG1580" s="10" t="s">
        <v>15842</v>
      </c>
      <c r="AH1580" s="10" t="s">
        <v>60</v>
      </c>
      <c r="AI1580" s="10" t="s">
        <v>13406</v>
      </c>
      <c r="AJ1580" s="10" t="s">
        <v>15216</v>
      </c>
      <c r="AK1580" s="10" t="s">
        <v>15843</v>
      </c>
      <c r="AL1580" s="10" t="s">
        <v>64</v>
      </c>
      <c r="AM1580" s="10" t="s">
        <v>15844</v>
      </c>
      <c r="AN1580" s="10" t="s">
        <v>50</v>
      </c>
      <c r="AO1580" s="11" t="s">
        <v>50</v>
      </c>
      <c r="AP1580" s="10" t="s">
        <v>50</v>
      </c>
      <c r="AQ1580" s="10" t="s">
        <v>50</v>
      </c>
      <c r="AR1580" s="10" t="s">
        <v>50</v>
      </c>
      <c r="AS1580" s="10" t="s">
        <v>50</v>
      </c>
      <c r="AT1580" s="10" t="s">
        <v>50</v>
      </c>
      <c r="AU1580" s="10" t="s">
        <v>50</v>
      </c>
      <c r="AV1580" s="11"/>
      <c r="AW1580" s="10" t="s">
        <v>66</v>
      </c>
      <c r="AX1580" s="10"/>
      <c r="AY1580" s="10" t="s">
        <v>66</v>
      </c>
    </row>
    <row r="1581" ht="22.5" hidden="1" customHeight="1">
      <c r="A1581" s="9" t="s">
        <v>15845</v>
      </c>
      <c r="B1581" s="10" t="s">
        <v>15846</v>
      </c>
      <c r="C1581" s="10" t="s">
        <v>43</v>
      </c>
      <c r="D1581" s="10" t="s">
        <v>13049</v>
      </c>
      <c r="E1581" s="10" t="s">
        <v>45</v>
      </c>
      <c r="F1581" s="11">
        <v>1.0</v>
      </c>
      <c r="G1581" s="11">
        <v>80.3</v>
      </c>
      <c r="H1581" s="11"/>
      <c r="I1581" s="11">
        <v>-13.65</v>
      </c>
      <c r="J1581" s="11">
        <v>-20.45</v>
      </c>
      <c r="K1581" s="11"/>
      <c r="L1581" s="11">
        <v>46.2</v>
      </c>
      <c r="M1581" s="10" t="s">
        <v>12218</v>
      </c>
      <c r="N1581" s="10" t="s">
        <v>50</v>
      </c>
      <c r="O1581" s="10" t="s">
        <v>127</v>
      </c>
      <c r="P1581" s="10" t="s">
        <v>128</v>
      </c>
      <c r="Q1581" s="10" t="s">
        <v>129</v>
      </c>
      <c r="R1581" s="10" t="s">
        <v>74</v>
      </c>
      <c r="S1581" s="11">
        <v>80.3</v>
      </c>
      <c r="T1581" s="11">
        <v>17.68</v>
      </c>
      <c r="U1581" s="11" t="s">
        <v>51</v>
      </c>
      <c r="V1581" s="10" t="s">
        <v>52</v>
      </c>
      <c r="W1581" s="10" t="s">
        <v>15847</v>
      </c>
      <c r="X1581" s="10" t="s">
        <v>15848</v>
      </c>
      <c r="Y1581" s="10" t="s">
        <v>15849</v>
      </c>
      <c r="Z1581" s="10" t="s">
        <v>50</v>
      </c>
      <c r="AA1581" s="10" t="s">
        <v>50</v>
      </c>
      <c r="AB1581" s="10" t="s">
        <v>15847</v>
      </c>
      <c r="AC1581" s="10" t="s">
        <v>15850</v>
      </c>
      <c r="AD1581" s="10" t="s">
        <v>15851</v>
      </c>
      <c r="AE1581" s="10" t="s">
        <v>1752</v>
      </c>
      <c r="AF1581" s="10" t="s">
        <v>284</v>
      </c>
      <c r="AG1581" s="10" t="s">
        <v>15852</v>
      </c>
      <c r="AH1581" s="10" t="s">
        <v>60</v>
      </c>
      <c r="AI1581" s="10" t="s">
        <v>13406</v>
      </c>
      <c r="AJ1581" s="10" t="s">
        <v>15216</v>
      </c>
      <c r="AK1581" s="10" t="s">
        <v>15853</v>
      </c>
      <c r="AL1581" s="10" t="s">
        <v>64</v>
      </c>
      <c r="AM1581" s="10" t="s">
        <v>15854</v>
      </c>
      <c r="AN1581" s="10" t="s">
        <v>50</v>
      </c>
      <c r="AO1581" s="11" t="s">
        <v>50</v>
      </c>
      <c r="AP1581" s="10" t="s">
        <v>50</v>
      </c>
      <c r="AQ1581" s="10" t="s">
        <v>50</v>
      </c>
      <c r="AR1581" s="10" t="s">
        <v>50</v>
      </c>
      <c r="AS1581" s="10" t="s">
        <v>50</v>
      </c>
      <c r="AT1581" s="10" t="s">
        <v>50</v>
      </c>
      <c r="AU1581" s="10" t="s">
        <v>50</v>
      </c>
      <c r="AV1581" s="11"/>
      <c r="AW1581" s="10" t="s">
        <v>66</v>
      </c>
      <c r="AX1581" s="10"/>
      <c r="AY1581" s="10" t="s">
        <v>66</v>
      </c>
    </row>
    <row r="1582" ht="22.5" hidden="1" customHeight="1">
      <c r="A1582" s="9" t="s">
        <v>15855</v>
      </c>
      <c r="B1582" s="10" t="s">
        <v>15856</v>
      </c>
      <c r="C1582" s="10" t="s">
        <v>43</v>
      </c>
      <c r="D1582" s="10" t="s">
        <v>13108</v>
      </c>
      <c r="E1582" s="10" t="s">
        <v>66</v>
      </c>
      <c r="F1582" s="11">
        <v>1.0</v>
      </c>
      <c r="G1582" s="11">
        <v>79.0</v>
      </c>
      <c r="H1582" s="11">
        <v>19.73</v>
      </c>
      <c r="I1582" s="11">
        <v>-13.43</v>
      </c>
      <c r="J1582" s="11">
        <v>-40.18</v>
      </c>
      <c r="K1582" s="11"/>
      <c r="L1582" s="11">
        <v>45.12</v>
      </c>
      <c r="M1582" s="10" t="s">
        <v>12218</v>
      </c>
      <c r="N1582" s="10" t="s">
        <v>50</v>
      </c>
      <c r="O1582" s="10" t="s">
        <v>461</v>
      </c>
      <c r="P1582" s="10" t="s">
        <v>462</v>
      </c>
      <c r="Q1582" s="10" t="s">
        <v>463</v>
      </c>
      <c r="R1582" s="10" t="s">
        <v>74</v>
      </c>
      <c r="S1582" s="11">
        <v>79.0</v>
      </c>
      <c r="T1582" s="11">
        <v>10.09</v>
      </c>
      <c r="U1582" s="11" t="s">
        <v>51</v>
      </c>
      <c r="V1582" s="10" t="s">
        <v>52</v>
      </c>
      <c r="W1582" s="10" t="s">
        <v>15857</v>
      </c>
      <c r="X1582" s="10" t="s">
        <v>15858</v>
      </c>
      <c r="Y1582" s="10" t="s">
        <v>15859</v>
      </c>
      <c r="Z1582" s="10" t="s">
        <v>50</v>
      </c>
      <c r="AA1582" s="10" t="s">
        <v>50</v>
      </c>
      <c r="AB1582" s="10" t="s">
        <v>15857</v>
      </c>
      <c r="AC1582" s="10" t="s">
        <v>15860</v>
      </c>
      <c r="AD1582" s="10" t="s">
        <v>15861</v>
      </c>
      <c r="AE1582" s="10" t="s">
        <v>15862</v>
      </c>
      <c r="AF1582" s="10" t="s">
        <v>561</v>
      </c>
      <c r="AG1582" s="10" t="s">
        <v>15863</v>
      </c>
      <c r="AH1582" s="10" t="s">
        <v>60</v>
      </c>
      <c r="AI1582" s="10" t="s">
        <v>13406</v>
      </c>
      <c r="AJ1582" s="10" t="s">
        <v>15085</v>
      </c>
      <c r="AK1582" s="10" t="s">
        <v>15864</v>
      </c>
      <c r="AL1582" s="10" t="s">
        <v>64</v>
      </c>
      <c r="AM1582" s="10" t="s">
        <v>15865</v>
      </c>
      <c r="AN1582" s="10" t="s">
        <v>50</v>
      </c>
      <c r="AO1582" s="11" t="s">
        <v>50</v>
      </c>
      <c r="AP1582" s="10" t="s">
        <v>50</v>
      </c>
      <c r="AQ1582" s="10" t="s">
        <v>50</v>
      </c>
      <c r="AR1582" s="10" t="s">
        <v>50</v>
      </c>
      <c r="AS1582" s="10" t="s">
        <v>50</v>
      </c>
      <c r="AT1582" s="10" t="s">
        <v>50</v>
      </c>
      <c r="AU1582" s="10" t="s">
        <v>50</v>
      </c>
      <c r="AV1582" s="11"/>
      <c r="AW1582" s="10" t="s">
        <v>66</v>
      </c>
      <c r="AX1582" s="10"/>
      <c r="AY1582" s="10" t="s">
        <v>66</v>
      </c>
    </row>
    <row r="1583" ht="22.5" hidden="1" customHeight="1">
      <c r="A1583" s="9" t="s">
        <v>15866</v>
      </c>
      <c r="B1583" s="10" t="s">
        <v>15867</v>
      </c>
      <c r="C1583" s="10" t="s">
        <v>43</v>
      </c>
      <c r="D1583" s="10" t="s">
        <v>14923</v>
      </c>
      <c r="E1583" s="10" t="s">
        <v>45</v>
      </c>
      <c r="F1583" s="11">
        <v>1.0</v>
      </c>
      <c r="G1583" s="11">
        <v>80.0</v>
      </c>
      <c r="H1583" s="11"/>
      <c r="I1583" s="11">
        <v>-13.6</v>
      </c>
      <c r="J1583" s="11">
        <v>-19.95</v>
      </c>
      <c r="K1583" s="11"/>
      <c r="L1583" s="11">
        <v>50.45</v>
      </c>
      <c r="M1583" s="10" t="s">
        <v>12218</v>
      </c>
      <c r="N1583" s="10" t="s">
        <v>45</v>
      </c>
      <c r="O1583" s="10" t="s">
        <v>143</v>
      </c>
      <c r="P1583" s="10" t="s">
        <v>144</v>
      </c>
      <c r="Q1583" s="10" t="s">
        <v>145</v>
      </c>
      <c r="R1583" s="10" t="s">
        <v>74</v>
      </c>
      <c r="S1583" s="11">
        <v>80.0</v>
      </c>
      <c r="T1583" s="11">
        <v>33.38</v>
      </c>
      <c r="U1583" s="11" t="s">
        <v>51</v>
      </c>
      <c r="V1583" s="10" t="s">
        <v>52</v>
      </c>
      <c r="W1583" s="10" t="s">
        <v>15868</v>
      </c>
      <c r="X1583" s="10" t="s">
        <v>15869</v>
      </c>
      <c r="Y1583" s="10" t="s">
        <v>15870</v>
      </c>
      <c r="Z1583" s="10" t="s">
        <v>50</v>
      </c>
      <c r="AA1583" s="10" t="s">
        <v>50</v>
      </c>
      <c r="AB1583" s="10" t="s">
        <v>15868</v>
      </c>
      <c r="AC1583" s="10" t="s">
        <v>15871</v>
      </c>
      <c r="AD1583" s="10" t="s">
        <v>15872</v>
      </c>
      <c r="AE1583" s="10" t="s">
        <v>322</v>
      </c>
      <c r="AF1583" s="10" t="s">
        <v>323</v>
      </c>
      <c r="AG1583" s="10" t="s">
        <v>15873</v>
      </c>
      <c r="AH1583" s="10" t="s">
        <v>60</v>
      </c>
      <c r="AI1583" s="10" t="s">
        <v>13406</v>
      </c>
      <c r="AJ1583" s="10" t="s">
        <v>15874</v>
      </c>
      <c r="AK1583" s="10" t="s">
        <v>15875</v>
      </c>
      <c r="AL1583" s="10" t="s">
        <v>64</v>
      </c>
      <c r="AM1583" s="10" t="s">
        <v>15876</v>
      </c>
      <c r="AN1583" s="10" t="s">
        <v>50</v>
      </c>
      <c r="AO1583" s="11" t="s">
        <v>50</v>
      </c>
      <c r="AP1583" s="10" t="s">
        <v>50</v>
      </c>
      <c r="AQ1583" s="10" t="s">
        <v>50</v>
      </c>
      <c r="AR1583" s="10" t="s">
        <v>50</v>
      </c>
      <c r="AS1583" s="10" t="s">
        <v>50</v>
      </c>
      <c r="AT1583" s="10" t="s">
        <v>50</v>
      </c>
      <c r="AU1583" s="10" t="s">
        <v>50</v>
      </c>
      <c r="AV1583" s="11"/>
      <c r="AW1583" s="10" t="s">
        <v>66</v>
      </c>
      <c r="AX1583" s="10"/>
      <c r="AY1583" s="10" t="s">
        <v>66</v>
      </c>
    </row>
    <row r="1584" ht="22.5" hidden="1" customHeight="1">
      <c r="A1584" s="9" t="s">
        <v>15877</v>
      </c>
      <c r="B1584" s="10" t="s">
        <v>15878</v>
      </c>
      <c r="C1584" s="10" t="s">
        <v>43</v>
      </c>
      <c r="D1584" s="10" t="s">
        <v>14923</v>
      </c>
      <c r="E1584" s="10" t="s">
        <v>45</v>
      </c>
      <c r="F1584" s="11">
        <v>2.0</v>
      </c>
      <c r="G1584" s="11">
        <v>87.4</v>
      </c>
      <c r="H1584" s="11"/>
      <c r="I1584" s="11">
        <v>-26.86</v>
      </c>
      <c r="J1584" s="11"/>
      <c r="K1584" s="11"/>
      <c r="L1584" s="11">
        <v>65.78</v>
      </c>
      <c r="M1584" s="10" t="s">
        <v>12218</v>
      </c>
      <c r="N1584" s="10" t="s">
        <v>50</v>
      </c>
      <c r="O1584" s="10" t="s">
        <v>176</v>
      </c>
      <c r="P1584" s="10" t="s">
        <v>177</v>
      </c>
      <c r="Q1584" s="10" t="s">
        <v>178</v>
      </c>
      <c r="R1584" s="10" t="s">
        <v>74</v>
      </c>
      <c r="S1584" s="11">
        <v>43.7</v>
      </c>
      <c r="T1584" s="11">
        <f>2*22.58</f>
        <v>45.16</v>
      </c>
      <c r="U1584" s="11" t="s">
        <v>51</v>
      </c>
      <c r="V1584" s="10" t="s">
        <v>52</v>
      </c>
      <c r="W1584" s="10" t="s">
        <v>15879</v>
      </c>
      <c r="X1584" s="10" t="s">
        <v>15880</v>
      </c>
      <c r="Y1584" s="10" t="s">
        <v>15881</v>
      </c>
      <c r="Z1584" s="10" t="s">
        <v>50</v>
      </c>
      <c r="AA1584" s="10" t="s">
        <v>50</v>
      </c>
      <c r="AB1584" s="10" t="s">
        <v>15879</v>
      </c>
      <c r="AC1584" s="10" t="s">
        <v>15882</v>
      </c>
      <c r="AD1584" s="10" t="s">
        <v>15883</v>
      </c>
      <c r="AE1584" s="10" t="s">
        <v>213</v>
      </c>
      <c r="AF1584" s="10" t="s">
        <v>214</v>
      </c>
      <c r="AG1584" s="10" t="s">
        <v>15884</v>
      </c>
      <c r="AH1584" s="10" t="s">
        <v>60</v>
      </c>
      <c r="AI1584" s="10" t="s">
        <v>13406</v>
      </c>
      <c r="AJ1584" s="10" t="s">
        <v>15257</v>
      </c>
      <c r="AK1584" s="10" t="s">
        <v>15885</v>
      </c>
      <c r="AL1584" s="10" t="s">
        <v>64</v>
      </c>
      <c r="AM1584" s="10" t="s">
        <v>15886</v>
      </c>
      <c r="AN1584" s="10" t="s">
        <v>50</v>
      </c>
      <c r="AO1584" s="11" t="s">
        <v>50</v>
      </c>
      <c r="AP1584" s="10" t="s">
        <v>50</v>
      </c>
      <c r="AQ1584" s="10" t="s">
        <v>50</v>
      </c>
      <c r="AR1584" s="10" t="s">
        <v>50</v>
      </c>
      <c r="AS1584" s="10" t="s">
        <v>50</v>
      </c>
      <c r="AT1584" s="10" t="s">
        <v>50</v>
      </c>
      <c r="AU1584" s="10" t="s">
        <v>50</v>
      </c>
      <c r="AV1584" s="11"/>
      <c r="AW1584" s="10" t="s">
        <v>66</v>
      </c>
      <c r="AX1584" s="10"/>
      <c r="AY1584" s="10" t="s">
        <v>66</v>
      </c>
    </row>
    <row r="1585" ht="22.5" hidden="1" customHeight="1">
      <c r="A1585" s="9" t="s">
        <v>15887</v>
      </c>
      <c r="B1585" s="10" t="s">
        <v>15888</v>
      </c>
      <c r="C1585" s="10" t="s">
        <v>43</v>
      </c>
      <c r="D1585" s="10" t="s">
        <v>13120</v>
      </c>
      <c r="E1585" s="10" t="s">
        <v>66</v>
      </c>
      <c r="F1585" s="11">
        <v>1.0</v>
      </c>
      <c r="G1585" s="11">
        <v>120.0</v>
      </c>
      <c r="H1585" s="11"/>
      <c r="I1585" s="11">
        <v>-20.4</v>
      </c>
      <c r="J1585" s="11">
        <v>-19.95</v>
      </c>
      <c r="K1585" s="11"/>
      <c r="L1585" s="11">
        <v>86.85</v>
      </c>
      <c r="M1585" s="10" t="s">
        <v>12218</v>
      </c>
      <c r="N1585" s="10" t="s">
        <v>45</v>
      </c>
      <c r="O1585" s="10" t="s">
        <v>85</v>
      </c>
      <c r="P1585" s="10" t="s">
        <v>86</v>
      </c>
      <c r="Q1585" s="10" t="s">
        <v>87</v>
      </c>
      <c r="R1585" s="10" t="s">
        <v>74</v>
      </c>
      <c r="S1585" s="11">
        <v>120.0</v>
      </c>
      <c r="T1585" s="11">
        <v>65.78</v>
      </c>
      <c r="U1585" s="11" t="s">
        <v>51</v>
      </c>
      <c r="V1585" s="10" t="s">
        <v>52</v>
      </c>
      <c r="W1585" s="10" t="s">
        <v>15889</v>
      </c>
      <c r="X1585" s="10" t="s">
        <v>15890</v>
      </c>
      <c r="Y1585" s="10" t="s">
        <v>15891</v>
      </c>
      <c r="Z1585" s="10" t="s">
        <v>50</v>
      </c>
      <c r="AA1585" s="10" t="s">
        <v>50</v>
      </c>
      <c r="AB1585" s="10" t="s">
        <v>15889</v>
      </c>
      <c r="AC1585" s="10" t="s">
        <v>15892</v>
      </c>
      <c r="AD1585" s="10" t="s">
        <v>15893</v>
      </c>
      <c r="AE1585" s="10" t="s">
        <v>15894</v>
      </c>
      <c r="AF1585" s="10" t="s">
        <v>323</v>
      </c>
      <c r="AG1585" s="10" t="s">
        <v>15895</v>
      </c>
      <c r="AH1585" s="10" t="s">
        <v>60</v>
      </c>
      <c r="AI1585" s="10" t="s">
        <v>13406</v>
      </c>
      <c r="AJ1585" s="10" t="s">
        <v>15140</v>
      </c>
      <c r="AK1585" s="10" t="s">
        <v>13128</v>
      </c>
      <c r="AL1585" s="10" t="s">
        <v>64</v>
      </c>
      <c r="AM1585" s="10" t="s">
        <v>15896</v>
      </c>
      <c r="AN1585" s="10" t="s">
        <v>50</v>
      </c>
      <c r="AO1585" s="11" t="s">
        <v>50</v>
      </c>
      <c r="AP1585" s="10" t="s">
        <v>50</v>
      </c>
      <c r="AQ1585" s="10" t="s">
        <v>50</v>
      </c>
      <c r="AR1585" s="10" t="s">
        <v>50</v>
      </c>
      <c r="AS1585" s="10" t="s">
        <v>50</v>
      </c>
      <c r="AT1585" s="10" t="s">
        <v>50</v>
      </c>
      <c r="AU1585" s="10" t="s">
        <v>50</v>
      </c>
      <c r="AV1585" s="11"/>
      <c r="AW1585" s="10" t="s">
        <v>66</v>
      </c>
      <c r="AX1585" s="10"/>
      <c r="AY1585" s="10" t="s">
        <v>66</v>
      </c>
    </row>
    <row r="1586" ht="22.5" hidden="1" customHeight="1">
      <c r="A1586" s="9" t="s">
        <v>15897</v>
      </c>
      <c r="B1586" s="10" t="s">
        <v>15898</v>
      </c>
      <c r="C1586" s="10" t="s">
        <v>43</v>
      </c>
      <c r="D1586" s="10" t="s">
        <v>14923</v>
      </c>
      <c r="E1586" s="10" t="s">
        <v>45</v>
      </c>
      <c r="F1586" s="11">
        <v>1.0</v>
      </c>
      <c r="G1586" s="11">
        <v>43.7</v>
      </c>
      <c r="H1586" s="11">
        <v>14.15</v>
      </c>
      <c r="I1586" s="11">
        <v>-13.43</v>
      </c>
      <c r="J1586" s="11">
        <v>-14.15</v>
      </c>
      <c r="K1586" s="11"/>
      <c r="L1586" s="11">
        <v>32.89</v>
      </c>
      <c r="M1586" s="10" t="s">
        <v>12218</v>
      </c>
      <c r="N1586" s="10" t="s">
        <v>45</v>
      </c>
      <c r="O1586" s="10" t="s">
        <v>176</v>
      </c>
      <c r="P1586" s="10" t="s">
        <v>177</v>
      </c>
      <c r="Q1586" s="10" t="s">
        <v>178</v>
      </c>
      <c r="R1586" s="10" t="s">
        <v>74</v>
      </c>
      <c r="S1586" s="11">
        <v>43.7</v>
      </c>
      <c r="T1586" s="11">
        <v>22.58</v>
      </c>
      <c r="U1586" s="11" t="s">
        <v>51</v>
      </c>
      <c r="V1586" s="10" t="s">
        <v>52</v>
      </c>
      <c r="W1586" s="10" t="s">
        <v>15899</v>
      </c>
      <c r="X1586" s="10" t="s">
        <v>15900</v>
      </c>
      <c r="Y1586" s="10" t="s">
        <v>15901</v>
      </c>
      <c r="Z1586" s="10" t="s">
        <v>50</v>
      </c>
      <c r="AA1586" s="10" t="s">
        <v>50</v>
      </c>
      <c r="AB1586" s="10" t="s">
        <v>15899</v>
      </c>
      <c r="AC1586" s="10" t="s">
        <v>15902</v>
      </c>
      <c r="AD1586" s="10" t="s">
        <v>15903</v>
      </c>
      <c r="AE1586" s="10" t="s">
        <v>6842</v>
      </c>
      <c r="AF1586" s="10" t="s">
        <v>58</v>
      </c>
      <c r="AG1586" s="10" t="s">
        <v>15904</v>
      </c>
      <c r="AH1586" s="10" t="s">
        <v>60</v>
      </c>
      <c r="AI1586" s="10" t="s">
        <v>13406</v>
      </c>
      <c r="AJ1586" s="10" t="s">
        <v>15390</v>
      </c>
      <c r="AK1586" s="10" t="s">
        <v>15905</v>
      </c>
      <c r="AL1586" s="10" t="s">
        <v>64</v>
      </c>
      <c r="AM1586" s="10" t="s">
        <v>15906</v>
      </c>
      <c r="AN1586" s="10" t="s">
        <v>50</v>
      </c>
      <c r="AO1586" s="11" t="s">
        <v>50</v>
      </c>
      <c r="AP1586" s="10" t="s">
        <v>50</v>
      </c>
      <c r="AQ1586" s="10" t="s">
        <v>50</v>
      </c>
      <c r="AR1586" s="10" t="s">
        <v>50</v>
      </c>
      <c r="AS1586" s="10" t="s">
        <v>50</v>
      </c>
      <c r="AT1586" s="10" t="s">
        <v>50</v>
      </c>
      <c r="AU1586" s="10" t="s">
        <v>50</v>
      </c>
      <c r="AV1586" s="11"/>
      <c r="AW1586" s="10" t="s">
        <v>66</v>
      </c>
      <c r="AX1586" s="10"/>
      <c r="AY1586" s="10" t="s">
        <v>66</v>
      </c>
    </row>
    <row r="1587" ht="22.5" hidden="1" customHeight="1">
      <c r="A1587" s="9" t="s">
        <v>15907</v>
      </c>
      <c r="B1587" s="10" t="s">
        <v>15908</v>
      </c>
      <c r="C1587" s="10" t="s">
        <v>43</v>
      </c>
      <c r="D1587" s="10" t="s">
        <v>14923</v>
      </c>
      <c r="E1587" s="10" t="s">
        <v>66</v>
      </c>
      <c r="F1587" s="11">
        <v>1.0</v>
      </c>
      <c r="G1587" s="11">
        <v>36.8</v>
      </c>
      <c r="H1587" s="11">
        <v>14.63</v>
      </c>
      <c r="I1587" s="11">
        <v>-12.26</v>
      </c>
      <c r="J1587" s="11">
        <v>-14.63</v>
      </c>
      <c r="K1587" s="11"/>
      <c r="L1587" s="11">
        <v>26.38</v>
      </c>
      <c r="M1587" s="10" t="s">
        <v>12218</v>
      </c>
      <c r="N1587" s="10" t="s">
        <v>45</v>
      </c>
      <c r="O1587" s="10" t="s">
        <v>71</v>
      </c>
      <c r="P1587" s="10" t="s">
        <v>72</v>
      </c>
      <c r="Q1587" s="10" t="s">
        <v>73</v>
      </c>
      <c r="R1587" s="10" t="s">
        <v>74</v>
      </c>
      <c r="S1587" s="11">
        <v>36.8</v>
      </c>
      <c r="T1587" s="11">
        <v>4.58</v>
      </c>
      <c r="U1587" s="11" t="s">
        <v>51</v>
      </c>
      <c r="V1587" s="10" t="s">
        <v>52</v>
      </c>
      <c r="W1587" s="10" t="s">
        <v>15909</v>
      </c>
      <c r="X1587" s="10" t="s">
        <v>15910</v>
      </c>
      <c r="Y1587" s="10" t="s">
        <v>15911</v>
      </c>
      <c r="Z1587" s="10" t="s">
        <v>50</v>
      </c>
      <c r="AA1587" s="10" t="s">
        <v>50</v>
      </c>
      <c r="AB1587" s="10" t="s">
        <v>15909</v>
      </c>
      <c r="AC1587" s="10" t="s">
        <v>15912</v>
      </c>
      <c r="AD1587" s="10" t="s">
        <v>15913</v>
      </c>
      <c r="AE1587" s="10" t="s">
        <v>58</v>
      </c>
      <c r="AF1587" s="10" t="s">
        <v>58</v>
      </c>
      <c r="AG1587" s="10" t="s">
        <v>15914</v>
      </c>
      <c r="AH1587" s="10" t="s">
        <v>60</v>
      </c>
      <c r="AI1587" s="10" t="s">
        <v>13406</v>
      </c>
      <c r="AJ1587" s="10" t="s">
        <v>14930</v>
      </c>
      <c r="AK1587" s="10" t="s">
        <v>15915</v>
      </c>
      <c r="AL1587" s="10" t="s">
        <v>64</v>
      </c>
      <c r="AM1587" s="10" t="s">
        <v>15916</v>
      </c>
      <c r="AN1587" s="10" t="s">
        <v>50</v>
      </c>
      <c r="AO1587" s="11" t="s">
        <v>50</v>
      </c>
      <c r="AP1587" s="10" t="s">
        <v>50</v>
      </c>
      <c r="AQ1587" s="10" t="s">
        <v>50</v>
      </c>
      <c r="AR1587" s="10" t="s">
        <v>50</v>
      </c>
      <c r="AS1587" s="10" t="s">
        <v>50</v>
      </c>
      <c r="AT1587" s="10" t="s">
        <v>50</v>
      </c>
      <c r="AU1587" s="10" t="s">
        <v>50</v>
      </c>
      <c r="AV1587" s="11"/>
      <c r="AW1587" s="10" t="s">
        <v>66</v>
      </c>
      <c r="AX1587" s="10"/>
      <c r="AY1587" s="10" t="s">
        <v>66</v>
      </c>
    </row>
    <row r="1588" ht="22.5" hidden="1" customHeight="1">
      <c r="A1588" s="9" t="s">
        <v>15917</v>
      </c>
      <c r="B1588" s="10" t="s">
        <v>15918</v>
      </c>
      <c r="C1588" s="10" t="s">
        <v>43</v>
      </c>
      <c r="D1588" s="10" t="s">
        <v>14945</v>
      </c>
      <c r="E1588" s="10" t="s">
        <v>45</v>
      </c>
      <c r="F1588" s="11">
        <v>1.0</v>
      </c>
      <c r="G1588" s="11">
        <v>120.0</v>
      </c>
      <c r="H1588" s="11"/>
      <c r="I1588" s="11">
        <v>-20.4</v>
      </c>
      <c r="J1588" s="11">
        <v>-19.95</v>
      </c>
      <c r="K1588" s="11"/>
      <c r="L1588" s="11">
        <v>86.85</v>
      </c>
      <c r="M1588" s="10" t="s">
        <v>12218</v>
      </c>
      <c r="N1588" s="10" t="s">
        <v>45</v>
      </c>
      <c r="O1588" s="10" t="s">
        <v>85</v>
      </c>
      <c r="P1588" s="10" t="s">
        <v>86</v>
      </c>
      <c r="Q1588" s="10" t="s">
        <v>87</v>
      </c>
      <c r="R1588" s="10" t="s">
        <v>74</v>
      </c>
      <c r="S1588" s="11">
        <v>120.0</v>
      </c>
      <c r="T1588" s="11">
        <v>65.78</v>
      </c>
      <c r="U1588" s="11" t="s">
        <v>51</v>
      </c>
      <c r="V1588" s="10" t="s">
        <v>52</v>
      </c>
      <c r="W1588" s="10" t="s">
        <v>15919</v>
      </c>
      <c r="X1588" s="10" t="s">
        <v>15920</v>
      </c>
      <c r="Y1588" s="10" t="s">
        <v>15921</v>
      </c>
      <c r="Z1588" s="10" t="s">
        <v>50</v>
      </c>
      <c r="AA1588" s="10" t="s">
        <v>50</v>
      </c>
      <c r="AB1588" s="10" t="s">
        <v>15919</v>
      </c>
      <c r="AC1588" s="10" t="s">
        <v>15922</v>
      </c>
      <c r="AD1588" s="10" t="s">
        <v>15923</v>
      </c>
      <c r="AE1588" s="10" t="s">
        <v>15924</v>
      </c>
      <c r="AF1588" s="10" t="s">
        <v>151</v>
      </c>
      <c r="AG1588" s="10" t="s">
        <v>15925</v>
      </c>
      <c r="AH1588" s="10" t="s">
        <v>60</v>
      </c>
      <c r="AI1588" s="10" t="s">
        <v>13406</v>
      </c>
      <c r="AJ1588" s="10" t="s">
        <v>15926</v>
      </c>
      <c r="AK1588" s="10" t="s">
        <v>15927</v>
      </c>
      <c r="AL1588" s="10" t="s">
        <v>64</v>
      </c>
      <c r="AM1588" s="10" t="s">
        <v>15928</v>
      </c>
      <c r="AN1588" s="10" t="s">
        <v>50</v>
      </c>
      <c r="AO1588" s="11" t="s">
        <v>50</v>
      </c>
      <c r="AP1588" s="10" t="s">
        <v>50</v>
      </c>
      <c r="AQ1588" s="10" t="s">
        <v>50</v>
      </c>
      <c r="AR1588" s="10" t="s">
        <v>50</v>
      </c>
      <c r="AS1588" s="10" t="s">
        <v>50</v>
      </c>
      <c r="AT1588" s="10" t="s">
        <v>50</v>
      </c>
      <c r="AU1588" s="10" t="s">
        <v>50</v>
      </c>
      <c r="AV1588" s="11"/>
      <c r="AW1588" s="10" t="s">
        <v>66</v>
      </c>
      <c r="AX1588" s="10"/>
      <c r="AY1588" s="10" t="s">
        <v>66</v>
      </c>
    </row>
    <row r="1589" ht="22.5" hidden="1" customHeight="1">
      <c r="A1589" s="9" t="s">
        <v>15929</v>
      </c>
      <c r="B1589" s="10" t="s">
        <v>15930</v>
      </c>
      <c r="C1589" s="10" t="s">
        <v>43</v>
      </c>
      <c r="D1589" s="10" t="s">
        <v>14923</v>
      </c>
      <c r="E1589" s="10" t="s">
        <v>66</v>
      </c>
      <c r="F1589" s="11">
        <v>1.0</v>
      </c>
      <c r="G1589" s="11">
        <v>80.0</v>
      </c>
      <c r="H1589" s="11"/>
      <c r="I1589" s="11">
        <v>-13.6</v>
      </c>
      <c r="J1589" s="11">
        <v>-19.95</v>
      </c>
      <c r="K1589" s="11"/>
      <c r="L1589" s="11">
        <v>50.45</v>
      </c>
      <c r="M1589" s="10" t="s">
        <v>12218</v>
      </c>
      <c r="N1589" s="10" t="s">
        <v>50</v>
      </c>
      <c r="O1589" s="10" t="s">
        <v>143</v>
      </c>
      <c r="P1589" s="10" t="s">
        <v>144</v>
      </c>
      <c r="Q1589" s="10" t="s">
        <v>145</v>
      </c>
      <c r="R1589" s="10" t="s">
        <v>74</v>
      </c>
      <c r="S1589" s="11">
        <v>80.0</v>
      </c>
      <c r="T1589" s="11">
        <v>33.38</v>
      </c>
      <c r="U1589" s="11" t="s">
        <v>51</v>
      </c>
      <c r="V1589" s="10" t="s">
        <v>52</v>
      </c>
      <c r="W1589" s="10" t="s">
        <v>15931</v>
      </c>
      <c r="X1589" s="10" t="s">
        <v>15932</v>
      </c>
      <c r="Y1589" s="10" t="s">
        <v>15933</v>
      </c>
      <c r="Z1589" s="10" t="s">
        <v>50</v>
      </c>
      <c r="AA1589" s="10" t="s">
        <v>50</v>
      </c>
      <c r="AB1589" s="10" t="s">
        <v>15931</v>
      </c>
      <c r="AC1589" s="10" t="s">
        <v>15934</v>
      </c>
      <c r="AD1589" s="10" t="s">
        <v>15935</v>
      </c>
      <c r="AE1589" s="10" t="s">
        <v>5408</v>
      </c>
      <c r="AF1589" s="10" t="s">
        <v>58</v>
      </c>
      <c r="AG1589" s="10" t="s">
        <v>15936</v>
      </c>
      <c r="AH1589" s="10" t="s">
        <v>60</v>
      </c>
      <c r="AI1589" s="10" t="s">
        <v>13406</v>
      </c>
      <c r="AJ1589" s="10" t="s">
        <v>14930</v>
      </c>
      <c r="AK1589" s="10" t="s">
        <v>15937</v>
      </c>
      <c r="AL1589" s="10" t="s">
        <v>64</v>
      </c>
      <c r="AM1589" s="10" t="s">
        <v>15938</v>
      </c>
      <c r="AN1589" s="10" t="s">
        <v>50</v>
      </c>
      <c r="AO1589" s="11" t="s">
        <v>50</v>
      </c>
      <c r="AP1589" s="10" t="s">
        <v>50</v>
      </c>
      <c r="AQ1589" s="10" t="s">
        <v>50</v>
      </c>
      <c r="AR1589" s="10" t="s">
        <v>50</v>
      </c>
      <c r="AS1589" s="10" t="s">
        <v>50</v>
      </c>
      <c r="AT1589" s="10" t="s">
        <v>50</v>
      </c>
      <c r="AU1589" s="10" t="s">
        <v>50</v>
      </c>
      <c r="AV1589" s="11"/>
      <c r="AW1589" s="10" t="s">
        <v>66</v>
      </c>
      <c r="AX1589" s="10"/>
      <c r="AY1589" s="10" t="s">
        <v>66</v>
      </c>
    </row>
    <row r="1590" ht="22.5" hidden="1" customHeight="1">
      <c r="A1590" s="9" t="s">
        <v>15939</v>
      </c>
      <c r="B1590" s="10" t="s">
        <v>15940</v>
      </c>
      <c r="C1590" s="10" t="s">
        <v>43</v>
      </c>
      <c r="D1590" s="10" t="s">
        <v>13108</v>
      </c>
      <c r="E1590" s="10" t="s">
        <v>66</v>
      </c>
      <c r="F1590" s="11">
        <v>1.0</v>
      </c>
      <c r="G1590" s="11">
        <v>79.0</v>
      </c>
      <c r="H1590" s="11"/>
      <c r="I1590" s="11">
        <v>-13.43</v>
      </c>
      <c r="J1590" s="11">
        <v>-20.45</v>
      </c>
      <c r="K1590" s="11"/>
      <c r="L1590" s="11">
        <v>45.12</v>
      </c>
      <c r="M1590" s="10" t="s">
        <v>12218</v>
      </c>
      <c r="N1590" s="10" t="s">
        <v>45</v>
      </c>
      <c r="O1590" s="10" t="s">
        <v>160</v>
      </c>
      <c r="P1590" s="10" t="s">
        <v>161</v>
      </c>
      <c r="Q1590" s="10" t="s">
        <v>162</v>
      </c>
      <c r="R1590" s="10" t="s">
        <v>74</v>
      </c>
      <c r="S1590" s="11">
        <v>79.0</v>
      </c>
      <c r="T1590" s="11">
        <v>2.49</v>
      </c>
      <c r="U1590" s="11" t="s">
        <v>51</v>
      </c>
      <c r="V1590" s="10" t="s">
        <v>52</v>
      </c>
      <c r="W1590" s="10" t="s">
        <v>15941</v>
      </c>
      <c r="X1590" s="10" t="s">
        <v>15942</v>
      </c>
      <c r="Y1590" s="10" t="s">
        <v>15943</v>
      </c>
      <c r="Z1590" s="10" t="s">
        <v>50</v>
      </c>
      <c r="AA1590" s="10" t="s">
        <v>50</v>
      </c>
      <c r="AB1590" s="10" t="s">
        <v>15941</v>
      </c>
      <c r="AC1590" s="10" t="s">
        <v>15944</v>
      </c>
      <c r="AD1590" s="10" t="s">
        <v>15945</v>
      </c>
      <c r="AE1590" s="10" t="s">
        <v>15946</v>
      </c>
      <c r="AF1590" s="10" t="s">
        <v>119</v>
      </c>
      <c r="AG1590" s="10" t="s">
        <v>15947</v>
      </c>
      <c r="AH1590" s="10" t="s">
        <v>60</v>
      </c>
      <c r="AI1590" s="10" t="s">
        <v>13406</v>
      </c>
      <c r="AJ1590" s="10" t="s">
        <v>15216</v>
      </c>
      <c r="AK1590" s="10" t="s">
        <v>15948</v>
      </c>
      <c r="AL1590" s="10" t="s">
        <v>64</v>
      </c>
      <c r="AM1590" s="10" t="s">
        <v>15949</v>
      </c>
      <c r="AN1590" s="10" t="s">
        <v>50</v>
      </c>
      <c r="AO1590" s="11" t="s">
        <v>50</v>
      </c>
      <c r="AP1590" s="10" t="s">
        <v>50</v>
      </c>
      <c r="AQ1590" s="10" t="s">
        <v>50</v>
      </c>
      <c r="AR1590" s="10" t="s">
        <v>50</v>
      </c>
      <c r="AS1590" s="10" t="s">
        <v>50</v>
      </c>
      <c r="AT1590" s="10" t="s">
        <v>50</v>
      </c>
      <c r="AU1590" s="10" t="s">
        <v>50</v>
      </c>
      <c r="AV1590" s="11"/>
      <c r="AW1590" s="10" t="s">
        <v>66</v>
      </c>
      <c r="AX1590" s="10"/>
      <c r="AY1590" s="10" t="s">
        <v>66</v>
      </c>
    </row>
    <row r="1591" ht="22.5" hidden="1" customHeight="1">
      <c r="A1591" s="9" t="s">
        <v>15950</v>
      </c>
      <c r="B1591" s="10" t="s">
        <v>15951</v>
      </c>
      <c r="C1591" s="10" t="s">
        <v>43</v>
      </c>
      <c r="D1591" s="10" t="s">
        <v>13108</v>
      </c>
      <c r="E1591" s="10" t="s">
        <v>45</v>
      </c>
      <c r="F1591" s="11">
        <v>3.0</v>
      </c>
      <c r="G1591" s="11">
        <v>140.4</v>
      </c>
      <c r="H1591" s="11">
        <v>9.67</v>
      </c>
      <c r="I1591" s="11">
        <v>-34.86</v>
      </c>
      <c r="J1591" s="11">
        <v>-9.67</v>
      </c>
      <c r="K1591" s="11"/>
      <c r="L1591" s="11">
        <v>105.54</v>
      </c>
      <c r="M1591" s="10" t="s">
        <v>12218</v>
      </c>
      <c r="N1591" s="10" t="s">
        <v>50</v>
      </c>
      <c r="O1591" s="10" t="s">
        <v>15952</v>
      </c>
      <c r="P1591" s="10" t="s">
        <v>15953</v>
      </c>
      <c r="Q1591" s="10" t="s">
        <v>15954</v>
      </c>
      <c r="R1591" s="10" t="s">
        <v>74</v>
      </c>
      <c r="S1591" s="11">
        <v>46.8</v>
      </c>
      <c r="T1591" s="11">
        <v>9.65</v>
      </c>
      <c r="U1591" s="11" t="s">
        <v>194</v>
      </c>
      <c r="V1591" s="10" t="s">
        <v>52</v>
      </c>
      <c r="W1591" s="10" t="s">
        <v>15955</v>
      </c>
      <c r="X1591" s="10" t="s">
        <v>15956</v>
      </c>
      <c r="Y1591" s="10" t="s">
        <v>15957</v>
      </c>
      <c r="Z1591" s="10" t="s">
        <v>50</v>
      </c>
      <c r="AA1591" s="10" t="s">
        <v>50</v>
      </c>
      <c r="AB1591" s="10" t="s">
        <v>15955</v>
      </c>
      <c r="AC1591" s="10" t="s">
        <v>15958</v>
      </c>
      <c r="AD1591" s="10" t="s">
        <v>15959</v>
      </c>
      <c r="AE1591" s="10" t="s">
        <v>15960</v>
      </c>
      <c r="AF1591" s="10" t="s">
        <v>561</v>
      </c>
      <c r="AG1591" s="10" t="s">
        <v>15961</v>
      </c>
      <c r="AH1591" s="10" t="s">
        <v>60</v>
      </c>
      <c r="AI1591" s="10" t="s">
        <v>13406</v>
      </c>
      <c r="AJ1591" s="10" t="s">
        <v>15085</v>
      </c>
      <c r="AK1591" s="10" t="s">
        <v>15962</v>
      </c>
      <c r="AL1591" s="10" t="s">
        <v>64</v>
      </c>
      <c r="AM1591" s="10" t="s">
        <v>15963</v>
      </c>
      <c r="AN1591" s="10" t="s">
        <v>50</v>
      </c>
      <c r="AO1591" s="11" t="s">
        <v>50</v>
      </c>
      <c r="AP1591" s="10" t="s">
        <v>50</v>
      </c>
      <c r="AQ1591" s="10" t="s">
        <v>50</v>
      </c>
      <c r="AR1591" s="10" t="s">
        <v>50</v>
      </c>
      <c r="AS1591" s="10" t="s">
        <v>50</v>
      </c>
      <c r="AT1591" s="10" t="s">
        <v>50</v>
      </c>
      <c r="AU1591" s="10" t="s">
        <v>50</v>
      </c>
      <c r="AV1591" s="11"/>
      <c r="AW1591" s="10" t="s">
        <v>66</v>
      </c>
      <c r="AX1591" s="10"/>
      <c r="AY1591" s="10" t="s">
        <v>66</v>
      </c>
    </row>
    <row r="1592" ht="22.5" hidden="1" customHeight="1">
      <c r="A1592" s="9" t="s">
        <v>15964</v>
      </c>
      <c r="B1592" s="10" t="s">
        <v>15965</v>
      </c>
      <c r="C1592" s="10" t="s">
        <v>43</v>
      </c>
      <c r="D1592" s="10" t="s">
        <v>14923</v>
      </c>
      <c r="E1592" s="10" t="s">
        <v>45</v>
      </c>
      <c r="F1592" s="11">
        <v>2.0</v>
      </c>
      <c r="G1592" s="11">
        <v>87.4</v>
      </c>
      <c r="H1592" s="11"/>
      <c r="I1592" s="11">
        <v>-26.86</v>
      </c>
      <c r="J1592" s="11"/>
      <c r="K1592" s="11"/>
      <c r="L1592" s="11">
        <v>65.78</v>
      </c>
      <c r="M1592" s="10" t="s">
        <v>12218</v>
      </c>
      <c r="N1592" s="10" t="s">
        <v>50</v>
      </c>
      <c r="O1592" s="10" t="s">
        <v>176</v>
      </c>
      <c r="P1592" s="10" t="s">
        <v>177</v>
      </c>
      <c r="Q1592" s="10" t="s">
        <v>178</v>
      </c>
      <c r="R1592" s="10" t="s">
        <v>74</v>
      </c>
      <c r="S1592" s="11">
        <v>43.7</v>
      </c>
      <c r="T1592" s="11">
        <f>2*22.58</f>
        <v>45.16</v>
      </c>
      <c r="U1592" s="11" t="s">
        <v>51</v>
      </c>
      <c r="V1592" s="10" t="s">
        <v>52</v>
      </c>
      <c r="W1592" s="10" t="s">
        <v>15966</v>
      </c>
      <c r="X1592" s="10" t="s">
        <v>15967</v>
      </c>
      <c r="Y1592" s="10" t="s">
        <v>15968</v>
      </c>
      <c r="Z1592" s="10" t="s">
        <v>50</v>
      </c>
      <c r="AA1592" s="10" t="s">
        <v>50</v>
      </c>
      <c r="AB1592" s="10" t="s">
        <v>15966</v>
      </c>
      <c r="AC1592" s="10" t="s">
        <v>15969</v>
      </c>
      <c r="AD1592" s="10" t="s">
        <v>15970</v>
      </c>
      <c r="AE1592" s="10" t="s">
        <v>58</v>
      </c>
      <c r="AF1592" s="10" t="s">
        <v>58</v>
      </c>
      <c r="AG1592" s="10" t="s">
        <v>15971</v>
      </c>
      <c r="AH1592" s="10" t="s">
        <v>60</v>
      </c>
      <c r="AI1592" s="10" t="s">
        <v>13406</v>
      </c>
      <c r="AJ1592" s="10" t="s">
        <v>15085</v>
      </c>
      <c r="AK1592" s="10" t="s">
        <v>15727</v>
      </c>
      <c r="AL1592" s="10" t="s">
        <v>64</v>
      </c>
      <c r="AM1592" s="10" t="s">
        <v>15972</v>
      </c>
      <c r="AN1592" s="10" t="s">
        <v>50</v>
      </c>
      <c r="AO1592" s="11" t="s">
        <v>50</v>
      </c>
      <c r="AP1592" s="10" t="s">
        <v>50</v>
      </c>
      <c r="AQ1592" s="10" t="s">
        <v>50</v>
      </c>
      <c r="AR1592" s="10" t="s">
        <v>50</v>
      </c>
      <c r="AS1592" s="10" t="s">
        <v>50</v>
      </c>
      <c r="AT1592" s="10" t="s">
        <v>50</v>
      </c>
      <c r="AU1592" s="10" t="s">
        <v>50</v>
      </c>
      <c r="AV1592" s="11"/>
      <c r="AW1592" s="10" t="s">
        <v>66</v>
      </c>
      <c r="AX1592" s="10"/>
      <c r="AY1592" s="10" t="s">
        <v>66</v>
      </c>
    </row>
    <row r="1593" ht="22.5" hidden="1" customHeight="1">
      <c r="A1593" s="9" t="s">
        <v>15973</v>
      </c>
      <c r="B1593" s="10" t="s">
        <v>15974</v>
      </c>
      <c r="C1593" s="10" t="s">
        <v>43</v>
      </c>
      <c r="D1593" s="10" t="s">
        <v>14945</v>
      </c>
      <c r="E1593" s="10" t="s">
        <v>66</v>
      </c>
      <c r="F1593" s="11">
        <v>1.0</v>
      </c>
      <c r="G1593" s="11">
        <v>80.3</v>
      </c>
      <c r="H1593" s="11"/>
      <c r="I1593" s="11">
        <v>-13.65</v>
      </c>
      <c r="J1593" s="11">
        <v>-20.45</v>
      </c>
      <c r="K1593" s="11"/>
      <c r="L1593" s="11">
        <v>46.2</v>
      </c>
      <c r="M1593" s="10" t="s">
        <v>12218</v>
      </c>
      <c r="N1593" s="10" t="s">
        <v>45</v>
      </c>
      <c r="O1593" s="10" t="s">
        <v>127</v>
      </c>
      <c r="P1593" s="10" t="s">
        <v>128</v>
      </c>
      <c r="Q1593" s="10" t="s">
        <v>129</v>
      </c>
      <c r="R1593" s="10" t="s">
        <v>74</v>
      </c>
      <c r="S1593" s="11">
        <v>80.3</v>
      </c>
      <c r="T1593" s="11">
        <v>17.68</v>
      </c>
      <c r="U1593" s="11" t="s">
        <v>51</v>
      </c>
      <c r="V1593" s="10" t="s">
        <v>52</v>
      </c>
      <c r="W1593" s="10" t="s">
        <v>15975</v>
      </c>
      <c r="X1593" s="10" t="s">
        <v>15976</v>
      </c>
      <c r="Y1593" s="10" t="s">
        <v>15977</v>
      </c>
      <c r="Z1593" s="10" t="s">
        <v>50</v>
      </c>
      <c r="AA1593" s="10" t="s">
        <v>50</v>
      </c>
      <c r="AB1593" s="10" t="s">
        <v>15975</v>
      </c>
      <c r="AC1593" s="10" t="s">
        <v>15978</v>
      </c>
      <c r="AD1593" s="10" t="s">
        <v>15979</v>
      </c>
      <c r="AE1593" s="10" t="s">
        <v>1323</v>
      </c>
      <c r="AF1593" s="10" t="s">
        <v>151</v>
      </c>
      <c r="AG1593" s="10" t="s">
        <v>15980</v>
      </c>
      <c r="AH1593" s="10" t="s">
        <v>60</v>
      </c>
      <c r="AI1593" s="10" t="s">
        <v>13406</v>
      </c>
      <c r="AJ1593" s="10" t="s">
        <v>15073</v>
      </c>
      <c r="AK1593" s="10" t="s">
        <v>15981</v>
      </c>
      <c r="AL1593" s="10" t="s">
        <v>64</v>
      </c>
      <c r="AM1593" s="10" t="s">
        <v>15982</v>
      </c>
      <c r="AN1593" s="10" t="s">
        <v>50</v>
      </c>
      <c r="AO1593" s="11" t="s">
        <v>50</v>
      </c>
      <c r="AP1593" s="10" t="s">
        <v>50</v>
      </c>
      <c r="AQ1593" s="10" t="s">
        <v>50</v>
      </c>
      <c r="AR1593" s="10" t="s">
        <v>50</v>
      </c>
      <c r="AS1593" s="10" t="s">
        <v>50</v>
      </c>
      <c r="AT1593" s="10" t="s">
        <v>50</v>
      </c>
      <c r="AU1593" s="10" t="s">
        <v>50</v>
      </c>
      <c r="AV1593" s="11"/>
      <c r="AW1593" s="10" t="s">
        <v>66</v>
      </c>
      <c r="AX1593" s="10"/>
      <c r="AY1593" s="10" t="s">
        <v>66</v>
      </c>
    </row>
    <row r="1594" ht="22.5" hidden="1" customHeight="1">
      <c r="A1594" s="9" t="s">
        <v>15983</v>
      </c>
      <c r="B1594" s="10" t="s">
        <v>15984</v>
      </c>
      <c r="C1594" s="10" t="s">
        <v>43</v>
      </c>
      <c r="D1594" s="10" t="s">
        <v>14945</v>
      </c>
      <c r="E1594" s="10" t="s">
        <v>66</v>
      </c>
      <c r="F1594" s="11">
        <v>1.0</v>
      </c>
      <c r="G1594" s="11">
        <v>120.0</v>
      </c>
      <c r="H1594" s="11"/>
      <c r="I1594" s="11">
        <v>-20.4</v>
      </c>
      <c r="J1594" s="11">
        <v>-19.95</v>
      </c>
      <c r="K1594" s="11"/>
      <c r="L1594" s="11">
        <v>86.85</v>
      </c>
      <c r="M1594" s="10" t="s">
        <v>12218</v>
      </c>
      <c r="N1594" s="10" t="s">
        <v>50</v>
      </c>
      <c r="O1594" s="10" t="s">
        <v>85</v>
      </c>
      <c r="P1594" s="10" t="s">
        <v>86</v>
      </c>
      <c r="Q1594" s="10" t="s">
        <v>87</v>
      </c>
      <c r="R1594" s="10" t="s">
        <v>74</v>
      </c>
      <c r="S1594" s="11">
        <v>120.0</v>
      </c>
      <c r="T1594" s="11">
        <v>65.78</v>
      </c>
      <c r="U1594" s="11" t="s">
        <v>51</v>
      </c>
      <c r="V1594" s="10" t="s">
        <v>52</v>
      </c>
      <c r="W1594" s="10" t="s">
        <v>15985</v>
      </c>
      <c r="X1594" s="10" t="s">
        <v>15986</v>
      </c>
      <c r="Y1594" s="10" t="s">
        <v>15987</v>
      </c>
      <c r="Z1594" s="10" t="s">
        <v>50</v>
      </c>
      <c r="AA1594" s="10" t="s">
        <v>50</v>
      </c>
      <c r="AB1594" s="10" t="s">
        <v>15985</v>
      </c>
      <c r="AC1594" s="10" t="s">
        <v>15988</v>
      </c>
      <c r="AD1594" s="10" t="s">
        <v>15989</v>
      </c>
      <c r="AE1594" s="10" t="s">
        <v>151</v>
      </c>
      <c r="AF1594" s="10" t="s">
        <v>151</v>
      </c>
      <c r="AG1594" s="10" t="s">
        <v>15990</v>
      </c>
      <c r="AH1594" s="10" t="s">
        <v>60</v>
      </c>
      <c r="AI1594" s="10" t="s">
        <v>13406</v>
      </c>
      <c r="AJ1594" s="10" t="s">
        <v>15991</v>
      </c>
      <c r="AK1594" s="10" t="s">
        <v>15992</v>
      </c>
      <c r="AL1594" s="10" t="s">
        <v>64</v>
      </c>
      <c r="AM1594" s="10" t="s">
        <v>15993</v>
      </c>
      <c r="AN1594" s="10" t="s">
        <v>50</v>
      </c>
      <c r="AO1594" s="11" t="s">
        <v>50</v>
      </c>
      <c r="AP1594" s="10" t="s">
        <v>50</v>
      </c>
      <c r="AQ1594" s="10" t="s">
        <v>50</v>
      </c>
      <c r="AR1594" s="10" t="s">
        <v>50</v>
      </c>
      <c r="AS1594" s="10" t="s">
        <v>50</v>
      </c>
      <c r="AT1594" s="10" t="s">
        <v>50</v>
      </c>
      <c r="AU1594" s="10" t="s">
        <v>50</v>
      </c>
      <c r="AV1594" s="11"/>
      <c r="AW1594" s="10" t="s">
        <v>66</v>
      </c>
      <c r="AX1594" s="10"/>
      <c r="AY1594" s="10" t="s">
        <v>66</v>
      </c>
    </row>
    <row r="1595" ht="22.5" hidden="1" customHeight="1">
      <c r="A1595" s="9" t="s">
        <v>15994</v>
      </c>
      <c r="B1595" s="10" t="s">
        <v>15995</v>
      </c>
      <c r="C1595" s="10" t="s">
        <v>43</v>
      </c>
      <c r="D1595" s="10" t="s">
        <v>14923</v>
      </c>
      <c r="E1595" s="10" t="s">
        <v>66</v>
      </c>
      <c r="F1595" s="11">
        <v>1.0</v>
      </c>
      <c r="G1595" s="11">
        <v>120.0</v>
      </c>
      <c r="H1595" s="11"/>
      <c r="I1595" s="11">
        <v>-20.4</v>
      </c>
      <c r="J1595" s="11">
        <v>-19.95</v>
      </c>
      <c r="K1595" s="11"/>
      <c r="L1595" s="11">
        <v>86.85</v>
      </c>
      <c r="M1595" s="10" t="s">
        <v>12218</v>
      </c>
      <c r="N1595" s="10" t="s">
        <v>50</v>
      </c>
      <c r="O1595" s="10" t="s">
        <v>85</v>
      </c>
      <c r="P1595" s="10" t="s">
        <v>86</v>
      </c>
      <c r="Q1595" s="10" t="s">
        <v>87</v>
      </c>
      <c r="R1595" s="10" t="s">
        <v>74</v>
      </c>
      <c r="S1595" s="11">
        <v>120.0</v>
      </c>
      <c r="T1595" s="11">
        <v>65.78</v>
      </c>
      <c r="U1595" s="11" t="s">
        <v>51</v>
      </c>
      <c r="V1595" s="10" t="s">
        <v>52</v>
      </c>
      <c r="W1595" s="10" t="s">
        <v>15996</v>
      </c>
      <c r="X1595" s="10" t="s">
        <v>15997</v>
      </c>
      <c r="Y1595" s="10" t="s">
        <v>15998</v>
      </c>
      <c r="Z1595" s="10" t="s">
        <v>50</v>
      </c>
      <c r="AA1595" s="10" t="s">
        <v>50</v>
      </c>
      <c r="AB1595" s="10" t="s">
        <v>15996</v>
      </c>
      <c r="AC1595" s="10" t="s">
        <v>15999</v>
      </c>
      <c r="AD1595" s="10" t="s">
        <v>16000</v>
      </c>
      <c r="AE1595" s="10" t="s">
        <v>16001</v>
      </c>
      <c r="AF1595" s="10" t="s">
        <v>58</v>
      </c>
      <c r="AG1595" s="10" t="s">
        <v>16002</v>
      </c>
      <c r="AH1595" s="10" t="s">
        <v>60</v>
      </c>
      <c r="AI1595" s="10" t="s">
        <v>13406</v>
      </c>
      <c r="AJ1595" s="10" t="s">
        <v>15008</v>
      </c>
      <c r="AK1595" s="10" t="s">
        <v>16003</v>
      </c>
      <c r="AL1595" s="10" t="s">
        <v>64</v>
      </c>
      <c r="AM1595" s="10" t="s">
        <v>16004</v>
      </c>
      <c r="AN1595" s="10" t="s">
        <v>50</v>
      </c>
      <c r="AO1595" s="11" t="s">
        <v>50</v>
      </c>
      <c r="AP1595" s="10" t="s">
        <v>50</v>
      </c>
      <c r="AQ1595" s="10" t="s">
        <v>50</v>
      </c>
      <c r="AR1595" s="10" t="s">
        <v>50</v>
      </c>
      <c r="AS1595" s="10" t="s">
        <v>50</v>
      </c>
      <c r="AT1595" s="10" t="s">
        <v>50</v>
      </c>
      <c r="AU1595" s="10" t="s">
        <v>50</v>
      </c>
      <c r="AV1595" s="11"/>
      <c r="AW1595" s="10" t="s">
        <v>66</v>
      </c>
      <c r="AX1595" s="10"/>
      <c r="AY1595" s="10" t="s">
        <v>66</v>
      </c>
    </row>
    <row r="1596" ht="22.5" hidden="1" customHeight="1">
      <c r="A1596" s="9" t="s">
        <v>16005</v>
      </c>
      <c r="B1596" s="10" t="s">
        <v>16006</v>
      </c>
      <c r="C1596" s="10" t="s">
        <v>43</v>
      </c>
      <c r="D1596" s="10" t="s">
        <v>13108</v>
      </c>
      <c r="E1596" s="10" t="s">
        <v>45</v>
      </c>
      <c r="F1596" s="11">
        <v>2.0</v>
      </c>
      <c r="G1596" s="11">
        <v>240.0</v>
      </c>
      <c r="H1596" s="11"/>
      <c r="I1596" s="11">
        <v>-40.8</v>
      </c>
      <c r="J1596" s="11">
        <v>-39.9</v>
      </c>
      <c r="K1596" s="11"/>
      <c r="L1596" s="11">
        <v>173.7</v>
      </c>
      <c r="M1596" s="10" t="s">
        <v>12218</v>
      </c>
      <c r="N1596" s="10" t="s">
        <v>45</v>
      </c>
      <c r="O1596" s="10" t="s">
        <v>85</v>
      </c>
      <c r="P1596" s="10" t="s">
        <v>86</v>
      </c>
      <c r="Q1596" s="10" t="s">
        <v>87</v>
      </c>
      <c r="R1596" s="10" t="s">
        <v>74</v>
      </c>
      <c r="S1596" s="11">
        <v>120.0</v>
      </c>
      <c r="T1596" s="11">
        <f>2*65.78</f>
        <v>131.56</v>
      </c>
      <c r="U1596" s="11" t="s">
        <v>51</v>
      </c>
      <c r="V1596" s="10" t="s">
        <v>52</v>
      </c>
      <c r="W1596" s="10" t="s">
        <v>16007</v>
      </c>
      <c r="X1596" s="10" t="s">
        <v>16008</v>
      </c>
      <c r="Y1596" s="10" t="s">
        <v>16009</v>
      </c>
      <c r="Z1596" s="10" t="s">
        <v>50</v>
      </c>
      <c r="AA1596" s="10" t="s">
        <v>50</v>
      </c>
      <c r="AB1596" s="10" t="s">
        <v>16007</v>
      </c>
      <c r="AC1596" s="10" t="s">
        <v>16010</v>
      </c>
      <c r="AD1596" s="10" t="s">
        <v>16011</v>
      </c>
      <c r="AE1596" s="10" t="s">
        <v>16012</v>
      </c>
      <c r="AF1596" s="10" t="s">
        <v>2648</v>
      </c>
      <c r="AG1596" s="10" t="s">
        <v>16013</v>
      </c>
      <c r="AH1596" s="10" t="s">
        <v>60</v>
      </c>
      <c r="AI1596" s="10" t="s">
        <v>13406</v>
      </c>
      <c r="AJ1596" s="10" t="s">
        <v>15757</v>
      </c>
      <c r="AK1596" s="10" t="s">
        <v>16014</v>
      </c>
      <c r="AL1596" s="10" t="s">
        <v>64</v>
      </c>
      <c r="AM1596" s="10" t="s">
        <v>16015</v>
      </c>
      <c r="AN1596" s="10" t="s">
        <v>50</v>
      </c>
      <c r="AO1596" s="11" t="s">
        <v>50</v>
      </c>
      <c r="AP1596" s="10" t="s">
        <v>50</v>
      </c>
      <c r="AQ1596" s="10" t="s">
        <v>50</v>
      </c>
      <c r="AR1596" s="10" t="s">
        <v>50</v>
      </c>
      <c r="AS1596" s="10" t="s">
        <v>50</v>
      </c>
      <c r="AT1596" s="10" t="s">
        <v>50</v>
      </c>
      <c r="AU1596" s="10" t="s">
        <v>50</v>
      </c>
      <c r="AV1596" s="11"/>
      <c r="AW1596" s="10" t="s">
        <v>66</v>
      </c>
      <c r="AX1596" s="10"/>
      <c r="AY1596" s="10" t="s">
        <v>66</v>
      </c>
    </row>
    <row r="1597" ht="22.5" hidden="1" customHeight="1">
      <c r="A1597" s="9" t="s">
        <v>16016</v>
      </c>
      <c r="B1597" s="10" t="s">
        <v>16017</v>
      </c>
      <c r="C1597" s="10" t="s">
        <v>43</v>
      </c>
      <c r="D1597" s="10" t="s">
        <v>13120</v>
      </c>
      <c r="E1597" s="10" t="s">
        <v>45</v>
      </c>
      <c r="F1597" s="11">
        <v>2.0</v>
      </c>
      <c r="G1597" s="11">
        <v>87.4</v>
      </c>
      <c r="H1597" s="11">
        <v>12.01</v>
      </c>
      <c r="I1597" s="11">
        <v>-26.86</v>
      </c>
      <c r="J1597" s="11">
        <v>-12.01</v>
      </c>
      <c r="K1597" s="11"/>
      <c r="L1597" s="11">
        <v>65.78</v>
      </c>
      <c r="M1597" s="10" t="s">
        <v>12218</v>
      </c>
      <c r="N1597" s="10" t="s">
        <v>50</v>
      </c>
      <c r="O1597" s="10" t="s">
        <v>176</v>
      </c>
      <c r="P1597" s="10" t="s">
        <v>177</v>
      </c>
      <c r="Q1597" s="10" t="s">
        <v>178</v>
      </c>
      <c r="R1597" s="10" t="s">
        <v>74</v>
      </c>
      <c r="S1597" s="11">
        <v>43.7</v>
      </c>
      <c r="T1597" s="11">
        <f t="shared" ref="T1597:T1598" si="8">2*22.58</f>
        <v>45.16</v>
      </c>
      <c r="U1597" s="11" t="s">
        <v>51</v>
      </c>
      <c r="V1597" s="10" t="s">
        <v>52</v>
      </c>
      <c r="W1597" s="10" t="s">
        <v>16018</v>
      </c>
      <c r="X1597" s="10" t="s">
        <v>16019</v>
      </c>
      <c r="Y1597" s="10" t="s">
        <v>16020</v>
      </c>
      <c r="Z1597" s="10" t="s">
        <v>50</v>
      </c>
      <c r="AA1597" s="10" t="s">
        <v>50</v>
      </c>
      <c r="AB1597" s="10" t="s">
        <v>16018</v>
      </c>
      <c r="AC1597" s="10" t="s">
        <v>16021</v>
      </c>
      <c r="AD1597" s="10" t="s">
        <v>16022</v>
      </c>
      <c r="AE1597" s="10" t="s">
        <v>1346</v>
      </c>
      <c r="AF1597" s="10" t="s">
        <v>1347</v>
      </c>
      <c r="AG1597" s="10" t="s">
        <v>16023</v>
      </c>
      <c r="AH1597" s="10" t="s">
        <v>60</v>
      </c>
      <c r="AI1597" s="10" t="s">
        <v>13406</v>
      </c>
      <c r="AJ1597" s="10" t="s">
        <v>15757</v>
      </c>
      <c r="AK1597" s="10" t="s">
        <v>16024</v>
      </c>
      <c r="AL1597" s="10" t="s">
        <v>64</v>
      </c>
      <c r="AM1597" s="10" t="s">
        <v>16025</v>
      </c>
      <c r="AN1597" s="10" t="s">
        <v>50</v>
      </c>
      <c r="AO1597" s="11" t="s">
        <v>50</v>
      </c>
      <c r="AP1597" s="10" t="s">
        <v>50</v>
      </c>
      <c r="AQ1597" s="10" t="s">
        <v>50</v>
      </c>
      <c r="AR1597" s="10" t="s">
        <v>50</v>
      </c>
      <c r="AS1597" s="10" t="s">
        <v>50</v>
      </c>
      <c r="AT1597" s="10" t="s">
        <v>50</v>
      </c>
      <c r="AU1597" s="10" t="s">
        <v>50</v>
      </c>
      <c r="AV1597" s="11"/>
      <c r="AW1597" s="10" t="s">
        <v>66</v>
      </c>
      <c r="AX1597" s="10"/>
      <c r="AY1597" s="10" t="s">
        <v>66</v>
      </c>
    </row>
    <row r="1598" ht="22.5" hidden="1" customHeight="1">
      <c r="A1598" s="9" t="s">
        <v>16026</v>
      </c>
      <c r="B1598" s="10" t="s">
        <v>16027</v>
      </c>
      <c r="C1598" s="10" t="s">
        <v>43</v>
      </c>
      <c r="D1598" s="10" t="s">
        <v>14923</v>
      </c>
      <c r="E1598" s="10" t="s">
        <v>45</v>
      </c>
      <c r="F1598" s="11">
        <v>2.0</v>
      </c>
      <c r="G1598" s="11">
        <v>87.4</v>
      </c>
      <c r="H1598" s="11"/>
      <c r="I1598" s="11">
        <v>-26.86</v>
      </c>
      <c r="J1598" s="11"/>
      <c r="K1598" s="11"/>
      <c r="L1598" s="11">
        <v>65.78</v>
      </c>
      <c r="M1598" s="10" t="s">
        <v>12218</v>
      </c>
      <c r="N1598" s="10" t="s">
        <v>50</v>
      </c>
      <c r="O1598" s="10" t="s">
        <v>176</v>
      </c>
      <c r="P1598" s="10" t="s">
        <v>177</v>
      </c>
      <c r="Q1598" s="10" t="s">
        <v>178</v>
      </c>
      <c r="R1598" s="10" t="s">
        <v>74</v>
      </c>
      <c r="S1598" s="11">
        <v>43.7</v>
      </c>
      <c r="T1598" s="11">
        <f t="shared" si="8"/>
        <v>45.16</v>
      </c>
      <c r="U1598" s="11" t="s">
        <v>51</v>
      </c>
      <c r="V1598" s="10" t="s">
        <v>52</v>
      </c>
      <c r="W1598" s="10" t="s">
        <v>16028</v>
      </c>
      <c r="X1598" s="10" t="s">
        <v>16029</v>
      </c>
      <c r="Y1598" s="10" t="s">
        <v>16030</v>
      </c>
      <c r="Z1598" s="10" t="s">
        <v>50</v>
      </c>
      <c r="AA1598" s="10" t="s">
        <v>50</v>
      </c>
      <c r="AB1598" s="10" t="s">
        <v>16028</v>
      </c>
      <c r="AC1598" s="10" t="s">
        <v>16031</v>
      </c>
      <c r="AD1598" s="10" t="s">
        <v>16032</v>
      </c>
      <c r="AE1598" s="10" t="s">
        <v>857</v>
      </c>
      <c r="AF1598" s="10" t="s">
        <v>58</v>
      </c>
      <c r="AG1598" s="10" t="s">
        <v>16033</v>
      </c>
      <c r="AH1598" s="10" t="s">
        <v>60</v>
      </c>
      <c r="AI1598" s="10" t="s">
        <v>13406</v>
      </c>
      <c r="AJ1598" s="10" t="s">
        <v>15085</v>
      </c>
      <c r="AK1598" s="10" t="s">
        <v>16034</v>
      </c>
      <c r="AL1598" s="10" t="s">
        <v>64</v>
      </c>
      <c r="AM1598" s="10" t="s">
        <v>16035</v>
      </c>
      <c r="AN1598" s="10" t="s">
        <v>50</v>
      </c>
      <c r="AO1598" s="11" t="s">
        <v>50</v>
      </c>
      <c r="AP1598" s="10" t="s">
        <v>50</v>
      </c>
      <c r="AQ1598" s="10" t="s">
        <v>50</v>
      </c>
      <c r="AR1598" s="10" t="s">
        <v>50</v>
      </c>
      <c r="AS1598" s="10" t="s">
        <v>50</v>
      </c>
      <c r="AT1598" s="10" t="s">
        <v>50</v>
      </c>
      <c r="AU1598" s="10" t="s">
        <v>50</v>
      </c>
      <c r="AV1598" s="11"/>
      <c r="AW1598" s="10" t="s">
        <v>66</v>
      </c>
      <c r="AX1598" s="10"/>
      <c r="AY1598" s="10" t="s">
        <v>66</v>
      </c>
    </row>
    <row r="1599" ht="22.5" hidden="1" customHeight="1">
      <c r="A1599" s="9" t="s">
        <v>16036</v>
      </c>
      <c r="B1599" s="10" t="s">
        <v>16037</v>
      </c>
      <c r="C1599" s="10" t="s">
        <v>43</v>
      </c>
      <c r="D1599" s="10" t="s">
        <v>14945</v>
      </c>
      <c r="E1599" s="10" t="s">
        <v>45</v>
      </c>
      <c r="F1599" s="11">
        <v>1.0</v>
      </c>
      <c r="G1599" s="11">
        <v>43.7</v>
      </c>
      <c r="H1599" s="11">
        <v>17.95</v>
      </c>
      <c r="I1599" s="11">
        <v>-13.43</v>
      </c>
      <c r="J1599" s="11">
        <v>-17.95</v>
      </c>
      <c r="K1599" s="11"/>
      <c r="L1599" s="11">
        <v>32.89</v>
      </c>
      <c r="M1599" s="10" t="s">
        <v>12218</v>
      </c>
      <c r="N1599" s="10" t="s">
        <v>50</v>
      </c>
      <c r="O1599" s="10" t="s">
        <v>176</v>
      </c>
      <c r="P1599" s="10" t="s">
        <v>177</v>
      </c>
      <c r="Q1599" s="10" t="s">
        <v>178</v>
      </c>
      <c r="R1599" s="10" t="s">
        <v>74</v>
      </c>
      <c r="S1599" s="11">
        <v>43.7</v>
      </c>
      <c r="T1599" s="11">
        <v>22.58</v>
      </c>
      <c r="U1599" s="11" t="s">
        <v>51</v>
      </c>
      <c r="V1599" s="10" t="s">
        <v>52</v>
      </c>
      <c r="W1599" s="10" t="s">
        <v>16038</v>
      </c>
      <c r="X1599" s="10" t="s">
        <v>16039</v>
      </c>
      <c r="Y1599" s="10" t="s">
        <v>16040</v>
      </c>
      <c r="Z1599" s="10" t="s">
        <v>50</v>
      </c>
      <c r="AA1599" s="10" t="s">
        <v>50</v>
      </c>
      <c r="AB1599" s="10" t="s">
        <v>16038</v>
      </c>
      <c r="AC1599" s="10" t="s">
        <v>16041</v>
      </c>
      <c r="AD1599" s="10" t="s">
        <v>16042</v>
      </c>
      <c r="AE1599" s="10" t="s">
        <v>10789</v>
      </c>
      <c r="AF1599" s="10" t="s">
        <v>151</v>
      </c>
      <c r="AG1599" s="10" t="s">
        <v>16043</v>
      </c>
      <c r="AH1599" s="10" t="s">
        <v>60</v>
      </c>
      <c r="AI1599" s="10" t="s">
        <v>13406</v>
      </c>
      <c r="AJ1599" s="10" t="s">
        <v>15194</v>
      </c>
      <c r="AK1599" s="10" t="s">
        <v>16044</v>
      </c>
      <c r="AL1599" s="10" t="s">
        <v>64</v>
      </c>
      <c r="AM1599" s="10" t="s">
        <v>16045</v>
      </c>
      <c r="AN1599" s="10" t="s">
        <v>16046</v>
      </c>
      <c r="AO1599" s="11" t="s">
        <v>50</v>
      </c>
      <c r="AP1599" s="10" t="s">
        <v>50</v>
      </c>
      <c r="AQ1599" s="10" t="s">
        <v>50</v>
      </c>
      <c r="AR1599" s="10" t="s">
        <v>50</v>
      </c>
      <c r="AS1599" s="10" t="s">
        <v>50</v>
      </c>
      <c r="AT1599" s="10" t="s">
        <v>50</v>
      </c>
      <c r="AU1599" s="10" t="s">
        <v>50</v>
      </c>
      <c r="AV1599" s="11"/>
      <c r="AW1599" s="10" t="s">
        <v>66</v>
      </c>
      <c r="AX1599" s="10"/>
      <c r="AY1599" s="10" t="s">
        <v>66</v>
      </c>
    </row>
    <row r="1600" ht="22.5" hidden="1" customHeight="1">
      <c r="A1600" s="9" t="s">
        <v>16047</v>
      </c>
      <c r="B1600" s="10" t="s">
        <v>16048</v>
      </c>
      <c r="C1600" s="10" t="s">
        <v>43</v>
      </c>
      <c r="D1600" s="10" t="s">
        <v>13120</v>
      </c>
      <c r="E1600" s="10" t="s">
        <v>45</v>
      </c>
      <c r="F1600" s="11">
        <v>1.0</v>
      </c>
      <c r="G1600" s="11">
        <v>120.0</v>
      </c>
      <c r="H1600" s="11"/>
      <c r="I1600" s="11">
        <v>-20.4</v>
      </c>
      <c r="J1600" s="11">
        <v>-19.95</v>
      </c>
      <c r="K1600" s="11"/>
      <c r="L1600" s="11">
        <v>86.85</v>
      </c>
      <c r="M1600" s="10" t="s">
        <v>12218</v>
      </c>
      <c r="N1600" s="10" t="s">
        <v>50</v>
      </c>
      <c r="O1600" s="10" t="s">
        <v>85</v>
      </c>
      <c r="P1600" s="10" t="s">
        <v>86</v>
      </c>
      <c r="Q1600" s="10" t="s">
        <v>87</v>
      </c>
      <c r="R1600" s="10" t="s">
        <v>74</v>
      </c>
      <c r="S1600" s="11">
        <v>120.0</v>
      </c>
      <c r="T1600" s="11">
        <v>65.78</v>
      </c>
      <c r="U1600" s="11" t="s">
        <v>51</v>
      </c>
      <c r="V1600" s="10" t="s">
        <v>52</v>
      </c>
      <c r="W1600" s="10" t="s">
        <v>16049</v>
      </c>
      <c r="X1600" s="10" t="s">
        <v>16050</v>
      </c>
      <c r="Y1600" s="10" t="s">
        <v>16051</v>
      </c>
      <c r="Z1600" s="10" t="s">
        <v>50</v>
      </c>
      <c r="AA1600" s="10" t="s">
        <v>50</v>
      </c>
      <c r="AB1600" s="10" t="s">
        <v>16049</v>
      </c>
      <c r="AC1600" s="10" t="s">
        <v>16052</v>
      </c>
      <c r="AD1600" s="10" t="s">
        <v>16053</v>
      </c>
      <c r="AE1600" s="10" t="s">
        <v>16054</v>
      </c>
      <c r="AF1600" s="10" t="s">
        <v>284</v>
      </c>
      <c r="AG1600" s="10" t="s">
        <v>16055</v>
      </c>
      <c r="AH1600" s="10" t="s">
        <v>60</v>
      </c>
      <c r="AI1600" s="10" t="s">
        <v>13406</v>
      </c>
      <c r="AJ1600" s="10" t="s">
        <v>15216</v>
      </c>
      <c r="AK1600" s="10" t="s">
        <v>16056</v>
      </c>
      <c r="AL1600" s="10" t="s">
        <v>64</v>
      </c>
      <c r="AM1600" s="10" t="s">
        <v>16057</v>
      </c>
      <c r="AN1600" s="10" t="s">
        <v>50</v>
      </c>
      <c r="AO1600" s="11" t="s">
        <v>50</v>
      </c>
      <c r="AP1600" s="10" t="s">
        <v>50</v>
      </c>
      <c r="AQ1600" s="10" t="s">
        <v>50</v>
      </c>
      <c r="AR1600" s="10" t="s">
        <v>50</v>
      </c>
      <c r="AS1600" s="10" t="s">
        <v>50</v>
      </c>
      <c r="AT1600" s="10" t="s">
        <v>50</v>
      </c>
      <c r="AU1600" s="10" t="s">
        <v>50</v>
      </c>
      <c r="AV1600" s="11"/>
      <c r="AW1600" s="10" t="s">
        <v>66</v>
      </c>
      <c r="AX1600" s="10"/>
      <c r="AY1600" s="10" t="s">
        <v>66</v>
      </c>
    </row>
    <row r="1601" ht="22.5" hidden="1" customHeight="1">
      <c r="A1601" s="9" t="s">
        <v>16058</v>
      </c>
      <c r="B1601" s="10" t="s">
        <v>16059</v>
      </c>
      <c r="C1601" s="10" t="s">
        <v>43</v>
      </c>
      <c r="D1601" s="10" t="s">
        <v>14923</v>
      </c>
      <c r="E1601" s="10" t="s">
        <v>66</v>
      </c>
      <c r="F1601" s="11">
        <v>1.0</v>
      </c>
      <c r="G1601" s="11">
        <v>79.2</v>
      </c>
      <c r="H1601" s="11"/>
      <c r="I1601" s="11">
        <v>-13.46</v>
      </c>
      <c r="J1601" s="11">
        <v>-20.45</v>
      </c>
      <c r="K1601" s="11"/>
      <c r="L1601" s="11">
        <v>45.29</v>
      </c>
      <c r="M1601" s="10" t="s">
        <v>12218</v>
      </c>
      <c r="N1601" s="10" t="s">
        <v>45</v>
      </c>
      <c r="O1601" s="10" t="s">
        <v>892</v>
      </c>
      <c r="P1601" s="10" t="s">
        <v>893</v>
      </c>
      <c r="Q1601" s="10" t="s">
        <v>894</v>
      </c>
      <c r="R1601" s="10" t="s">
        <v>74</v>
      </c>
      <c r="S1601" s="11">
        <v>79.2</v>
      </c>
      <c r="T1601" s="11">
        <v>2.97</v>
      </c>
      <c r="U1601" s="11" t="s">
        <v>51</v>
      </c>
      <c r="V1601" s="10" t="s">
        <v>52</v>
      </c>
      <c r="W1601" s="10" t="s">
        <v>16060</v>
      </c>
      <c r="X1601" s="10" t="s">
        <v>16061</v>
      </c>
      <c r="Y1601" s="10" t="s">
        <v>16062</v>
      </c>
      <c r="Z1601" s="10" t="s">
        <v>50</v>
      </c>
      <c r="AA1601" s="10" t="s">
        <v>50</v>
      </c>
      <c r="AB1601" s="10" t="s">
        <v>16060</v>
      </c>
      <c r="AC1601" s="10" t="s">
        <v>16063</v>
      </c>
      <c r="AD1601" s="10" t="s">
        <v>16064</v>
      </c>
      <c r="AE1601" s="10" t="s">
        <v>58</v>
      </c>
      <c r="AF1601" s="10" t="s">
        <v>58</v>
      </c>
      <c r="AG1601" s="10" t="s">
        <v>16065</v>
      </c>
      <c r="AH1601" s="10" t="s">
        <v>60</v>
      </c>
      <c r="AI1601" s="10" t="s">
        <v>13406</v>
      </c>
      <c r="AJ1601" s="10" t="s">
        <v>14930</v>
      </c>
      <c r="AK1601" s="10" t="s">
        <v>16066</v>
      </c>
      <c r="AL1601" s="10" t="s">
        <v>64</v>
      </c>
      <c r="AM1601" s="10" t="s">
        <v>16067</v>
      </c>
      <c r="AN1601" s="10" t="s">
        <v>50</v>
      </c>
      <c r="AO1601" s="11" t="s">
        <v>50</v>
      </c>
      <c r="AP1601" s="10" t="s">
        <v>50</v>
      </c>
      <c r="AQ1601" s="10" t="s">
        <v>50</v>
      </c>
      <c r="AR1601" s="10" t="s">
        <v>50</v>
      </c>
      <c r="AS1601" s="10" t="s">
        <v>50</v>
      </c>
      <c r="AT1601" s="10" t="s">
        <v>50</v>
      </c>
      <c r="AU1601" s="10" t="s">
        <v>50</v>
      </c>
      <c r="AV1601" s="11"/>
      <c r="AW1601" s="10" t="s">
        <v>66</v>
      </c>
      <c r="AX1601" s="10"/>
      <c r="AY1601" s="10" t="s">
        <v>66</v>
      </c>
    </row>
    <row r="1602" ht="22.5" hidden="1" customHeight="1">
      <c r="A1602" s="9" t="s">
        <v>16068</v>
      </c>
      <c r="B1602" s="10" t="s">
        <v>16069</v>
      </c>
      <c r="C1602" s="10" t="s">
        <v>69</v>
      </c>
      <c r="D1602" s="10" t="s">
        <v>50</v>
      </c>
      <c r="E1602" s="10" t="s">
        <v>45</v>
      </c>
      <c r="F1602" s="11">
        <v>1.0</v>
      </c>
      <c r="G1602" s="11">
        <v>43.7</v>
      </c>
      <c r="H1602" s="11">
        <v>18.9</v>
      </c>
      <c r="I1602" s="11">
        <v>-13.43</v>
      </c>
      <c r="J1602" s="11">
        <v>-18.9</v>
      </c>
      <c r="K1602" s="11">
        <v>-32.89</v>
      </c>
      <c r="L1602" s="11">
        <v>0.0</v>
      </c>
      <c r="M1602" s="10" t="s">
        <v>12218</v>
      </c>
      <c r="N1602" s="10" t="s">
        <v>50</v>
      </c>
      <c r="O1602" s="10" t="s">
        <v>176</v>
      </c>
      <c r="P1602" s="10" t="s">
        <v>177</v>
      </c>
      <c r="Q1602" s="10" t="s">
        <v>178</v>
      </c>
      <c r="R1602" s="10" t="s">
        <v>74</v>
      </c>
      <c r="S1602" s="11">
        <v>43.7</v>
      </c>
      <c r="T1602" s="11"/>
      <c r="U1602" s="11" t="s">
        <v>51</v>
      </c>
      <c r="V1602" s="10" t="s">
        <v>75</v>
      </c>
      <c r="W1602" s="10" t="s">
        <v>16038</v>
      </c>
      <c r="X1602" s="10" t="s">
        <v>16039</v>
      </c>
      <c r="Y1602" s="10" t="s">
        <v>16070</v>
      </c>
      <c r="Z1602" s="10" t="s">
        <v>50</v>
      </c>
      <c r="AA1602" s="10" t="s">
        <v>50</v>
      </c>
      <c r="AB1602" s="10" t="s">
        <v>16038</v>
      </c>
      <c r="AC1602" s="10" t="s">
        <v>16041</v>
      </c>
      <c r="AD1602" s="10" t="s">
        <v>50</v>
      </c>
      <c r="AE1602" s="10" t="s">
        <v>10789</v>
      </c>
      <c r="AF1602" s="10" t="s">
        <v>151</v>
      </c>
      <c r="AG1602" s="10" t="s">
        <v>16071</v>
      </c>
      <c r="AH1602" s="10" t="s">
        <v>60</v>
      </c>
      <c r="AI1602" s="10" t="s">
        <v>13406</v>
      </c>
      <c r="AJ1602" s="10" t="s">
        <v>50</v>
      </c>
      <c r="AK1602" s="10" t="s">
        <v>50</v>
      </c>
      <c r="AL1602" s="10" t="s">
        <v>64</v>
      </c>
      <c r="AM1602" s="10" t="s">
        <v>50</v>
      </c>
      <c r="AN1602" s="10" t="s">
        <v>50</v>
      </c>
      <c r="AO1602" s="11" t="s">
        <v>50</v>
      </c>
      <c r="AP1602" s="10" t="s">
        <v>50</v>
      </c>
      <c r="AQ1602" s="10" t="s">
        <v>50</v>
      </c>
      <c r="AR1602" s="10" t="s">
        <v>50</v>
      </c>
      <c r="AS1602" s="10" t="s">
        <v>50</v>
      </c>
      <c r="AT1602" s="10" t="s">
        <v>50</v>
      </c>
      <c r="AU1602" s="10" t="s">
        <v>50</v>
      </c>
      <c r="AV1602" s="11"/>
      <c r="AW1602" s="10" t="s">
        <v>66</v>
      </c>
      <c r="AX1602" s="10"/>
      <c r="AY1602" s="10" t="s">
        <v>66</v>
      </c>
    </row>
    <row r="1603" ht="22.5" hidden="1" customHeight="1">
      <c r="A1603" s="9" t="s">
        <v>16072</v>
      </c>
      <c r="B1603" s="10" t="s">
        <v>16073</v>
      </c>
      <c r="C1603" s="10" t="s">
        <v>43</v>
      </c>
      <c r="D1603" s="10" t="s">
        <v>13175</v>
      </c>
      <c r="E1603" s="10" t="s">
        <v>66</v>
      </c>
      <c r="F1603" s="11">
        <v>1.0</v>
      </c>
      <c r="G1603" s="11">
        <v>80.0</v>
      </c>
      <c r="H1603" s="11">
        <v>16.65</v>
      </c>
      <c r="I1603" s="11">
        <v>-13.6</v>
      </c>
      <c r="J1603" s="11">
        <v>-36.6</v>
      </c>
      <c r="K1603" s="11"/>
      <c r="L1603" s="11">
        <v>50.45</v>
      </c>
      <c r="M1603" s="10" t="s">
        <v>12218</v>
      </c>
      <c r="N1603" s="10" t="s">
        <v>45</v>
      </c>
      <c r="O1603" s="10" t="s">
        <v>143</v>
      </c>
      <c r="P1603" s="10" t="s">
        <v>144</v>
      </c>
      <c r="Q1603" s="10" t="s">
        <v>145</v>
      </c>
      <c r="R1603" s="10" t="s">
        <v>74</v>
      </c>
      <c r="S1603" s="11">
        <v>80.0</v>
      </c>
      <c r="T1603" s="11">
        <v>33.38</v>
      </c>
      <c r="U1603" s="11" t="s">
        <v>51</v>
      </c>
      <c r="V1603" s="10" t="s">
        <v>52</v>
      </c>
      <c r="W1603" s="10" t="s">
        <v>16074</v>
      </c>
      <c r="X1603" s="10" t="s">
        <v>16075</v>
      </c>
      <c r="Y1603" s="10" t="s">
        <v>16076</v>
      </c>
      <c r="Z1603" s="10" t="s">
        <v>50</v>
      </c>
      <c r="AA1603" s="10" t="s">
        <v>50</v>
      </c>
      <c r="AB1603" s="10" t="s">
        <v>16074</v>
      </c>
      <c r="AC1603" s="10" t="s">
        <v>16077</v>
      </c>
      <c r="AD1603" s="10" t="s">
        <v>16078</v>
      </c>
      <c r="AE1603" s="10" t="s">
        <v>6437</v>
      </c>
      <c r="AF1603" s="10" t="s">
        <v>2636</v>
      </c>
      <c r="AG1603" s="10" t="s">
        <v>16079</v>
      </c>
      <c r="AH1603" s="10" t="s">
        <v>60</v>
      </c>
      <c r="AI1603" s="10" t="s">
        <v>13406</v>
      </c>
      <c r="AJ1603" s="10" t="s">
        <v>15757</v>
      </c>
      <c r="AK1603" s="10" t="s">
        <v>16080</v>
      </c>
      <c r="AL1603" s="10" t="s">
        <v>64</v>
      </c>
      <c r="AM1603" s="10" t="s">
        <v>16081</v>
      </c>
      <c r="AN1603" s="10" t="s">
        <v>50</v>
      </c>
      <c r="AO1603" s="11" t="s">
        <v>50</v>
      </c>
      <c r="AP1603" s="10" t="s">
        <v>50</v>
      </c>
      <c r="AQ1603" s="10" t="s">
        <v>50</v>
      </c>
      <c r="AR1603" s="10" t="s">
        <v>50</v>
      </c>
      <c r="AS1603" s="10" t="s">
        <v>50</v>
      </c>
      <c r="AT1603" s="10" t="s">
        <v>50</v>
      </c>
      <c r="AU1603" s="10" t="s">
        <v>50</v>
      </c>
      <c r="AV1603" s="11"/>
      <c r="AW1603" s="10" t="s">
        <v>66</v>
      </c>
      <c r="AX1603" s="10"/>
      <c r="AY1603" s="10" t="s">
        <v>66</v>
      </c>
    </row>
    <row r="1604" ht="22.5" hidden="1" customHeight="1">
      <c r="A1604" s="9" t="s">
        <v>16082</v>
      </c>
      <c r="B1604" s="10" t="s">
        <v>16083</v>
      </c>
      <c r="C1604" s="10" t="s">
        <v>43</v>
      </c>
      <c r="D1604" s="10" t="s">
        <v>14923</v>
      </c>
      <c r="E1604" s="10" t="s">
        <v>66</v>
      </c>
      <c r="F1604" s="11">
        <v>1.0</v>
      </c>
      <c r="G1604" s="11">
        <v>80.0</v>
      </c>
      <c r="H1604" s="11"/>
      <c r="I1604" s="11">
        <v>-13.6</v>
      </c>
      <c r="J1604" s="11">
        <v>-19.95</v>
      </c>
      <c r="K1604" s="11"/>
      <c r="L1604" s="11">
        <v>50.45</v>
      </c>
      <c r="M1604" s="10" t="s">
        <v>12218</v>
      </c>
      <c r="N1604" s="10" t="s">
        <v>50</v>
      </c>
      <c r="O1604" s="10" t="s">
        <v>143</v>
      </c>
      <c r="P1604" s="10" t="s">
        <v>144</v>
      </c>
      <c r="Q1604" s="10" t="s">
        <v>145</v>
      </c>
      <c r="R1604" s="10" t="s">
        <v>74</v>
      </c>
      <c r="S1604" s="11">
        <v>80.0</v>
      </c>
      <c r="T1604" s="11">
        <v>33.38</v>
      </c>
      <c r="U1604" s="11" t="s">
        <v>51</v>
      </c>
      <c r="V1604" s="10" t="s">
        <v>52</v>
      </c>
      <c r="W1604" s="10" t="s">
        <v>16084</v>
      </c>
      <c r="X1604" s="10" t="s">
        <v>16085</v>
      </c>
      <c r="Y1604" s="10" t="s">
        <v>16086</v>
      </c>
      <c r="Z1604" s="10" t="s">
        <v>50</v>
      </c>
      <c r="AA1604" s="10" t="s">
        <v>50</v>
      </c>
      <c r="AB1604" s="10" t="s">
        <v>16084</v>
      </c>
      <c r="AC1604" s="10" t="s">
        <v>16087</v>
      </c>
      <c r="AD1604" s="10" t="s">
        <v>16088</v>
      </c>
      <c r="AE1604" s="10" t="s">
        <v>1861</v>
      </c>
      <c r="AF1604" s="10" t="s">
        <v>58</v>
      </c>
      <c r="AG1604" s="10" t="s">
        <v>16089</v>
      </c>
      <c r="AH1604" s="10" t="s">
        <v>60</v>
      </c>
      <c r="AI1604" s="10" t="s">
        <v>13406</v>
      </c>
      <c r="AJ1604" s="10" t="s">
        <v>14930</v>
      </c>
      <c r="AK1604" s="10" t="s">
        <v>16090</v>
      </c>
      <c r="AL1604" s="10" t="s">
        <v>64</v>
      </c>
      <c r="AM1604" s="10" t="s">
        <v>16091</v>
      </c>
      <c r="AN1604" s="10" t="s">
        <v>50</v>
      </c>
      <c r="AO1604" s="11" t="s">
        <v>50</v>
      </c>
      <c r="AP1604" s="10" t="s">
        <v>50</v>
      </c>
      <c r="AQ1604" s="10" t="s">
        <v>50</v>
      </c>
      <c r="AR1604" s="10" t="s">
        <v>50</v>
      </c>
      <c r="AS1604" s="10" t="s">
        <v>50</v>
      </c>
      <c r="AT1604" s="10" t="s">
        <v>50</v>
      </c>
      <c r="AU1604" s="10" t="s">
        <v>50</v>
      </c>
      <c r="AV1604" s="11"/>
      <c r="AW1604" s="10" t="s">
        <v>66</v>
      </c>
      <c r="AX1604" s="10"/>
      <c r="AY1604" s="10" t="s">
        <v>66</v>
      </c>
    </row>
    <row r="1605" ht="22.5" hidden="1" customHeight="1">
      <c r="A1605" s="9" t="s">
        <v>16092</v>
      </c>
      <c r="B1605" s="10" t="s">
        <v>16093</v>
      </c>
      <c r="C1605" s="10" t="s">
        <v>43</v>
      </c>
      <c r="D1605" s="10" t="s">
        <v>13108</v>
      </c>
      <c r="E1605" s="10" t="s">
        <v>66</v>
      </c>
      <c r="F1605" s="11">
        <v>1.0</v>
      </c>
      <c r="G1605" s="11">
        <v>79.35</v>
      </c>
      <c r="H1605" s="11">
        <v>16.7</v>
      </c>
      <c r="I1605" s="11">
        <v>-15.08</v>
      </c>
      <c r="J1605" s="11">
        <v>-36.65</v>
      </c>
      <c r="K1605" s="11"/>
      <c r="L1605" s="11">
        <v>44.32</v>
      </c>
      <c r="M1605" s="10" t="s">
        <v>12218</v>
      </c>
      <c r="N1605" s="10" t="s">
        <v>45</v>
      </c>
      <c r="O1605" s="10" t="s">
        <v>47</v>
      </c>
      <c r="P1605" s="10" t="s">
        <v>48</v>
      </c>
      <c r="Q1605" s="10" t="s">
        <v>49</v>
      </c>
      <c r="R1605" s="10" t="s">
        <v>50</v>
      </c>
      <c r="S1605" s="11">
        <v>79.35</v>
      </c>
      <c r="T1605" s="11">
        <v>12.45</v>
      </c>
      <c r="U1605" s="11" t="s">
        <v>51</v>
      </c>
      <c r="V1605" s="10" t="s">
        <v>52</v>
      </c>
      <c r="W1605" s="10" t="s">
        <v>16094</v>
      </c>
      <c r="X1605" s="10" t="s">
        <v>16095</v>
      </c>
      <c r="Y1605" s="10" t="s">
        <v>16096</v>
      </c>
      <c r="Z1605" s="10" t="s">
        <v>50</v>
      </c>
      <c r="AA1605" s="10" t="s">
        <v>50</v>
      </c>
      <c r="AB1605" s="10" t="s">
        <v>16094</v>
      </c>
      <c r="AC1605" s="10" t="s">
        <v>16097</v>
      </c>
      <c r="AD1605" s="10" t="s">
        <v>16098</v>
      </c>
      <c r="AE1605" s="10" t="s">
        <v>16099</v>
      </c>
      <c r="AF1605" s="10" t="s">
        <v>2636</v>
      </c>
      <c r="AG1605" s="10" t="s">
        <v>16100</v>
      </c>
      <c r="AH1605" s="10" t="s">
        <v>60</v>
      </c>
      <c r="AI1605" s="10" t="s">
        <v>13406</v>
      </c>
      <c r="AJ1605" s="10" t="s">
        <v>15085</v>
      </c>
      <c r="AK1605" s="10" t="s">
        <v>16101</v>
      </c>
      <c r="AL1605" s="10" t="s">
        <v>64</v>
      </c>
      <c r="AM1605" s="10" t="s">
        <v>16102</v>
      </c>
      <c r="AN1605" s="10" t="s">
        <v>50</v>
      </c>
      <c r="AO1605" s="11" t="s">
        <v>50</v>
      </c>
      <c r="AP1605" s="10" t="s">
        <v>50</v>
      </c>
      <c r="AQ1605" s="10" t="s">
        <v>50</v>
      </c>
      <c r="AR1605" s="10" t="s">
        <v>50</v>
      </c>
      <c r="AS1605" s="10" t="s">
        <v>50</v>
      </c>
      <c r="AT1605" s="10" t="s">
        <v>50</v>
      </c>
      <c r="AU1605" s="10" t="s">
        <v>50</v>
      </c>
      <c r="AV1605" s="11"/>
      <c r="AW1605" s="10" t="s">
        <v>66</v>
      </c>
      <c r="AX1605" s="10"/>
      <c r="AY1605" s="10" t="s">
        <v>66</v>
      </c>
    </row>
    <row r="1606" ht="22.5" hidden="1" customHeight="1">
      <c r="A1606" s="9" t="s">
        <v>16103</v>
      </c>
      <c r="B1606" s="10" t="s">
        <v>16093</v>
      </c>
      <c r="C1606" s="10" t="s">
        <v>43</v>
      </c>
      <c r="D1606" s="10" t="s">
        <v>13120</v>
      </c>
      <c r="E1606" s="10" t="s">
        <v>66</v>
      </c>
      <c r="F1606" s="11">
        <v>1.0</v>
      </c>
      <c r="G1606" s="11">
        <v>120.0</v>
      </c>
      <c r="H1606" s="11"/>
      <c r="I1606" s="11">
        <v>-20.4</v>
      </c>
      <c r="J1606" s="11">
        <v>-19.95</v>
      </c>
      <c r="K1606" s="11"/>
      <c r="L1606" s="11">
        <v>86.85</v>
      </c>
      <c r="M1606" s="10" t="s">
        <v>12218</v>
      </c>
      <c r="N1606" s="10" t="s">
        <v>50</v>
      </c>
      <c r="O1606" s="10" t="s">
        <v>85</v>
      </c>
      <c r="P1606" s="10" t="s">
        <v>86</v>
      </c>
      <c r="Q1606" s="10" t="s">
        <v>87</v>
      </c>
      <c r="R1606" s="10" t="s">
        <v>74</v>
      </c>
      <c r="S1606" s="11">
        <v>120.0</v>
      </c>
      <c r="T1606" s="11">
        <v>65.78</v>
      </c>
      <c r="U1606" s="11" t="s">
        <v>51</v>
      </c>
      <c r="V1606" s="10" t="s">
        <v>52</v>
      </c>
      <c r="W1606" s="10" t="s">
        <v>16104</v>
      </c>
      <c r="X1606" s="10" t="s">
        <v>16105</v>
      </c>
      <c r="Y1606" s="10" t="s">
        <v>16106</v>
      </c>
      <c r="Z1606" s="10" t="s">
        <v>50</v>
      </c>
      <c r="AA1606" s="10" t="s">
        <v>50</v>
      </c>
      <c r="AB1606" s="10" t="s">
        <v>16104</v>
      </c>
      <c r="AC1606" s="10" t="s">
        <v>16107</v>
      </c>
      <c r="AD1606" s="10" t="s">
        <v>16108</v>
      </c>
      <c r="AE1606" s="10" t="s">
        <v>1291</v>
      </c>
      <c r="AF1606" s="10" t="s">
        <v>201</v>
      </c>
      <c r="AG1606" s="10" t="s">
        <v>16109</v>
      </c>
      <c r="AH1606" s="10" t="s">
        <v>60</v>
      </c>
      <c r="AI1606" s="10" t="s">
        <v>13406</v>
      </c>
      <c r="AJ1606" s="10" t="s">
        <v>15085</v>
      </c>
      <c r="AK1606" s="10" t="s">
        <v>15315</v>
      </c>
      <c r="AL1606" s="10" t="s">
        <v>64</v>
      </c>
      <c r="AM1606" s="10" t="s">
        <v>16110</v>
      </c>
      <c r="AN1606" s="10" t="s">
        <v>50</v>
      </c>
      <c r="AO1606" s="11" t="s">
        <v>50</v>
      </c>
      <c r="AP1606" s="10" t="s">
        <v>50</v>
      </c>
      <c r="AQ1606" s="10" t="s">
        <v>50</v>
      </c>
      <c r="AR1606" s="10" t="s">
        <v>50</v>
      </c>
      <c r="AS1606" s="10" t="s">
        <v>50</v>
      </c>
      <c r="AT1606" s="10" t="s">
        <v>50</v>
      </c>
      <c r="AU1606" s="10" t="s">
        <v>50</v>
      </c>
      <c r="AV1606" s="11"/>
      <c r="AW1606" s="10" t="s">
        <v>66</v>
      </c>
      <c r="AX1606" s="10"/>
      <c r="AY1606" s="10" t="s">
        <v>66</v>
      </c>
    </row>
    <row r="1607" ht="22.5" hidden="1" customHeight="1">
      <c r="A1607" s="9" t="s">
        <v>16111</v>
      </c>
      <c r="B1607" s="10" t="s">
        <v>16112</v>
      </c>
      <c r="C1607" s="10" t="s">
        <v>43</v>
      </c>
      <c r="D1607" s="10" t="s">
        <v>14923</v>
      </c>
      <c r="E1607" s="10" t="s">
        <v>45</v>
      </c>
      <c r="F1607" s="11">
        <v>1.0</v>
      </c>
      <c r="G1607" s="11">
        <v>79.35</v>
      </c>
      <c r="H1607" s="11"/>
      <c r="I1607" s="11">
        <v>-15.08</v>
      </c>
      <c r="J1607" s="11">
        <v>-19.95</v>
      </c>
      <c r="K1607" s="11"/>
      <c r="L1607" s="11">
        <v>44.32</v>
      </c>
      <c r="M1607" s="10" t="s">
        <v>12218</v>
      </c>
      <c r="N1607" s="10" t="s">
        <v>45</v>
      </c>
      <c r="O1607" s="10" t="s">
        <v>47</v>
      </c>
      <c r="P1607" s="10" t="s">
        <v>48</v>
      </c>
      <c r="Q1607" s="10" t="s">
        <v>49</v>
      </c>
      <c r="R1607" s="10" t="s">
        <v>50</v>
      </c>
      <c r="S1607" s="11">
        <v>79.35</v>
      </c>
      <c r="T1607" s="11">
        <v>12.45</v>
      </c>
      <c r="U1607" s="11" t="s">
        <v>51</v>
      </c>
      <c r="V1607" s="10" t="s">
        <v>52</v>
      </c>
      <c r="W1607" s="10" t="s">
        <v>16113</v>
      </c>
      <c r="X1607" s="10" t="s">
        <v>16114</v>
      </c>
      <c r="Y1607" s="10" t="s">
        <v>16115</v>
      </c>
      <c r="Z1607" s="10" t="s">
        <v>50</v>
      </c>
      <c r="AA1607" s="10" t="s">
        <v>50</v>
      </c>
      <c r="AB1607" s="10" t="s">
        <v>16113</v>
      </c>
      <c r="AC1607" s="10" t="s">
        <v>16116</v>
      </c>
      <c r="AD1607" s="10" t="s">
        <v>16117</v>
      </c>
      <c r="AE1607" s="10" t="s">
        <v>58</v>
      </c>
      <c r="AF1607" s="10" t="s">
        <v>58</v>
      </c>
      <c r="AG1607" s="10" t="s">
        <v>16118</v>
      </c>
      <c r="AH1607" s="10" t="s">
        <v>60</v>
      </c>
      <c r="AI1607" s="10" t="s">
        <v>13406</v>
      </c>
      <c r="AJ1607" s="10" t="s">
        <v>15085</v>
      </c>
      <c r="AK1607" s="10" t="s">
        <v>16119</v>
      </c>
      <c r="AL1607" s="10" t="s">
        <v>64</v>
      </c>
      <c r="AM1607" s="10" t="s">
        <v>16120</v>
      </c>
      <c r="AN1607" s="10" t="s">
        <v>50</v>
      </c>
      <c r="AO1607" s="11" t="s">
        <v>50</v>
      </c>
      <c r="AP1607" s="10" t="s">
        <v>50</v>
      </c>
      <c r="AQ1607" s="10" t="s">
        <v>50</v>
      </c>
      <c r="AR1607" s="10" t="s">
        <v>50</v>
      </c>
      <c r="AS1607" s="10" t="s">
        <v>50</v>
      </c>
      <c r="AT1607" s="10" t="s">
        <v>50</v>
      </c>
      <c r="AU1607" s="10" t="s">
        <v>50</v>
      </c>
      <c r="AV1607" s="11"/>
      <c r="AW1607" s="10" t="s">
        <v>66</v>
      </c>
      <c r="AX1607" s="10"/>
      <c r="AY1607" s="10" t="s">
        <v>66</v>
      </c>
    </row>
    <row r="1608" ht="22.5" hidden="1" customHeight="1">
      <c r="A1608" s="9" t="s">
        <v>16121</v>
      </c>
      <c r="B1608" s="10" t="s">
        <v>16122</v>
      </c>
      <c r="C1608" s="10" t="s">
        <v>43</v>
      </c>
      <c r="D1608" s="10" t="s">
        <v>13120</v>
      </c>
      <c r="E1608" s="10" t="s">
        <v>66</v>
      </c>
      <c r="F1608" s="11">
        <v>1.0</v>
      </c>
      <c r="G1608" s="11">
        <v>79.0</v>
      </c>
      <c r="H1608" s="11"/>
      <c r="I1608" s="11">
        <v>-13.43</v>
      </c>
      <c r="J1608" s="11">
        <v>-20.45</v>
      </c>
      <c r="K1608" s="11"/>
      <c r="L1608" s="11">
        <v>45.12</v>
      </c>
      <c r="M1608" s="10" t="s">
        <v>12218</v>
      </c>
      <c r="N1608" s="10" t="s">
        <v>45</v>
      </c>
      <c r="O1608" s="10" t="s">
        <v>160</v>
      </c>
      <c r="P1608" s="10" t="s">
        <v>161</v>
      </c>
      <c r="Q1608" s="10" t="s">
        <v>162</v>
      </c>
      <c r="R1608" s="10" t="s">
        <v>74</v>
      </c>
      <c r="S1608" s="11">
        <v>79.0</v>
      </c>
      <c r="T1608" s="11">
        <v>2.49</v>
      </c>
      <c r="U1608" s="11" t="s">
        <v>51</v>
      </c>
      <c r="V1608" s="10" t="s">
        <v>52</v>
      </c>
      <c r="W1608" s="10" t="s">
        <v>16123</v>
      </c>
      <c r="X1608" s="10" t="s">
        <v>16124</v>
      </c>
      <c r="Y1608" s="10" t="s">
        <v>16125</v>
      </c>
      <c r="Z1608" s="10" t="s">
        <v>50</v>
      </c>
      <c r="AA1608" s="10" t="s">
        <v>50</v>
      </c>
      <c r="AB1608" s="10" t="s">
        <v>16123</v>
      </c>
      <c r="AC1608" s="10" t="s">
        <v>16126</v>
      </c>
      <c r="AD1608" s="10" t="s">
        <v>16127</v>
      </c>
      <c r="AE1608" s="10" t="s">
        <v>6888</v>
      </c>
      <c r="AF1608" s="10" t="s">
        <v>185</v>
      </c>
      <c r="AG1608" s="10" t="s">
        <v>6889</v>
      </c>
      <c r="AH1608" s="10" t="s">
        <v>60</v>
      </c>
      <c r="AI1608" s="10" t="s">
        <v>13406</v>
      </c>
      <c r="AJ1608" s="10" t="s">
        <v>15085</v>
      </c>
      <c r="AK1608" s="10" t="s">
        <v>16128</v>
      </c>
      <c r="AL1608" s="10" t="s">
        <v>64</v>
      </c>
      <c r="AM1608" s="10" t="s">
        <v>16129</v>
      </c>
      <c r="AN1608" s="10" t="s">
        <v>50</v>
      </c>
      <c r="AO1608" s="11" t="s">
        <v>50</v>
      </c>
      <c r="AP1608" s="10" t="s">
        <v>50</v>
      </c>
      <c r="AQ1608" s="10" t="s">
        <v>50</v>
      </c>
      <c r="AR1608" s="10" t="s">
        <v>50</v>
      </c>
      <c r="AS1608" s="10" t="s">
        <v>50</v>
      </c>
      <c r="AT1608" s="10" t="s">
        <v>50</v>
      </c>
      <c r="AU1608" s="10" t="s">
        <v>50</v>
      </c>
      <c r="AV1608" s="11"/>
      <c r="AW1608" s="10" t="s">
        <v>66</v>
      </c>
      <c r="AX1608" s="10"/>
      <c r="AY1608" s="10" t="s">
        <v>66</v>
      </c>
    </row>
    <row r="1609" ht="22.5" hidden="1" customHeight="1">
      <c r="A1609" s="9" t="s">
        <v>16130</v>
      </c>
      <c r="B1609" s="10" t="s">
        <v>16131</v>
      </c>
      <c r="C1609" s="10" t="s">
        <v>43</v>
      </c>
      <c r="D1609" s="10" t="s">
        <v>13108</v>
      </c>
      <c r="E1609" s="10" t="s">
        <v>66</v>
      </c>
      <c r="F1609" s="11">
        <v>1.0</v>
      </c>
      <c r="G1609" s="11">
        <v>120.0</v>
      </c>
      <c r="H1609" s="11"/>
      <c r="I1609" s="11">
        <v>-20.4</v>
      </c>
      <c r="J1609" s="11">
        <v>-19.95</v>
      </c>
      <c r="K1609" s="11"/>
      <c r="L1609" s="11">
        <v>86.85</v>
      </c>
      <c r="M1609" s="10" t="s">
        <v>12218</v>
      </c>
      <c r="N1609" s="10" t="s">
        <v>50</v>
      </c>
      <c r="O1609" s="10" t="s">
        <v>85</v>
      </c>
      <c r="P1609" s="10" t="s">
        <v>86</v>
      </c>
      <c r="Q1609" s="10" t="s">
        <v>87</v>
      </c>
      <c r="R1609" s="10" t="s">
        <v>74</v>
      </c>
      <c r="S1609" s="11">
        <v>120.0</v>
      </c>
      <c r="T1609" s="11">
        <v>65.78</v>
      </c>
      <c r="U1609" s="11" t="s">
        <v>51</v>
      </c>
      <c r="V1609" s="10" t="s">
        <v>52</v>
      </c>
      <c r="W1609" s="10" t="s">
        <v>16132</v>
      </c>
      <c r="X1609" s="10" t="s">
        <v>16133</v>
      </c>
      <c r="Y1609" s="10" t="s">
        <v>16134</v>
      </c>
      <c r="Z1609" s="10" t="s">
        <v>50</v>
      </c>
      <c r="AA1609" s="10" t="s">
        <v>50</v>
      </c>
      <c r="AB1609" s="10" t="s">
        <v>16132</v>
      </c>
      <c r="AC1609" s="10" t="s">
        <v>16135</v>
      </c>
      <c r="AD1609" s="10" t="s">
        <v>16136</v>
      </c>
      <c r="AE1609" s="10" t="s">
        <v>16137</v>
      </c>
      <c r="AF1609" s="10" t="s">
        <v>119</v>
      </c>
      <c r="AG1609" s="10" t="s">
        <v>16138</v>
      </c>
      <c r="AH1609" s="10" t="s">
        <v>60</v>
      </c>
      <c r="AI1609" s="10" t="s">
        <v>13406</v>
      </c>
      <c r="AJ1609" s="10" t="s">
        <v>15216</v>
      </c>
      <c r="AK1609" s="10" t="s">
        <v>16139</v>
      </c>
      <c r="AL1609" s="10" t="s">
        <v>64</v>
      </c>
      <c r="AM1609" s="10" t="s">
        <v>16140</v>
      </c>
      <c r="AN1609" s="10" t="s">
        <v>50</v>
      </c>
      <c r="AO1609" s="11" t="s">
        <v>50</v>
      </c>
      <c r="AP1609" s="10" t="s">
        <v>50</v>
      </c>
      <c r="AQ1609" s="10" t="s">
        <v>50</v>
      </c>
      <c r="AR1609" s="10" t="s">
        <v>50</v>
      </c>
      <c r="AS1609" s="10" t="s">
        <v>50</v>
      </c>
      <c r="AT1609" s="10" t="s">
        <v>50</v>
      </c>
      <c r="AU1609" s="10" t="s">
        <v>50</v>
      </c>
      <c r="AV1609" s="11"/>
      <c r="AW1609" s="10" t="s">
        <v>66</v>
      </c>
      <c r="AX1609" s="10"/>
      <c r="AY1609" s="10" t="s">
        <v>66</v>
      </c>
    </row>
    <row r="1610" ht="22.5" hidden="1" customHeight="1">
      <c r="A1610" s="9" t="s">
        <v>16141</v>
      </c>
      <c r="B1610" s="10" t="s">
        <v>16142</v>
      </c>
      <c r="C1610" s="10" t="s">
        <v>43</v>
      </c>
      <c r="D1610" s="10" t="s">
        <v>14945</v>
      </c>
      <c r="E1610" s="10" t="s">
        <v>45</v>
      </c>
      <c r="F1610" s="11">
        <v>1.0</v>
      </c>
      <c r="G1610" s="11">
        <v>80.3</v>
      </c>
      <c r="H1610" s="11"/>
      <c r="I1610" s="11">
        <v>-13.65</v>
      </c>
      <c r="J1610" s="11">
        <v>-20.45</v>
      </c>
      <c r="K1610" s="11"/>
      <c r="L1610" s="11">
        <v>46.2</v>
      </c>
      <c r="M1610" s="10" t="s">
        <v>12218</v>
      </c>
      <c r="N1610" s="10" t="s">
        <v>45</v>
      </c>
      <c r="O1610" s="10" t="s">
        <v>127</v>
      </c>
      <c r="P1610" s="10" t="s">
        <v>128</v>
      </c>
      <c r="Q1610" s="10" t="s">
        <v>129</v>
      </c>
      <c r="R1610" s="10" t="s">
        <v>74</v>
      </c>
      <c r="S1610" s="11">
        <v>80.3</v>
      </c>
      <c r="T1610" s="11">
        <v>17.68</v>
      </c>
      <c r="U1610" s="11" t="s">
        <v>51</v>
      </c>
      <c r="V1610" s="10" t="s">
        <v>52</v>
      </c>
      <c r="W1610" s="10" t="s">
        <v>16143</v>
      </c>
      <c r="X1610" s="10" t="s">
        <v>16144</v>
      </c>
      <c r="Y1610" s="10" t="s">
        <v>16145</v>
      </c>
      <c r="Z1610" s="10" t="s">
        <v>50</v>
      </c>
      <c r="AA1610" s="10" t="s">
        <v>50</v>
      </c>
      <c r="AB1610" s="10" t="s">
        <v>16143</v>
      </c>
      <c r="AC1610" s="10" t="s">
        <v>16146</v>
      </c>
      <c r="AD1610" s="10" t="s">
        <v>16147</v>
      </c>
      <c r="AE1610" s="10" t="s">
        <v>16148</v>
      </c>
      <c r="AF1610" s="10" t="s">
        <v>151</v>
      </c>
      <c r="AG1610" s="10" t="s">
        <v>16149</v>
      </c>
      <c r="AH1610" s="10" t="s">
        <v>60</v>
      </c>
      <c r="AI1610" s="10" t="s">
        <v>13406</v>
      </c>
      <c r="AJ1610" s="10" t="s">
        <v>15926</v>
      </c>
      <c r="AK1610" s="10" t="s">
        <v>16150</v>
      </c>
      <c r="AL1610" s="10" t="s">
        <v>64</v>
      </c>
      <c r="AM1610" s="10" t="s">
        <v>16151</v>
      </c>
      <c r="AN1610" s="10" t="s">
        <v>50</v>
      </c>
      <c r="AO1610" s="11" t="s">
        <v>50</v>
      </c>
      <c r="AP1610" s="10" t="s">
        <v>50</v>
      </c>
      <c r="AQ1610" s="10" t="s">
        <v>50</v>
      </c>
      <c r="AR1610" s="10" t="s">
        <v>50</v>
      </c>
      <c r="AS1610" s="10" t="s">
        <v>50</v>
      </c>
      <c r="AT1610" s="10" t="s">
        <v>50</v>
      </c>
      <c r="AU1610" s="10" t="s">
        <v>50</v>
      </c>
      <c r="AV1610" s="11"/>
      <c r="AW1610" s="10" t="s">
        <v>66</v>
      </c>
      <c r="AX1610" s="10"/>
      <c r="AY1610" s="10" t="s">
        <v>66</v>
      </c>
    </row>
    <row r="1611" ht="22.5" hidden="1" customHeight="1">
      <c r="A1611" s="9" t="s">
        <v>16152</v>
      </c>
      <c r="B1611" s="10" t="s">
        <v>16153</v>
      </c>
      <c r="C1611" s="10" t="s">
        <v>43</v>
      </c>
      <c r="D1611" s="10" t="s">
        <v>14945</v>
      </c>
      <c r="E1611" s="10" t="s">
        <v>66</v>
      </c>
      <c r="F1611" s="11">
        <v>1.0</v>
      </c>
      <c r="G1611" s="11">
        <v>80.0</v>
      </c>
      <c r="H1611" s="11"/>
      <c r="I1611" s="11">
        <v>-13.6</v>
      </c>
      <c r="J1611" s="11">
        <v>-19.95</v>
      </c>
      <c r="K1611" s="11"/>
      <c r="L1611" s="11">
        <v>50.45</v>
      </c>
      <c r="M1611" s="10" t="s">
        <v>12218</v>
      </c>
      <c r="N1611" s="10" t="s">
        <v>50</v>
      </c>
      <c r="O1611" s="10" t="s">
        <v>143</v>
      </c>
      <c r="P1611" s="10" t="s">
        <v>144</v>
      </c>
      <c r="Q1611" s="10" t="s">
        <v>145</v>
      </c>
      <c r="R1611" s="10" t="s">
        <v>74</v>
      </c>
      <c r="S1611" s="11">
        <v>80.0</v>
      </c>
      <c r="T1611" s="11">
        <v>33.38</v>
      </c>
      <c r="U1611" s="11" t="s">
        <v>51</v>
      </c>
      <c r="V1611" s="10" t="s">
        <v>52</v>
      </c>
      <c r="W1611" s="10" t="s">
        <v>16154</v>
      </c>
      <c r="X1611" s="10" t="s">
        <v>16155</v>
      </c>
      <c r="Y1611" s="10" t="s">
        <v>16156</v>
      </c>
      <c r="Z1611" s="10" t="s">
        <v>50</v>
      </c>
      <c r="AA1611" s="10" t="s">
        <v>50</v>
      </c>
      <c r="AB1611" s="10" t="s">
        <v>16154</v>
      </c>
      <c r="AC1611" s="10" t="s">
        <v>16157</v>
      </c>
      <c r="AD1611" s="10" t="s">
        <v>16158</v>
      </c>
      <c r="AE1611" s="10" t="s">
        <v>151</v>
      </c>
      <c r="AF1611" s="10" t="s">
        <v>151</v>
      </c>
      <c r="AG1611" s="10" t="s">
        <v>16159</v>
      </c>
      <c r="AH1611" s="10" t="s">
        <v>60</v>
      </c>
      <c r="AI1611" s="10" t="s">
        <v>13406</v>
      </c>
      <c r="AJ1611" s="10" t="s">
        <v>15073</v>
      </c>
      <c r="AK1611" s="10" t="s">
        <v>16160</v>
      </c>
      <c r="AL1611" s="10" t="s">
        <v>64</v>
      </c>
      <c r="AM1611" s="10" t="s">
        <v>16161</v>
      </c>
      <c r="AN1611" s="10" t="s">
        <v>50</v>
      </c>
      <c r="AO1611" s="11" t="s">
        <v>50</v>
      </c>
      <c r="AP1611" s="10" t="s">
        <v>50</v>
      </c>
      <c r="AQ1611" s="10" t="s">
        <v>50</v>
      </c>
      <c r="AR1611" s="10" t="s">
        <v>50</v>
      </c>
      <c r="AS1611" s="10" t="s">
        <v>50</v>
      </c>
      <c r="AT1611" s="10" t="s">
        <v>50</v>
      </c>
      <c r="AU1611" s="10" t="s">
        <v>50</v>
      </c>
      <c r="AV1611" s="11"/>
      <c r="AW1611" s="10" t="s">
        <v>66</v>
      </c>
      <c r="AX1611" s="10"/>
      <c r="AY1611" s="10" t="s">
        <v>66</v>
      </c>
    </row>
    <row r="1612" ht="22.5" hidden="1" customHeight="1">
      <c r="A1612" s="9" t="s">
        <v>16162</v>
      </c>
      <c r="B1612" s="10" t="s">
        <v>16163</v>
      </c>
      <c r="C1612" s="10" t="s">
        <v>43</v>
      </c>
      <c r="D1612" s="10" t="s">
        <v>13049</v>
      </c>
      <c r="E1612" s="10" t="s">
        <v>66</v>
      </c>
      <c r="F1612" s="11">
        <v>1.0</v>
      </c>
      <c r="G1612" s="11">
        <v>80.0</v>
      </c>
      <c r="H1612" s="11"/>
      <c r="I1612" s="11">
        <v>-13.6</v>
      </c>
      <c r="J1612" s="11">
        <v>-19.95</v>
      </c>
      <c r="K1612" s="11"/>
      <c r="L1612" s="11">
        <v>50.45</v>
      </c>
      <c r="M1612" s="10" t="s">
        <v>12218</v>
      </c>
      <c r="N1612" s="10" t="s">
        <v>50</v>
      </c>
      <c r="O1612" s="10" t="s">
        <v>143</v>
      </c>
      <c r="P1612" s="10" t="s">
        <v>144</v>
      </c>
      <c r="Q1612" s="10" t="s">
        <v>145</v>
      </c>
      <c r="R1612" s="10" t="s">
        <v>74</v>
      </c>
      <c r="S1612" s="11">
        <v>80.0</v>
      </c>
      <c r="T1612" s="11">
        <v>33.38</v>
      </c>
      <c r="U1612" s="11" t="s">
        <v>51</v>
      </c>
      <c r="V1612" s="10" t="s">
        <v>52</v>
      </c>
      <c r="W1612" s="10" t="s">
        <v>16164</v>
      </c>
      <c r="X1612" s="10" t="s">
        <v>16165</v>
      </c>
      <c r="Y1612" s="10" t="s">
        <v>16166</v>
      </c>
      <c r="Z1612" s="10" t="s">
        <v>50</v>
      </c>
      <c r="AA1612" s="10" t="s">
        <v>50</v>
      </c>
      <c r="AB1612" s="10" t="s">
        <v>16164</v>
      </c>
      <c r="AC1612" s="10" t="s">
        <v>16167</v>
      </c>
      <c r="AD1612" s="10" t="s">
        <v>16168</v>
      </c>
      <c r="AE1612" s="10" t="s">
        <v>16169</v>
      </c>
      <c r="AF1612" s="10" t="s">
        <v>214</v>
      </c>
      <c r="AG1612" s="10" t="s">
        <v>16170</v>
      </c>
      <c r="AH1612" s="10" t="s">
        <v>60</v>
      </c>
      <c r="AI1612" s="10" t="s">
        <v>13406</v>
      </c>
      <c r="AJ1612" s="10" t="s">
        <v>15216</v>
      </c>
      <c r="AK1612" s="10" t="s">
        <v>16171</v>
      </c>
      <c r="AL1612" s="10" t="s">
        <v>64</v>
      </c>
      <c r="AM1612" s="10" t="s">
        <v>16172</v>
      </c>
      <c r="AN1612" s="10" t="s">
        <v>50</v>
      </c>
      <c r="AO1612" s="11" t="s">
        <v>50</v>
      </c>
      <c r="AP1612" s="10" t="s">
        <v>50</v>
      </c>
      <c r="AQ1612" s="10" t="s">
        <v>50</v>
      </c>
      <c r="AR1612" s="10" t="s">
        <v>50</v>
      </c>
      <c r="AS1612" s="10" t="s">
        <v>50</v>
      </c>
      <c r="AT1612" s="10" t="s">
        <v>50</v>
      </c>
      <c r="AU1612" s="10" t="s">
        <v>50</v>
      </c>
      <c r="AV1612" s="11"/>
      <c r="AW1612" s="10" t="s">
        <v>66</v>
      </c>
      <c r="AX1612" s="10"/>
      <c r="AY1612" s="10" t="s">
        <v>66</v>
      </c>
    </row>
    <row r="1613" ht="22.5" hidden="1" customHeight="1">
      <c r="A1613" s="9" t="s">
        <v>16173</v>
      </c>
      <c r="B1613" s="10" t="s">
        <v>16174</v>
      </c>
      <c r="C1613" s="10" t="s">
        <v>16175</v>
      </c>
      <c r="D1613" s="10" t="s">
        <v>12848</v>
      </c>
      <c r="E1613" s="10" t="s">
        <v>66</v>
      </c>
      <c r="F1613" s="11">
        <v>1.0</v>
      </c>
      <c r="G1613" s="11">
        <v>43.7</v>
      </c>
      <c r="H1613" s="11">
        <v>13.77</v>
      </c>
      <c r="I1613" s="11">
        <v>-13.43</v>
      </c>
      <c r="J1613" s="11">
        <v>-13.77</v>
      </c>
      <c r="K1613" s="11">
        <v>-32.89</v>
      </c>
      <c r="L1613" s="11">
        <v>0.0</v>
      </c>
      <c r="M1613" s="10" t="s">
        <v>12218</v>
      </c>
      <c r="N1613" s="10" t="s">
        <v>50</v>
      </c>
      <c r="O1613" s="10" t="s">
        <v>176</v>
      </c>
      <c r="P1613" s="10" t="s">
        <v>177</v>
      </c>
      <c r="Q1613" s="10" t="s">
        <v>178</v>
      </c>
      <c r="R1613" s="10" t="s">
        <v>74</v>
      </c>
      <c r="S1613" s="11">
        <v>43.7</v>
      </c>
      <c r="T1613" s="11"/>
      <c r="U1613" s="11" t="s">
        <v>51</v>
      </c>
      <c r="V1613" s="10" t="s">
        <v>52</v>
      </c>
      <c r="W1613" s="10" t="s">
        <v>16176</v>
      </c>
      <c r="X1613" s="10" t="s">
        <v>16177</v>
      </c>
      <c r="Y1613" s="10" t="s">
        <v>16178</v>
      </c>
      <c r="Z1613" s="10" t="s">
        <v>50</v>
      </c>
      <c r="AA1613" s="10" t="s">
        <v>50</v>
      </c>
      <c r="AB1613" s="10" t="s">
        <v>16176</v>
      </c>
      <c r="AC1613" s="10" t="s">
        <v>16179</v>
      </c>
      <c r="AD1613" s="10" t="s">
        <v>50</v>
      </c>
      <c r="AE1613" s="10" t="s">
        <v>151</v>
      </c>
      <c r="AF1613" s="10" t="s">
        <v>151</v>
      </c>
      <c r="AG1613" s="10" t="s">
        <v>16180</v>
      </c>
      <c r="AH1613" s="10" t="s">
        <v>60</v>
      </c>
      <c r="AI1613" s="10" t="s">
        <v>13406</v>
      </c>
      <c r="AJ1613" s="10" t="s">
        <v>15991</v>
      </c>
      <c r="AK1613" s="10" t="s">
        <v>50</v>
      </c>
      <c r="AL1613" s="10" t="s">
        <v>64</v>
      </c>
      <c r="AM1613" s="10" t="s">
        <v>16181</v>
      </c>
      <c r="AN1613" s="10" t="s">
        <v>50</v>
      </c>
      <c r="AO1613" s="11" t="s">
        <v>50</v>
      </c>
      <c r="AP1613" s="10" t="s">
        <v>50</v>
      </c>
      <c r="AQ1613" s="10" t="s">
        <v>50</v>
      </c>
      <c r="AR1613" s="10" t="s">
        <v>50</v>
      </c>
      <c r="AS1613" s="10" t="s">
        <v>50</v>
      </c>
      <c r="AT1613" s="10" t="s">
        <v>50</v>
      </c>
      <c r="AU1613" s="10" t="s">
        <v>50</v>
      </c>
      <c r="AV1613" s="11"/>
      <c r="AW1613" s="10" t="s">
        <v>66</v>
      </c>
      <c r="AX1613" s="10"/>
      <c r="AY1613" s="10" t="s">
        <v>66</v>
      </c>
    </row>
    <row r="1614" ht="22.5" hidden="1" customHeight="1">
      <c r="A1614" s="9" t="s">
        <v>16182</v>
      </c>
      <c r="B1614" s="10" t="s">
        <v>16183</v>
      </c>
      <c r="C1614" s="10" t="s">
        <v>69</v>
      </c>
      <c r="D1614" s="10" t="s">
        <v>2283</v>
      </c>
      <c r="E1614" s="10" t="s">
        <v>45</v>
      </c>
      <c r="F1614" s="11">
        <v>1.0</v>
      </c>
      <c r="G1614" s="11">
        <v>79.2</v>
      </c>
      <c r="H1614" s="11"/>
      <c r="I1614" s="11">
        <v>-13.46</v>
      </c>
      <c r="J1614" s="11">
        <v>-20.45</v>
      </c>
      <c r="K1614" s="11">
        <v>-45.29</v>
      </c>
      <c r="L1614" s="11">
        <v>0.0</v>
      </c>
      <c r="M1614" s="10" t="s">
        <v>12218</v>
      </c>
      <c r="N1614" s="10" t="s">
        <v>45</v>
      </c>
      <c r="O1614" s="10" t="s">
        <v>892</v>
      </c>
      <c r="P1614" s="10" t="s">
        <v>893</v>
      </c>
      <c r="Q1614" s="10" t="s">
        <v>894</v>
      </c>
      <c r="R1614" s="10" t="s">
        <v>74</v>
      </c>
      <c r="S1614" s="11">
        <v>79.2</v>
      </c>
      <c r="T1614" s="11"/>
      <c r="U1614" s="11" t="s">
        <v>51</v>
      </c>
      <c r="V1614" s="10" t="s">
        <v>75</v>
      </c>
      <c r="W1614" s="10" t="s">
        <v>14226</v>
      </c>
      <c r="X1614" s="10" t="s">
        <v>14227</v>
      </c>
      <c r="Y1614" s="10" t="s">
        <v>16184</v>
      </c>
      <c r="Z1614" s="10" t="s">
        <v>50</v>
      </c>
      <c r="AA1614" s="10" t="s">
        <v>50</v>
      </c>
      <c r="AB1614" s="10" t="s">
        <v>14226</v>
      </c>
      <c r="AC1614" s="10" t="s">
        <v>14229</v>
      </c>
      <c r="AD1614" s="10" t="s">
        <v>50</v>
      </c>
      <c r="AE1614" s="10" t="s">
        <v>384</v>
      </c>
      <c r="AF1614" s="10" t="s">
        <v>214</v>
      </c>
      <c r="AG1614" s="10" t="s">
        <v>14231</v>
      </c>
      <c r="AH1614" s="10" t="s">
        <v>60</v>
      </c>
      <c r="AI1614" s="10" t="s">
        <v>13406</v>
      </c>
      <c r="AJ1614" s="10" t="s">
        <v>50</v>
      </c>
      <c r="AK1614" s="10" t="s">
        <v>50</v>
      </c>
      <c r="AL1614" s="10" t="s">
        <v>64</v>
      </c>
      <c r="AM1614" s="10" t="s">
        <v>50</v>
      </c>
      <c r="AN1614" s="10" t="s">
        <v>50</v>
      </c>
      <c r="AO1614" s="11" t="s">
        <v>50</v>
      </c>
      <c r="AP1614" s="10" t="s">
        <v>50</v>
      </c>
      <c r="AQ1614" s="10" t="s">
        <v>50</v>
      </c>
      <c r="AR1614" s="10" t="s">
        <v>50</v>
      </c>
      <c r="AS1614" s="10" t="s">
        <v>50</v>
      </c>
      <c r="AT1614" s="10" t="s">
        <v>50</v>
      </c>
      <c r="AU1614" s="10" t="s">
        <v>50</v>
      </c>
      <c r="AV1614" s="11"/>
      <c r="AW1614" s="10" t="s">
        <v>66</v>
      </c>
      <c r="AX1614" s="10"/>
      <c r="AY1614" s="10" t="s">
        <v>66</v>
      </c>
    </row>
    <row r="1615" ht="22.5" hidden="1" customHeight="1">
      <c r="A1615" s="9" t="s">
        <v>16185</v>
      </c>
      <c r="B1615" s="10" t="s">
        <v>16186</v>
      </c>
      <c r="C1615" s="10" t="s">
        <v>43</v>
      </c>
      <c r="D1615" s="10" t="s">
        <v>13175</v>
      </c>
      <c r="E1615" s="10" t="s">
        <v>66</v>
      </c>
      <c r="F1615" s="11">
        <v>1.0</v>
      </c>
      <c r="G1615" s="11">
        <v>80.0</v>
      </c>
      <c r="H1615" s="11"/>
      <c r="I1615" s="11">
        <v>-13.6</v>
      </c>
      <c r="J1615" s="11">
        <v>-19.95</v>
      </c>
      <c r="K1615" s="11"/>
      <c r="L1615" s="11">
        <v>50.45</v>
      </c>
      <c r="M1615" s="10" t="s">
        <v>12218</v>
      </c>
      <c r="N1615" s="10" t="s">
        <v>50</v>
      </c>
      <c r="O1615" s="10" t="s">
        <v>143</v>
      </c>
      <c r="P1615" s="10" t="s">
        <v>144</v>
      </c>
      <c r="Q1615" s="10" t="s">
        <v>145</v>
      </c>
      <c r="R1615" s="10" t="s">
        <v>74</v>
      </c>
      <c r="S1615" s="11">
        <v>80.0</v>
      </c>
      <c r="T1615" s="11">
        <v>33.38</v>
      </c>
      <c r="U1615" s="11" t="s">
        <v>51</v>
      </c>
      <c r="V1615" s="10" t="s">
        <v>52</v>
      </c>
      <c r="W1615" s="10" t="s">
        <v>16187</v>
      </c>
      <c r="X1615" s="10" t="s">
        <v>16188</v>
      </c>
      <c r="Y1615" s="10" t="s">
        <v>16189</v>
      </c>
      <c r="Z1615" s="10" t="s">
        <v>50</v>
      </c>
      <c r="AA1615" s="10" t="s">
        <v>50</v>
      </c>
      <c r="AB1615" s="10" t="s">
        <v>16187</v>
      </c>
      <c r="AC1615" s="10" t="s">
        <v>16190</v>
      </c>
      <c r="AD1615" s="10" t="s">
        <v>16191</v>
      </c>
      <c r="AE1615" s="10" t="s">
        <v>7803</v>
      </c>
      <c r="AF1615" s="10" t="s">
        <v>58</v>
      </c>
      <c r="AG1615" s="10" t="s">
        <v>16192</v>
      </c>
      <c r="AH1615" s="10" t="s">
        <v>60</v>
      </c>
      <c r="AI1615" s="10" t="s">
        <v>13406</v>
      </c>
      <c r="AJ1615" s="10" t="s">
        <v>15085</v>
      </c>
      <c r="AK1615" s="10" t="s">
        <v>16193</v>
      </c>
      <c r="AL1615" s="10" t="s">
        <v>64</v>
      </c>
      <c r="AM1615" s="10" t="s">
        <v>16194</v>
      </c>
      <c r="AN1615" s="10" t="s">
        <v>50</v>
      </c>
      <c r="AO1615" s="11" t="s">
        <v>50</v>
      </c>
      <c r="AP1615" s="10" t="s">
        <v>50</v>
      </c>
      <c r="AQ1615" s="10" t="s">
        <v>50</v>
      </c>
      <c r="AR1615" s="10" t="s">
        <v>50</v>
      </c>
      <c r="AS1615" s="10" t="s">
        <v>50</v>
      </c>
      <c r="AT1615" s="10" t="s">
        <v>50</v>
      </c>
      <c r="AU1615" s="10" t="s">
        <v>50</v>
      </c>
      <c r="AV1615" s="11"/>
      <c r="AW1615" s="10" t="s">
        <v>66</v>
      </c>
      <c r="AX1615" s="10"/>
      <c r="AY1615" s="10" t="s">
        <v>66</v>
      </c>
    </row>
    <row r="1616" ht="22.5" hidden="1" customHeight="1">
      <c r="A1616" s="9" t="s">
        <v>16195</v>
      </c>
      <c r="B1616" s="10" t="s">
        <v>16196</v>
      </c>
      <c r="C1616" s="10" t="s">
        <v>43</v>
      </c>
      <c r="D1616" s="10" t="s">
        <v>14923</v>
      </c>
      <c r="E1616" s="10" t="s">
        <v>66</v>
      </c>
      <c r="F1616" s="11">
        <v>1.0</v>
      </c>
      <c r="G1616" s="11">
        <v>35.15</v>
      </c>
      <c r="H1616" s="11">
        <v>17.76</v>
      </c>
      <c r="I1616" s="11">
        <v>-11.98</v>
      </c>
      <c r="J1616" s="11">
        <v>-17.76</v>
      </c>
      <c r="K1616" s="11"/>
      <c r="L1616" s="11">
        <v>25.28</v>
      </c>
      <c r="M1616" s="10" t="s">
        <v>12218</v>
      </c>
      <c r="N1616" s="10" t="s">
        <v>45</v>
      </c>
      <c r="O1616" s="10" t="s">
        <v>2926</v>
      </c>
      <c r="P1616" s="10" t="s">
        <v>2927</v>
      </c>
      <c r="Q1616" s="10" t="s">
        <v>2928</v>
      </c>
      <c r="R1616" s="10" t="s">
        <v>74</v>
      </c>
      <c r="S1616" s="11">
        <v>35.15</v>
      </c>
      <c r="T1616" s="11">
        <v>2.49</v>
      </c>
      <c r="U1616" s="11" t="s">
        <v>51</v>
      </c>
      <c r="V1616" s="10" t="s">
        <v>52</v>
      </c>
      <c r="W1616" s="10" t="s">
        <v>16197</v>
      </c>
      <c r="X1616" s="10" t="s">
        <v>16198</v>
      </c>
      <c r="Y1616" s="10" t="s">
        <v>16199</v>
      </c>
      <c r="Z1616" s="10" t="s">
        <v>50</v>
      </c>
      <c r="AA1616" s="10" t="s">
        <v>50</v>
      </c>
      <c r="AB1616" s="10" t="s">
        <v>16197</v>
      </c>
      <c r="AC1616" s="10" t="s">
        <v>16200</v>
      </c>
      <c r="AD1616" s="10" t="s">
        <v>16201</v>
      </c>
      <c r="AE1616" s="10" t="s">
        <v>10618</v>
      </c>
      <c r="AF1616" s="10" t="s">
        <v>58</v>
      </c>
      <c r="AG1616" s="10" t="s">
        <v>10619</v>
      </c>
      <c r="AH1616" s="10" t="s">
        <v>60</v>
      </c>
      <c r="AI1616" s="10" t="s">
        <v>13406</v>
      </c>
      <c r="AJ1616" s="10" t="s">
        <v>15085</v>
      </c>
      <c r="AK1616" s="10" t="s">
        <v>16202</v>
      </c>
      <c r="AL1616" s="10" t="s">
        <v>64</v>
      </c>
      <c r="AM1616" s="10" t="s">
        <v>16203</v>
      </c>
      <c r="AN1616" s="10" t="s">
        <v>50</v>
      </c>
      <c r="AO1616" s="11" t="s">
        <v>50</v>
      </c>
      <c r="AP1616" s="10" t="s">
        <v>50</v>
      </c>
      <c r="AQ1616" s="10" t="s">
        <v>50</v>
      </c>
      <c r="AR1616" s="10" t="s">
        <v>50</v>
      </c>
      <c r="AS1616" s="10" t="s">
        <v>50</v>
      </c>
      <c r="AT1616" s="10" t="s">
        <v>50</v>
      </c>
      <c r="AU1616" s="10" t="s">
        <v>50</v>
      </c>
      <c r="AV1616" s="11"/>
      <c r="AW1616" s="10" t="s">
        <v>66</v>
      </c>
      <c r="AX1616" s="10"/>
      <c r="AY1616" s="10" t="s">
        <v>66</v>
      </c>
    </row>
    <row r="1617" ht="22.5" hidden="1" customHeight="1">
      <c r="A1617" s="9" t="s">
        <v>16204</v>
      </c>
      <c r="B1617" s="10" t="s">
        <v>16205</v>
      </c>
      <c r="C1617" s="10" t="s">
        <v>43</v>
      </c>
      <c r="D1617" s="10" t="s">
        <v>14945</v>
      </c>
      <c r="E1617" s="10" t="s">
        <v>45</v>
      </c>
      <c r="F1617" s="11">
        <v>1.0</v>
      </c>
      <c r="G1617" s="11">
        <v>120.0</v>
      </c>
      <c r="H1617" s="11"/>
      <c r="I1617" s="11">
        <v>-20.4</v>
      </c>
      <c r="J1617" s="11">
        <v>-19.95</v>
      </c>
      <c r="K1617" s="11"/>
      <c r="L1617" s="11">
        <v>86.85</v>
      </c>
      <c r="M1617" s="10" t="s">
        <v>12218</v>
      </c>
      <c r="N1617" s="10" t="s">
        <v>45</v>
      </c>
      <c r="O1617" s="10" t="s">
        <v>85</v>
      </c>
      <c r="P1617" s="10" t="s">
        <v>86</v>
      </c>
      <c r="Q1617" s="10" t="s">
        <v>87</v>
      </c>
      <c r="R1617" s="10" t="s">
        <v>74</v>
      </c>
      <c r="S1617" s="11">
        <v>120.0</v>
      </c>
      <c r="T1617" s="11">
        <v>65.78</v>
      </c>
      <c r="U1617" s="11" t="s">
        <v>51</v>
      </c>
      <c r="V1617" s="10" t="s">
        <v>52</v>
      </c>
      <c r="W1617" s="10" t="s">
        <v>16206</v>
      </c>
      <c r="X1617" s="10" t="s">
        <v>16207</v>
      </c>
      <c r="Y1617" s="10" t="s">
        <v>16208</v>
      </c>
      <c r="Z1617" s="10" t="s">
        <v>50</v>
      </c>
      <c r="AA1617" s="10" t="s">
        <v>50</v>
      </c>
      <c r="AB1617" s="10" t="s">
        <v>16206</v>
      </c>
      <c r="AC1617" s="10" t="s">
        <v>16209</v>
      </c>
      <c r="AD1617" s="10" t="s">
        <v>16210</v>
      </c>
      <c r="AE1617" s="10" t="s">
        <v>322</v>
      </c>
      <c r="AF1617" s="10" t="s">
        <v>323</v>
      </c>
      <c r="AG1617" s="10" t="s">
        <v>16211</v>
      </c>
      <c r="AH1617" s="10" t="s">
        <v>60</v>
      </c>
      <c r="AI1617" s="10" t="s">
        <v>13406</v>
      </c>
      <c r="AJ1617" s="10" t="s">
        <v>15874</v>
      </c>
      <c r="AK1617" s="10" t="s">
        <v>16212</v>
      </c>
      <c r="AL1617" s="10" t="s">
        <v>64</v>
      </c>
      <c r="AM1617" s="10" t="s">
        <v>16213</v>
      </c>
      <c r="AN1617" s="10" t="s">
        <v>50</v>
      </c>
      <c r="AO1617" s="11" t="s">
        <v>50</v>
      </c>
      <c r="AP1617" s="10" t="s">
        <v>50</v>
      </c>
      <c r="AQ1617" s="10" t="s">
        <v>50</v>
      </c>
      <c r="AR1617" s="10" t="s">
        <v>50</v>
      </c>
      <c r="AS1617" s="10" t="s">
        <v>50</v>
      </c>
      <c r="AT1617" s="10" t="s">
        <v>50</v>
      </c>
      <c r="AU1617" s="10" t="s">
        <v>50</v>
      </c>
      <c r="AV1617" s="11"/>
      <c r="AW1617" s="10" t="s">
        <v>66</v>
      </c>
      <c r="AX1617" s="10"/>
      <c r="AY1617" s="10" t="s">
        <v>66</v>
      </c>
    </row>
    <row r="1618" ht="22.5" hidden="1" customHeight="1">
      <c r="A1618" s="9" t="s">
        <v>16214</v>
      </c>
      <c r="B1618" s="10" t="s">
        <v>16215</v>
      </c>
      <c r="C1618" s="10" t="s">
        <v>43</v>
      </c>
      <c r="D1618" s="10" t="s">
        <v>13120</v>
      </c>
      <c r="E1618" s="10" t="s">
        <v>66</v>
      </c>
      <c r="F1618" s="11">
        <v>1.0</v>
      </c>
      <c r="G1618" s="11">
        <v>43.7</v>
      </c>
      <c r="H1618" s="11">
        <v>14.6</v>
      </c>
      <c r="I1618" s="11">
        <v>-13.43</v>
      </c>
      <c r="J1618" s="11">
        <v>-14.6</v>
      </c>
      <c r="K1618" s="11"/>
      <c r="L1618" s="11">
        <v>32.89</v>
      </c>
      <c r="M1618" s="10" t="s">
        <v>12218</v>
      </c>
      <c r="N1618" s="10" t="s">
        <v>45</v>
      </c>
      <c r="O1618" s="10" t="s">
        <v>176</v>
      </c>
      <c r="P1618" s="10" t="s">
        <v>177</v>
      </c>
      <c r="Q1618" s="10" t="s">
        <v>178</v>
      </c>
      <c r="R1618" s="10" t="s">
        <v>74</v>
      </c>
      <c r="S1618" s="11">
        <v>43.7</v>
      </c>
      <c r="T1618" s="11">
        <v>22.58</v>
      </c>
      <c r="U1618" s="11" t="s">
        <v>51</v>
      </c>
      <c r="V1618" s="10" t="s">
        <v>52</v>
      </c>
      <c r="W1618" s="10" t="s">
        <v>16216</v>
      </c>
      <c r="X1618" s="10" t="s">
        <v>16217</v>
      </c>
      <c r="Y1618" s="10" t="s">
        <v>16218</v>
      </c>
      <c r="Z1618" s="10" t="s">
        <v>50</v>
      </c>
      <c r="AA1618" s="10" t="s">
        <v>50</v>
      </c>
      <c r="AB1618" s="10" t="s">
        <v>16216</v>
      </c>
      <c r="AC1618" s="10" t="s">
        <v>16219</v>
      </c>
      <c r="AD1618" s="10" t="s">
        <v>16220</v>
      </c>
      <c r="AE1618" s="10" t="s">
        <v>469</v>
      </c>
      <c r="AF1618" s="10" t="s">
        <v>185</v>
      </c>
      <c r="AG1618" s="10" t="s">
        <v>16221</v>
      </c>
      <c r="AH1618" s="10" t="s">
        <v>60</v>
      </c>
      <c r="AI1618" s="10" t="s">
        <v>13406</v>
      </c>
      <c r="AJ1618" s="10" t="s">
        <v>15279</v>
      </c>
      <c r="AK1618" s="10" t="s">
        <v>16222</v>
      </c>
      <c r="AL1618" s="10" t="s">
        <v>64</v>
      </c>
      <c r="AM1618" s="10" t="s">
        <v>16223</v>
      </c>
      <c r="AN1618" s="10" t="s">
        <v>50</v>
      </c>
      <c r="AO1618" s="11" t="s">
        <v>50</v>
      </c>
      <c r="AP1618" s="10" t="s">
        <v>50</v>
      </c>
      <c r="AQ1618" s="10" t="s">
        <v>50</v>
      </c>
      <c r="AR1618" s="10" t="s">
        <v>50</v>
      </c>
      <c r="AS1618" s="10" t="s">
        <v>50</v>
      </c>
      <c r="AT1618" s="10" t="s">
        <v>50</v>
      </c>
      <c r="AU1618" s="10" t="s">
        <v>50</v>
      </c>
      <c r="AV1618" s="11"/>
      <c r="AW1618" s="10" t="s">
        <v>66</v>
      </c>
      <c r="AX1618" s="10"/>
      <c r="AY1618" s="10" t="s">
        <v>66</v>
      </c>
    </row>
    <row r="1619" ht="22.5" hidden="1" customHeight="1">
      <c r="A1619" s="12" t="s">
        <v>16224</v>
      </c>
      <c r="B1619" s="13" t="s">
        <v>16225</v>
      </c>
      <c r="C1619" s="13" t="s">
        <v>747</v>
      </c>
      <c r="D1619" s="13" t="s">
        <v>50</v>
      </c>
      <c r="E1619" s="13" t="s">
        <v>50</v>
      </c>
      <c r="F1619" s="14"/>
      <c r="G1619" s="14">
        <v>208.0</v>
      </c>
      <c r="H1619" s="14"/>
      <c r="I1619" s="14">
        <v>-35.36</v>
      </c>
      <c r="J1619" s="14">
        <v>-41.4</v>
      </c>
      <c r="K1619" s="14"/>
      <c r="L1619" s="14">
        <v>142.84</v>
      </c>
      <c r="M1619" s="13" t="s">
        <v>12218</v>
      </c>
      <c r="N1619" s="13" t="s">
        <v>50</v>
      </c>
      <c r="O1619" s="13" t="s">
        <v>50</v>
      </c>
      <c r="P1619" s="13" t="s">
        <v>50</v>
      </c>
      <c r="Q1619" s="13" t="s">
        <v>50</v>
      </c>
      <c r="R1619" s="13" t="s">
        <v>50</v>
      </c>
      <c r="S1619" s="14"/>
      <c r="T1619" s="11"/>
      <c r="U1619" s="14" t="s">
        <v>50</v>
      </c>
      <c r="V1619" s="13" t="s">
        <v>52</v>
      </c>
      <c r="W1619" s="13" t="s">
        <v>16226</v>
      </c>
      <c r="X1619" s="13" t="s">
        <v>16227</v>
      </c>
      <c r="Y1619" s="13" t="s">
        <v>16228</v>
      </c>
      <c r="Z1619" s="13" t="s">
        <v>50</v>
      </c>
      <c r="AA1619" s="13" t="s">
        <v>50</v>
      </c>
      <c r="AB1619" s="13" t="s">
        <v>16226</v>
      </c>
      <c r="AC1619" s="13" t="s">
        <v>16229</v>
      </c>
      <c r="AD1619" s="13" t="s">
        <v>16230</v>
      </c>
      <c r="AE1619" s="13" t="s">
        <v>10264</v>
      </c>
      <c r="AF1619" s="13" t="s">
        <v>214</v>
      </c>
      <c r="AG1619" s="13" t="s">
        <v>16231</v>
      </c>
      <c r="AH1619" s="13" t="s">
        <v>60</v>
      </c>
      <c r="AI1619" s="13" t="s">
        <v>13406</v>
      </c>
      <c r="AJ1619" s="13" t="s">
        <v>15216</v>
      </c>
      <c r="AK1619" s="13" t="s">
        <v>16232</v>
      </c>
      <c r="AL1619" s="13" t="s">
        <v>64</v>
      </c>
      <c r="AM1619" s="13" t="s">
        <v>16233</v>
      </c>
      <c r="AN1619" s="13" t="s">
        <v>50</v>
      </c>
      <c r="AO1619" s="15" t="s">
        <v>50</v>
      </c>
      <c r="AP1619" s="13" t="s">
        <v>50</v>
      </c>
      <c r="AQ1619" s="13" t="s">
        <v>50</v>
      </c>
      <c r="AR1619" s="13" t="s">
        <v>50</v>
      </c>
      <c r="AS1619" s="13" t="s">
        <v>50</v>
      </c>
      <c r="AT1619" s="13" t="s">
        <v>50</v>
      </c>
      <c r="AU1619" s="13" t="s">
        <v>50</v>
      </c>
      <c r="AV1619" s="15"/>
      <c r="AW1619" s="13" t="s">
        <v>50</v>
      </c>
      <c r="AX1619" s="13"/>
      <c r="AY1619" s="13" t="s">
        <v>50</v>
      </c>
    </row>
    <row r="1620" ht="22.5" hidden="1" customHeight="1">
      <c r="A1620" s="16" t="s">
        <v>16234</v>
      </c>
      <c r="B1620" s="17" t="s">
        <v>16225</v>
      </c>
      <c r="C1620" s="17" t="s">
        <v>43</v>
      </c>
      <c r="D1620" s="17" t="s">
        <v>13175</v>
      </c>
      <c r="E1620" s="17" t="s">
        <v>45</v>
      </c>
      <c r="F1620" s="18">
        <v>1.0</v>
      </c>
      <c r="G1620" s="18"/>
      <c r="H1620" s="18"/>
      <c r="I1620" s="18"/>
      <c r="J1620" s="18"/>
      <c r="K1620" s="18"/>
      <c r="L1620" s="18"/>
      <c r="M1620" s="17" t="s">
        <v>50</v>
      </c>
      <c r="N1620" s="17" t="s">
        <v>50</v>
      </c>
      <c r="O1620" s="17" t="s">
        <v>85</v>
      </c>
      <c r="P1620" s="17" t="s">
        <v>86</v>
      </c>
      <c r="Q1620" s="17" t="s">
        <v>87</v>
      </c>
      <c r="R1620" s="17" t="s">
        <v>74</v>
      </c>
      <c r="S1620" s="18">
        <v>120.0</v>
      </c>
      <c r="T1620" s="18">
        <v>65.78</v>
      </c>
      <c r="U1620" s="18" t="s">
        <v>51</v>
      </c>
      <c r="V1620" s="17" t="s">
        <v>50</v>
      </c>
      <c r="W1620" s="17" t="s">
        <v>50</v>
      </c>
      <c r="X1620" s="17" t="s">
        <v>50</v>
      </c>
      <c r="Y1620" s="17" t="s">
        <v>50</v>
      </c>
      <c r="Z1620" s="17" t="s">
        <v>50</v>
      </c>
      <c r="AA1620" s="17" t="s">
        <v>50</v>
      </c>
      <c r="AB1620" s="17" t="s">
        <v>50</v>
      </c>
      <c r="AC1620" s="17" t="s">
        <v>50</v>
      </c>
      <c r="AD1620" s="17" t="s">
        <v>50</v>
      </c>
      <c r="AE1620" s="17" t="s">
        <v>50</v>
      </c>
      <c r="AF1620" s="17" t="s">
        <v>50</v>
      </c>
      <c r="AG1620" s="17" t="s">
        <v>50</v>
      </c>
      <c r="AH1620" s="17" t="s">
        <v>50</v>
      </c>
      <c r="AI1620" s="17" t="s">
        <v>50</v>
      </c>
      <c r="AJ1620" s="17" t="s">
        <v>50</v>
      </c>
      <c r="AK1620" s="17" t="s">
        <v>50</v>
      </c>
      <c r="AL1620" s="17" t="s">
        <v>50</v>
      </c>
      <c r="AM1620" s="17" t="s">
        <v>50</v>
      </c>
      <c r="AN1620" s="17" t="s">
        <v>50</v>
      </c>
      <c r="AO1620" s="18" t="s">
        <v>50</v>
      </c>
      <c r="AP1620" s="17" t="s">
        <v>50</v>
      </c>
      <c r="AQ1620" s="17" t="s">
        <v>50</v>
      </c>
      <c r="AR1620" s="17" t="s">
        <v>50</v>
      </c>
      <c r="AS1620" s="17" t="s">
        <v>50</v>
      </c>
      <c r="AT1620" s="17" t="s">
        <v>50</v>
      </c>
      <c r="AU1620" s="17" t="s">
        <v>50</v>
      </c>
      <c r="AV1620" s="18"/>
      <c r="AW1620" s="17" t="s">
        <v>66</v>
      </c>
      <c r="AX1620" s="17"/>
      <c r="AY1620" s="17" t="s">
        <v>66</v>
      </c>
    </row>
    <row r="1621" ht="22.5" hidden="1" customHeight="1">
      <c r="A1621" s="16" t="s">
        <v>16235</v>
      </c>
      <c r="B1621" s="17" t="s">
        <v>16225</v>
      </c>
      <c r="C1621" s="17" t="s">
        <v>43</v>
      </c>
      <c r="D1621" s="17" t="s">
        <v>13175</v>
      </c>
      <c r="E1621" s="17" t="s">
        <v>45</v>
      </c>
      <c r="F1621" s="18">
        <v>1.0</v>
      </c>
      <c r="G1621" s="18"/>
      <c r="H1621" s="18"/>
      <c r="I1621" s="18"/>
      <c r="J1621" s="18"/>
      <c r="K1621" s="18"/>
      <c r="L1621" s="18"/>
      <c r="M1621" s="17" t="s">
        <v>50</v>
      </c>
      <c r="N1621" s="17" t="s">
        <v>50</v>
      </c>
      <c r="O1621" s="17" t="s">
        <v>5739</v>
      </c>
      <c r="P1621" s="17" t="s">
        <v>5740</v>
      </c>
      <c r="Q1621" s="17" t="s">
        <v>5741</v>
      </c>
      <c r="R1621" s="17" t="s">
        <v>74</v>
      </c>
      <c r="S1621" s="18">
        <v>88.0</v>
      </c>
      <c r="T1621" s="18">
        <v>3.96</v>
      </c>
      <c r="U1621" s="18" t="s">
        <v>51</v>
      </c>
      <c r="V1621" s="17" t="s">
        <v>50</v>
      </c>
      <c r="W1621" s="17" t="s">
        <v>50</v>
      </c>
      <c r="X1621" s="17" t="s">
        <v>50</v>
      </c>
      <c r="Y1621" s="17" t="s">
        <v>50</v>
      </c>
      <c r="Z1621" s="17" t="s">
        <v>50</v>
      </c>
      <c r="AA1621" s="17" t="s">
        <v>50</v>
      </c>
      <c r="AB1621" s="17" t="s">
        <v>50</v>
      </c>
      <c r="AC1621" s="17" t="s">
        <v>50</v>
      </c>
      <c r="AD1621" s="17" t="s">
        <v>50</v>
      </c>
      <c r="AE1621" s="17" t="s">
        <v>50</v>
      </c>
      <c r="AF1621" s="17" t="s">
        <v>50</v>
      </c>
      <c r="AG1621" s="17" t="s">
        <v>50</v>
      </c>
      <c r="AH1621" s="17" t="s">
        <v>50</v>
      </c>
      <c r="AI1621" s="17" t="s">
        <v>50</v>
      </c>
      <c r="AJ1621" s="17" t="s">
        <v>50</v>
      </c>
      <c r="AK1621" s="17" t="s">
        <v>50</v>
      </c>
      <c r="AL1621" s="17" t="s">
        <v>50</v>
      </c>
      <c r="AM1621" s="17" t="s">
        <v>50</v>
      </c>
      <c r="AN1621" s="17" t="s">
        <v>50</v>
      </c>
      <c r="AO1621" s="18" t="s">
        <v>50</v>
      </c>
      <c r="AP1621" s="17" t="s">
        <v>50</v>
      </c>
      <c r="AQ1621" s="17" t="s">
        <v>50</v>
      </c>
      <c r="AR1621" s="17" t="s">
        <v>50</v>
      </c>
      <c r="AS1621" s="17" t="s">
        <v>50</v>
      </c>
      <c r="AT1621" s="17" t="s">
        <v>50</v>
      </c>
      <c r="AU1621" s="17" t="s">
        <v>50</v>
      </c>
      <c r="AV1621" s="18"/>
      <c r="AW1621" s="17" t="s">
        <v>66</v>
      </c>
      <c r="AX1621" s="17"/>
      <c r="AY1621" s="17" t="s">
        <v>66</v>
      </c>
    </row>
    <row r="1622" ht="22.5" hidden="1" customHeight="1">
      <c r="A1622" s="9" t="s">
        <v>16236</v>
      </c>
      <c r="B1622" s="10" t="s">
        <v>16237</v>
      </c>
      <c r="C1622" s="10" t="s">
        <v>43</v>
      </c>
      <c r="D1622" s="10" t="s">
        <v>14945</v>
      </c>
      <c r="E1622" s="10" t="s">
        <v>45</v>
      </c>
      <c r="F1622" s="11">
        <v>1.0</v>
      </c>
      <c r="G1622" s="11">
        <v>79.0</v>
      </c>
      <c r="H1622" s="11"/>
      <c r="I1622" s="11">
        <v>-13.43</v>
      </c>
      <c r="J1622" s="11">
        <v>-20.45</v>
      </c>
      <c r="K1622" s="11"/>
      <c r="L1622" s="11">
        <v>45.12</v>
      </c>
      <c r="M1622" s="10" t="s">
        <v>12218</v>
      </c>
      <c r="N1622" s="10" t="s">
        <v>45</v>
      </c>
      <c r="O1622" s="10" t="s">
        <v>160</v>
      </c>
      <c r="P1622" s="10" t="s">
        <v>161</v>
      </c>
      <c r="Q1622" s="10" t="s">
        <v>162</v>
      </c>
      <c r="R1622" s="10" t="s">
        <v>74</v>
      </c>
      <c r="S1622" s="11">
        <v>79.0</v>
      </c>
      <c r="T1622" s="11">
        <v>2.49</v>
      </c>
      <c r="U1622" s="11" t="s">
        <v>51</v>
      </c>
      <c r="V1622" s="10" t="s">
        <v>52</v>
      </c>
      <c r="W1622" s="10" t="s">
        <v>16238</v>
      </c>
      <c r="X1622" s="10" t="s">
        <v>16239</v>
      </c>
      <c r="Y1622" s="10" t="s">
        <v>16240</v>
      </c>
      <c r="Z1622" s="10" t="s">
        <v>50</v>
      </c>
      <c r="AA1622" s="10" t="s">
        <v>50</v>
      </c>
      <c r="AB1622" s="10" t="s">
        <v>16238</v>
      </c>
      <c r="AC1622" s="10" t="s">
        <v>16241</v>
      </c>
      <c r="AD1622" s="10" t="s">
        <v>16242</v>
      </c>
      <c r="AE1622" s="10" t="s">
        <v>1982</v>
      </c>
      <c r="AF1622" s="10" t="s">
        <v>151</v>
      </c>
      <c r="AG1622" s="10" t="s">
        <v>16243</v>
      </c>
      <c r="AH1622" s="10" t="s">
        <v>60</v>
      </c>
      <c r="AI1622" s="10" t="s">
        <v>13406</v>
      </c>
      <c r="AJ1622" s="10" t="s">
        <v>15194</v>
      </c>
      <c r="AK1622" s="10" t="s">
        <v>16244</v>
      </c>
      <c r="AL1622" s="10" t="s">
        <v>64</v>
      </c>
      <c r="AM1622" s="10" t="s">
        <v>16245</v>
      </c>
      <c r="AN1622" s="10" t="s">
        <v>50</v>
      </c>
      <c r="AO1622" s="11" t="s">
        <v>50</v>
      </c>
      <c r="AP1622" s="10" t="s">
        <v>50</v>
      </c>
      <c r="AQ1622" s="10" t="s">
        <v>50</v>
      </c>
      <c r="AR1622" s="10" t="s">
        <v>50</v>
      </c>
      <c r="AS1622" s="10" t="s">
        <v>50</v>
      </c>
      <c r="AT1622" s="10" t="s">
        <v>50</v>
      </c>
      <c r="AU1622" s="10" t="s">
        <v>50</v>
      </c>
      <c r="AV1622" s="11"/>
      <c r="AW1622" s="10" t="s">
        <v>66</v>
      </c>
      <c r="AX1622" s="10"/>
      <c r="AY1622" s="10" t="s">
        <v>66</v>
      </c>
    </row>
    <row r="1623" ht="22.5" hidden="1" customHeight="1">
      <c r="A1623" s="9" t="s">
        <v>16246</v>
      </c>
      <c r="B1623" s="10" t="s">
        <v>16247</v>
      </c>
      <c r="C1623" s="10" t="s">
        <v>43</v>
      </c>
      <c r="D1623" s="10" t="s">
        <v>14945</v>
      </c>
      <c r="E1623" s="10" t="s">
        <v>45</v>
      </c>
      <c r="F1623" s="11">
        <v>1.0</v>
      </c>
      <c r="G1623" s="11">
        <v>79.0</v>
      </c>
      <c r="H1623" s="11"/>
      <c r="I1623" s="11">
        <v>-13.43</v>
      </c>
      <c r="J1623" s="11">
        <v>-20.45</v>
      </c>
      <c r="K1623" s="11"/>
      <c r="L1623" s="11">
        <v>45.12</v>
      </c>
      <c r="M1623" s="10" t="s">
        <v>12218</v>
      </c>
      <c r="N1623" s="10" t="s">
        <v>50</v>
      </c>
      <c r="O1623" s="10" t="s">
        <v>160</v>
      </c>
      <c r="P1623" s="10" t="s">
        <v>161</v>
      </c>
      <c r="Q1623" s="10" t="s">
        <v>162</v>
      </c>
      <c r="R1623" s="10" t="s">
        <v>74</v>
      </c>
      <c r="S1623" s="11">
        <v>79.0</v>
      </c>
      <c r="T1623" s="11">
        <v>2.49</v>
      </c>
      <c r="U1623" s="11" t="s">
        <v>51</v>
      </c>
      <c r="V1623" s="10" t="s">
        <v>52</v>
      </c>
      <c r="W1623" s="10" t="s">
        <v>16248</v>
      </c>
      <c r="X1623" s="10" t="s">
        <v>16249</v>
      </c>
      <c r="Y1623" s="10" t="s">
        <v>16250</v>
      </c>
      <c r="Z1623" s="10" t="s">
        <v>50</v>
      </c>
      <c r="AA1623" s="10" t="s">
        <v>50</v>
      </c>
      <c r="AB1623" s="10" t="s">
        <v>16248</v>
      </c>
      <c r="AC1623" s="10" t="s">
        <v>16251</v>
      </c>
      <c r="AD1623" s="10" t="s">
        <v>16252</v>
      </c>
      <c r="AE1623" s="10" t="s">
        <v>1323</v>
      </c>
      <c r="AF1623" s="10" t="s">
        <v>151</v>
      </c>
      <c r="AG1623" s="10" t="s">
        <v>16253</v>
      </c>
      <c r="AH1623" s="10" t="s">
        <v>60</v>
      </c>
      <c r="AI1623" s="10" t="s">
        <v>13406</v>
      </c>
      <c r="AJ1623" s="10" t="s">
        <v>15073</v>
      </c>
      <c r="AK1623" s="10" t="s">
        <v>16254</v>
      </c>
      <c r="AL1623" s="10" t="s">
        <v>64</v>
      </c>
      <c r="AM1623" s="10" t="s">
        <v>16255</v>
      </c>
      <c r="AN1623" s="10" t="s">
        <v>16256</v>
      </c>
      <c r="AO1623" s="11" t="s">
        <v>50</v>
      </c>
      <c r="AP1623" s="10" t="s">
        <v>50</v>
      </c>
      <c r="AQ1623" s="10" t="s">
        <v>50</v>
      </c>
      <c r="AR1623" s="10" t="s">
        <v>50</v>
      </c>
      <c r="AS1623" s="10" t="s">
        <v>50</v>
      </c>
      <c r="AT1623" s="10" t="s">
        <v>50</v>
      </c>
      <c r="AU1623" s="10" t="s">
        <v>50</v>
      </c>
      <c r="AV1623" s="11"/>
      <c r="AW1623" s="10" t="s">
        <v>66</v>
      </c>
      <c r="AX1623" s="10"/>
      <c r="AY1623" s="10" t="s">
        <v>66</v>
      </c>
    </row>
    <row r="1624" ht="22.5" hidden="1" customHeight="1">
      <c r="A1624" s="9" t="s">
        <v>16257</v>
      </c>
      <c r="B1624" s="10" t="s">
        <v>16258</v>
      </c>
      <c r="C1624" s="10" t="s">
        <v>43</v>
      </c>
      <c r="D1624" s="10" t="s">
        <v>14923</v>
      </c>
      <c r="E1624" s="10" t="s">
        <v>66</v>
      </c>
      <c r="F1624" s="11">
        <v>1.0</v>
      </c>
      <c r="G1624" s="11">
        <v>120.0</v>
      </c>
      <c r="H1624" s="11"/>
      <c r="I1624" s="11">
        <v>-20.4</v>
      </c>
      <c r="J1624" s="11">
        <v>-19.95</v>
      </c>
      <c r="K1624" s="11"/>
      <c r="L1624" s="11">
        <v>86.85</v>
      </c>
      <c r="M1624" s="10" t="s">
        <v>12218</v>
      </c>
      <c r="N1624" s="10" t="s">
        <v>45</v>
      </c>
      <c r="O1624" s="10" t="s">
        <v>85</v>
      </c>
      <c r="P1624" s="10" t="s">
        <v>86</v>
      </c>
      <c r="Q1624" s="10" t="s">
        <v>87</v>
      </c>
      <c r="R1624" s="10" t="s">
        <v>74</v>
      </c>
      <c r="S1624" s="11">
        <v>120.0</v>
      </c>
      <c r="T1624" s="11">
        <v>65.78</v>
      </c>
      <c r="U1624" s="11" t="s">
        <v>51</v>
      </c>
      <c r="V1624" s="10" t="s">
        <v>52</v>
      </c>
      <c r="W1624" s="10" t="s">
        <v>16259</v>
      </c>
      <c r="X1624" s="10" t="s">
        <v>16260</v>
      </c>
      <c r="Y1624" s="10" t="s">
        <v>16261</v>
      </c>
      <c r="Z1624" s="10" t="s">
        <v>50</v>
      </c>
      <c r="AA1624" s="10" t="s">
        <v>50</v>
      </c>
      <c r="AB1624" s="10" t="s">
        <v>16259</v>
      </c>
      <c r="AC1624" s="10" t="s">
        <v>16262</v>
      </c>
      <c r="AD1624" s="10" t="s">
        <v>16263</v>
      </c>
      <c r="AE1624" s="10" t="s">
        <v>16264</v>
      </c>
      <c r="AF1624" s="10" t="s">
        <v>58</v>
      </c>
      <c r="AG1624" s="10" t="s">
        <v>16265</v>
      </c>
      <c r="AH1624" s="10" t="s">
        <v>60</v>
      </c>
      <c r="AI1624" s="10" t="s">
        <v>13406</v>
      </c>
      <c r="AJ1624" s="10" t="s">
        <v>15085</v>
      </c>
      <c r="AK1624" s="10" t="s">
        <v>16266</v>
      </c>
      <c r="AL1624" s="10" t="s">
        <v>64</v>
      </c>
      <c r="AM1624" s="10" t="s">
        <v>16267</v>
      </c>
      <c r="AN1624" s="10" t="s">
        <v>50</v>
      </c>
      <c r="AO1624" s="11" t="s">
        <v>50</v>
      </c>
      <c r="AP1624" s="10" t="s">
        <v>50</v>
      </c>
      <c r="AQ1624" s="10" t="s">
        <v>50</v>
      </c>
      <c r="AR1624" s="10" t="s">
        <v>50</v>
      </c>
      <c r="AS1624" s="10" t="s">
        <v>50</v>
      </c>
      <c r="AT1624" s="10" t="s">
        <v>50</v>
      </c>
      <c r="AU1624" s="10" t="s">
        <v>50</v>
      </c>
      <c r="AV1624" s="11"/>
      <c r="AW1624" s="10" t="s">
        <v>66</v>
      </c>
      <c r="AX1624" s="10"/>
      <c r="AY1624" s="10" t="s">
        <v>66</v>
      </c>
    </row>
    <row r="1625" ht="22.5" hidden="1" customHeight="1">
      <c r="A1625" s="9" t="s">
        <v>16268</v>
      </c>
      <c r="B1625" s="10" t="s">
        <v>16269</v>
      </c>
      <c r="C1625" s="10" t="s">
        <v>43</v>
      </c>
      <c r="D1625" s="10" t="s">
        <v>14923</v>
      </c>
      <c r="E1625" s="10" t="s">
        <v>66</v>
      </c>
      <c r="F1625" s="11">
        <v>1.0</v>
      </c>
      <c r="G1625" s="11">
        <v>120.0</v>
      </c>
      <c r="H1625" s="11"/>
      <c r="I1625" s="11">
        <v>-20.4</v>
      </c>
      <c r="J1625" s="11">
        <v>-19.95</v>
      </c>
      <c r="K1625" s="11"/>
      <c r="L1625" s="11">
        <v>86.85</v>
      </c>
      <c r="M1625" s="10" t="s">
        <v>12218</v>
      </c>
      <c r="N1625" s="10" t="s">
        <v>50</v>
      </c>
      <c r="O1625" s="10" t="s">
        <v>85</v>
      </c>
      <c r="P1625" s="10" t="s">
        <v>86</v>
      </c>
      <c r="Q1625" s="10" t="s">
        <v>87</v>
      </c>
      <c r="R1625" s="10" t="s">
        <v>74</v>
      </c>
      <c r="S1625" s="11">
        <v>120.0</v>
      </c>
      <c r="T1625" s="11">
        <v>65.78</v>
      </c>
      <c r="U1625" s="11" t="s">
        <v>51</v>
      </c>
      <c r="V1625" s="10" t="s">
        <v>52</v>
      </c>
      <c r="W1625" s="10" t="s">
        <v>16270</v>
      </c>
      <c r="X1625" s="10" t="s">
        <v>16271</v>
      </c>
      <c r="Y1625" s="10" t="s">
        <v>16272</v>
      </c>
      <c r="Z1625" s="10" t="s">
        <v>50</v>
      </c>
      <c r="AA1625" s="10" t="s">
        <v>50</v>
      </c>
      <c r="AB1625" s="10" t="s">
        <v>16270</v>
      </c>
      <c r="AC1625" s="10" t="s">
        <v>16273</v>
      </c>
      <c r="AD1625" s="10" t="s">
        <v>16274</v>
      </c>
      <c r="AE1625" s="10" t="s">
        <v>2032</v>
      </c>
      <c r="AF1625" s="10" t="s">
        <v>58</v>
      </c>
      <c r="AG1625" s="10" t="s">
        <v>16275</v>
      </c>
      <c r="AH1625" s="10" t="s">
        <v>60</v>
      </c>
      <c r="AI1625" s="10" t="s">
        <v>13406</v>
      </c>
      <c r="AJ1625" s="10" t="s">
        <v>15008</v>
      </c>
      <c r="AK1625" s="10" t="s">
        <v>16276</v>
      </c>
      <c r="AL1625" s="10" t="s">
        <v>64</v>
      </c>
      <c r="AM1625" s="10" t="s">
        <v>16277</v>
      </c>
      <c r="AN1625" s="10" t="s">
        <v>50</v>
      </c>
      <c r="AO1625" s="11" t="s">
        <v>50</v>
      </c>
      <c r="AP1625" s="10" t="s">
        <v>50</v>
      </c>
      <c r="AQ1625" s="10" t="s">
        <v>50</v>
      </c>
      <c r="AR1625" s="10" t="s">
        <v>50</v>
      </c>
      <c r="AS1625" s="10" t="s">
        <v>50</v>
      </c>
      <c r="AT1625" s="10" t="s">
        <v>50</v>
      </c>
      <c r="AU1625" s="10" t="s">
        <v>50</v>
      </c>
      <c r="AV1625" s="11"/>
      <c r="AW1625" s="10" t="s">
        <v>66</v>
      </c>
      <c r="AX1625" s="10"/>
      <c r="AY1625" s="10" t="s">
        <v>66</v>
      </c>
    </row>
    <row r="1626" ht="22.5" hidden="1" customHeight="1">
      <c r="A1626" s="9" t="s">
        <v>16278</v>
      </c>
      <c r="B1626" s="10" t="s">
        <v>16279</v>
      </c>
      <c r="C1626" s="10" t="s">
        <v>43</v>
      </c>
      <c r="D1626" s="10" t="s">
        <v>14945</v>
      </c>
      <c r="E1626" s="10" t="s">
        <v>66</v>
      </c>
      <c r="F1626" s="11">
        <v>1.0</v>
      </c>
      <c r="G1626" s="11">
        <v>80.0</v>
      </c>
      <c r="H1626" s="11"/>
      <c r="I1626" s="11">
        <v>-13.6</v>
      </c>
      <c r="J1626" s="11">
        <v>-19.95</v>
      </c>
      <c r="K1626" s="11"/>
      <c r="L1626" s="11">
        <v>50.45</v>
      </c>
      <c r="M1626" s="10" t="s">
        <v>12218</v>
      </c>
      <c r="N1626" s="10" t="s">
        <v>50</v>
      </c>
      <c r="O1626" s="10" t="s">
        <v>143</v>
      </c>
      <c r="P1626" s="10" t="s">
        <v>144</v>
      </c>
      <c r="Q1626" s="10" t="s">
        <v>145</v>
      </c>
      <c r="R1626" s="10" t="s">
        <v>74</v>
      </c>
      <c r="S1626" s="11">
        <v>80.0</v>
      </c>
      <c r="T1626" s="11">
        <v>33.38</v>
      </c>
      <c r="U1626" s="11" t="s">
        <v>51</v>
      </c>
      <c r="V1626" s="10" t="s">
        <v>52</v>
      </c>
      <c r="W1626" s="10" t="s">
        <v>16280</v>
      </c>
      <c r="X1626" s="10" t="s">
        <v>16281</v>
      </c>
      <c r="Y1626" s="10" t="s">
        <v>16282</v>
      </c>
      <c r="Z1626" s="10" t="s">
        <v>50</v>
      </c>
      <c r="AA1626" s="10" t="s">
        <v>50</v>
      </c>
      <c r="AB1626" s="10" t="s">
        <v>16280</v>
      </c>
      <c r="AC1626" s="10" t="s">
        <v>16283</v>
      </c>
      <c r="AD1626" s="10" t="s">
        <v>16284</v>
      </c>
      <c r="AE1626" s="10" t="s">
        <v>16285</v>
      </c>
      <c r="AF1626" s="10" t="s">
        <v>151</v>
      </c>
      <c r="AG1626" s="10" t="s">
        <v>16286</v>
      </c>
      <c r="AH1626" s="10" t="s">
        <v>60</v>
      </c>
      <c r="AI1626" s="10" t="s">
        <v>13406</v>
      </c>
      <c r="AJ1626" s="10" t="s">
        <v>15926</v>
      </c>
      <c r="AK1626" s="10" t="s">
        <v>16287</v>
      </c>
      <c r="AL1626" s="10" t="s">
        <v>64</v>
      </c>
      <c r="AM1626" s="10" t="s">
        <v>16288</v>
      </c>
      <c r="AN1626" s="10" t="s">
        <v>50</v>
      </c>
      <c r="AO1626" s="11" t="s">
        <v>50</v>
      </c>
      <c r="AP1626" s="10" t="s">
        <v>50</v>
      </c>
      <c r="AQ1626" s="10" t="s">
        <v>50</v>
      </c>
      <c r="AR1626" s="10" t="s">
        <v>50</v>
      </c>
      <c r="AS1626" s="10" t="s">
        <v>50</v>
      </c>
      <c r="AT1626" s="10" t="s">
        <v>50</v>
      </c>
      <c r="AU1626" s="10" t="s">
        <v>50</v>
      </c>
      <c r="AV1626" s="11"/>
      <c r="AW1626" s="10" t="s">
        <v>66</v>
      </c>
      <c r="AX1626" s="10"/>
      <c r="AY1626" s="10" t="s">
        <v>66</v>
      </c>
    </row>
    <row r="1627" ht="22.5" hidden="1" customHeight="1">
      <c r="A1627" s="9" t="s">
        <v>16289</v>
      </c>
      <c r="B1627" s="10" t="s">
        <v>16290</v>
      </c>
      <c r="C1627" s="10" t="s">
        <v>43</v>
      </c>
      <c r="D1627" s="10" t="s">
        <v>13108</v>
      </c>
      <c r="E1627" s="10" t="s">
        <v>45</v>
      </c>
      <c r="F1627" s="11">
        <v>1.0</v>
      </c>
      <c r="G1627" s="11">
        <v>92.15</v>
      </c>
      <c r="H1627" s="11"/>
      <c r="I1627" s="11">
        <v>-17.51</v>
      </c>
      <c r="J1627" s="11">
        <v>-20.45</v>
      </c>
      <c r="K1627" s="11"/>
      <c r="L1627" s="11">
        <v>59.72</v>
      </c>
      <c r="M1627" s="10" t="s">
        <v>12218</v>
      </c>
      <c r="N1627" s="10" t="s">
        <v>45</v>
      </c>
      <c r="O1627" s="10" t="s">
        <v>586</v>
      </c>
      <c r="P1627" s="10" t="s">
        <v>587</v>
      </c>
      <c r="Q1627" s="10" t="s">
        <v>588</v>
      </c>
      <c r="R1627" s="10" t="s">
        <v>50</v>
      </c>
      <c r="S1627" s="11">
        <v>92.15</v>
      </c>
      <c r="T1627" s="11">
        <v>20.76</v>
      </c>
      <c r="U1627" s="11" t="s">
        <v>51</v>
      </c>
      <c r="V1627" s="10" t="s">
        <v>52</v>
      </c>
      <c r="W1627" s="10" t="s">
        <v>16291</v>
      </c>
      <c r="X1627" s="10" t="s">
        <v>16292</v>
      </c>
      <c r="Y1627" s="10" t="s">
        <v>16293</v>
      </c>
      <c r="Z1627" s="10" t="s">
        <v>50</v>
      </c>
      <c r="AA1627" s="10" t="s">
        <v>50</v>
      </c>
      <c r="AB1627" s="10" t="s">
        <v>16291</v>
      </c>
      <c r="AC1627" s="10" t="s">
        <v>16294</v>
      </c>
      <c r="AD1627" s="10" t="s">
        <v>16295</v>
      </c>
      <c r="AE1627" s="10" t="s">
        <v>1346</v>
      </c>
      <c r="AF1627" s="10" t="s">
        <v>1347</v>
      </c>
      <c r="AG1627" s="10" t="s">
        <v>16296</v>
      </c>
      <c r="AH1627" s="10" t="s">
        <v>60</v>
      </c>
      <c r="AI1627" s="10" t="s">
        <v>13406</v>
      </c>
      <c r="AJ1627" s="10" t="s">
        <v>15757</v>
      </c>
      <c r="AK1627" s="10" t="s">
        <v>16297</v>
      </c>
      <c r="AL1627" s="10" t="s">
        <v>64</v>
      </c>
      <c r="AM1627" s="10" t="s">
        <v>16298</v>
      </c>
      <c r="AN1627" s="10" t="s">
        <v>16299</v>
      </c>
      <c r="AO1627" s="11" t="s">
        <v>50</v>
      </c>
      <c r="AP1627" s="10" t="s">
        <v>50</v>
      </c>
      <c r="AQ1627" s="10" t="s">
        <v>50</v>
      </c>
      <c r="AR1627" s="10" t="s">
        <v>50</v>
      </c>
      <c r="AS1627" s="10" t="s">
        <v>50</v>
      </c>
      <c r="AT1627" s="10" t="s">
        <v>50</v>
      </c>
      <c r="AU1627" s="10" t="s">
        <v>50</v>
      </c>
      <c r="AV1627" s="11"/>
      <c r="AW1627" s="10" t="s">
        <v>66</v>
      </c>
      <c r="AX1627" s="10"/>
      <c r="AY1627" s="10" t="s">
        <v>66</v>
      </c>
    </row>
    <row r="1628" ht="22.5" hidden="1" customHeight="1">
      <c r="A1628" s="9" t="s">
        <v>16300</v>
      </c>
      <c r="B1628" s="10" t="s">
        <v>16301</v>
      </c>
      <c r="C1628" s="10" t="s">
        <v>43</v>
      </c>
      <c r="D1628" s="10" t="s">
        <v>13108</v>
      </c>
      <c r="E1628" s="10" t="s">
        <v>66</v>
      </c>
      <c r="F1628" s="11">
        <v>1.0</v>
      </c>
      <c r="G1628" s="11">
        <v>120.0</v>
      </c>
      <c r="H1628" s="11"/>
      <c r="I1628" s="11">
        <v>-20.4</v>
      </c>
      <c r="J1628" s="11">
        <v>-19.95</v>
      </c>
      <c r="K1628" s="11"/>
      <c r="L1628" s="11">
        <v>86.85</v>
      </c>
      <c r="M1628" s="10" t="s">
        <v>12218</v>
      </c>
      <c r="N1628" s="10" t="s">
        <v>45</v>
      </c>
      <c r="O1628" s="10" t="s">
        <v>85</v>
      </c>
      <c r="P1628" s="10" t="s">
        <v>86</v>
      </c>
      <c r="Q1628" s="10" t="s">
        <v>87</v>
      </c>
      <c r="R1628" s="10" t="s">
        <v>74</v>
      </c>
      <c r="S1628" s="11">
        <v>120.0</v>
      </c>
      <c r="T1628" s="11">
        <v>65.78</v>
      </c>
      <c r="U1628" s="11" t="s">
        <v>51</v>
      </c>
      <c r="V1628" s="10" t="s">
        <v>52</v>
      </c>
      <c r="W1628" s="10" t="s">
        <v>16302</v>
      </c>
      <c r="X1628" s="10" t="s">
        <v>16303</v>
      </c>
      <c r="Y1628" s="10" t="s">
        <v>16304</v>
      </c>
      <c r="Z1628" s="10" t="s">
        <v>50</v>
      </c>
      <c r="AA1628" s="10" t="s">
        <v>50</v>
      </c>
      <c r="AB1628" s="10" t="s">
        <v>16302</v>
      </c>
      <c r="AC1628" s="10" t="s">
        <v>16305</v>
      </c>
      <c r="AD1628" s="10" t="s">
        <v>16306</v>
      </c>
      <c r="AE1628" s="10" t="s">
        <v>16307</v>
      </c>
      <c r="AF1628" s="10" t="s">
        <v>561</v>
      </c>
      <c r="AG1628" s="10" t="s">
        <v>16308</v>
      </c>
      <c r="AH1628" s="10" t="s">
        <v>60</v>
      </c>
      <c r="AI1628" s="10" t="s">
        <v>13406</v>
      </c>
      <c r="AJ1628" s="10" t="s">
        <v>15085</v>
      </c>
      <c r="AK1628" s="10" t="s">
        <v>16309</v>
      </c>
      <c r="AL1628" s="10" t="s">
        <v>64</v>
      </c>
      <c r="AM1628" s="10" t="s">
        <v>16310</v>
      </c>
      <c r="AN1628" s="10" t="s">
        <v>50</v>
      </c>
      <c r="AO1628" s="11" t="s">
        <v>50</v>
      </c>
      <c r="AP1628" s="10" t="s">
        <v>50</v>
      </c>
      <c r="AQ1628" s="10" t="s">
        <v>50</v>
      </c>
      <c r="AR1628" s="10" t="s">
        <v>50</v>
      </c>
      <c r="AS1628" s="10" t="s">
        <v>50</v>
      </c>
      <c r="AT1628" s="10" t="s">
        <v>50</v>
      </c>
      <c r="AU1628" s="10" t="s">
        <v>50</v>
      </c>
      <c r="AV1628" s="11"/>
      <c r="AW1628" s="10" t="s">
        <v>66</v>
      </c>
      <c r="AX1628" s="10"/>
      <c r="AY1628" s="10" t="s">
        <v>66</v>
      </c>
    </row>
    <row r="1629" ht="22.5" hidden="1" customHeight="1">
      <c r="A1629" s="9" t="s">
        <v>16311</v>
      </c>
      <c r="B1629" s="10" t="s">
        <v>16312</v>
      </c>
      <c r="C1629" s="10" t="s">
        <v>43</v>
      </c>
      <c r="D1629" s="10" t="s">
        <v>13175</v>
      </c>
      <c r="E1629" s="10" t="s">
        <v>45</v>
      </c>
      <c r="F1629" s="11">
        <v>1.0</v>
      </c>
      <c r="G1629" s="11">
        <v>79.2</v>
      </c>
      <c r="H1629" s="11"/>
      <c r="I1629" s="11">
        <v>-13.46</v>
      </c>
      <c r="J1629" s="11">
        <v>-20.45</v>
      </c>
      <c r="K1629" s="11"/>
      <c r="L1629" s="11">
        <v>45.29</v>
      </c>
      <c r="M1629" s="10" t="s">
        <v>12218</v>
      </c>
      <c r="N1629" s="10" t="s">
        <v>45</v>
      </c>
      <c r="O1629" s="10" t="s">
        <v>892</v>
      </c>
      <c r="P1629" s="10" t="s">
        <v>893</v>
      </c>
      <c r="Q1629" s="10" t="s">
        <v>894</v>
      </c>
      <c r="R1629" s="10" t="s">
        <v>74</v>
      </c>
      <c r="S1629" s="11">
        <v>79.2</v>
      </c>
      <c r="T1629" s="11">
        <v>2.97</v>
      </c>
      <c r="U1629" s="11" t="s">
        <v>51</v>
      </c>
      <c r="V1629" s="10" t="s">
        <v>52</v>
      </c>
      <c r="W1629" s="10" t="s">
        <v>16313</v>
      </c>
      <c r="X1629" s="10" t="s">
        <v>16314</v>
      </c>
      <c r="Y1629" s="10" t="s">
        <v>16315</v>
      </c>
      <c r="Z1629" s="10" t="s">
        <v>50</v>
      </c>
      <c r="AA1629" s="10" t="s">
        <v>50</v>
      </c>
      <c r="AB1629" s="10" t="s">
        <v>16313</v>
      </c>
      <c r="AC1629" s="10" t="s">
        <v>16316</v>
      </c>
      <c r="AD1629" s="10" t="s">
        <v>16317</v>
      </c>
      <c r="AE1629" s="10" t="s">
        <v>213</v>
      </c>
      <c r="AF1629" s="10" t="s">
        <v>214</v>
      </c>
      <c r="AG1629" s="10" t="s">
        <v>16318</v>
      </c>
      <c r="AH1629" s="10" t="s">
        <v>60</v>
      </c>
      <c r="AI1629" s="10" t="s">
        <v>13406</v>
      </c>
      <c r="AJ1629" s="10" t="s">
        <v>15216</v>
      </c>
      <c r="AK1629" s="10" t="s">
        <v>16319</v>
      </c>
      <c r="AL1629" s="10" t="s">
        <v>64</v>
      </c>
      <c r="AM1629" s="10" t="s">
        <v>16320</v>
      </c>
      <c r="AN1629" s="10" t="s">
        <v>50</v>
      </c>
      <c r="AO1629" s="11" t="s">
        <v>50</v>
      </c>
      <c r="AP1629" s="10" t="s">
        <v>50</v>
      </c>
      <c r="AQ1629" s="10" t="s">
        <v>50</v>
      </c>
      <c r="AR1629" s="10" t="s">
        <v>50</v>
      </c>
      <c r="AS1629" s="10" t="s">
        <v>50</v>
      </c>
      <c r="AT1629" s="10" t="s">
        <v>50</v>
      </c>
      <c r="AU1629" s="10" t="s">
        <v>50</v>
      </c>
      <c r="AV1629" s="11"/>
      <c r="AW1629" s="10" t="s">
        <v>66</v>
      </c>
      <c r="AX1629" s="10"/>
      <c r="AY1629" s="10" t="s">
        <v>66</v>
      </c>
    </row>
    <row r="1630" ht="22.5" hidden="1" customHeight="1">
      <c r="A1630" s="9" t="s">
        <v>16321</v>
      </c>
      <c r="B1630" s="10" t="s">
        <v>16322</v>
      </c>
      <c r="C1630" s="10" t="s">
        <v>43</v>
      </c>
      <c r="D1630" s="10" t="s">
        <v>13175</v>
      </c>
      <c r="E1630" s="10" t="s">
        <v>66</v>
      </c>
      <c r="F1630" s="11">
        <v>1.0</v>
      </c>
      <c r="G1630" s="11">
        <v>80.0</v>
      </c>
      <c r="H1630" s="11"/>
      <c r="I1630" s="11">
        <v>-13.6</v>
      </c>
      <c r="J1630" s="11">
        <v>-19.95</v>
      </c>
      <c r="K1630" s="11"/>
      <c r="L1630" s="11">
        <v>50.45</v>
      </c>
      <c r="M1630" s="10" t="s">
        <v>12218</v>
      </c>
      <c r="N1630" s="10" t="s">
        <v>45</v>
      </c>
      <c r="O1630" s="10" t="s">
        <v>143</v>
      </c>
      <c r="P1630" s="10" t="s">
        <v>144</v>
      </c>
      <c r="Q1630" s="10" t="s">
        <v>145</v>
      </c>
      <c r="R1630" s="10" t="s">
        <v>74</v>
      </c>
      <c r="S1630" s="11">
        <v>80.0</v>
      </c>
      <c r="T1630" s="11">
        <v>33.38</v>
      </c>
      <c r="U1630" s="11" t="s">
        <v>51</v>
      </c>
      <c r="V1630" s="10" t="s">
        <v>52</v>
      </c>
      <c r="W1630" s="10" t="s">
        <v>16323</v>
      </c>
      <c r="X1630" s="10" t="s">
        <v>16324</v>
      </c>
      <c r="Y1630" s="10" t="s">
        <v>16325</v>
      </c>
      <c r="Z1630" s="10" t="s">
        <v>50</v>
      </c>
      <c r="AA1630" s="10" t="s">
        <v>50</v>
      </c>
      <c r="AB1630" s="10" t="s">
        <v>16323</v>
      </c>
      <c r="AC1630" s="10" t="s">
        <v>16326</v>
      </c>
      <c r="AD1630" s="10" t="s">
        <v>16327</v>
      </c>
      <c r="AE1630" s="10" t="s">
        <v>1100</v>
      </c>
      <c r="AF1630" s="10" t="s">
        <v>799</v>
      </c>
      <c r="AG1630" s="10" t="s">
        <v>16328</v>
      </c>
      <c r="AH1630" s="10" t="s">
        <v>60</v>
      </c>
      <c r="AI1630" s="10" t="s">
        <v>13406</v>
      </c>
      <c r="AJ1630" s="10" t="s">
        <v>16329</v>
      </c>
      <c r="AK1630" s="10" t="s">
        <v>16330</v>
      </c>
      <c r="AL1630" s="10" t="s">
        <v>64</v>
      </c>
      <c r="AM1630" s="10" t="s">
        <v>16331</v>
      </c>
      <c r="AN1630" s="10" t="s">
        <v>50</v>
      </c>
      <c r="AO1630" s="11" t="s">
        <v>50</v>
      </c>
      <c r="AP1630" s="10" t="s">
        <v>50</v>
      </c>
      <c r="AQ1630" s="10" t="s">
        <v>50</v>
      </c>
      <c r="AR1630" s="10" t="s">
        <v>50</v>
      </c>
      <c r="AS1630" s="10" t="s">
        <v>50</v>
      </c>
      <c r="AT1630" s="10" t="s">
        <v>50</v>
      </c>
      <c r="AU1630" s="10" t="s">
        <v>50</v>
      </c>
      <c r="AV1630" s="11"/>
      <c r="AW1630" s="10" t="s">
        <v>66</v>
      </c>
      <c r="AX1630" s="10"/>
      <c r="AY1630" s="10" t="s">
        <v>66</v>
      </c>
    </row>
    <row r="1631" ht="22.5" hidden="1" customHeight="1">
      <c r="A1631" s="9" t="s">
        <v>16332</v>
      </c>
      <c r="B1631" s="10" t="s">
        <v>16333</v>
      </c>
      <c r="C1631" s="10" t="s">
        <v>43</v>
      </c>
      <c r="D1631" s="10" t="s">
        <v>16334</v>
      </c>
      <c r="E1631" s="10" t="s">
        <v>66</v>
      </c>
      <c r="F1631" s="11">
        <v>1.0</v>
      </c>
      <c r="G1631" s="11">
        <v>120.0</v>
      </c>
      <c r="H1631" s="11"/>
      <c r="I1631" s="11">
        <v>-20.4</v>
      </c>
      <c r="J1631" s="11">
        <v>-19.95</v>
      </c>
      <c r="K1631" s="11"/>
      <c r="L1631" s="11">
        <v>86.85</v>
      </c>
      <c r="M1631" s="10" t="s">
        <v>12218</v>
      </c>
      <c r="N1631" s="10" t="s">
        <v>45</v>
      </c>
      <c r="O1631" s="10" t="s">
        <v>85</v>
      </c>
      <c r="P1631" s="10" t="s">
        <v>86</v>
      </c>
      <c r="Q1631" s="10" t="s">
        <v>87</v>
      </c>
      <c r="R1631" s="10" t="s">
        <v>74</v>
      </c>
      <c r="S1631" s="11">
        <v>120.0</v>
      </c>
      <c r="T1631" s="11">
        <v>65.78</v>
      </c>
      <c r="U1631" s="11" t="s">
        <v>51</v>
      </c>
      <c r="V1631" s="10" t="s">
        <v>52</v>
      </c>
      <c r="W1631" s="10" t="s">
        <v>16335</v>
      </c>
      <c r="X1631" s="10" t="s">
        <v>16336</v>
      </c>
      <c r="Y1631" s="10" t="s">
        <v>16337</v>
      </c>
      <c r="Z1631" s="10" t="s">
        <v>50</v>
      </c>
      <c r="AA1631" s="10" t="s">
        <v>50</v>
      </c>
      <c r="AB1631" s="10" t="s">
        <v>16335</v>
      </c>
      <c r="AC1631" s="10" t="s">
        <v>16338</v>
      </c>
      <c r="AD1631" s="10" t="s">
        <v>16339</v>
      </c>
      <c r="AE1631" s="10" t="s">
        <v>151</v>
      </c>
      <c r="AF1631" s="10" t="s">
        <v>151</v>
      </c>
      <c r="AG1631" s="10" t="s">
        <v>16340</v>
      </c>
      <c r="AH1631" s="10" t="s">
        <v>60</v>
      </c>
      <c r="AI1631" s="10" t="s">
        <v>13406</v>
      </c>
      <c r="AJ1631" s="10" t="s">
        <v>16341</v>
      </c>
      <c r="AK1631" s="10" t="s">
        <v>16342</v>
      </c>
      <c r="AL1631" s="10" t="s">
        <v>64</v>
      </c>
      <c r="AM1631" s="10" t="s">
        <v>16343</v>
      </c>
      <c r="AN1631" s="10" t="s">
        <v>50</v>
      </c>
      <c r="AO1631" s="11" t="s">
        <v>50</v>
      </c>
      <c r="AP1631" s="10" t="s">
        <v>50</v>
      </c>
      <c r="AQ1631" s="10" t="s">
        <v>50</v>
      </c>
      <c r="AR1631" s="10" t="s">
        <v>50</v>
      </c>
      <c r="AS1631" s="10" t="s">
        <v>50</v>
      </c>
      <c r="AT1631" s="10" t="s">
        <v>50</v>
      </c>
      <c r="AU1631" s="10" t="s">
        <v>50</v>
      </c>
      <c r="AV1631" s="11"/>
      <c r="AW1631" s="10" t="s">
        <v>66</v>
      </c>
      <c r="AX1631" s="10"/>
      <c r="AY1631" s="10" t="s">
        <v>66</v>
      </c>
    </row>
    <row r="1632" ht="22.5" hidden="1" customHeight="1">
      <c r="A1632" s="9" t="s">
        <v>16344</v>
      </c>
      <c r="B1632" s="10" t="s">
        <v>16345</v>
      </c>
      <c r="C1632" s="10" t="s">
        <v>43</v>
      </c>
      <c r="D1632" s="10" t="s">
        <v>14945</v>
      </c>
      <c r="E1632" s="10" t="s">
        <v>66</v>
      </c>
      <c r="F1632" s="11">
        <v>1.0</v>
      </c>
      <c r="G1632" s="11">
        <v>43.7</v>
      </c>
      <c r="H1632" s="11">
        <v>14.15</v>
      </c>
      <c r="I1632" s="11">
        <v>-13.43</v>
      </c>
      <c r="J1632" s="11">
        <v>-14.15</v>
      </c>
      <c r="K1632" s="11"/>
      <c r="L1632" s="11">
        <v>32.89</v>
      </c>
      <c r="M1632" s="10" t="s">
        <v>12218</v>
      </c>
      <c r="N1632" s="10" t="s">
        <v>50</v>
      </c>
      <c r="O1632" s="10" t="s">
        <v>176</v>
      </c>
      <c r="P1632" s="10" t="s">
        <v>177</v>
      </c>
      <c r="Q1632" s="10" t="s">
        <v>178</v>
      </c>
      <c r="R1632" s="10" t="s">
        <v>74</v>
      </c>
      <c r="S1632" s="11">
        <v>43.7</v>
      </c>
      <c r="T1632" s="11">
        <v>22.58</v>
      </c>
      <c r="U1632" s="11" t="s">
        <v>51</v>
      </c>
      <c r="V1632" s="10" t="s">
        <v>52</v>
      </c>
      <c r="W1632" s="10" t="s">
        <v>6111</v>
      </c>
      <c r="X1632" s="10" t="s">
        <v>6112</v>
      </c>
      <c r="Y1632" s="10" t="s">
        <v>6113</v>
      </c>
      <c r="Z1632" s="10" t="s">
        <v>50</v>
      </c>
      <c r="AA1632" s="10" t="s">
        <v>50</v>
      </c>
      <c r="AB1632" s="10" t="s">
        <v>6111</v>
      </c>
      <c r="AC1632" s="10" t="s">
        <v>6114</v>
      </c>
      <c r="AD1632" s="10" t="s">
        <v>6115</v>
      </c>
      <c r="AE1632" s="10" t="s">
        <v>6116</v>
      </c>
      <c r="AF1632" s="10" t="s">
        <v>58</v>
      </c>
      <c r="AG1632" s="10" t="s">
        <v>6117</v>
      </c>
      <c r="AH1632" s="10" t="s">
        <v>60</v>
      </c>
      <c r="AI1632" s="10" t="s">
        <v>13406</v>
      </c>
      <c r="AJ1632" s="10" t="s">
        <v>16346</v>
      </c>
      <c r="AK1632" s="10" t="s">
        <v>15992</v>
      </c>
      <c r="AL1632" s="10" t="s">
        <v>64</v>
      </c>
      <c r="AM1632" s="10" t="s">
        <v>16347</v>
      </c>
      <c r="AN1632" s="10" t="s">
        <v>50</v>
      </c>
      <c r="AO1632" s="11" t="s">
        <v>50</v>
      </c>
      <c r="AP1632" s="10" t="s">
        <v>50</v>
      </c>
      <c r="AQ1632" s="10" t="s">
        <v>50</v>
      </c>
      <c r="AR1632" s="10" t="s">
        <v>50</v>
      </c>
      <c r="AS1632" s="10" t="s">
        <v>50</v>
      </c>
      <c r="AT1632" s="10" t="s">
        <v>50</v>
      </c>
      <c r="AU1632" s="10" t="s">
        <v>50</v>
      </c>
      <c r="AV1632" s="11"/>
      <c r="AW1632" s="10" t="s">
        <v>66</v>
      </c>
      <c r="AX1632" s="10"/>
      <c r="AY1632" s="10" t="s">
        <v>66</v>
      </c>
    </row>
    <row r="1633" ht="22.5" hidden="1" customHeight="1">
      <c r="A1633" s="9" t="s">
        <v>16348</v>
      </c>
      <c r="B1633" s="10" t="s">
        <v>16349</v>
      </c>
      <c r="C1633" s="10" t="s">
        <v>43</v>
      </c>
      <c r="D1633" s="10" t="s">
        <v>14923</v>
      </c>
      <c r="E1633" s="10" t="s">
        <v>45</v>
      </c>
      <c r="F1633" s="11">
        <v>1.0</v>
      </c>
      <c r="G1633" s="11">
        <v>92.15</v>
      </c>
      <c r="H1633" s="11"/>
      <c r="I1633" s="11">
        <v>-17.51</v>
      </c>
      <c r="J1633" s="11">
        <v>-20.45</v>
      </c>
      <c r="K1633" s="11"/>
      <c r="L1633" s="11">
        <v>59.72</v>
      </c>
      <c r="M1633" s="10" t="s">
        <v>12218</v>
      </c>
      <c r="N1633" s="10" t="s">
        <v>45</v>
      </c>
      <c r="O1633" s="10" t="s">
        <v>586</v>
      </c>
      <c r="P1633" s="10" t="s">
        <v>587</v>
      </c>
      <c r="Q1633" s="10" t="s">
        <v>588</v>
      </c>
      <c r="R1633" s="10" t="s">
        <v>50</v>
      </c>
      <c r="S1633" s="11">
        <v>92.15</v>
      </c>
      <c r="T1633" s="11">
        <v>20.76</v>
      </c>
      <c r="U1633" s="11" t="s">
        <v>51</v>
      </c>
      <c r="V1633" s="10" t="s">
        <v>52</v>
      </c>
      <c r="W1633" s="10" t="s">
        <v>16350</v>
      </c>
      <c r="X1633" s="10" t="s">
        <v>16351</v>
      </c>
      <c r="Y1633" s="10" t="s">
        <v>16352</v>
      </c>
      <c r="Z1633" s="10" t="s">
        <v>50</v>
      </c>
      <c r="AA1633" s="10" t="s">
        <v>50</v>
      </c>
      <c r="AB1633" s="10" t="s">
        <v>16350</v>
      </c>
      <c r="AC1633" s="10" t="s">
        <v>16353</v>
      </c>
      <c r="AD1633" s="10" t="s">
        <v>16354</v>
      </c>
      <c r="AE1633" s="10" t="s">
        <v>5319</v>
      </c>
      <c r="AF1633" s="10" t="s">
        <v>58</v>
      </c>
      <c r="AG1633" s="10" t="s">
        <v>16355</v>
      </c>
      <c r="AH1633" s="10" t="s">
        <v>60</v>
      </c>
      <c r="AI1633" s="10" t="s">
        <v>13406</v>
      </c>
      <c r="AJ1633" s="10" t="s">
        <v>15302</v>
      </c>
      <c r="AK1633" s="10" t="s">
        <v>16356</v>
      </c>
      <c r="AL1633" s="10" t="s">
        <v>64</v>
      </c>
      <c r="AM1633" s="10" t="s">
        <v>16357</v>
      </c>
      <c r="AN1633" s="10" t="s">
        <v>16358</v>
      </c>
      <c r="AO1633" s="11" t="s">
        <v>50</v>
      </c>
      <c r="AP1633" s="10" t="s">
        <v>50</v>
      </c>
      <c r="AQ1633" s="10" t="s">
        <v>50</v>
      </c>
      <c r="AR1633" s="10" t="s">
        <v>50</v>
      </c>
      <c r="AS1633" s="10" t="s">
        <v>50</v>
      </c>
      <c r="AT1633" s="10" t="s">
        <v>50</v>
      </c>
      <c r="AU1633" s="10" t="s">
        <v>50</v>
      </c>
      <c r="AV1633" s="11"/>
      <c r="AW1633" s="10" t="s">
        <v>66</v>
      </c>
      <c r="AX1633" s="10"/>
      <c r="AY1633" s="10" t="s">
        <v>66</v>
      </c>
    </row>
    <row r="1634" ht="22.5" hidden="1" customHeight="1">
      <c r="A1634" s="9" t="s">
        <v>16359</v>
      </c>
      <c r="B1634" s="10" t="s">
        <v>16360</v>
      </c>
      <c r="C1634" s="10" t="s">
        <v>43</v>
      </c>
      <c r="D1634" s="10" t="s">
        <v>14945</v>
      </c>
      <c r="E1634" s="10" t="s">
        <v>66</v>
      </c>
      <c r="F1634" s="11">
        <v>1.0</v>
      </c>
      <c r="G1634" s="11">
        <v>79.0</v>
      </c>
      <c r="H1634" s="11"/>
      <c r="I1634" s="11">
        <v>-13.43</v>
      </c>
      <c r="J1634" s="11">
        <v>-20.45</v>
      </c>
      <c r="K1634" s="11"/>
      <c r="L1634" s="11">
        <v>45.12</v>
      </c>
      <c r="M1634" s="10" t="s">
        <v>12218</v>
      </c>
      <c r="N1634" s="10" t="s">
        <v>45</v>
      </c>
      <c r="O1634" s="10" t="s">
        <v>461</v>
      </c>
      <c r="P1634" s="10" t="s">
        <v>462</v>
      </c>
      <c r="Q1634" s="10" t="s">
        <v>463</v>
      </c>
      <c r="R1634" s="10" t="s">
        <v>74</v>
      </c>
      <c r="S1634" s="11">
        <v>79.0</v>
      </c>
      <c r="T1634" s="11">
        <v>10.09</v>
      </c>
      <c r="U1634" s="11" t="s">
        <v>51</v>
      </c>
      <c r="V1634" s="10" t="s">
        <v>52</v>
      </c>
      <c r="W1634" s="10" t="s">
        <v>16361</v>
      </c>
      <c r="X1634" s="10" t="s">
        <v>16362</v>
      </c>
      <c r="Y1634" s="10" t="s">
        <v>16363</v>
      </c>
      <c r="Z1634" s="10" t="s">
        <v>50</v>
      </c>
      <c r="AA1634" s="10" t="s">
        <v>50</v>
      </c>
      <c r="AB1634" s="10" t="s">
        <v>16361</v>
      </c>
      <c r="AC1634" s="10" t="s">
        <v>16364</v>
      </c>
      <c r="AD1634" s="10" t="s">
        <v>16365</v>
      </c>
      <c r="AE1634" s="10" t="s">
        <v>16366</v>
      </c>
      <c r="AF1634" s="10" t="s">
        <v>58</v>
      </c>
      <c r="AG1634" s="10" t="s">
        <v>16367</v>
      </c>
      <c r="AH1634" s="10" t="s">
        <v>60</v>
      </c>
      <c r="AI1634" s="10" t="s">
        <v>13406</v>
      </c>
      <c r="AJ1634" s="10" t="s">
        <v>16368</v>
      </c>
      <c r="AK1634" s="10" t="s">
        <v>16369</v>
      </c>
      <c r="AL1634" s="10" t="s">
        <v>64</v>
      </c>
      <c r="AM1634" s="10" t="s">
        <v>16370</v>
      </c>
      <c r="AN1634" s="10" t="s">
        <v>50</v>
      </c>
      <c r="AO1634" s="11" t="s">
        <v>50</v>
      </c>
      <c r="AP1634" s="10" t="s">
        <v>50</v>
      </c>
      <c r="AQ1634" s="10" t="s">
        <v>50</v>
      </c>
      <c r="AR1634" s="10" t="s">
        <v>50</v>
      </c>
      <c r="AS1634" s="10" t="s">
        <v>50</v>
      </c>
      <c r="AT1634" s="10" t="s">
        <v>50</v>
      </c>
      <c r="AU1634" s="10" t="s">
        <v>50</v>
      </c>
      <c r="AV1634" s="11"/>
      <c r="AW1634" s="10" t="s">
        <v>66</v>
      </c>
      <c r="AX1634" s="10"/>
      <c r="AY1634" s="10" t="s">
        <v>66</v>
      </c>
    </row>
    <row r="1635" ht="22.5" hidden="1" customHeight="1">
      <c r="A1635" s="9" t="s">
        <v>16371</v>
      </c>
      <c r="B1635" s="10" t="s">
        <v>16372</v>
      </c>
      <c r="C1635" s="10" t="s">
        <v>43</v>
      </c>
      <c r="D1635" s="10" t="s">
        <v>14945</v>
      </c>
      <c r="E1635" s="10" t="s">
        <v>66</v>
      </c>
      <c r="F1635" s="11">
        <v>1.0</v>
      </c>
      <c r="G1635" s="11">
        <v>120.0</v>
      </c>
      <c r="H1635" s="11"/>
      <c r="I1635" s="11">
        <v>-20.4</v>
      </c>
      <c r="J1635" s="11">
        <v>-19.95</v>
      </c>
      <c r="K1635" s="11"/>
      <c r="L1635" s="11">
        <v>86.85</v>
      </c>
      <c r="M1635" s="10" t="s">
        <v>12218</v>
      </c>
      <c r="N1635" s="10" t="s">
        <v>45</v>
      </c>
      <c r="O1635" s="10" t="s">
        <v>85</v>
      </c>
      <c r="P1635" s="10" t="s">
        <v>86</v>
      </c>
      <c r="Q1635" s="10" t="s">
        <v>87</v>
      </c>
      <c r="R1635" s="10" t="s">
        <v>74</v>
      </c>
      <c r="S1635" s="11">
        <v>120.0</v>
      </c>
      <c r="T1635" s="11">
        <v>65.78</v>
      </c>
      <c r="U1635" s="11" t="s">
        <v>51</v>
      </c>
      <c r="V1635" s="10" t="s">
        <v>52</v>
      </c>
      <c r="W1635" s="10" t="s">
        <v>16373</v>
      </c>
      <c r="X1635" s="10" t="s">
        <v>16374</v>
      </c>
      <c r="Y1635" s="10" t="s">
        <v>16375</v>
      </c>
      <c r="Z1635" s="10" t="s">
        <v>50</v>
      </c>
      <c r="AA1635" s="10" t="s">
        <v>50</v>
      </c>
      <c r="AB1635" s="10" t="s">
        <v>16373</v>
      </c>
      <c r="AC1635" s="10" t="s">
        <v>16376</v>
      </c>
      <c r="AD1635" s="10" t="s">
        <v>16377</v>
      </c>
      <c r="AE1635" s="10" t="s">
        <v>6062</v>
      </c>
      <c r="AF1635" s="10" t="s">
        <v>119</v>
      </c>
      <c r="AG1635" s="10" t="s">
        <v>6063</v>
      </c>
      <c r="AH1635" s="10" t="s">
        <v>60</v>
      </c>
      <c r="AI1635" s="10" t="s">
        <v>13406</v>
      </c>
      <c r="AJ1635" s="10" t="s">
        <v>15314</v>
      </c>
      <c r="AK1635" s="10" t="s">
        <v>16378</v>
      </c>
      <c r="AL1635" s="10" t="s">
        <v>64</v>
      </c>
      <c r="AM1635" s="10" t="s">
        <v>16379</v>
      </c>
      <c r="AN1635" s="10" t="s">
        <v>50</v>
      </c>
      <c r="AO1635" s="11" t="s">
        <v>50</v>
      </c>
      <c r="AP1635" s="10" t="s">
        <v>50</v>
      </c>
      <c r="AQ1635" s="10" t="s">
        <v>50</v>
      </c>
      <c r="AR1635" s="10" t="s">
        <v>50</v>
      </c>
      <c r="AS1635" s="10" t="s">
        <v>50</v>
      </c>
      <c r="AT1635" s="10" t="s">
        <v>50</v>
      </c>
      <c r="AU1635" s="10" t="s">
        <v>50</v>
      </c>
      <c r="AV1635" s="11"/>
      <c r="AW1635" s="10" t="s">
        <v>66</v>
      </c>
      <c r="AX1635" s="10"/>
      <c r="AY1635" s="10" t="s">
        <v>66</v>
      </c>
    </row>
    <row r="1636" ht="22.5" hidden="1" customHeight="1">
      <c r="A1636" s="9" t="s">
        <v>16380</v>
      </c>
      <c r="B1636" s="10" t="s">
        <v>16381</v>
      </c>
      <c r="C1636" s="10" t="s">
        <v>43</v>
      </c>
      <c r="D1636" s="10" t="s">
        <v>14945</v>
      </c>
      <c r="E1636" s="10" t="s">
        <v>66</v>
      </c>
      <c r="F1636" s="11">
        <v>1.0</v>
      </c>
      <c r="G1636" s="11">
        <v>79.0</v>
      </c>
      <c r="H1636" s="11"/>
      <c r="I1636" s="11">
        <v>-9.48</v>
      </c>
      <c r="J1636" s="11">
        <v>-20.45</v>
      </c>
      <c r="K1636" s="11"/>
      <c r="L1636" s="11">
        <v>49.07</v>
      </c>
      <c r="M1636" s="10" t="s">
        <v>12218</v>
      </c>
      <c r="N1636" s="10" t="s">
        <v>45</v>
      </c>
      <c r="O1636" s="10" t="s">
        <v>192</v>
      </c>
      <c r="P1636" s="10" t="s">
        <v>193</v>
      </c>
      <c r="Q1636" s="10" t="s">
        <v>162</v>
      </c>
      <c r="R1636" s="10" t="s">
        <v>74</v>
      </c>
      <c r="S1636" s="11">
        <v>79.0</v>
      </c>
      <c r="T1636" s="11">
        <v>2.49</v>
      </c>
      <c r="U1636" s="11" t="s">
        <v>194</v>
      </c>
      <c r="V1636" s="10" t="s">
        <v>52</v>
      </c>
      <c r="W1636" s="10" t="s">
        <v>16382</v>
      </c>
      <c r="X1636" s="10" t="s">
        <v>16383</v>
      </c>
      <c r="Y1636" s="10" t="s">
        <v>16384</v>
      </c>
      <c r="Z1636" s="10" t="s">
        <v>50</v>
      </c>
      <c r="AA1636" s="10" t="s">
        <v>50</v>
      </c>
      <c r="AB1636" s="10" t="s">
        <v>16382</v>
      </c>
      <c r="AC1636" s="10" t="s">
        <v>16385</v>
      </c>
      <c r="AD1636" s="10" t="s">
        <v>16386</v>
      </c>
      <c r="AE1636" s="10" t="s">
        <v>7825</v>
      </c>
      <c r="AF1636" s="10" t="s">
        <v>58</v>
      </c>
      <c r="AG1636" s="10" t="s">
        <v>16387</v>
      </c>
      <c r="AH1636" s="10" t="s">
        <v>60</v>
      </c>
      <c r="AI1636" s="10" t="s">
        <v>13406</v>
      </c>
      <c r="AJ1636" s="10" t="s">
        <v>16388</v>
      </c>
      <c r="AK1636" s="10" t="s">
        <v>16389</v>
      </c>
      <c r="AL1636" s="10" t="s">
        <v>64</v>
      </c>
      <c r="AM1636" s="10" t="s">
        <v>16390</v>
      </c>
      <c r="AN1636" s="10" t="s">
        <v>50</v>
      </c>
      <c r="AO1636" s="11" t="s">
        <v>50</v>
      </c>
      <c r="AP1636" s="10" t="s">
        <v>50</v>
      </c>
      <c r="AQ1636" s="10" t="s">
        <v>50</v>
      </c>
      <c r="AR1636" s="10" t="s">
        <v>50</v>
      </c>
      <c r="AS1636" s="10" t="s">
        <v>50</v>
      </c>
      <c r="AT1636" s="10" t="s">
        <v>50</v>
      </c>
      <c r="AU1636" s="10" t="s">
        <v>50</v>
      </c>
      <c r="AV1636" s="11"/>
      <c r="AW1636" s="10" t="s">
        <v>66</v>
      </c>
      <c r="AX1636" s="10"/>
      <c r="AY1636" s="10" t="s">
        <v>66</v>
      </c>
    </row>
    <row r="1637" ht="22.5" hidden="1" customHeight="1">
      <c r="A1637" s="9" t="s">
        <v>16391</v>
      </c>
      <c r="B1637" s="10" t="s">
        <v>16392</v>
      </c>
      <c r="C1637" s="10" t="s">
        <v>43</v>
      </c>
      <c r="D1637" s="10" t="s">
        <v>14945</v>
      </c>
      <c r="E1637" s="10" t="s">
        <v>45</v>
      </c>
      <c r="F1637" s="11">
        <v>2.0</v>
      </c>
      <c r="G1637" s="11">
        <v>87.4</v>
      </c>
      <c r="H1637" s="11"/>
      <c r="I1637" s="11">
        <v>-26.86</v>
      </c>
      <c r="J1637" s="11"/>
      <c r="K1637" s="11"/>
      <c r="L1637" s="11">
        <v>65.78</v>
      </c>
      <c r="M1637" s="10" t="s">
        <v>12218</v>
      </c>
      <c r="N1637" s="10" t="s">
        <v>50</v>
      </c>
      <c r="O1637" s="10" t="s">
        <v>176</v>
      </c>
      <c r="P1637" s="10" t="s">
        <v>177</v>
      </c>
      <c r="Q1637" s="10" t="s">
        <v>178</v>
      </c>
      <c r="R1637" s="10" t="s">
        <v>74</v>
      </c>
      <c r="S1637" s="11">
        <v>43.7</v>
      </c>
      <c r="T1637" s="11">
        <f t="shared" ref="T1637:T1638" si="9">2*22.58</f>
        <v>45.16</v>
      </c>
      <c r="U1637" s="11" t="s">
        <v>51</v>
      </c>
      <c r="V1637" s="10" t="s">
        <v>52</v>
      </c>
      <c r="W1637" s="10" t="s">
        <v>16393</v>
      </c>
      <c r="X1637" s="10" t="s">
        <v>16394</v>
      </c>
      <c r="Y1637" s="10" t="s">
        <v>16395</v>
      </c>
      <c r="Z1637" s="10" t="s">
        <v>50</v>
      </c>
      <c r="AA1637" s="10" t="s">
        <v>50</v>
      </c>
      <c r="AB1637" s="10" t="s">
        <v>16393</v>
      </c>
      <c r="AC1637" s="10" t="s">
        <v>16396</v>
      </c>
      <c r="AD1637" s="10" t="s">
        <v>16397</v>
      </c>
      <c r="AE1637" s="10" t="s">
        <v>58</v>
      </c>
      <c r="AF1637" s="10" t="s">
        <v>58</v>
      </c>
      <c r="AG1637" s="10" t="s">
        <v>16398</v>
      </c>
      <c r="AH1637" s="10" t="s">
        <v>60</v>
      </c>
      <c r="AI1637" s="10" t="s">
        <v>13406</v>
      </c>
      <c r="AJ1637" s="10" t="s">
        <v>15325</v>
      </c>
      <c r="AK1637" s="10" t="s">
        <v>16399</v>
      </c>
      <c r="AL1637" s="10" t="s">
        <v>64</v>
      </c>
      <c r="AM1637" s="10" t="s">
        <v>16400</v>
      </c>
      <c r="AN1637" s="10" t="s">
        <v>50</v>
      </c>
      <c r="AO1637" s="11" t="s">
        <v>50</v>
      </c>
      <c r="AP1637" s="10" t="s">
        <v>50</v>
      </c>
      <c r="AQ1637" s="10" t="s">
        <v>50</v>
      </c>
      <c r="AR1637" s="10" t="s">
        <v>50</v>
      </c>
      <c r="AS1637" s="10" t="s">
        <v>50</v>
      </c>
      <c r="AT1637" s="10" t="s">
        <v>50</v>
      </c>
      <c r="AU1637" s="10" t="s">
        <v>50</v>
      </c>
      <c r="AV1637" s="11"/>
      <c r="AW1637" s="10" t="s">
        <v>66</v>
      </c>
      <c r="AX1637" s="10"/>
      <c r="AY1637" s="10" t="s">
        <v>66</v>
      </c>
    </row>
    <row r="1638" ht="22.5" hidden="1" customHeight="1">
      <c r="A1638" s="9" t="s">
        <v>16401</v>
      </c>
      <c r="B1638" s="10" t="s">
        <v>16402</v>
      </c>
      <c r="C1638" s="10" t="s">
        <v>43</v>
      </c>
      <c r="D1638" s="10" t="s">
        <v>16334</v>
      </c>
      <c r="E1638" s="10" t="s">
        <v>45</v>
      </c>
      <c r="F1638" s="11">
        <v>2.0</v>
      </c>
      <c r="G1638" s="11">
        <v>87.4</v>
      </c>
      <c r="H1638" s="11"/>
      <c r="I1638" s="11">
        <v>-26.86</v>
      </c>
      <c r="J1638" s="11"/>
      <c r="K1638" s="11"/>
      <c r="L1638" s="11">
        <v>65.78</v>
      </c>
      <c r="M1638" s="10" t="s">
        <v>12218</v>
      </c>
      <c r="N1638" s="10" t="s">
        <v>50</v>
      </c>
      <c r="O1638" s="10" t="s">
        <v>176</v>
      </c>
      <c r="P1638" s="10" t="s">
        <v>177</v>
      </c>
      <c r="Q1638" s="10" t="s">
        <v>178</v>
      </c>
      <c r="R1638" s="10" t="s">
        <v>74</v>
      </c>
      <c r="S1638" s="11">
        <v>43.7</v>
      </c>
      <c r="T1638" s="11">
        <f t="shared" si="9"/>
        <v>45.16</v>
      </c>
      <c r="U1638" s="11" t="s">
        <v>51</v>
      </c>
      <c r="V1638" s="10" t="s">
        <v>52</v>
      </c>
      <c r="W1638" s="10" t="s">
        <v>16403</v>
      </c>
      <c r="X1638" s="10" t="s">
        <v>16404</v>
      </c>
      <c r="Y1638" s="10" t="s">
        <v>16405</v>
      </c>
      <c r="Z1638" s="10" t="s">
        <v>50</v>
      </c>
      <c r="AA1638" s="10" t="s">
        <v>50</v>
      </c>
      <c r="AB1638" s="10" t="s">
        <v>16403</v>
      </c>
      <c r="AC1638" s="10" t="s">
        <v>16406</v>
      </c>
      <c r="AD1638" s="10" t="s">
        <v>16407</v>
      </c>
      <c r="AE1638" s="10" t="s">
        <v>151</v>
      </c>
      <c r="AF1638" s="10" t="s">
        <v>151</v>
      </c>
      <c r="AG1638" s="10" t="s">
        <v>16408</v>
      </c>
      <c r="AH1638" s="10" t="s">
        <v>60</v>
      </c>
      <c r="AI1638" s="10" t="s">
        <v>13406</v>
      </c>
      <c r="AJ1638" s="10" t="s">
        <v>16409</v>
      </c>
      <c r="AK1638" s="10" t="s">
        <v>16410</v>
      </c>
      <c r="AL1638" s="10" t="s">
        <v>64</v>
      </c>
      <c r="AM1638" s="10" t="s">
        <v>16411</v>
      </c>
      <c r="AN1638" s="10" t="s">
        <v>50</v>
      </c>
      <c r="AO1638" s="11" t="s">
        <v>50</v>
      </c>
      <c r="AP1638" s="10" t="s">
        <v>50</v>
      </c>
      <c r="AQ1638" s="10" t="s">
        <v>50</v>
      </c>
      <c r="AR1638" s="10" t="s">
        <v>50</v>
      </c>
      <c r="AS1638" s="10" t="s">
        <v>50</v>
      </c>
      <c r="AT1638" s="10" t="s">
        <v>50</v>
      </c>
      <c r="AU1638" s="10" t="s">
        <v>50</v>
      </c>
      <c r="AV1638" s="11"/>
      <c r="AW1638" s="10" t="s">
        <v>66</v>
      </c>
      <c r="AX1638" s="10"/>
      <c r="AY1638" s="10" t="s">
        <v>66</v>
      </c>
    </row>
    <row r="1639" ht="22.5" hidden="1" customHeight="1">
      <c r="A1639" s="9" t="s">
        <v>16412</v>
      </c>
      <c r="B1639" s="10" t="s">
        <v>16413</v>
      </c>
      <c r="C1639" s="10" t="s">
        <v>43</v>
      </c>
      <c r="D1639" s="10" t="s">
        <v>16334</v>
      </c>
      <c r="E1639" s="10" t="s">
        <v>66</v>
      </c>
      <c r="F1639" s="11">
        <v>1.0</v>
      </c>
      <c r="G1639" s="11">
        <v>43.7</v>
      </c>
      <c r="H1639" s="11">
        <v>14.5</v>
      </c>
      <c r="I1639" s="11">
        <v>-13.43</v>
      </c>
      <c r="J1639" s="11">
        <v>-14.5</v>
      </c>
      <c r="K1639" s="11"/>
      <c r="L1639" s="11">
        <v>32.89</v>
      </c>
      <c r="M1639" s="10" t="s">
        <v>12218</v>
      </c>
      <c r="N1639" s="10" t="s">
        <v>45</v>
      </c>
      <c r="O1639" s="10" t="s">
        <v>176</v>
      </c>
      <c r="P1639" s="10" t="s">
        <v>177</v>
      </c>
      <c r="Q1639" s="10" t="s">
        <v>178</v>
      </c>
      <c r="R1639" s="10" t="s">
        <v>74</v>
      </c>
      <c r="S1639" s="11">
        <v>43.7</v>
      </c>
      <c r="T1639" s="11">
        <v>22.58</v>
      </c>
      <c r="U1639" s="11" t="s">
        <v>51</v>
      </c>
      <c r="V1639" s="10" t="s">
        <v>52</v>
      </c>
      <c r="W1639" s="10" t="s">
        <v>16414</v>
      </c>
      <c r="X1639" s="10" t="s">
        <v>16415</v>
      </c>
      <c r="Y1639" s="10" t="s">
        <v>16416</v>
      </c>
      <c r="Z1639" s="10" t="s">
        <v>50</v>
      </c>
      <c r="AA1639" s="10" t="s">
        <v>50</v>
      </c>
      <c r="AB1639" s="10" t="s">
        <v>16414</v>
      </c>
      <c r="AC1639" s="10" t="s">
        <v>16417</v>
      </c>
      <c r="AD1639" s="10" t="s">
        <v>16418</v>
      </c>
      <c r="AE1639" s="10" t="s">
        <v>151</v>
      </c>
      <c r="AF1639" s="10" t="s">
        <v>151</v>
      </c>
      <c r="AG1639" s="10" t="s">
        <v>16419</v>
      </c>
      <c r="AH1639" s="10" t="s">
        <v>60</v>
      </c>
      <c r="AI1639" s="10" t="s">
        <v>13406</v>
      </c>
      <c r="AJ1639" s="10" t="s">
        <v>16409</v>
      </c>
      <c r="AK1639" s="10" t="s">
        <v>16420</v>
      </c>
      <c r="AL1639" s="10" t="s">
        <v>64</v>
      </c>
      <c r="AM1639" s="10" t="s">
        <v>16421</v>
      </c>
      <c r="AN1639" s="10" t="s">
        <v>50</v>
      </c>
      <c r="AO1639" s="11" t="s">
        <v>50</v>
      </c>
      <c r="AP1639" s="10" t="s">
        <v>50</v>
      </c>
      <c r="AQ1639" s="10" t="s">
        <v>50</v>
      </c>
      <c r="AR1639" s="10" t="s">
        <v>50</v>
      </c>
      <c r="AS1639" s="10" t="s">
        <v>50</v>
      </c>
      <c r="AT1639" s="10" t="s">
        <v>50</v>
      </c>
      <c r="AU1639" s="10" t="s">
        <v>50</v>
      </c>
      <c r="AV1639" s="11"/>
      <c r="AW1639" s="10" t="s">
        <v>66</v>
      </c>
      <c r="AX1639" s="10"/>
      <c r="AY1639" s="10" t="s">
        <v>66</v>
      </c>
    </row>
    <row r="1640" ht="22.5" hidden="1" customHeight="1">
      <c r="A1640" s="9" t="s">
        <v>16422</v>
      </c>
      <c r="B1640" s="10" t="s">
        <v>16423</v>
      </c>
      <c r="C1640" s="10" t="s">
        <v>43</v>
      </c>
      <c r="D1640" s="10" t="s">
        <v>16334</v>
      </c>
      <c r="E1640" s="10" t="s">
        <v>66</v>
      </c>
      <c r="F1640" s="11">
        <v>1.0</v>
      </c>
      <c r="G1640" s="11">
        <v>79.0</v>
      </c>
      <c r="H1640" s="11"/>
      <c r="I1640" s="11">
        <v>-13.43</v>
      </c>
      <c r="J1640" s="11">
        <v>-19.95</v>
      </c>
      <c r="K1640" s="11"/>
      <c r="L1640" s="11">
        <v>45.62</v>
      </c>
      <c r="M1640" s="10" t="s">
        <v>12218</v>
      </c>
      <c r="N1640" s="10" t="s">
        <v>45</v>
      </c>
      <c r="O1640" s="10" t="s">
        <v>766</v>
      </c>
      <c r="P1640" s="10" t="s">
        <v>767</v>
      </c>
      <c r="Q1640" s="10" t="s">
        <v>768</v>
      </c>
      <c r="R1640" s="10" t="s">
        <v>74</v>
      </c>
      <c r="S1640" s="11">
        <v>79.0</v>
      </c>
      <c r="T1640" s="11">
        <v>13.62</v>
      </c>
      <c r="U1640" s="11" t="s">
        <v>51</v>
      </c>
      <c r="V1640" s="10" t="s">
        <v>52</v>
      </c>
      <c r="W1640" s="10" t="s">
        <v>16424</v>
      </c>
      <c r="X1640" s="10" t="s">
        <v>16425</v>
      </c>
      <c r="Y1640" s="10" t="s">
        <v>16426</v>
      </c>
      <c r="Z1640" s="10" t="s">
        <v>50</v>
      </c>
      <c r="AA1640" s="10" t="s">
        <v>50</v>
      </c>
      <c r="AB1640" s="10" t="s">
        <v>16424</v>
      </c>
      <c r="AC1640" s="10" t="s">
        <v>16427</v>
      </c>
      <c r="AD1640" s="10" t="s">
        <v>16428</v>
      </c>
      <c r="AE1640" s="10" t="s">
        <v>151</v>
      </c>
      <c r="AF1640" s="10" t="s">
        <v>151</v>
      </c>
      <c r="AG1640" s="10" t="s">
        <v>16429</v>
      </c>
      <c r="AH1640" s="10" t="s">
        <v>60</v>
      </c>
      <c r="AI1640" s="10" t="s">
        <v>13406</v>
      </c>
      <c r="AJ1640" s="10" t="s">
        <v>16409</v>
      </c>
      <c r="AK1640" s="10" t="s">
        <v>16430</v>
      </c>
      <c r="AL1640" s="10" t="s">
        <v>64</v>
      </c>
      <c r="AM1640" s="10" t="s">
        <v>16431</v>
      </c>
      <c r="AN1640" s="10" t="s">
        <v>50</v>
      </c>
      <c r="AO1640" s="11" t="s">
        <v>50</v>
      </c>
      <c r="AP1640" s="10" t="s">
        <v>50</v>
      </c>
      <c r="AQ1640" s="10" t="s">
        <v>50</v>
      </c>
      <c r="AR1640" s="10" t="s">
        <v>50</v>
      </c>
      <c r="AS1640" s="10" t="s">
        <v>50</v>
      </c>
      <c r="AT1640" s="10" t="s">
        <v>50</v>
      </c>
      <c r="AU1640" s="10" t="s">
        <v>50</v>
      </c>
      <c r="AV1640" s="11"/>
      <c r="AW1640" s="10" t="s">
        <v>66</v>
      </c>
      <c r="AX1640" s="10"/>
      <c r="AY1640" s="10" t="s">
        <v>66</v>
      </c>
    </row>
    <row r="1641" ht="22.5" hidden="1" customHeight="1">
      <c r="A1641" s="9" t="s">
        <v>16432</v>
      </c>
      <c r="B1641" s="10" t="s">
        <v>16433</v>
      </c>
      <c r="C1641" s="10" t="s">
        <v>69</v>
      </c>
      <c r="D1641" s="10" t="s">
        <v>70</v>
      </c>
      <c r="E1641" s="10" t="s">
        <v>45</v>
      </c>
      <c r="F1641" s="11">
        <v>1.0</v>
      </c>
      <c r="G1641" s="11">
        <v>79.35</v>
      </c>
      <c r="H1641" s="11">
        <v>14.0</v>
      </c>
      <c r="I1641" s="11">
        <v>-15.08</v>
      </c>
      <c r="J1641" s="11">
        <v>-33.95</v>
      </c>
      <c r="K1641" s="11">
        <v>-44.32</v>
      </c>
      <c r="L1641" s="11">
        <v>0.0</v>
      </c>
      <c r="M1641" s="10" t="s">
        <v>12218</v>
      </c>
      <c r="N1641" s="10" t="s">
        <v>45</v>
      </c>
      <c r="O1641" s="10" t="s">
        <v>47</v>
      </c>
      <c r="P1641" s="10" t="s">
        <v>48</v>
      </c>
      <c r="Q1641" s="10" t="s">
        <v>49</v>
      </c>
      <c r="R1641" s="10" t="s">
        <v>50</v>
      </c>
      <c r="S1641" s="11">
        <v>79.35</v>
      </c>
      <c r="T1641" s="11"/>
      <c r="U1641" s="11" t="s">
        <v>51</v>
      </c>
      <c r="V1641" s="10" t="s">
        <v>2284</v>
      </c>
      <c r="W1641" s="10" t="s">
        <v>16434</v>
      </c>
      <c r="X1641" s="10" t="s">
        <v>16435</v>
      </c>
      <c r="Y1641" s="10" t="s">
        <v>16436</v>
      </c>
      <c r="Z1641" s="10" t="s">
        <v>50</v>
      </c>
      <c r="AA1641" s="10" t="s">
        <v>50</v>
      </c>
      <c r="AB1641" s="10" t="s">
        <v>16434</v>
      </c>
      <c r="AC1641" s="10" t="s">
        <v>16437</v>
      </c>
      <c r="AD1641" s="10" t="s">
        <v>50</v>
      </c>
      <c r="AE1641" s="10" t="s">
        <v>8944</v>
      </c>
      <c r="AF1641" s="10" t="s">
        <v>799</v>
      </c>
      <c r="AG1641" s="10" t="s">
        <v>16438</v>
      </c>
      <c r="AH1641" s="10" t="s">
        <v>60</v>
      </c>
      <c r="AI1641" s="10" t="s">
        <v>13406</v>
      </c>
      <c r="AJ1641" s="10" t="s">
        <v>50</v>
      </c>
      <c r="AK1641" s="10" t="s">
        <v>50</v>
      </c>
      <c r="AL1641" s="10" t="s">
        <v>1025</v>
      </c>
      <c r="AM1641" s="10" t="s">
        <v>16439</v>
      </c>
      <c r="AN1641" s="10" t="s">
        <v>50</v>
      </c>
      <c r="AO1641" s="11" t="s">
        <v>50</v>
      </c>
      <c r="AP1641" s="10" t="s">
        <v>50</v>
      </c>
      <c r="AQ1641" s="10" t="s">
        <v>50</v>
      </c>
      <c r="AR1641" s="10" t="s">
        <v>50</v>
      </c>
      <c r="AS1641" s="10" t="s">
        <v>50</v>
      </c>
      <c r="AT1641" s="10" t="s">
        <v>50</v>
      </c>
      <c r="AU1641" s="10" t="s">
        <v>50</v>
      </c>
      <c r="AV1641" s="11"/>
      <c r="AW1641" s="10" t="s">
        <v>66</v>
      </c>
      <c r="AX1641" s="10"/>
      <c r="AY1641" s="10" t="s">
        <v>66</v>
      </c>
    </row>
    <row r="1642" ht="22.5" hidden="1" customHeight="1">
      <c r="A1642" s="9" t="s">
        <v>16440</v>
      </c>
      <c r="B1642" s="10" t="s">
        <v>16441</v>
      </c>
      <c r="C1642" s="10" t="s">
        <v>43</v>
      </c>
      <c r="D1642" s="10" t="s">
        <v>14945</v>
      </c>
      <c r="E1642" s="10" t="s">
        <v>66</v>
      </c>
      <c r="F1642" s="11">
        <v>1.0</v>
      </c>
      <c r="G1642" s="11">
        <v>79.0</v>
      </c>
      <c r="H1642" s="11"/>
      <c r="I1642" s="11">
        <v>-15.01</v>
      </c>
      <c r="J1642" s="11">
        <v>-19.95</v>
      </c>
      <c r="K1642" s="11"/>
      <c r="L1642" s="11">
        <v>44.04</v>
      </c>
      <c r="M1642" s="10" t="s">
        <v>12218</v>
      </c>
      <c r="N1642" s="10" t="s">
        <v>45</v>
      </c>
      <c r="O1642" s="10" t="s">
        <v>3757</v>
      </c>
      <c r="P1642" s="10" t="s">
        <v>3758</v>
      </c>
      <c r="Q1642" s="10" t="s">
        <v>3759</v>
      </c>
      <c r="R1642" s="10" t="s">
        <v>50</v>
      </c>
      <c r="S1642" s="11">
        <v>79.0</v>
      </c>
      <c r="T1642" s="11">
        <v>4.94</v>
      </c>
      <c r="U1642" s="11" t="s">
        <v>51</v>
      </c>
      <c r="V1642" s="10" t="s">
        <v>52</v>
      </c>
      <c r="W1642" s="10" t="s">
        <v>16442</v>
      </c>
      <c r="X1642" s="10" t="s">
        <v>16443</v>
      </c>
      <c r="Y1642" s="10" t="s">
        <v>16444</v>
      </c>
      <c r="Z1642" s="10" t="s">
        <v>50</v>
      </c>
      <c r="AA1642" s="10" t="s">
        <v>50</v>
      </c>
      <c r="AB1642" s="10" t="s">
        <v>16442</v>
      </c>
      <c r="AC1642" s="10" t="s">
        <v>16445</v>
      </c>
      <c r="AD1642" s="10" t="s">
        <v>16446</v>
      </c>
      <c r="AE1642" s="10" t="s">
        <v>58</v>
      </c>
      <c r="AF1642" s="10" t="s">
        <v>58</v>
      </c>
      <c r="AG1642" s="10" t="s">
        <v>16447</v>
      </c>
      <c r="AH1642" s="10" t="s">
        <v>60</v>
      </c>
      <c r="AI1642" s="10" t="s">
        <v>13406</v>
      </c>
      <c r="AJ1642" s="10" t="s">
        <v>15325</v>
      </c>
      <c r="AK1642" s="10" t="s">
        <v>16448</v>
      </c>
      <c r="AL1642" s="10" t="s">
        <v>64</v>
      </c>
      <c r="AM1642" s="10" t="s">
        <v>16449</v>
      </c>
      <c r="AN1642" s="10" t="s">
        <v>50</v>
      </c>
      <c r="AO1642" s="11" t="s">
        <v>50</v>
      </c>
      <c r="AP1642" s="10" t="s">
        <v>50</v>
      </c>
      <c r="AQ1642" s="10" t="s">
        <v>50</v>
      </c>
      <c r="AR1642" s="10" t="s">
        <v>50</v>
      </c>
      <c r="AS1642" s="10" t="s">
        <v>50</v>
      </c>
      <c r="AT1642" s="10" t="s">
        <v>50</v>
      </c>
      <c r="AU1642" s="10" t="s">
        <v>50</v>
      </c>
      <c r="AV1642" s="11"/>
      <c r="AW1642" s="10" t="s">
        <v>66</v>
      </c>
      <c r="AX1642" s="10"/>
      <c r="AY1642" s="10" t="s">
        <v>66</v>
      </c>
    </row>
    <row r="1643" ht="22.5" hidden="1" customHeight="1">
      <c r="A1643" s="9" t="s">
        <v>16450</v>
      </c>
      <c r="B1643" s="10" t="s">
        <v>16451</v>
      </c>
      <c r="C1643" s="10" t="s">
        <v>43</v>
      </c>
      <c r="D1643" s="10" t="s">
        <v>16334</v>
      </c>
      <c r="E1643" s="10" t="s">
        <v>66</v>
      </c>
      <c r="F1643" s="11">
        <v>1.0</v>
      </c>
      <c r="G1643" s="11">
        <v>80.0</v>
      </c>
      <c r="H1643" s="11"/>
      <c r="I1643" s="11">
        <v>-13.6</v>
      </c>
      <c r="J1643" s="11">
        <v>-19.95</v>
      </c>
      <c r="K1643" s="11"/>
      <c r="L1643" s="11">
        <v>50.45</v>
      </c>
      <c r="M1643" s="10" t="s">
        <v>12218</v>
      </c>
      <c r="N1643" s="10" t="s">
        <v>50</v>
      </c>
      <c r="O1643" s="10" t="s">
        <v>143</v>
      </c>
      <c r="P1643" s="10" t="s">
        <v>144</v>
      </c>
      <c r="Q1643" s="10" t="s">
        <v>145</v>
      </c>
      <c r="R1643" s="10" t="s">
        <v>74</v>
      </c>
      <c r="S1643" s="11">
        <v>80.0</v>
      </c>
      <c r="T1643" s="11">
        <v>33.38</v>
      </c>
      <c r="U1643" s="11" t="s">
        <v>51</v>
      </c>
      <c r="V1643" s="10" t="s">
        <v>52</v>
      </c>
      <c r="W1643" s="10" t="s">
        <v>16452</v>
      </c>
      <c r="X1643" s="10" t="s">
        <v>16453</v>
      </c>
      <c r="Y1643" s="10" t="s">
        <v>16454</v>
      </c>
      <c r="Z1643" s="10" t="s">
        <v>50</v>
      </c>
      <c r="AA1643" s="10" t="s">
        <v>50</v>
      </c>
      <c r="AB1643" s="10" t="s">
        <v>16452</v>
      </c>
      <c r="AC1643" s="10" t="s">
        <v>16455</v>
      </c>
      <c r="AD1643" s="10" t="s">
        <v>16456</v>
      </c>
      <c r="AE1643" s="10" t="s">
        <v>322</v>
      </c>
      <c r="AF1643" s="10" t="s">
        <v>323</v>
      </c>
      <c r="AG1643" s="10" t="s">
        <v>16457</v>
      </c>
      <c r="AH1643" s="10" t="s">
        <v>60</v>
      </c>
      <c r="AI1643" s="10" t="s">
        <v>13406</v>
      </c>
      <c r="AJ1643" s="10" t="s">
        <v>16458</v>
      </c>
      <c r="AK1643" s="10" t="s">
        <v>16459</v>
      </c>
      <c r="AL1643" s="10" t="s">
        <v>64</v>
      </c>
      <c r="AM1643" s="10" t="s">
        <v>16460</v>
      </c>
      <c r="AN1643" s="10" t="s">
        <v>50</v>
      </c>
      <c r="AO1643" s="11" t="s">
        <v>50</v>
      </c>
      <c r="AP1643" s="10" t="s">
        <v>50</v>
      </c>
      <c r="AQ1643" s="10" t="s">
        <v>50</v>
      </c>
      <c r="AR1643" s="10" t="s">
        <v>50</v>
      </c>
      <c r="AS1643" s="10" t="s">
        <v>50</v>
      </c>
      <c r="AT1643" s="10" t="s">
        <v>50</v>
      </c>
      <c r="AU1643" s="10" t="s">
        <v>50</v>
      </c>
      <c r="AV1643" s="11"/>
      <c r="AW1643" s="10" t="s">
        <v>66</v>
      </c>
      <c r="AX1643" s="10"/>
      <c r="AY1643" s="10" t="s">
        <v>66</v>
      </c>
    </row>
    <row r="1644" ht="22.5" hidden="1" customHeight="1">
      <c r="A1644" s="9" t="s">
        <v>16461</v>
      </c>
      <c r="B1644" s="10" t="s">
        <v>16462</v>
      </c>
      <c r="C1644" s="10" t="s">
        <v>43</v>
      </c>
      <c r="D1644" s="10" t="s">
        <v>14945</v>
      </c>
      <c r="E1644" s="10" t="s">
        <v>66</v>
      </c>
      <c r="F1644" s="11">
        <v>1.0</v>
      </c>
      <c r="G1644" s="11">
        <v>80.0</v>
      </c>
      <c r="H1644" s="11"/>
      <c r="I1644" s="11">
        <v>-13.6</v>
      </c>
      <c r="J1644" s="11">
        <v>-19.95</v>
      </c>
      <c r="K1644" s="11"/>
      <c r="L1644" s="11">
        <v>50.45</v>
      </c>
      <c r="M1644" s="10" t="s">
        <v>12218</v>
      </c>
      <c r="N1644" s="10" t="s">
        <v>50</v>
      </c>
      <c r="O1644" s="10" t="s">
        <v>143</v>
      </c>
      <c r="P1644" s="10" t="s">
        <v>144</v>
      </c>
      <c r="Q1644" s="10" t="s">
        <v>145</v>
      </c>
      <c r="R1644" s="10" t="s">
        <v>74</v>
      </c>
      <c r="S1644" s="11">
        <v>80.0</v>
      </c>
      <c r="T1644" s="11">
        <v>33.38</v>
      </c>
      <c r="U1644" s="11" t="s">
        <v>51</v>
      </c>
      <c r="V1644" s="10" t="s">
        <v>52</v>
      </c>
      <c r="W1644" s="10" t="s">
        <v>11420</v>
      </c>
      <c r="X1644" s="10" t="s">
        <v>11421</v>
      </c>
      <c r="Y1644" s="10" t="s">
        <v>11422</v>
      </c>
      <c r="Z1644" s="10" t="s">
        <v>50</v>
      </c>
      <c r="AA1644" s="10" t="s">
        <v>50</v>
      </c>
      <c r="AB1644" s="10" t="s">
        <v>11420</v>
      </c>
      <c r="AC1644" s="10" t="s">
        <v>11423</v>
      </c>
      <c r="AD1644" s="10" t="s">
        <v>11424</v>
      </c>
      <c r="AE1644" s="10" t="s">
        <v>11425</v>
      </c>
      <c r="AF1644" s="10" t="s">
        <v>136</v>
      </c>
      <c r="AG1644" s="10" t="s">
        <v>11426</v>
      </c>
      <c r="AH1644" s="10" t="s">
        <v>60</v>
      </c>
      <c r="AI1644" s="10" t="s">
        <v>13406</v>
      </c>
      <c r="AJ1644" s="10" t="s">
        <v>16463</v>
      </c>
      <c r="AK1644" s="10" t="s">
        <v>16464</v>
      </c>
      <c r="AL1644" s="10" t="s">
        <v>64</v>
      </c>
      <c r="AM1644" s="10" t="s">
        <v>16465</v>
      </c>
      <c r="AN1644" s="10" t="s">
        <v>50</v>
      </c>
      <c r="AO1644" s="11" t="s">
        <v>50</v>
      </c>
      <c r="AP1644" s="10" t="s">
        <v>50</v>
      </c>
      <c r="AQ1644" s="10" t="s">
        <v>50</v>
      </c>
      <c r="AR1644" s="10" t="s">
        <v>50</v>
      </c>
      <c r="AS1644" s="10" t="s">
        <v>50</v>
      </c>
      <c r="AT1644" s="10" t="s">
        <v>50</v>
      </c>
      <c r="AU1644" s="10" t="s">
        <v>50</v>
      </c>
      <c r="AV1644" s="11"/>
      <c r="AW1644" s="10" t="s">
        <v>66</v>
      </c>
      <c r="AX1644" s="10"/>
      <c r="AY1644" s="10" t="s">
        <v>66</v>
      </c>
    </row>
    <row r="1645" ht="22.5" hidden="1" customHeight="1">
      <c r="A1645" s="9" t="s">
        <v>16466</v>
      </c>
      <c r="B1645" s="10" t="s">
        <v>16467</v>
      </c>
      <c r="C1645" s="10" t="s">
        <v>43</v>
      </c>
      <c r="D1645" s="10" t="s">
        <v>10258</v>
      </c>
      <c r="E1645" s="10" t="s">
        <v>45</v>
      </c>
      <c r="F1645" s="11">
        <v>1.0</v>
      </c>
      <c r="G1645" s="11">
        <v>79.0</v>
      </c>
      <c r="H1645" s="11"/>
      <c r="I1645" s="11">
        <v>-13.43</v>
      </c>
      <c r="J1645" s="11">
        <v>-20.45</v>
      </c>
      <c r="K1645" s="11"/>
      <c r="L1645" s="11">
        <v>45.12</v>
      </c>
      <c r="M1645" s="10" t="s">
        <v>12218</v>
      </c>
      <c r="N1645" s="10" t="s">
        <v>50</v>
      </c>
      <c r="O1645" s="10" t="s">
        <v>160</v>
      </c>
      <c r="P1645" s="10" t="s">
        <v>161</v>
      </c>
      <c r="Q1645" s="10" t="s">
        <v>162</v>
      </c>
      <c r="R1645" s="10" t="s">
        <v>74</v>
      </c>
      <c r="S1645" s="11">
        <v>79.0</v>
      </c>
      <c r="T1645" s="11">
        <v>2.49</v>
      </c>
      <c r="U1645" s="11" t="s">
        <v>51</v>
      </c>
      <c r="V1645" s="10" t="s">
        <v>52</v>
      </c>
      <c r="W1645" s="10" t="s">
        <v>16468</v>
      </c>
      <c r="X1645" s="10" t="s">
        <v>16469</v>
      </c>
      <c r="Y1645" s="10" t="s">
        <v>16470</v>
      </c>
      <c r="Z1645" s="10" t="s">
        <v>50</v>
      </c>
      <c r="AA1645" s="10" t="s">
        <v>50</v>
      </c>
      <c r="AB1645" s="10" t="s">
        <v>16468</v>
      </c>
      <c r="AC1645" s="10" t="s">
        <v>16471</v>
      </c>
      <c r="AD1645" s="10" t="s">
        <v>16472</v>
      </c>
      <c r="AE1645" s="10" t="s">
        <v>3266</v>
      </c>
      <c r="AF1645" s="10" t="s">
        <v>185</v>
      </c>
      <c r="AG1645" s="10" t="s">
        <v>16473</v>
      </c>
      <c r="AH1645" s="10" t="s">
        <v>60</v>
      </c>
      <c r="AI1645" s="10" t="s">
        <v>13406</v>
      </c>
      <c r="AJ1645" s="10" t="s">
        <v>16346</v>
      </c>
      <c r="AK1645" s="10" t="s">
        <v>16474</v>
      </c>
      <c r="AL1645" s="10" t="s">
        <v>64</v>
      </c>
      <c r="AM1645" s="10" t="s">
        <v>16475</v>
      </c>
      <c r="AN1645" s="10" t="s">
        <v>16476</v>
      </c>
      <c r="AO1645" s="11" t="s">
        <v>50</v>
      </c>
      <c r="AP1645" s="10" t="s">
        <v>50</v>
      </c>
      <c r="AQ1645" s="10" t="s">
        <v>50</v>
      </c>
      <c r="AR1645" s="10" t="s">
        <v>50</v>
      </c>
      <c r="AS1645" s="10" t="s">
        <v>50</v>
      </c>
      <c r="AT1645" s="10" t="s">
        <v>50</v>
      </c>
      <c r="AU1645" s="10" t="s">
        <v>50</v>
      </c>
      <c r="AV1645" s="11"/>
      <c r="AW1645" s="10" t="s">
        <v>66</v>
      </c>
      <c r="AX1645" s="10"/>
      <c r="AY1645" s="10" t="s">
        <v>66</v>
      </c>
    </row>
    <row r="1646" ht="22.5" hidden="1" customHeight="1">
      <c r="A1646" s="9" t="s">
        <v>16477</v>
      </c>
      <c r="B1646" s="10" t="s">
        <v>16478</v>
      </c>
      <c r="C1646" s="10" t="s">
        <v>43</v>
      </c>
      <c r="D1646" s="10" t="s">
        <v>14945</v>
      </c>
      <c r="E1646" s="10" t="s">
        <v>66</v>
      </c>
      <c r="F1646" s="11">
        <v>1.0</v>
      </c>
      <c r="G1646" s="11">
        <v>120.0</v>
      </c>
      <c r="H1646" s="11"/>
      <c r="I1646" s="11">
        <v>-20.4</v>
      </c>
      <c r="J1646" s="11">
        <v>-19.95</v>
      </c>
      <c r="K1646" s="11"/>
      <c r="L1646" s="11">
        <v>86.85</v>
      </c>
      <c r="M1646" s="10" t="s">
        <v>12218</v>
      </c>
      <c r="N1646" s="10" t="s">
        <v>50</v>
      </c>
      <c r="O1646" s="10" t="s">
        <v>85</v>
      </c>
      <c r="P1646" s="10" t="s">
        <v>86</v>
      </c>
      <c r="Q1646" s="10" t="s">
        <v>87</v>
      </c>
      <c r="R1646" s="10" t="s">
        <v>74</v>
      </c>
      <c r="S1646" s="11">
        <v>120.0</v>
      </c>
      <c r="T1646" s="11">
        <v>65.78</v>
      </c>
      <c r="U1646" s="11" t="s">
        <v>51</v>
      </c>
      <c r="V1646" s="10" t="s">
        <v>52</v>
      </c>
      <c r="W1646" s="10" t="s">
        <v>16479</v>
      </c>
      <c r="X1646" s="10" t="s">
        <v>16480</v>
      </c>
      <c r="Y1646" s="10" t="s">
        <v>16481</v>
      </c>
      <c r="Z1646" s="10" t="s">
        <v>50</v>
      </c>
      <c r="AA1646" s="10" t="s">
        <v>50</v>
      </c>
      <c r="AB1646" s="10" t="s">
        <v>16479</v>
      </c>
      <c r="AC1646" s="10" t="s">
        <v>16482</v>
      </c>
      <c r="AD1646" s="10" t="s">
        <v>16483</v>
      </c>
      <c r="AE1646" s="10" t="s">
        <v>14168</v>
      </c>
      <c r="AF1646" s="10" t="s">
        <v>214</v>
      </c>
      <c r="AG1646" s="10" t="s">
        <v>16484</v>
      </c>
      <c r="AH1646" s="10" t="s">
        <v>60</v>
      </c>
      <c r="AI1646" s="10" t="s">
        <v>13406</v>
      </c>
      <c r="AJ1646" s="10" t="s">
        <v>15291</v>
      </c>
      <c r="AK1646" s="10" t="s">
        <v>16485</v>
      </c>
      <c r="AL1646" s="10" t="s">
        <v>64</v>
      </c>
      <c r="AM1646" s="10" t="s">
        <v>16486</v>
      </c>
      <c r="AN1646" s="10" t="s">
        <v>50</v>
      </c>
      <c r="AO1646" s="11" t="s">
        <v>50</v>
      </c>
      <c r="AP1646" s="10" t="s">
        <v>50</v>
      </c>
      <c r="AQ1646" s="10" t="s">
        <v>50</v>
      </c>
      <c r="AR1646" s="10" t="s">
        <v>50</v>
      </c>
      <c r="AS1646" s="10" t="s">
        <v>50</v>
      </c>
      <c r="AT1646" s="10" t="s">
        <v>50</v>
      </c>
      <c r="AU1646" s="10" t="s">
        <v>50</v>
      </c>
      <c r="AV1646" s="11"/>
      <c r="AW1646" s="10" t="s">
        <v>66</v>
      </c>
      <c r="AX1646" s="10"/>
      <c r="AY1646" s="10" t="s">
        <v>66</v>
      </c>
    </row>
    <row r="1647" ht="22.5" hidden="1" customHeight="1">
      <c r="A1647" s="9" t="s">
        <v>16487</v>
      </c>
      <c r="B1647" s="10" t="s">
        <v>16488</v>
      </c>
      <c r="C1647" s="10" t="s">
        <v>43</v>
      </c>
      <c r="D1647" s="10" t="s">
        <v>16334</v>
      </c>
      <c r="E1647" s="10" t="s">
        <v>66</v>
      </c>
      <c r="F1647" s="11">
        <v>1.0</v>
      </c>
      <c r="G1647" s="11">
        <v>120.0</v>
      </c>
      <c r="H1647" s="11"/>
      <c r="I1647" s="11">
        <v>-20.4</v>
      </c>
      <c r="J1647" s="11">
        <v>-19.95</v>
      </c>
      <c r="K1647" s="11"/>
      <c r="L1647" s="11">
        <v>86.85</v>
      </c>
      <c r="M1647" s="10" t="s">
        <v>12218</v>
      </c>
      <c r="N1647" s="10" t="s">
        <v>50</v>
      </c>
      <c r="O1647" s="10" t="s">
        <v>85</v>
      </c>
      <c r="P1647" s="10" t="s">
        <v>86</v>
      </c>
      <c r="Q1647" s="10" t="s">
        <v>87</v>
      </c>
      <c r="R1647" s="10" t="s">
        <v>74</v>
      </c>
      <c r="S1647" s="11">
        <v>120.0</v>
      </c>
      <c r="T1647" s="11">
        <v>65.78</v>
      </c>
      <c r="U1647" s="11" t="s">
        <v>51</v>
      </c>
      <c r="V1647" s="10" t="s">
        <v>52</v>
      </c>
      <c r="W1647" s="10" t="s">
        <v>16489</v>
      </c>
      <c r="X1647" s="10" t="s">
        <v>16490</v>
      </c>
      <c r="Y1647" s="10" t="s">
        <v>16491</v>
      </c>
      <c r="Z1647" s="10" t="s">
        <v>50</v>
      </c>
      <c r="AA1647" s="10" t="s">
        <v>50</v>
      </c>
      <c r="AB1647" s="10" t="s">
        <v>16489</v>
      </c>
      <c r="AC1647" s="10" t="s">
        <v>16492</v>
      </c>
      <c r="AD1647" s="10" t="s">
        <v>16493</v>
      </c>
      <c r="AE1647" s="10" t="s">
        <v>16494</v>
      </c>
      <c r="AF1647" s="10" t="s">
        <v>323</v>
      </c>
      <c r="AG1647" s="10" t="s">
        <v>16495</v>
      </c>
      <c r="AH1647" s="10" t="s">
        <v>60</v>
      </c>
      <c r="AI1647" s="10" t="s">
        <v>13406</v>
      </c>
      <c r="AJ1647" s="10" t="s">
        <v>16496</v>
      </c>
      <c r="AK1647" s="10" t="s">
        <v>16497</v>
      </c>
      <c r="AL1647" s="10" t="s">
        <v>64</v>
      </c>
      <c r="AM1647" s="10" t="s">
        <v>16498</v>
      </c>
      <c r="AN1647" s="10" t="s">
        <v>50</v>
      </c>
      <c r="AO1647" s="11" t="s">
        <v>50</v>
      </c>
      <c r="AP1647" s="10" t="s">
        <v>50</v>
      </c>
      <c r="AQ1647" s="10" t="s">
        <v>50</v>
      </c>
      <c r="AR1647" s="10" t="s">
        <v>50</v>
      </c>
      <c r="AS1647" s="10" t="s">
        <v>50</v>
      </c>
      <c r="AT1647" s="10" t="s">
        <v>50</v>
      </c>
      <c r="AU1647" s="10" t="s">
        <v>50</v>
      </c>
      <c r="AV1647" s="11"/>
      <c r="AW1647" s="10" t="s">
        <v>66</v>
      </c>
      <c r="AX1647" s="10"/>
      <c r="AY1647" s="10" t="s">
        <v>66</v>
      </c>
    </row>
    <row r="1648" ht="22.5" hidden="1" customHeight="1">
      <c r="A1648" s="9" t="s">
        <v>16499</v>
      </c>
      <c r="B1648" s="10" t="s">
        <v>16500</v>
      </c>
      <c r="C1648" s="10" t="s">
        <v>43</v>
      </c>
      <c r="D1648" s="10" t="s">
        <v>14945</v>
      </c>
      <c r="E1648" s="10" t="s">
        <v>66</v>
      </c>
      <c r="F1648" s="11">
        <v>1.0</v>
      </c>
      <c r="G1648" s="11">
        <v>43.7</v>
      </c>
      <c r="H1648" s="11">
        <v>15.4</v>
      </c>
      <c r="I1648" s="11">
        <v>-13.43</v>
      </c>
      <c r="J1648" s="11">
        <v>-15.4</v>
      </c>
      <c r="K1648" s="11"/>
      <c r="L1648" s="11">
        <v>32.89</v>
      </c>
      <c r="M1648" s="10" t="s">
        <v>12218</v>
      </c>
      <c r="N1648" s="10" t="s">
        <v>50</v>
      </c>
      <c r="O1648" s="10" t="s">
        <v>176</v>
      </c>
      <c r="P1648" s="10" t="s">
        <v>177</v>
      </c>
      <c r="Q1648" s="10" t="s">
        <v>178</v>
      </c>
      <c r="R1648" s="10" t="s">
        <v>74</v>
      </c>
      <c r="S1648" s="11">
        <v>43.7</v>
      </c>
      <c r="T1648" s="11">
        <v>22.58</v>
      </c>
      <c r="U1648" s="11" t="s">
        <v>51</v>
      </c>
      <c r="V1648" s="10" t="s">
        <v>52</v>
      </c>
      <c r="W1648" s="10" t="s">
        <v>16501</v>
      </c>
      <c r="X1648" s="10" t="s">
        <v>16502</v>
      </c>
      <c r="Y1648" s="10" t="s">
        <v>16503</v>
      </c>
      <c r="Z1648" s="10" t="s">
        <v>50</v>
      </c>
      <c r="AA1648" s="10" t="s">
        <v>50</v>
      </c>
      <c r="AB1648" s="10" t="s">
        <v>16501</v>
      </c>
      <c r="AC1648" s="10" t="s">
        <v>16504</v>
      </c>
      <c r="AD1648" s="10" t="s">
        <v>16505</v>
      </c>
      <c r="AE1648" s="10" t="s">
        <v>7202</v>
      </c>
      <c r="AF1648" s="10" t="s">
        <v>58</v>
      </c>
      <c r="AG1648" s="10" t="s">
        <v>16506</v>
      </c>
      <c r="AH1648" s="10" t="s">
        <v>60</v>
      </c>
      <c r="AI1648" s="10" t="s">
        <v>13406</v>
      </c>
      <c r="AJ1648" s="10" t="s">
        <v>16388</v>
      </c>
      <c r="AK1648" s="10" t="s">
        <v>16507</v>
      </c>
      <c r="AL1648" s="10" t="s">
        <v>64</v>
      </c>
      <c r="AM1648" s="10" t="s">
        <v>16508</v>
      </c>
      <c r="AN1648" s="10" t="s">
        <v>50</v>
      </c>
      <c r="AO1648" s="11" t="s">
        <v>50</v>
      </c>
      <c r="AP1648" s="10" t="s">
        <v>50</v>
      </c>
      <c r="AQ1648" s="10" t="s">
        <v>50</v>
      </c>
      <c r="AR1648" s="10" t="s">
        <v>50</v>
      </c>
      <c r="AS1648" s="10" t="s">
        <v>50</v>
      </c>
      <c r="AT1648" s="10" t="s">
        <v>50</v>
      </c>
      <c r="AU1648" s="10" t="s">
        <v>50</v>
      </c>
      <c r="AV1648" s="11"/>
      <c r="AW1648" s="10" t="s">
        <v>66</v>
      </c>
      <c r="AX1648" s="10"/>
      <c r="AY1648" s="10" t="s">
        <v>66</v>
      </c>
    </row>
    <row r="1649" ht="22.5" hidden="1" customHeight="1">
      <c r="A1649" s="9" t="s">
        <v>16509</v>
      </c>
      <c r="B1649" s="10" t="s">
        <v>16510</v>
      </c>
      <c r="C1649" s="10" t="s">
        <v>43</v>
      </c>
      <c r="D1649" s="10" t="s">
        <v>14923</v>
      </c>
      <c r="E1649" s="10" t="s">
        <v>45</v>
      </c>
      <c r="F1649" s="11">
        <v>1.0</v>
      </c>
      <c r="G1649" s="11">
        <v>80.0</v>
      </c>
      <c r="H1649" s="11"/>
      <c r="I1649" s="11">
        <v>-13.6</v>
      </c>
      <c r="J1649" s="11">
        <v>-19.95</v>
      </c>
      <c r="K1649" s="11"/>
      <c r="L1649" s="11">
        <v>50.45</v>
      </c>
      <c r="M1649" s="10" t="s">
        <v>12218</v>
      </c>
      <c r="N1649" s="10" t="s">
        <v>50</v>
      </c>
      <c r="O1649" s="10" t="s">
        <v>143</v>
      </c>
      <c r="P1649" s="10" t="s">
        <v>144</v>
      </c>
      <c r="Q1649" s="10" t="s">
        <v>145</v>
      </c>
      <c r="R1649" s="10" t="s">
        <v>74</v>
      </c>
      <c r="S1649" s="11">
        <v>80.0</v>
      </c>
      <c r="T1649" s="11">
        <v>33.38</v>
      </c>
      <c r="U1649" s="11" t="s">
        <v>51</v>
      </c>
      <c r="V1649" s="10" t="s">
        <v>52</v>
      </c>
      <c r="W1649" s="10" t="s">
        <v>16511</v>
      </c>
      <c r="X1649" s="10" t="s">
        <v>16512</v>
      </c>
      <c r="Y1649" s="10" t="s">
        <v>16513</v>
      </c>
      <c r="Z1649" s="10" t="s">
        <v>50</v>
      </c>
      <c r="AA1649" s="10" t="s">
        <v>50</v>
      </c>
      <c r="AB1649" s="10" t="s">
        <v>16511</v>
      </c>
      <c r="AC1649" s="10" t="s">
        <v>16514</v>
      </c>
      <c r="AD1649" s="10" t="s">
        <v>16515</v>
      </c>
      <c r="AE1649" s="10" t="s">
        <v>58</v>
      </c>
      <c r="AF1649" s="10" t="s">
        <v>58</v>
      </c>
      <c r="AG1649" s="10" t="s">
        <v>16516</v>
      </c>
      <c r="AH1649" s="10" t="s">
        <v>60</v>
      </c>
      <c r="AI1649" s="10" t="s">
        <v>13406</v>
      </c>
      <c r="AJ1649" s="10" t="s">
        <v>16388</v>
      </c>
      <c r="AK1649" s="10" t="s">
        <v>16517</v>
      </c>
      <c r="AL1649" s="10" t="s">
        <v>64</v>
      </c>
      <c r="AM1649" s="10" t="s">
        <v>16518</v>
      </c>
      <c r="AN1649" s="10" t="s">
        <v>16519</v>
      </c>
      <c r="AO1649" s="11" t="s">
        <v>50</v>
      </c>
      <c r="AP1649" s="10" t="s">
        <v>50</v>
      </c>
      <c r="AQ1649" s="10" t="s">
        <v>50</v>
      </c>
      <c r="AR1649" s="10" t="s">
        <v>50</v>
      </c>
      <c r="AS1649" s="10" t="s">
        <v>50</v>
      </c>
      <c r="AT1649" s="10" t="s">
        <v>50</v>
      </c>
      <c r="AU1649" s="10" t="s">
        <v>50</v>
      </c>
      <c r="AV1649" s="11"/>
      <c r="AW1649" s="10" t="s">
        <v>66</v>
      </c>
      <c r="AX1649" s="10"/>
      <c r="AY1649" s="10" t="s">
        <v>66</v>
      </c>
    </row>
    <row r="1650" ht="22.5" hidden="1" customHeight="1">
      <c r="A1650" s="9" t="s">
        <v>16520</v>
      </c>
      <c r="B1650" s="10" t="s">
        <v>16521</v>
      </c>
      <c r="C1650" s="10" t="s">
        <v>43</v>
      </c>
      <c r="D1650" s="10" t="s">
        <v>14923</v>
      </c>
      <c r="E1650" s="10" t="s">
        <v>66</v>
      </c>
      <c r="F1650" s="11">
        <v>1.0</v>
      </c>
      <c r="G1650" s="11">
        <v>79.2</v>
      </c>
      <c r="H1650" s="11"/>
      <c r="I1650" s="11">
        <v>-13.46</v>
      </c>
      <c r="J1650" s="11">
        <v>-20.45</v>
      </c>
      <c r="K1650" s="11"/>
      <c r="L1650" s="11">
        <v>45.29</v>
      </c>
      <c r="M1650" s="10" t="s">
        <v>12218</v>
      </c>
      <c r="N1650" s="10" t="s">
        <v>50</v>
      </c>
      <c r="O1650" s="10" t="s">
        <v>412</v>
      </c>
      <c r="P1650" s="10" t="s">
        <v>413</v>
      </c>
      <c r="Q1650" s="10" t="s">
        <v>414</v>
      </c>
      <c r="R1650" s="10" t="s">
        <v>415</v>
      </c>
      <c r="S1650" s="11">
        <v>79.2</v>
      </c>
      <c r="T1650" s="11">
        <v>10.05</v>
      </c>
      <c r="U1650" s="11" t="s">
        <v>51</v>
      </c>
      <c r="V1650" s="10" t="s">
        <v>52</v>
      </c>
      <c r="W1650" s="10" t="s">
        <v>16522</v>
      </c>
      <c r="X1650" s="10" t="s">
        <v>16523</v>
      </c>
      <c r="Y1650" s="10" t="s">
        <v>16524</v>
      </c>
      <c r="Z1650" s="10" t="s">
        <v>50</v>
      </c>
      <c r="AA1650" s="10" t="s">
        <v>50</v>
      </c>
      <c r="AB1650" s="10" t="s">
        <v>16522</v>
      </c>
      <c r="AC1650" s="10" t="s">
        <v>16525</v>
      </c>
      <c r="AD1650" s="10" t="s">
        <v>16526</v>
      </c>
      <c r="AE1650" s="10" t="s">
        <v>16527</v>
      </c>
      <c r="AF1650" s="10" t="s">
        <v>323</v>
      </c>
      <c r="AG1650" s="10" t="s">
        <v>16528</v>
      </c>
      <c r="AH1650" s="10" t="s">
        <v>60</v>
      </c>
      <c r="AI1650" s="10" t="s">
        <v>13406</v>
      </c>
      <c r="AJ1650" s="10" t="s">
        <v>15336</v>
      </c>
      <c r="AK1650" s="10" t="s">
        <v>16529</v>
      </c>
      <c r="AL1650" s="10" t="s">
        <v>64</v>
      </c>
      <c r="AM1650" s="10" t="s">
        <v>16530</v>
      </c>
      <c r="AN1650" s="10" t="s">
        <v>50</v>
      </c>
      <c r="AO1650" s="11" t="s">
        <v>50</v>
      </c>
      <c r="AP1650" s="10" t="s">
        <v>50</v>
      </c>
      <c r="AQ1650" s="10" t="s">
        <v>50</v>
      </c>
      <c r="AR1650" s="10" t="s">
        <v>50</v>
      </c>
      <c r="AS1650" s="10" t="s">
        <v>50</v>
      </c>
      <c r="AT1650" s="10" t="s">
        <v>50</v>
      </c>
      <c r="AU1650" s="10" t="s">
        <v>50</v>
      </c>
      <c r="AV1650" s="11"/>
      <c r="AW1650" s="10" t="s">
        <v>66</v>
      </c>
      <c r="AX1650" s="10"/>
      <c r="AY1650" s="10" t="s">
        <v>66</v>
      </c>
    </row>
    <row r="1651" ht="22.5" hidden="1" customHeight="1">
      <c r="A1651" s="9" t="s">
        <v>16531</v>
      </c>
      <c r="B1651" s="10" t="s">
        <v>16532</v>
      </c>
      <c r="C1651" s="10" t="s">
        <v>43</v>
      </c>
      <c r="D1651" s="10" t="s">
        <v>16334</v>
      </c>
      <c r="E1651" s="10" t="s">
        <v>66</v>
      </c>
      <c r="F1651" s="11">
        <v>1.0</v>
      </c>
      <c r="G1651" s="11">
        <v>43.7</v>
      </c>
      <c r="H1651" s="11">
        <v>18.9</v>
      </c>
      <c r="I1651" s="11">
        <v>-13.43</v>
      </c>
      <c r="J1651" s="11">
        <v>-18.9</v>
      </c>
      <c r="K1651" s="11"/>
      <c r="L1651" s="11">
        <v>32.89</v>
      </c>
      <c r="M1651" s="10" t="s">
        <v>12218</v>
      </c>
      <c r="N1651" s="10" t="s">
        <v>50</v>
      </c>
      <c r="O1651" s="10" t="s">
        <v>176</v>
      </c>
      <c r="P1651" s="10" t="s">
        <v>177</v>
      </c>
      <c r="Q1651" s="10" t="s">
        <v>178</v>
      </c>
      <c r="R1651" s="10" t="s">
        <v>74</v>
      </c>
      <c r="S1651" s="11">
        <v>43.7</v>
      </c>
      <c r="T1651" s="11">
        <v>22.58</v>
      </c>
      <c r="U1651" s="11" t="s">
        <v>51</v>
      </c>
      <c r="V1651" s="10" t="s">
        <v>52</v>
      </c>
      <c r="W1651" s="10" t="s">
        <v>16533</v>
      </c>
      <c r="X1651" s="10" t="s">
        <v>16534</v>
      </c>
      <c r="Y1651" s="10" t="s">
        <v>16535</v>
      </c>
      <c r="Z1651" s="10" t="s">
        <v>50</v>
      </c>
      <c r="AA1651" s="10" t="s">
        <v>50</v>
      </c>
      <c r="AB1651" s="10" t="s">
        <v>16533</v>
      </c>
      <c r="AC1651" s="10" t="s">
        <v>16536</v>
      </c>
      <c r="AD1651" s="10" t="s">
        <v>16537</v>
      </c>
      <c r="AE1651" s="10" t="s">
        <v>3694</v>
      </c>
      <c r="AF1651" s="10" t="s">
        <v>151</v>
      </c>
      <c r="AG1651" s="10" t="s">
        <v>16538</v>
      </c>
      <c r="AH1651" s="10" t="s">
        <v>60</v>
      </c>
      <c r="AI1651" s="10" t="s">
        <v>13406</v>
      </c>
      <c r="AJ1651" s="10" t="s">
        <v>16496</v>
      </c>
      <c r="AK1651" s="10" t="s">
        <v>16539</v>
      </c>
      <c r="AL1651" s="10" t="s">
        <v>64</v>
      </c>
      <c r="AM1651" s="10" t="s">
        <v>16540</v>
      </c>
      <c r="AN1651" s="10" t="s">
        <v>50</v>
      </c>
      <c r="AO1651" s="11" t="s">
        <v>50</v>
      </c>
      <c r="AP1651" s="10" t="s">
        <v>50</v>
      </c>
      <c r="AQ1651" s="10" t="s">
        <v>50</v>
      </c>
      <c r="AR1651" s="10" t="s">
        <v>50</v>
      </c>
      <c r="AS1651" s="10" t="s">
        <v>50</v>
      </c>
      <c r="AT1651" s="10" t="s">
        <v>50</v>
      </c>
      <c r="AU1651" s="10" t="s">
        <v>50</v>
      </c>
      <c r="AV1651" s="11"/>
      <c r="AW1651" s="10" t="s">
        <v>66</v>
      </c>
      <c r="AX1651" s="10"/>
      <c r="AY1651" s="10" t="s">
        <v>66</v>
      </c>
    </row>
    <row r="1652" ht="22.5" hidden="1" customHeight="1">
      <c r="A1652" s="9" t="s">
        <v>16541</v>
      </c>
      <c r="B1652" s="10" t="s">
        <v>16542</v>
      </c>
      <c r="C1652" s="10" t="s">
        <v>43</v>
      </c>
      <c r="D1652" s="10" t="s">
        <v>14945</v>
      </c>
      <c r="E1652" s="10" t="s">
        <v>66</v>
      </c>
      <c r="F1652" s="11">
        <v>1.0</v>
      </c>
      <c r="G1652" s="11">
        <v>80.6</v>
      </c>
      <c r="H1652" s="11"/>
      <c r="I1652" s="11">
        <v>-13.7</v>
      </c>
      <c r="J1652" s="11">
        <v>-20.45</v>
      </c>
      <c r="K1652" s="11"/>
      <c r="L1652" s="11">
        <v>46.45</v>
      </c>
      <c r="M1652" s="10" t="s">
        <v>12218</v>
      </c>
      <c r="N1652" s="10" t="s">
        <v>50</v>
      </c>
      <c r="O1652" s="10" t="s">
        <v>265</v>
      </c>
      <c r="P1652" s="10" t="s">
        <v>266</v>
      </c>
      <c r="Q1652" s="10" t="s">
        <v>267</v>
      </c>
      <c r="R1652" s="10" t="s">
        <v>74</v>
      </c>
      <c r="S1652" s="11">
        <v>80.6</v>
      </c>
      <c r="T1652" s="11">
        <v>26.22</v>
      </c>
      <c r="U1652" s="11" t="s">
        <v>51</v>
      </c>
      <c r="V1652" s="10" t="s">
        <v>52</v>
      </c>
      <c r="W1652" s="10" t="s">
        <v>16543</v>
      </c>
      <c r="X1652" s="10" t="s">
        <v>16544</v>
      </c>
      <c r="Y1652" s="10" t="s">
        <v>16545</v>
      </c>
      <c r="Z1652" s="10" t="s">
        <v>50</v>
      </c>
      <c r="AA1652" s="10" t="s">
        <v>50</v>
      </c>
      <c r="AB1652" s="10" t="s">
        <v>16543</v>
      </c>
      <c r="AC1652" s="10" t="s">
        <v>16546</v>
      </c>
      <c r="AD1652" s="10" t="s">
        <v>16547</v>
      </c>
      <c r="AE1652" s="10" t="s">
        <v>16548</v>
      </c>
      <c r="AF1652" s="10" t="s">
        <v>323</v>
      </c>
      <c r="AG1652" s="10" t="s">
        <v>16549</v>
      </c>
      <c r="AH1652" s="10" t="s">
        <v>60</v>
      </c>
      <c r="AI1652" s="10" t="s">
        <v>13406</v>
      </c>
      <c r="AJ1652" s="10" t="s">
        <v>15336</v>
      </c>
      <c r="AK1652" s="10" t="s">
        <v>16550</v>
      </c>
      <c r="AL1652" s="10" t="s">
        <v>64</v>
      </c>
      <c r="AM1652" s="10" t="s">
        <v>16551</v>
      </c>
      <c r="AN1652" s="10" t="s">
        <v>50</v>
      </c>
      <c r="AO1652" s="11" t="s">
        <v>50</v>
      </c>
      <c r="AP1652" s="10" t="s">
        <v>50</v>
      </c>
      <c r="AQ1652" s="10" t="s">
        <v>50</v>
      </c>
      <c r="AR1652" s="10" t="s">
        <v>50</v>
      </c>
      <c r="AS1652" s="10" t="s">
        <v>50</v>
      </c>
      <c r="AT1652" s="10" t="s">
        <v>50</v>
      </c>
      <c r="AU1652" s="10" t="s">
        <v>50</v>
      </c>
      <c r="AV1652" s="11"/>
      <c r="AW1652" s="10" t="s">
        <v>66</v>
      </c>
      <c r="AX1652" s="10"/>
      <c r="AY1652" s="10" t="s">
        <v>66</v>
      </c>
    </row>
    <row r="1653" ht="22.5" hidden="1" customHeight="1">
      <c r="A1653" s="9" t="s">
        <v>16552</v>
      </c>
      <c r="B1653" s="10" t="s">
        <v>16553</v>
      </c>
      <c r="C1653" s="10" t="s">
        <v>43</v>
      </c>
      <c r="D1653" s="10" t="s">
        <v>8227</v>
      </c>
      <c r="E1653" s="10" t="s">
        <v>66</v>
      </c>
      <c r="F1653" s="11">
        <v>1.0</v>
      </c>
      <c r="G1653" s="11">
        <v>79.35</v>
      </c>
      <c r="H1653" s="11"/>
      <c r="I1653" s="11">
        <v>-15.08</v>
      </c>
      <c r="J1653" s="11">
        <v>-19.95</v>
      </c>
      <c r="K1653" s="11"/>
      <c r="L1653" s="11">
        <v>44.32</v>
      </c>
      <c r="M1653" s="10" t="s">
        <v>12218</v>
      </c>
      <c r="N1653" s="10" t="s">
        <v>45</v>
      </c>
      <c r="O1653" s="10" t="s">
        <v>47</v>
      </c>
      <c r="P1653" s="10" t="s">
        <v>48</v>
      </c>
      <c r="Q1653" s="10" t="s">
        <v>49</v>
      </c>
      <c r="R1653" s="10" t="s">
        <v>50</v>
      </c>
      <c r="S1653" s="11">
        <v>79.35</v>
      </c>
      <c r="T1653" s="11">
        <v>12.45</v>
      </c>
      <c r="U1653" s="11" t="s">
        <v>51</v>
      </c>
      <c r="V1653" s="10" t="s">
        <v>52</v>
      </c>
      <c r="W1653" s="10" t="s">
        <v>16554</v>
      </c>
      <c r="X1653" s="10" t="s">
        <v>16555</v>
      </c>
      <c r="Y1653" s="10" t="s">
        <v>16556</v>
      </c>
      <c r="Z1653" s="10" t="s">
        <v>50</v>
      </c>
      <c r="AA1653" s="10" t="s">
        <v>50</v>
      </c>
      <c r="AB1653" s="10" t="s">
        <v>16554</v>
      </c>
      <c r="AC1653" s="10" t="s">
        <v>16557</v>
      </c>
      <c r="AD1653" s="10" t="s">
        <v>16558</v>
      </c>
      <c r="AE1653" s="10" t="s">
        <v>469</v>
      </c>
      <c r="AF1653" s="10" t="s">
        <v>185</v>
      </c>
      <c r="AG1653" s="10" t="s">
        <v>16559</v>
      </c>
      <c r="AH1653" s="10" t="s">
        <v>60</v>
      </c>
      <c r="AI1653" s="10" t="s">
        <v>13406</v>
      </c>
      <c r="AJ1653" s="10" t="s">
        <v>16560</v>
      </c>
      <c r="AK1653" s="10" t="s">
        <v>16561</v>
      </c>
      <c r="AL1653" s="10" t="s">
        <v>64</v>
      </c>
      <c r="AM1653" s="10" t="s">
        <v>16562</v>
      </c>
      <c r="AN1653" s="10" t="s">
        <v>50</v>
      </c>
      <c r="AO1653" s="11" t="s">
        <v>50</v>
      </c>
      <c r="AP1653" s="10" t="s">
        <v>50</v>
      </c>
      <c r="AQ1653" s="10" t="s">
        <v>50</v>
      </c>
      <c r="AR1653" s="10" t="s">
        <v>50</v>
      </c>
      <c r="AS1653" s="10" t="s">
        <v>50</v>
      </c>
      <c r="AT1653" s="10" t="s">
        <v>50</v>
      </c>
      <c r="AU1653" s="10" t="s">
        <v>50</v>
      </c>
      <c r="AV1653" s="11"/>
      <c r="AW1653" s="10" t="s">
        <v>66</v>
      </c>
      <c r="AX1653" s="10"/>
      <c r="AY1653" s="10" t="s">
        <v>66</v>
      </c>
    </row>
    <row r="1654" ht="22.5" hidden="1" customHeight="1">
      <c r="A1654" s="9" t="s">
        <v>16563</v>
      </c>
      <c r="B1654" s="10" t="s">
        <v>16564</v>
      </c>
      <c r="C1654" s="10" t="s">
        <v>43</v>
      </c>
      <c r="D1654" s="10" t="s">
        <v>14945</v>
      </c>
      <c r="E1654" s="10" t="s">
        <v>66</v>
      </c>
      <c r="F1654" s="11">
        <v>1.0</v>
      </c>
      <c r="G1654" s="11">
        <v>120.0</v>
      </c>
      <c r="H1654" s="11"/>
      <c r="I1654" s="11">
        <v>-20.4</v>
      </c>
      <c r="J1654" s="11">
        <v>-19.95</v>
      </c>
      <c r="K1654" s="11"/>
      <c r="L1654" s="11">
        <v>86.85</v>
      </c>
      <c r="M1654" s="10" t="s">
        <v>12218</v>
      </c>
      <c r="N1654" s="10" t="s">
        <v>50</v>
      </c>
      <c r="O1654" s="10" t="s">
        <v>85</v>
      </c>
      <c r="P1654" s="10" t="s">
        <v>86</v>
      </c>
      <c r="Q1654" s="10" t="s">
        <v>87</v>
      </c>
      <c r="R1654" s="10" t="s">
        <v>74</v>
      </c>
      <c r="S1654" s="11">
        <v>120.0</v>
      </c>
      <c r="T1654" s="11">
        <v>65.78</v>
      </c>
      <c r="U1654" s="11" t="s">
        <v>51</v>
      </c>
      <c r="V1654" s="10" t="s">
        <v>52</v>
      </c>
      <c r="W1654" s="10" t="s">
        <v>16565</v>
      </c>
      <c r="X1654" s="10" t="s">
        <v>16566</v>
      </c>
      <c r="Y1654" s="10" t="s">
        <v>16567</v>
      </c>
      <c r="Z1654" s="10" t="s">
        <v>50</v>
      </c>
      <c r="AA1654" s="10" t="s">
        <v>50</v>
      </c>
      <c r="AB1654" s="10" t="s">
        <v>16565</v>
      </c>
      <c r="AC1654" s="10" t="s">
        <v>16568</v>
      </c>
      <c r="AD1654" s="10" t="s">
        <v>16569</v>
      </c>
      <c r="AE1654" s="10" t="s">
        <v>16570</v>
      </c>
      <c r="AF1654" s="10" t="s">
        <v>58</v>
      </c>
      <c r="AG1654" s="10" t="s">
        <v>16571</v>
      </c>
      <c r="AH1654" s="10" t="s">
        <v>60</v>
      </c>
      <c r="AI1654" s="10" t="s">
        <v>13406</v>
      </c>
      <c r="AJ1654" s="10" t="s">
        <v>16329</v>
      </c>
      <c r="AK1654" s="10" t="s">
        <v>16572</v>
      </c>
      <c r="AL1654" s="10" t="s">
        <v>64</v>
      </c>
      <c r="AM1654" s="10" t="s">
        <v>16573</v>
      </c>
      <c r="AN1654" s="10" t="s">
        <v>50</v>
      </c>
      <c r="AO1654" s="11" t="s">
        <v>50</v>
      </c>
      <c r="AP1654" s="10" t="s">
        <v>50</v>
      </c>
      <c r="AQ1654" s="10" t="s">
        <v>50</v>
      </c>
      <c r="AR1654" s="10" t="s">
        <v>50</v>
      </c>
      <c r="AS1654" s="10" t="s">
        <v>50</v>
      </c>
      <c r="AT1654" s="10" t="s">
        <v>50</v>
      </c>
      <c r="AU1654" s="10" t="s">
        <v>50</v>
      </c>
      <c r="AV1654" s="11"/>
      <c r="AW1654" s="10" t="s">
        <v>66</v>
      </c>
      <c r="AX1654" s="10"/>
      <c r="AY1654" s="10" t="s">
        <v>66</v>
      </c>
    </row>
    <row r="1655" ht="22.5" hidden="1" customHeight="1">
      <c r="A1655" s="9" t="s">
        <v>16574</v>
      </c>
      <c r="B1655" s="10" t="s">
        <v>16575</v>
      </c>
      <c r="C1655" s="10" t="s">
        <v>43</v>
      </c>
      <c r="D1655" s="10" t="s">
        <v>13120</v>
      </c>
      <c r="E1655" s="10" t="s">
        <v>45</v>
      </c>
      <c r="F1655" s="11">
        <v>2.0</v>
      </c>
      <c r="G1655" s="11">
        <v>210.0</v>
      </c>
      <c r="H1655" s="11"/>
      <c r="I1655" s="11">
        <v>-39.9</v>
      </c>
      <c r="J1655" s="11">
        <v>-39.9</v>
      </c>
      <c r="K1655" s="11"/>
      <c r="L1655" s="11">
        <v>130.2</v>
      </c>
      <c r="M1655" s="10" t="s">
        <v>12218</v>
      </c>
      <c r="N1655" s="10" t="s">
        <v>50</v>
      </c>
      <c r="O1655" s="10" t="s">
        <v>100</v>
      </c>
      <c r="P1655" s="10" t="s">
        <v>101</v>
      </c>
      <c r="Q1655" s="10" t="s">
        <v>102</v>
      </c>
      <c r="R1655" s="10" t="s">
        <v>50</v>
      </c>
      <c r="S1655" s="11">
        <v>105.0</v>
      </c>
      <c r="T1655" s="11">
        <v>38.61</v>
      </c>
      <c r="U1655" s="11" t="s">
        <v>51</v>
      </c>
      <c r="V1655" s="10" t="s">
        <v>52</v>
      </c>
      <c r="W1655" s="10" t="s">
        <v>16576</v>
      </c>
      <c r="X1655" s="10" t="s">
        <v>16577</v>
      </c>
      <c r="Y1655" s="10" t="s">
        <v>16578</v>
      </c>
      <c r="Z1655" s="10" t="s">
        <v>50</v>
      </c>
      <c r="AA1655" s="10" t="s">
        <v>50</v>
      </c>
      <c r="AB1655" s="10" t="s">
        <v>16576</v>
      </c>
      <c r="AC1655" s="10" t="s">
        <v>16579</v>
      </c>
      <c r="AD1655" s="10" t="s">
        <v>16580</v>
      </c>
      <c r="AE1655" s="10" t="s">
        <v>443</v>
      </c>
      <c r="AF1655" s="10" t="s">
        <v>408</v>
      </c>
      <c r="AG1655" s="10" t="s">
        <v>16581</v>
      </c>
      <c r="AH1655" s="10" t="s">
        <v>60</v>
      </c>
      <c r="AI1655" s="10" t="s">
        <v>13406</v>
      </c>
      <c r="AJ1655" s="10" t="s">
        <v>16388</v>
      </c>
      <c r="AK1655" s="10" t="s">
        <v>16582</v>
      </c>
      <c r="AL1655" s="10" t="s">
        <v>64</v>
      </c>
      <c r="AM1655" s="10" t="s">
        <v>16583</v>
      </c>
      <c r="AN1655" s="10" t="s">
        <v>50</v>
      </c>
      <c r="AO1655" s="11" t="s">
        <v>50</v>
      </c>
      <c r="AP1655" s="10" t="s">
        <v>50</v>
      </c>
      <c r="AQ1655" s="10" t="s">
        <v>50</v>
      </c>
      <c r="AR1655" s="10" t="s">
        <v>50</v>
      </c>
      <c r="AS1655" s="10" t="s">
        <v>50</v>
      </c>
      <c r="AT1655" s="10" t="s">
        <v>50</v>
      </c>
      <c r="AU1655" s="10" t="s">
        <v>50</v>
      </c>
      <c r="AV1655" s="11"/>
      <c r="AW1655" s="10" t="s">
        <v>66</v>
      </c>
      <c r="AX1655" s="10"/>
      <c r="AY1655" s="10" t="s">
        <v>66</v>
      </c>
    </row>
    <row r="1656" ht="22.5" hidden="1" customHeight="1">
      <c r="A1656" s="9" t="s">
        <v>16584</v>
      </c>
      <c r="B1656" s="10" t="s">
        <v>16585</v>
      </c>
      <c r="C1656" s="10" t="s">
        <v>43</v>
      </c>
      <c r="D1656" s="10" t="s">
        <v>14945</v>
      </c>
      <c r="E1656" s="10" t="s">
        <v>45</v>
      </c>
      <c r="F1656" s="11">
        <v>1.0</v>
      </c>
      <c r="G1656" s="11">
        <v>43.7</v>
      </c>
      <c r="H1656" s="11">
        <v>11.7</v>
      </c>
      <c r="I1656" s="11">
        <v>-13.43</v>
      </c>
      <c r="J1656" s="11">
        <v>-11.7</v>
      </c>
      <c r="K1656" s="11"/>
      <c r="L1656" s="11">
        <v>32.89</v>
      </c>
      <c r="M1656" s="10" t="s">
        <v>12218</v>
      </c>
      <c r="N1656" s="10" t="s">
        <v>45</v>
      </c>
      <c r="O1656" s="10" t="s">
        <v>176</v>
      </c>
      <c r="P1656" s="10" t="s">
        <v>177</v>
      </c>
      <c r="Q1656" s="10" t="s">
        <v>178</v>
      </c>
      <c r="R1656" s="10" t="s">
        <v>74</v>
      </c>
      <c r="S1656" s="11">
        <v>43.7</v>
      </c>
      <c r="T1656" s="11">
        <v>22.58</v>
      </c>
      <c r="U1656" s="11" t="s">
        <v>51</v>
      </c>
      <c r="V1656" s="10" t="s">
        <v>52</v>
      </c>
      <c r="W1656" s="10" t="s">
        <v>16586</v>
      </c>
      <c r="X1656" s="10" t="s">
        <v>16587</v>
      </c>
      <c r="Y1656" s="10" t="s">
        <v>16588</v>
      </c>
      <c r="Z1656" s="10" t="s">
        <v>50</v>
      </c>
      <c r="AA1656" s="10" t="s">
        <v>50</v>
      </c>
      <c r="AB1656" s="10" t="s">
        <v>16586</v>
      </c>
      <c r="AC1656" s="10" t="s">
        <v>16589</v>
      </c>
      <c r="AD1656" s="10" t="s">
        <v>16590</v>
      </c>
      <c r="AE1656" s="10" t="s">
        <v>58</v>
      </c>
      <c r="AF1656" s="10" t="s">
        <v>58</v>
      </c>
      <c r="AG1656" s="10" t="s">
        <v>16591</v>
      </c>
      <c r="AH1656" s="10" t="s">
        <v>60</v>
      </c>
      <c r="AI1656" s="10" t="s">
        <v>13406</v>
      </c>
      <c r="AJ1656" s="10" t="s">
        <v>15325</v>
      </c>
      <c r="AK1656" s="10" t="s">
        <v>16592</v>
      </c>
      <c r="AL1656" s="10" t="s">
        <v>64</v>
      </c>
      <c r="AM1656" s="10" t="s">
        <v>16593</v>
      </c>
      <c r="AN1656" s="10" t="s">
        <v>50</v>
      </c>
      <c r="AO1656" s="11" t="s">
        <v>50</v>
      </c>
      <c r="AP1656" s="10" t="s">
        <v>50</v>
      </c>
      <c r="AQ1656" s="10" t="s">
        <v>50</v>
      </c>
      <c r="AR1656" s="10" t="s">
        <v>50</v>
      </c>
      <c r="AS1656" s="10" t="s">
        <v>50</v>
      </c>
      <c r="AT1656" s="10" t="s">
        <v>50</v>
      </c>
      <c r="AU1656" s="10" t="s">
        <v>50</v>
      </c>
      <c r="AV1656" s="11"/>
      <c r="AW1656" s="10" t="s">
        <v>66</v>
      </c>
      <c r="AX1656" s="10"/>
      <c r="AY1656" s="10" t="s">
        <v>66</v>
      </c>
    </row>
    <row r="1657" ht="22.5" hidden="1" customHeight="1">
      <c r="A1657" s="9" t="s">
        <v>16594</v>
      </c>
      <c r="B1657" s="10" t="s">
        <v>16595</v>
      </c>
      <c r="C1657" s="10" t="s">
        <v>43</v>
      </c>
      <c r="D1657" s="10" t="s">
        <v>13175</v>
      </c>
      <c r="E1657" s="10" t="s">
        <v>45</v>
      </c>
      <c r="F1657" s="11">
        <v>3.0</v>
      </c>
      <c r="G1657" s="11">
        <v>237.0</v>
      </c>
      <c r="H1657" s="11"/>
      <c r="I1657" s="11">
        <v>-40.29</v>
      </c>
      <c r="J1657" s="11">
        <v>-59.85</v>
      </c>
      <c r="K1657" s="11"/>
      <c r="L1657" s="11">
        <v>136.86</v>
      </c>
      <c r="M1657" s="10" t="s">
        <v>12218</v>
      </c>
      <c r="N1657" s="10" t="s">
        <v>50</v>
      </c>
      <c r="O1657" s="10" t="s">
        <v>5100</v>
      </c>
      <c r="P1657" s="10" t="s">
        <v>5101</v>
      </c>
      <c r="Q1657" s="10" t="s">
        <v>5102</v>
      </c>
      <c r="R1657" s="10" t="s">
        <v>74</v>
      </c>
      <c r="S1657" s="11">
        <v>79.0</v>
      </c>
      <c r="T1657" s="11">
        <v>12.9</v>
      </c>
      <c r="U1657" s="11" t="s">
        <v>51</v>
      </c>
      <c r="V1657" s="10" t="s">
        <v>52</v>
      </c>
      <c r="W1657" s="10" t="s">
        <v>16596</v>
      </c>
      <c r="X1657" s="10" t="s">
        <v>16597</v>
      </c>
      <c r="Y1657" s="10" t="s">
        <v>16598</v>
      </c>
      <c r="Z1657" s="10" t="s">
        <v>50</v>
      </c>
      <c r="AA1657" s="10" t="s">
        <v>50</v>
      </c>
      <c r="AB1657" s="10" t="s">
        <v>16596</v>
      </c>
      <c r="AC1657" s="10" t="s">
        <v>16599</v>
      </c>
      <c r="AD1657" s="10" t="s">
        <v>16600</v>
      </c>
      <c r="AE1657" s="10" t="s">
        <v>16601</v>
      </c>
      <c r="AF1657" s="10" t="s">
        <v>169</v>
      </c>
      <c r="AG1657" s="10" t="s">
        <v>16602</v>
      </c>
      <c r="AH1657" s="10" t="s">
        <v>60</v>
      </c>
      <c r="AI1657" s="10" t="s">
        <v>13406</v>
      </c>
      <c r="AJ1657" s="10" t="s">
        <v>16388</v>
      </c>
      <c r="AK1657" s="10" t="s">
        <v>16603</v>
      </c>
      <c r="AL1657" s="10" t="s">
        <v>64</v>
      </c>
      <c r="AM1657" s="10" t="s">
        <v>16604</v>
      </c>
      <c r="AN1657" s="10" t="s">
        <v>50</v>
      </c>
      <c r="AO1657" s="11" t="s">
        <v>50</v>
      </c>
      <c r="AP1657" s="10" t="s">
        <v>50</v>
      </c>
      <c r="AQ1657" s="10" t="s">
        <v>50</v>
      </c>
      <c r="AR1657" s="10" t="s">
        <v>50</v>
      </c>
      <c r="AS1657" s="10" t="s">
        <v>50</v>
      </c>
      <c r="AT1657" s="10" t="s">
        <v>50</v>
      </c>
      <c r="AU1657" s="10" t="s">
        <v>50</v>
      </c>
      <c r="AV1657" s="11"/>
      <c r="AW1657" s="10" t="s">
        <v>66</v>
      </c>
      <c r="AX1657" s="10"/>
      <c r="AY1657" s="10" t="s">
        <v>66</v>
      </c>
    </row>
    <row r="1658" ht="22.5" hidden="1" customHeight="1">
      <c r="A1658" s="12" t="s">
        <v>16605</v>
      </c>
      <c r="B1658" s="13" t="s">
        <v>16606</v>
      </c>
      <c r="C1658" s="13" t="s">
        <v>747</v>
      </c>
      <c r="D1658" s="13" t="s">
        <v>50</v>
      </c>
      <c r="E1658" s="13" t="s">
        <v>50</v>
      </c>
      <c r="F1658" s="14"/>
      <c r="G1658" s="14">
        <v>158.0</v>
      </c>
      <c r="H1658" s="14"/>
      <c r="I1658" s="14">
        <v>-32.86</v>
      </c>
      <c r="J1658" s="14">
        <v>-19.95</v>
      </c>
      <c r="K1658" s="14"/>
      <c r="L1658" s="14">
        <v>114.67</v>
      </c>
      <c r="M1658" s="13" t="s">
        <v>12218</v>
      </c>
      <c r="N1658" s="13" t="s">
        <v>50</v>
      </c>
      <c r="O1658" s="13" t="s">
        <v>50</v>
      </c>
      <c r="P1658" s="13" t="s">
        <v>50</v>
      </c>
      <c r="Q1658" s="13" t="s">
        <v>50</v>
      </c>
      <c r="R1658" s="13" t="s">
        <v>50</v>
      </c>
      <c r="S1658" s="14"/>
      <c r="T1658" s="11"/>
      <c r="U1658" s="14" t="s">
        <v>50</v>
      </c>
      <c r="V1658" s="13" t="s">
        <v>52</v>
      </c>
      <c r="W1658" s="13" t="s">
        <v>16607</v>
      </c>
      <c r="X1658" s="13" t="s">
        <v>16608</v>
      </c>
      <c r="Y1658" s="13" t="s">
        <v>16609</v>
      </c>
      <c r="Z1658" s="13" t="s">
        <v>50</v>
      </c>
      <c r="AA1658" s="13" t="s">
        <v>50</v>
      </c>
      <c r="AB1658" s="13" t="s">
        <v>16607</v>
      </c>
      <c r="AC1658" s="13" t="s">
        <v>16610</v>
      </c>
      <c r="AD1658" s="13" t="s">
        <v>16611</v>
      </c>
      <c r="AE1658" s="13" t="s">
        <v>213</v>
      </c>
      <c r="AF1658" s="13" t="s">
        <v>214</v>
      </c>
      <c r="AG1658" s="13" t="s">
        <v>16612</v>
      </c>
      <c r="AH1658" s="13" t="s">
        <v>60</v>
      </c>
      <c r="AI1658" s="13" t="s">
        <v>13406</v>
      </c>
      <c r="AJ1658" s="13" t="s">
        <v>15314</v>
      </c>
      <c r="AK1658" s="13" t="s">
        <v>16613</v>
      </c>
      <c r="AL1658" s="13" t="s">
        <v>64</v>
      </c>
      <c r="AM1658" s="13" t="s">
        <v>16614</v>
      </c>
      <c r="AN1658" s="13" t="s">
        <v>50</v>
      </c>
      <c r="AO1658" s="15" t="s">
        <v>50</v>
      </c>
      <c r="AP1658" s="13" t="s">
        <v>50</v>
      </c>
      <c r="AQ1658" s="13" t="s">
        <v>50</v>
      </c>
      <c r="AR1658" s="13" t="s">
        <v>50</v>
      </c>
      <c r="AS1658" s="13" t="s">
        <v>50</v>
      </c>
      <c r="AT1658" s="13" t="s">
        <v>50</v>
      </c>
      <c r="AU1658" s="13" t="s">
        <v>50</v>
      </c>
      <c r="AV1658" s="15"/>
      <c r="AW1658" s="13" t="s">
        <v>50</v>
      </c>
      <c r="AX1658" s="13"/>
      <c r="AY1658" s="13" t="s">
        <v>50</v>
      </c>
    </row>
    <row r="1659" ht="22.5" hidden="1" customHeight="1">
      <c r="A1659" s="16" t="s">
        <v>16615</v>
      </c>
      <c r="B1659" s="17" t="s">
        <v>16606</v>
      </c>
      <c r="C1659" s="17" t="s">
        <v>43</v>
      </c>
      <c r="D1659" s="17" t="s">
        <v>14945</v>
      </c>
      <c r="E1659" s="17" t="s">
        <v>45</v>
      </c>
      <c r="F1659" s="18">
        <v>1.0</v>
      </c>
      <c r="G1659" s="18"/>
      <c r="H1659" s="18"/>
      <c r="I1659" s="18"/>
      <c r="J1659" s="18"/>
      <c r="K1659" s="18"/>
      <c r="L1659" s="18"/>
      <c r="M1659" s="17" t="s">
        <v>50</v>
      </c>
      <c r="N1659" s="17" t="s">
        <v>50</v>
      </c>
      <c r="O1659" s="17" t="s">
        <v>85</v>
      </c>
      <c r="P1659" s="17" t="s">
        <v>86</v>
      </c>
      <c r="Q1659" s="17" t="s">
        <v>87</v>
      </c>
      <c r="R1659" s="17" t="s">
        <v>74</v>
      </c>
      <c r="S1659" s="18">
        <v>120.0</v>
      </c>
      <c r="T1659" s="18">
        <v>65.78</v>
      </c>
      <c r="U1659" s="18" t="s">
        <v>51</v>
      </c>
      <c r="V1659" s="17" t="s">
        <v>50</v>
      </c>
      <c r="W1659" s="17" t="s">
        <v>50</v>
      </c>
      <c r="X1659" s="17" t="s">
        <v>50</v>
      </c>
      <c r="Y1659" s="17" t="s">
        <v>50</v>
      </c>
      <c r="Z1659" s="17" t="s">
        <v>50</v>
      </c>
      <c r="AA1659" s="17" t="s">
        <v>50</v>
      </c>
      <c r="AB1659" s="17" t="s">
        <v>50</v>
      </c>
      <c r="AC1659" s="17" t="s">
        <v>50</v>
      </c>
      <c r="AD1659" s="17" t="s">
        <v>50</v>
      </c>
      <c r="AE1659" s="17" t="s">
        <v>50</v>
      </c>
      <c r="AF1659" s="17" t="s">
        <v>50</v>
      </c>
      <c r="AG1659" s="17" t="s">
        <v>50</v>
      </c>
      <c r="AH1659" s="17" t="s">
        <v>50</v>
      </c>
      <c r="AI1659" s="17" t="s">
        <v>50</v>
      </c>
      <c r="AJ1659" s="17" t="s">
        <v>50</v>
      </c>
      <c r="AK1659" s="17" t="s">
        <v>50</v>
      </c>
      <c r="AL1659" s="17" t="s">
        <v>50</v>
      </c>
      <c r="AM1659" s="17" t="s">
        <v>50</v>
      </c>
      <c r="AN1659" s="17" t="s">
        <v>50</v>
      </c>
      <c r="AO1659" s="18" t="s">
        <v>50</v>
      </c>
      <c r="AP1659" s="17" t="s">
        <v>50</v>
      </c>
      <c r="AQ1659" s="17" t="s">
        <v>50</v>
      </c>
      <c r="AR1659" s="17" t="s">
        <v>50</v>
      </c>
      <c r="AS1659" s="17" t="s">
        <v>50</v>
      </c>
      <c r="AT1659" s="17" t="s">
        <v>50</v>
      </c>
      <c r="AU1659" s="17" t="s">
        <v>50</v>
      </c>
      <c r="AV1659" s="18"/>
      <c r="AW1659" s="17" t="s">
        <v>66</v>
      </c>
      <c r="AX1659" s="17"/>
      <c r="AY1659" s="17" t="s">
        <v>66</v>
      </c>
    </row>
    <row r="1660" ht="22.5" hidden="1" customHeight="1">
      <c r="A1660" s="16" t="s">
        <v>16616</v>
      </c>
      <c r="B1660" s="17" t="s">
        <v>16606</v>
      </c>
      <c r="C1660" s="17" t="s">
        <v>43</v>
      </c>
      <c r="D1660" s="17" t="s">
        <v>14945</v>
      </c>
      <c r="E1660" s="17" t="s">
        <v>45</v>
      </c>
      <c r="F1660" s="18">
        <v>1.0</v>
      </c>
      <c r="G1660" s="18"/>
      <c r="H1660" s="18"/>
      <c r="I1660" s="18"/>
      <c r="J1660" s="18"/>
      <c r="K1660" s="18"/>
      <c r="L1660" s="18"/>
      <c r="M1660" s="17" t="s">
        <v>50</v>
      </c>
      <c r="N1660" s="17" t="s">
        <v>50</v>
      </c>
      <c r="O1660" s="17" t="s">
        <v>16617</v>
      </c>
      <c r="P1660" s="17" t="s">
        <v>16618</v>
      </c>
      <c r="Q1660" s="17" t="s">
        <v>16619</v>
      </c>
      <c r="R1660" s="17" t="s">
        <v>74</v>
      </c>
      <c r="S1660" s="18">
        <v>38.0</v>
      </c>
      <c r="T1660" s="18">
        <v>5.04</v>
      </c>
      <c r="U1660" s="18" t="s">
        <v>51</v>
      </c>
      <c r="V1660" s="17" t="s">
        <v>50</v>
      </c>
      <c r="W1660" s="17" t="s">
        <v>50</v>
      </c>
      <c r="X1660" s="17" t="s">
        <v>50</v>
      </c>
      <c r="Y1660" s="17" t="s">
        <v>50</v>
      </c>
      <c r="Z1660" s="17" t="s">
        <v>50</v>
      </c>
      <c r="AA1660" s="17" t="s">
        <v>50</v>
      </c>
      <c r="AB1660" s="17" t="s">
        <v>50</v>
      </c>
      <c r="AC1660" s="17" t="s">
        <v>50</v>
      </c>
      <c r="AD1660" s="17" t="s">
        <v>50</v>
      </c>
      <c r="AE1660" s="17" t="s">
        <v>50</v>
      </c>
      <c r="AF1660" s="17" t="s">
        <v>50</v>
      </c>
      <c r="AG1660" s="17" t="s">
        <v>50</v>
      </c>
      <c r="AH1660" s="17" t="s">
        <v>50</v>
      </c>
      <c r="AI1660" s="17" t="s">
        <v>50</v>
      </c>
      <c r="AJ1660" s="17" t="s">
        <v>50</v>
      </c>
      <c r="AK1660" s="17" t="s">
        <v>50</v>
      </c>
      <c r="AL1660" s="17" t="s">
        <v>50</v>
      </c>
      <c r="AM1660" s="17" t="s">
        <v>50</v>
      </c>
      <c r="AN1660" s="17" t="s">
        <v>50</v>
      </c>
      <c r="AO1660" s="18" t="s">
        <v>50</v>
      </c>
      <c r="AP1660" s="17" t="s">
        <v>50</v>
      </c>
      <c r="AQ1660" s="17" t="s">
        <v>50</v>
      </c>
      <c r="AR1660" s="17" t="s">
        <v>50</v>
      </c>
      <c r="AS1660" s="17" t="s">
        <v>50</v>
      </c>
      <c r="AT1660" s="17" t="s">
        <v>50</v>
      </c>
      <c r="AU1660" s="17" t="s">
        <v>50</v>
      </c>
      <c r="AV1660" s="18"/>
      <c r="AW1660" s="17" t="s">
        <v>66</v>
      </c>
      <c r="AX1660" s="17"/>
      <c r="AY1660" s="17" t="s">
        <v>66</v>
      </c>
    </row>
    <row r="1661" ht="22.5" hidden="1" customHeight="1">
      <c r="A1661" s="9" t="s">
        <v>16620</v>
      </c>
      <c r="B1661" s="10" t="s">
        <v>16621</v>
      </c>
      <c r="C1661" s="10" t="s">
        <v>69</v>
      </c>
      <c r="D1661" s="10" t="s">
        <v>2283</v>
      </c>
      <c r="E1661" s="10" t="s">
        <v>45</v>
      </c>
      <c r="F1661" s="11">
        <v>2.0</v>
      </c>
      <c r="G1661" s="11">
        <v>87.4</v>
      </c>
      <c r="H1661" s="11"/>
      <c r="I1661" s="11">
        <v>-26.86</v>
      </c>
      <c r="J1661" s="11"/>
      <c r="K1661" s="11">
        <v>-65.78</v>
      </c>
      <c r="L1661" s="11">
        <v>0.0</v>
      </c>
      <c r="M1661" s="10" t="s">
        <v>12218</v>
      </c>
      <c r="N1661" s="10" t="s">
        <v>50</v>
      </c>
      <c r="O1661" s="10" t="s">
        <v>176</v>
      </c>
      <c r="P1661" s="10" t="s">
        <v>177</v>
      </c>
      <c r="Q1661" s="10" t="s">
        <v>178</v>
      </c>
      <c r="R1661" s="10" t="s">
        <v>74</v>
      </c>
      <c r="S1661" s="11">
        <v>43.7</v>
      </c>
      <c r="T1661" s="11"/>
      <c r="U1661" s="11" t="s">
        <v>51</v>
      </c>
      <c r="V1661" s="10" t="s">
        <v>75</v>
      </c>
      <c r="W1661" s="10" t="s">
        <v>16622</v>
      </c>
      <c r="X1661" s="10" t="s">
        <v>16623</v>
      </c>
      <c r="Y1661" s="10" t="s">
        <v>16624</v>
      </c>
      <c r="Z1661" s="10" t="s">
        <v>50</v>
      </c>
      <c r="AA1661" s="10" t="s">
        <v>50</v>
      </c>
      <c r="AB1661" s="10" t="s">
        <v>16622</v>
      </c>
      <c r="AC1661" s="10" t="s">
        <v>16625</v>
      </c>
      <c r="AD1661" s="10" t="s">
        <v>50</v>
      </c>
      <c r="AE1661" s="10" t="s">
        <v>12022</v>
      </c>
      <c r="AF1661" s="10" t="s">
        <v>323</v>
      </c>
      <c r="AG1661" s="10" t="s">
        <v>16626</v>
      </c>
      <c r="AH1661" s="10" t="s">
        <v>60</v>
      </c>
      <c r="AI1661" s="10" t="s">
        <v>13406</v>
      </c>
      <c r="AJ1661" s="10" t="s">
        <v>50</v>
      </c>
      <c r="AK1661" s="10" t="s">
        <v>50</v>
      </c>
      <c r="AL1661" s="10" t="s">
        <v>64</v>
      </c>
      <c r="AM1661" s="10" t="s">
        <v>50</v>
      </c>
      <c r="AN1661" s="10" t="s">
        <v>50</v>
      </c>
      <c r="AO1661" s="11" t="s">
        <v>50</v>
      </c>
      <c r="AP1661" s="10" t="s">
        <v>50</v>
      </c>
      <c r="AQ1661" s="10" t="s">
        <v>50</v>
      </c>
      <c r="AR1661" s="10" t="s">
        <v>50</v>
      </c>
      <c r="AS1661" s="10" t="s">
        <v>50</v>
      </c>
      <c r="AT1661" s="10" t="s">
        <v>50</v>
      </c>
      <c r="AU1661" s="10" t="s">
        <v>50</v>
      </c>
      <c r="AV1661" s="11"/>
      <c r="AW1661" s="10" t="s">
        <v>66</v>
      </c>
      <c r="AX1661" s="10"/>
      <c r="AY1661" s="10" t="s">
        <v>66</v>
      </c>
    </row>
    <row r="1662" ht="22.5" hidden="1" customHeight="1">
      <c r="A1662" s="9" t="s">
        <v>16627</v>
      </c>
      <c r="B1662" s="10" t="s">
        <v>16628</v>
      </c>
      <c r="C1662" s="10" t="s">
        <v>43</v>
      </c>
      <c r="D1662" s="10" t="s">
        <v>14945</v>
      </c>
      <c r="E1662" s="10" t="s">
        <v>45</v>
      </c>
      <c r="F1662" s="11">
        <v>2.0</v>
      </c>
      <c r="G1662" s="11">
        <v>87.4</v>
      </c>
      <c r="H1662" s="11"/>
      <c r="I1662" s="11">
        <v>-26.86</v>
      </c>
      <c r="J1662" s="11"/>
      <c r="K1662" s="11"/>
      <c r="L1662" s="11">
        <v>65.78</v>
      </c>
      <c r="M1662" s="10" t="s">
        <v>12218</v>
      </c>
      <c r="N1662" s="10" t="s">
        <v>50</v>
      </c>
      <c r="O1662" s="10" t="s">
        <v>176</v>
      </c>
      <c r="P1662" s="10" t="s">
        <v>177</v>
      </c>
      <c r="Q1662" s="10" t="s">
        <v>178</v>
      </c>
      <c r="R1662" s="10" t="s">
        <v>74</v>
      </c>
      <c r="S1662" s="11">
        <v>43.7</v>
      </c>
      <c r="T1662" s="11">
        <f>2*22.58</f>
        <v>45.16</v>
      </c>
      <c r="U1662" s="11" t="s">
        <v>51</v>
      </c>
      <c r="V1662" s="10" t="s">
        <v>52</v>
      </c>
      <c r="W1662" s="10" t="s">
        <v>16629</v>
      </c>
      <c r="X1662" s="10" t="s">
        <v>16630</v>
      </c>
      <c r="Y1662" s="10" t="s">
        <v>16631</v>
      </c>
      <c r="Z1662" s="10" t="s">
        <v>50</v>
      </c>
      <c r="AA1662" s="10" t="s">
        <v>50</v>
      </c>
      <c r="AB1662" s="10" t="s">
        <v>16629</v>
      </c>
      <c r="AC1662" s="10" t="s">
        <v>16632</v>
      </c>
      <c r="AD1662" s="10" t="s">
        <v>16633</v>
      </c>
      <c r="AE1662" s="10" t="s">
        <v>58</v>
      </c>
      <c r="AF1662" s="10" t="s">
        <v>58</v>
      </c>
      <c r="AG1662" s="10" t="s">
        <v>16634</v>
      </c>
      <c r="AH1662" s="10" t="s">
        <v>60</v>
      </c>
      <c r="AI1662" s="10" t="s">
        <v>13406</v>
      </c>
      <c r="AJ1662" s="10" t="s">
        <v>15325</v>
      </c>
      <c r="AK1662" s="10" t="s">
        <v>16635</v>
      </c>
      <c r="AL1662" s="10" t="s">
        <v>64</v>
      </c>
      <c r="AM1662" s="10" t="s">
        <v>16636</v>
      </c>
      <c r="AN1662" s="10" t="s">
        <v>50</v>
      </c>
      <c r="AO1662" s="11" t="s">
        <v>50</v>
      </c>
      <c r="AP1662" s="10" t="s">
        <v>50</v>
      </c>
      <c r="AQ1662" s="10" t="s">
        <v>50</v>
      </c>
      <c r="AR1662" s="10" t="s">
        <v>50</v>
      </c>
      <c r="AS1662" s="10" t="s">
        <v>50</v>
      </c>
      <c r="AT1662" s="10" t="s">
        <v>50</v>
      </c>
      <c r="AU1662" s="10" t="s">
        <v>50</v>
      </c>
      <c r="AV1662" s="11"/>
      <c r="AW1662" s="10" t="s">
        <v>66</v>
      </c>
      <c r="AX1662" s="10"/>
      <c r="AY1662" s="10" t="s">
        <v>66</v>
      </c>
    </row>
    <row r="1663" ht="22.5" hidden="1" customHeight="1">
      <c r="A1663" s="9" t="s">
        <v>16637</v>
      </c>
      <c r="B1663" s="10" t="s">
        <v>16638</v>
      </c>
      <c r="C1663" s="10" t="s">
        <v>43</v>
      </c>
      <c r="D1663" s="10" t="s">
        <v>16334</v>
      </c>
      <c r="E1663" s="10" t="s">
        <v>45</v>
      </c>
      <c r="F1663" s="11">
        <v>1.0</v>
      </c>
      <c r="G1663" s="11">
        <v>79.0</v>
      </c>
      <c r="H1663" s="11"/>
      <c r="I1663" s="11">
        <v>-13.43</v>
      </c>
      <c r="J1663" s="11">
        <v>-20.45</v>
      </c>
      <c r="K1663" s="11"/>
      <c r="L1663" s="11">
        <v>45.12</v>
      </c>
      <c r="M1663" s="10" t="s">
        <v>12218</v>
      </c>
      <c r="N1663" s="10" t="s">
        <v>50</v>
      </c>
      <c r="O1663" s="10" t="s">
        <v>160</v>
      </c>
      <c r="P1663" s="10" t="s">
        <v>161</v>
      </c>
      <c r="Q1663" s="10" t="s">
        <v>162</v>
      </c>
      <c r="R1663" s="10" t="s">
        <v>74</v>
      </c>
      <c r="S1663" s="11">
        <v>79.0</v>
      </c>
      <c r="T1663" s="11">
        <v>2.49</v>
      </c>
      <c r="U1663" s="11" t="s">
        <v>51</v>
      </c>
      <c r="V1663" s="10" t="s">
        <v>52</v>
      </c>
      <c r="W1663" s="10" t="s">
        <v>16639</v>
      </c>
      <c r="X1663" s="10" t="s">
        <v>16640</v>
      </c>
      <c r="Y1663" s="10" t="s">
        <v>16641</v>
      </c>
      <c r="Z1663" s="10" t="s">
        <v>50</v>
      </c>
      <c r="AA1663" s="10" t="s">
        <v>50</v>
      </c>
      <c r="AB1663" s="10" t="s">
        <v>16639</v>
      </c>
      <c r="AC1663" s="10" t="s">
        <v>16642</v>
      </c>
      <c r="AD1663" s="10" t="s">
        <v>16643</v>
      </c>
      <c r="AE1663" s="10" t="s">
        <v>151</v>
      </c>
      <c r="AF1663" s="10" t="s">
        <v>151</v>
      </c>
      <c r="AG1663" s="10" t="s">
        <v>16644</v>
      </c>
      <c r="AH1663" s="10" t="s">
        <v>60</v>
      </c>
      <c r="AI1663" s="10" t="s">
        <v>13406</v>
      </c>
      <c r="AJ1663" s="10" t="s">
        <v>16409</v>
      </c>
      <c r="AK1663" s="10" t="s">
        <v>16645</v>
      </c>
      <c r="AL1663" s="10" t="s">
        <v>64</v>
      </c>
      <c r="AM1663" s="10" t="s">
        <v>16646</v>
      </c>
      <c r="AN1663" s="10" t="s">
        <v>50</v>
      </c>
      <c r="AO1663" s="11" t="s">
        <v>50</v>
      </c>
      <c r="AP1663" s="10" t="s">
        <v>50</v>
      </c>
      <c r="AQ1663" s="10" t="s">
        <v>50</v>
      </c>
      <c r="AR1663" s="10" t="s">
        <v>50</v>
      </c>
      <c r="AS1663" s="10" t="s">
        <v>50</v>
      </c>
      <c r="AT1663" s="10" t="s">
        <v>50</v>
      </c>
      <c r="AU1663" s="10" t="s">
        <v>50</v>
      </c>
      <c r="AV1663" s="11"/>
      <c r="AW1663" s="10" t="s">
        <v>66</v>
      </c>
      <c r="AX1663" s="10"/>
      <c r="AY1663" s="10" t="s">
        <v>66</v>
      </c>
    </row>
    <row r="1664" ht="22.5" hidden="1" customHeight="1">
      <c r="A1664" s="9" t="s">
        <v>16647</v>
      </c>
      <c r="B1664" s="10" t="s">
        <v>16638</v>
      </c>
      <c r="C1664" s="10" t="s">
        <v>43</v>
      </c>
      <c r="D1664" s="10" t="s">
        <v>14923</v>
      </c>
      <c r="E1664" s="10" t="s">
        <v>66</v>
      </c>
      <c r="F1664" s="11">
        <v>1.0</v>
      </c>
      <c r="G1664" s="11">
        <v>80.6</v>
      </c>
      <c r="H1664" s="11">
        <v>9.0</v>
      </c>
      <c r="I1664" s="11">
        <v>-13.7</v>
      </c>
      <c r="J1664" s="11">
        <v>-29.45</v>
      </c>
      <c r="K1664" s="11"/>
      <c r="L1664" s="11">
        <v>46.45</v>
      </c>
      <c r="M1664" s="10" t="s">
        <v>12218</v>
      </c>
      <c r="N1664" s="10" t="s">
        <v>45</v>
      </c>
      <c r="O1664" s="10" t="s">
        <v>265</v>
      </c>
      <c r="P1664" s="10" t="s">
        <v>266</v>
      </c>
      <c r="Q1664" s="10" t="s">
        <v>267</v>
      </c>
      <c r="R1664" s="10" t="s">
        <v>74</v>
      </c>
      <c r="S1664" s="11">
        <v>80.6</v>
      </c>
      <c r="T1664" s="11">
        <v>26.22</v>
      </c>
      <c r="U1664" s="11" t="s">
        <v>51</v>
      </c>
      <c r="V1664" s="10" t="s">
        <v>52</v>
      </c>
      <c r="W1664" s="10" t="s">
        <v>16648</v>
      </c>
      <c r="X1664" s="10" t="s">
        <v>16649</v>
      </c>
      <c r="Y1664" s="10" t="s">
        <v>16650</v>
      </c>
      <c r="Z1664" s="10" t="s">
        <v>50</v>
      </c>
      <c r="AA1664" s="10" t="s">
        <v>50</v>
      </c>
      <c r="AB1664" s="10" t="s">
        <v>16648</v>
      </c>
      <c r="AC1664" s="10" t="s">
        <v>16651</v>
      </c>
      <c r="AD1664" s="10" t="s">
        <v>16652</v>
      </c>
      <c r="AE1664" s="10" t="s">
        <v>16653</v>
      </c>
      <c r="AF1664" s="10" t="s">
        <v>201</v>
      </c>
      <c r="AG1664" s="10" t="s">
        <v>16654</v>
      </c>
      <c r="AH1664" s="10" t="s">
        <v>60</v>
      </c>
      <c r="AI1664" s="10" t="s">
        <v>13406</v>
      </c>
      <c r="AJ1664" s="10" t="s">
        <v>15302</v>
      </c>
      <c r="AK1664" s="10" t="s">
        <v>16655</v>
      </c>
      <c r="AL1664" s="10" t="s">
        <v>64</v>
      </c>
      <c r="AM1664" s="10" t="s">
        <v>16656</v>
      </c>
      <c r="AN1664" s="10" t="s">
        <v>50</v>
      </c>
      <c r="AO1664" s="11" t="s">
        <v>50</v>
      </c>
      <c r="AP1664" s="10" t="s">
        <v>50</v>
      </c>
      <c r="AQ1664" s="10" t="s">
        <v>50</v>
      </c>
      <c r="AR1664" s="10" t="s">
        <v>50</v>
      </c>
      <c r="AS1664" s="10" t="s">
        <v>50</v>
      </c>
      <c r="AT1664" s="10" t="s">
        <v>50</v>
      </c>
      <c r="AU1664" s="10" t="s">
        <v>50</v>
      </c>
      <c r="AV1664" s="11"/>
      <c r="AW1664" s="10" t="s">
        <v>66</v>
      </c>
      <c r="AX1664" s="10"/>
      <c r="AY1664" s="10" t="s">
        <v>66</v>
      </c>
    </row>
    <row r="1665" ht="22.5" hidden="1" customHeight="1">
      <c r="A1665" s="12" t="s">
        <v>16657</v>
      </c>
      <c r="B1665" s="13" t="s">
        <v>16658</v>
      </c>
      <c r="C1665" s="13" t="s">
        <v>747</v>
      </c>
      <c r="D1665" s="13" t="s">
        <v>50</v>
      </c>
      <c r="E1665" s="13" t="s">
        <v>50</v>
      </c>
      <c r="F1665" s="14"/>
      <c r="G1665" s="14">
        <v>420.0</v>
      </c>
      <c r="H1665" s="14"/>
      <c r="I1665" s="14">
        <v>-71.4</v>
      </c>
      <c r="J1665" s="14">
        <v>-80.8</v>
      </c>
      <c r="K1665" s="14"/>
      <c r="L1665" s="14">
        <v>293.0</v>
      </c>
      <c r="M1665" s="13" t="s">
        <v>12218</v>
      </c>
      <c r="N1665" s="13" t="s">
        <v>50</v>
      </c>
      <c r="O1665" s="13" t="s">
        <v>50</v>
      </c>
      <c r="P1665" s="13" t="s">
        <v>50</v>
      </c>
      <c r="Q1665" s="13" t="s">
        <v>50</v>
      </c>
      <c r="R1665" s="13" t="s">
        <v>50</v>
      </c>
      <c r="S1665" s="14"/>
      <c r="T1665" s="11">
        <v>2.49</v>
      </c>
      <c r="U1665" s="14" t="s">
        <v>50</v>
      </c>
      <c r="V1665" s="13" t="s">
        <v>52</v>
      </c>
      <c r="W1665" s="13" t="s">
        <v>16659</v>
      </c>
      <c r="X1665" s="13" t="s">
        <v>16660</v>
      </c>
      <c r="Y1665" s="13" t="s">
        <v>16661</v>
      </c>
      <c r="Z1665" s="13" t="s">
        <v>50</v>
      </c>
      <c r="AA1665" s="13" t="s">
        <v>50</v>
      </c>
      <c r="AB1665" s="13" t="s">
        <v>16659</v>
      </c>
      <c r="AC1665" s="13" t="s">
        <v>16662</v>
      </c>
      <c r="AD1665" s="13" t="s">
        <v>16663</v>
      </c>
      <c r="AE1665" s="13" t="s">
        <v>58</v>
      </c>
      <c r="AF1665" s="13" t="s">
        <v>58</v>
      </c>
      <c r="AG1665" s="13" t="s">
        <v>16664</v>
      </c>
      <c r="AH1665" s="13" t="s">
        <v>60</v>
      </c>
      <c r="AI1665" s="13" t="s">
        <v>13406</v>
      </c>
      <c r="AJ1665" s="13" t="s">
        <v>15325</v>
      </c>
      <c r="AK1665" s="13" t="s">
        <v>16665</v>
      </c>
      <c r="AL1665" s="13" t="s">
        <v>64</v>
      </c>
      <c r="AM1665" s="13" t="s">
        <v>16666</v>
      </c>
      <c r="AN1665" s="13" t="s">
        <v>50</v>
      </c>
      <c r="AO1665" s="15" t="s">
        <v>50</v>
      </c>
      <c r="AP1665" s="13" t="s">
        <v>50</v>
      </c>
      <c r="AQ1665" s="13" t="s">
        <v>50</v>
      </c>
      <c r="AR1665" s="13" t="s">
        <v>50</v>
      </c>
      <c r="AS1665" s="13" t="s">
        <v>50</v>
      </c>
      <c r="AT1665" s="13" t="s">
        <v>50</v>
      </c>
      <c r="AU1665" s="13" t="s">
        <v>50</v>
      </c>
      <c r="AV1665" s="15"/>
      <c r="AW1665" s="13" t="s">
        <v>50</v>
      </c>
      <c r="AX1665" s="13"/>
      <c r="AY1665" s="13" t="s">
        <v>50</v>
      </c>
    </row>
    <row r="1666" ht="22.5" hidden="1" customHeight="1">
      <c r="A1666" s="16" t="s">
        <v>16667</v>
      </c>
      <c r="B1666" s="17" t="s">
        <v>16658</v>
      </c>
      <c r="C1666" s="17" t="s">
        <v>43</v>
      </c>
      <c r="D1666" s="17" t="s">
        <v>14945</v>
      </c>
      <c r="E1666" s="17" t="s">
        <v>45</v>
      </c>
      <c r="F1666" s="18">
        <v>2.0</v>
      </c>
      <c r="G1666" s="18"/>
      <c r="H1666" s="18"/>
      <c r="I1666" s="18"/>
      <c r="J1666" s="18"/>
      <c r="K1666" s="18"/>
      <c r="L1666" s="18"/>
      <c r="M1666" s="17" t="s">
        <v>50</v>
      </c>
      <c r="N1666" s="17" t="s">
        <v>45</v>
      </c>
      <c r="O1666" s="17" t="s">
        <v>5094</v>
      </c>
      <c r="P1666" s="17" t="s">
        <v>5095</v>
      </c>
      <c r="Q1666" s="17" t="s">
        <v>5096</v>
      </c>
      <c r="R1666" s="17" t="s">
        <v>74</v>
      </c>
      <c r="S1666" s="18">
        <v>90.0</v>
      </c>
      <c r="T1666" s="18">
        <v>39.99</v>
      </c>
      <c r="U1666" s="18" t="s">
        <v>51</v>
      </c>
      <c r="V1666" s="17" t="s">
        <v>50</v>
      </c>
      <c r="W1666" s="17" t="s">
        <v>50</v>
      </c>
      <c r="X1666" s="17" t="s">
        <v>50</v>
      </c>
      <c r="Y1666" s="17" t="s">
        <v>50</v>
      </c>
      <c r="Z1666" s="17" t="s">
        <v>50</v>
      </c>
      <c r="AA1666" s="17" t="s">
        <v>50</v>
      </c>
      <c r="AB1666" s="17" t="s">
        <v>50</v>
      </c>
      <c r="AC1666" s="17" t="s">
        <v>50</v>
      </c>
      <c r="AD1666" s="17" t="s">
        <v>50</v>
      </c>
      <c r="AE1666" s="17" t="s">
        <v>50</v>
      </c>
      <c r="AF1666" s="17" t="s">
        <v>50</v>
      </c>
      <c r="AG1666" s="17" t="s">
        <v>50</v>
      </c>
      <c r="AH1666" s="17" t="s">
        <v>50</v>
      </c>
      <c r="AI1666" s="17" t="s">
        <v>50</v>
      </c>
      <c r="AJ1666" s="17" t="s">
        <v>50</v>
      </c>
      <c r="AK1666" s="17" t="s">
        <v>50</v>
      </c>
      <c r="AL1666" s="17" t="s">
        <v>50</v>
      </c>
      <c r="AM1666" s="17" t="s">
        <v>50</v>
      </c>
      <c r="AN1666" s="17" t="s">
        <v>50</v>
      </c>
      <c r="AO1666" s="18" t="s">
        <v>50</v>
      </c>
      <c r="AP1666" s="17" t="s">
        <v>50</v>
      </c>
      <c r="AQ1666" s="17" t="s">
        <v>50</v>
      </c>
      <c r="AR1666" s="17" t="s">
        <v>50</v>
      </c>
      <c r="AS1666" s="17" t="s">
        <v>50</v>
      </c>
      <c r="AT1666" s="17" t="s">
        <v>50</v>
      </c>
      <c r="AU1666" s="17" t="s">
        <v>50</v>
      </c>
      <c r="AV1666" s="18"/>
      <c r="AW1666" s="17" t="s">
        <v>66</v>
      </c>
      <c r="AX1666" s="17"/>
      <c r="AY1666" s="17" t="s">
        <v>66</v>
      </c>
    </row>
    <row r="1667" ht="22.5" hidden="1" customHeight="1">
      <c r="A1667" s="20"/>
      <c r="B1667" s="17"/>
      <c r="C1667" s="17"/>
      <c r="D1667" s="17"/>
      <c r="E1667" s="17"/>
      <c r="F1667" s="18"/>
      <c r="G1667" s="18"/>
      <c r="H1667" s="18"/>
      <c r="I1667" s="18"/>
      <c r="J1667" s="18"/>
      <c r="K1667" s="18"/>
      <c r="L1667" s="18"/>
      <c r="M1667" s="17"/>
      <c r="N1667" s="17"/>
      <c r="O1667" s="17"/>
      <c r="P1667" s="17"/>
      <c r="Q1667" s="17"/>
      <c r="R1667" s="17"/>
      <c r="S1667" s="18"/>
      <c r="T1667" s="21"/>
      <c r="U1667" s="18"/>
      <c r="V1667" s="17"/>
      <c r="W1667" s="17"/>
      <c r="X1667" s="17"/>
      <c r="Y1667" s="17"/>
      <c r="Z1667" s="17"/>
      <c r="AA1667" s="17"/>
      <c r="AB1667" s="17"/>
      <c r="AC1667" s="17"/>
      <c r="AD1667" s="17"/>
      <c r="AE1667" s="17"/>
      <c r="AF1667" s="17"/>
      <c r="AG1667" s="17"/>
      <c r="AH1667" s="17"/>
      <c r="AI1667" s="17"/>
      <c r="AJ1667" s="17"/>
      <c r="AK1667" s="17"/>
      <c r="AL1667" s="17"/>
      <c r="AM1667" s="17"/>
      <c r="AN1667" s="17"/>
      <c r="AO1667" s="18"/>
      <c r="AP1667" s="17"/>
      <c r="AQ1667" s="17"/>
      <c r="AR1667" s="17"/>
      <c r="AS1667" s="17"/>
      <c r="AT1667" s="17"/>
      <c r="AU1667" s="17"/>
      <c r="AV1667" s="18"/>
      <c r="AW1667" s="17"/>
      <c r="AX1667" s="17"/>
      <c r="AY1667" s="17"/>
    </row>
    <row r="1668" ht="22.5" hidden="1" customHeight="1">
      <c r="A1668" s="16" t="s">
        <v>16668</v>
      </c>
      <c r="B1668" s="17" t="s">
        <v>16658</v>
      </c>
      <c r="C1668" s="17" t="s">
        <v>43</v>
      </c>
      <c r="D1668" s="17" t="s">
        <v>14945</v>
      </c>
      <c r="E1668" s="17" t="s">
        <v>45</v>
      </c>
      <c r="F1668" s="18">
        <v>2.0</v>
      </c>
      <c r="G1668" s="18"/>
      <c r="H1668" s="18"/>
      <c r="I1668" s="18"/>
      <c r="J1668" s="18"/>
      <c r="K1668" s="18"/>
      <c r="L1668" s="18"/>
      <c r="M1668" s="17" t="s">
        <v>50</v>
      </c>
      <c r="N1668" s="17" t="s">
        <v>45</v>
      </c>
      <c r="O1668" s="17" t="s">
        <v>85</v>
      </c>
      <c r="P1668" s="17" t="s">
        <v>86</v>
      </c>
      <c r="Q1668" s="17" t="s">
        <v>87</v>
      </c>
      <c r="R1668" s="17" t="s">
        <v>74</v>
      </c>
      <c r="S1668" s="18">
        <v>120.0</v>
      </c>
      <c r="T1668" s="11">
        <f>2*65.78</f>
        <v>131.56</v>
      </c>
      <c r="U1668" s="18" t="s">
        <v>51</v>
      </c>
      <c r="V1668" s="17" t="s">
        <v>50</v>
      </c>
      <c r="W1668" s="17" t="s">
        <v>50</v>
      </c>
      <c r="X1668" s="17" t="s">
        <v>50</v>
      </c>
      <c r="Y1668" s="17" t="s">
        <v>50</v>
      </c>
      <c r="Z1668" s="17" t="s">
        <v>50</v>
      </c>
      <c r="AA1668" s="17" t="s">
        <v>50</v>
      </c>
      <c r="AB1668" s="17" t="s">
        <v>50</v>
      </c>
      <c r="AC1668" s="17" t="s">
        <v>50</v>
      </c>
      <c r="AD1668" s="17" t="s">
        <v>50</v>
      </c>
      <c r="AE1668" s="17" t="s">
        <v>50</v>
      </c>
      <c r="AF1668" s="17" t="s">
        <v>50</v>
      </c>
      <c r="AG1668" s="17" t="s">
        <v>50</v>
      </c>
      <c r="AH1668" s="17" t="s">
        <v>50</v>
      </c>
      <c r="AI1668" s="17" t="s">
        <v>50</v>
      </c>
      <c r="AJ1668" s="17" t="s">
        <v>50</v>
      </c>
      <c r="AK1668" s="17" t="s">
        <v>50</v>
      </c>
      <c r="AL1668" s="17" t="s">
        <v>50</v>
      </c>
      <c r="AM1668" s="17" t="s">
        <v>50</v>
      </c>
      <c r="AN1668" s="17" t="s">
        <v>50</v>
      </c>
      <c r="AO1668" s="18" t="s">
        <v>50</v>
      </c>
      <c r="AP1668" s="17" t="s">
        <v>50</v>
      </c>
      <c r="AQ1668" s="17" t="s">
        <v>50</v>
      </c>
      <c r="AR1668" s="17" t="s">
        <v>50</v>
      </c>
      <c r="AS1668" s="17" t="s">
        <v>50</v>
      </c>
      <c r="AT1668" s="17" t="s">
        <v>50</v>
      </c>
      <c r="AU1668" s="17" t="s">
        <v>50</v>
      </c>
      <c r="AV1668" s="18"/>
      <c r="AW1668" s="17" t="s">
        <v>66</v>
      </c>
      <c r="AX1668" s="17"/>
      <c r="AY1668" s="17" t="s">
        <v>66</v>
      </c>
    </row>
    <row r="1669" ht="22.5" hidden="1" customHeight="1">
      <c r="A1669" s="9" t="s">
        <v>16669</v>
      </c>
      <c r="B1669" s="10" t="s">
        <v>16670</v>
      </c>
      <c r="C1669" s="10" t="s">
        <v>43</v>
      </c>
      <c r="D1669" s="10" t="s">
        <v>14923</v>
      </c>
      <c r="E1669" s="10" t="s">
        <v>66</v>
      </c>
      <c r="F1669" s="11">
        <v>1.0</v>
      </c>
      <c r="G1669" s="11">
        <v>79.0</v>
      </c>
      <c r="H1669" s="11">
        <v>27.13</v>
      </c>
      <c r="I1669" s="11">
        <v>-13.43</v>
      </c>
      <c r="J1669" s="11">
        <v>-47.58</v>
      </c>
      <c r="K1669" s="11"/>
      <c r="L1669" s="11">
        <v>45.12</v>
      </c>
      <c r="M1669" s="10" t="s">
        <v>12218</v>
      </c>
      <c r="N1669" s="10" t="s">
        <v>50</v>
      </c>
      <c r="O1669" s="10" t="s">
        <v>160</v>
      </c>
      <c r="P1669" s="10" t="s">
        <v>161</v>
      </c>
      <c r="Q1669" s="10" t="s">
        <v>162</v>
      </c>
      <c r="R1669" s="10" t="s">
        <v>74</v>
      </c>
      <c r="S1669" s="11">
        <v>79.0</v>
      </c>
      <c r="T1669" s="11"/>
      <c r="U1669" s="11" t="s">
        <v>51</v>
      </c>
      <c r="V1669" s="10" t="s">
        <v>52</v>
      </c>
      <c r="W1669" s="10" t="s">
        <v>16671</v>
      </c>
      <c r="X1669" s="10" t="s">
        <v>16672</v>
      </c>
      <c r="Y1669" s="10" t="s">
        <v>16673</v>
      </c>
      <c r="Z1669" s="10" t="s">
        <v>50</v>
      </c>
      <c r="AA1669" s="10" t="s">
        <v>50</v>
      </c>
      <c r="AB1669" s="10" t="s">
        <v>16671</v>
      </c>
      <c r="AC1669" s="10" t="s">
        <v>16674</v>
      </c>
      <c r="AD1669" s="10" t="s">
        <v>16675</v>
      </c>
      <c r="AE1669" s="10" t="s">
        <v>273</v>
      </c>
      <c r="AF1669" s="10" t="s">
        <v>169</v>
      </c>
      <c r="AG1669" s="10" t="s">
        <v>16676</v>
      </c>
      <c r="AH1669" s="10" t="s">
        <v>60</v>
      </c>
      <c r="AI1669" s="10" t="s">
        <v>13406</v>
      </c>
      <c r="AJ1669" s="10" t="s">
        <v>16388</v>
      </c>
      <c r="AK1669" s="10" t="s">
        <v>16677</v>
      </c>
      <c r="AL1669" s="10" t="s">
        <v>64</v>
      </c>
      <c r="AM1669" s="10" t="s">
        <v>16678</v>
      </c>
      <c r="AN1669" s="10" t="s">
        <v>50</v>
      </c>
      <c r="AO1669" s="11" t="s">
        <v>50</v>
      </c>
      <c r="AP1669" s="10" t="s">
        <v>50</v>
      </c>
      <c r="AQ1669" s="10" t="s">
        <v>50</v>
      </c>
      <c r="AR1669" s="10" t="s">
        <v>50</v>
      </c>
      <c r="AS1669" s="10" t="s">
        <v>50</v>
      </c>
      <c r="AT1669" s="10" t="s">
        <v>50</v>
      </c>
      <c r="AU1669" s="10" t="s">
        <v>50</v>
      </c>
      <c r="AV1669" s="11"/>
      <c r="AW1669" s="10" t="s">
        <v>66</v>
      </c>
      <c r="AX1669" s="10"/>
      <c r="AY1669" s="10" t="s">
        <v>66</v>
      </c>
    </row>
    <row r="1670" ht="22.5" hidden="1" customHeight="1">
      <c r="A1670" s="9" t="s">
        <v>16679</v>
      </c>
      <c r="B1670" s="10" t="s">
        <v>16680</v>
      </c>
      <c r="C1670" s="10" t="s">
        <v>43</v>
      </c>
      <c r="D1670" s="10" t="s">
        <v>14945</v>
      </c>
      <c r="E1670" s="10" t="s">
        <v>66</v>
      </c>
      <c r="F1670" s="11">
        <v>1.0</v>
      </c>
      <c r="G1670" s="11">
        <v>120.0</v>
      </c>
      <c r="H1670" s="11"/>
      <c r="I1670" s="11">
        <v>-20.4</v>
      </c>
      <c r="J1670" s="11">
        <v>-19.95</v>
      </c>
      <c r="K1670" s="11"/>
      <c r="L1670" s="11">
        <v>86.85</v>
      </c>
      <c r="M1670" s="10" t="s">
        <v>12218</v>
      </c>
      <c r="N1670" s="10" t="s">
        <v>45</v>
      </c>
      <c r="O1670" s="10" t="s">
        <v>85</v>
      </c>
      <c r="P1670" s="10" t="s">
        <v>86</v>
      </c>
      <c r="Q1670" s="10" t="s">
        <v>87</v>
      </c>
      <c r="R1670" s="10" t="s">
        <v>74</v>
      </c>
      <c r="S1670" s="11">
        <v>120.0</v>
      </c>
      <c r="T1670" s="11">
        <v>65.78</v>
      </c>
      <c r="U1670" s="11" t="s">
        <v>51</v>
      </c>
      <c r="V1670" s="10" t="s">
        <v>52</v>
      </c>
      <c r="W1670" s="10" t="s">
        <v>16681</v>
      </c>
      <c r="X1670" s="10" t="s">
        <v>16682</v>
      </c>
      <c r="Y1670" s="10" t="s">
        <v>16683</v>
      </c>
      <c r="Z1670" s="10" t="s">
        <v>50</v>
      </c>
      <c r="AA1670" s="10" t="s">
        <v>50</v>
      </c>
      <c r="AB1670" s="10" t="s">
        <v>16681</v>
      </c>
      <c r="AC1670" s="10" t="s">
        <v>16684</v>
      </c>
      <c r="AD1670" s="10" t="s">
        <v>16685</v>
      </c>
      <c r="AE1670" s="10" t="s">
        <v>16686</v>
      </c>
      <c r="AF1670" s="10" t="s">
        <v>58</v>
      </c>
      <c r="AG1670" s="10" t="s">
        <v>16687</v>
      </c>
      <c r="AH1670" s="10" t="s">
        <v>60</v>
      </c>
      <c r="AI1670" s="10" t="s">
        <v>13406</v>
      </c>
      <c r="AJ1670" s="10" t="s">
        <v>16368</v>
      </c>
      <c r="AK1670" s="10" t="s">
        <v>16688</v>
      </c>
      <c r="AL1670" s="10" t="s">
        <v>64</v>
      </c>
      <c r="AM1670" s="10" t="s">
        <v>16689</v>
      </c>
      <c r="AN1670" s="10" t="s">
        <v>50</v>
      </c>
      <c r="AO1670" s="11" t="s">
        <v>50</v>
      </c>
      <c r="AP1670" s="10" t="s">
        <v>50</v>
      </c>
      <c r="AQ1670" s="10" t="s">
        <v>50</v>
      </c>
      <c r="AR1670" s="10" t="s">
        <v>50</v>
      </c>
      <c r="AS1670" s="10" t="s">
        <v>50</v>
      </c>
      <c r="AT1670" s="10" t="s">
        <v>50</v>
      </c>
      <c r="AU1670" s="10" t="s">
        <v>50</v>
      </c>
      <c r="AV1670" s="11"/>
      <c r="AW1670" s="10" t="s">
        <v>66</v>
      </c>
      <c r="AX1670" s="10"/>
      <c r="AY1670" s="10" t="s">
        <v>66</v>
      </c>
    </row>
    <row r="1671" ht="22.5" hidden="1" customHeight="1">
      <c r="A1671" s="9" t="s">
        <v>16690</v>
      </c>
      <c r="B1671" s="10" t="s">
        <v>16691</v>
      </c>
      <c r="C1671" s="10" t="s">
        <v>43</v>
      </c>
      <c r="D1671" s="10" t="s">
        <v>14945</v>
      </c>
      <c r="E1671" s="10" t="s">
        <v>66</v>
      </c>
      <c r="F1671" s="11">
        <v>1.0</v>
      </c>
      <c r="G1671" s="11">
        <v>79.0</v>
      </c>
      <c r="H1671" s="11"/>
      <c r="I1671" s="11">
        <v>-13.43</v>
      </c>
      <c r="J1671" s="11">
        <v>-19.95</v>
      </c>
      <c r="K1671" s="11"/>
      <c r="L1671" s="11">
        <v>45.62</v>
      </c>
      <c r="M1671" s="10" t="s">
        <v>12218</v>
      </c>
      <c r="N1671" s="10" t="s">
        <v>50</v>
      </c>
      <c r="O1671" s="10" t="s">
        <v>1668</v>
      </c>
      <c r="P1671" s="10" t="s">
        <v>1669</v>
      </c>
      <c r="Q1671" s="10" t="s">
        <v>1670</v>
      </c>
      <c r="R1671" s="10" t="s">
        <v>74</v>
      </c>
      <c r="S1671" s="11">
        <v>79.0</v>
      </c>
      <c r="T1671" s="11">
        <v>3.12</v>
      </c>
      <c r="U1671" s="11" t="s">
        <v>51</v>
      </c>
      <c r="V1671" s="10" t="s">
        <v>52</v>
      </c>
      <c r="W1671" s="10" t="s">
        <v>16692</v>
      </c>
      <c r="X1671" s="10" t="s">
        <v>16693</v>
      </c>
      <c r="Y1671" s="10" t="s">
        <v>16694</v>
      </c>
      <c r="Z1671" s="10" t="s">
        <v>50</v>
      </c>
      <c r="AA1671" s="10" t="s">
        <v>50</v>
      </c>
      <c r="AB1671" s="10" t="s">
        <v>16692</v>
      </c>
      <c r="AC1671" s="10" t="s">
        <v>16695</v>
      </c>
      <c r="AD1671" s="10" t="s">
        <v>16696</v>
      </c>
      <c r="AE1671" s="10" t="s">
        <v>8499</v>
      </c>
      <c r="AF1671" s="10" t="s">
        <v>323</v>
      </c>
      <c r="AG1671" s="10" t="s">
        <v>16697</v>
      </c>
      <c r="AH1671" s="10" t="s">
        <v>60</v>
      </c>
      <c r="AI1671" s="10" t="s">
        <v>13406</v>
      </c>
      <c r="AJ1671" s="10" t="s">
        <v>16698</v>
      </c>
      <c r="AK1671" s="10" t="s">
        <v>16699</v>
      </c>
      <c r="AL1671" s="10" t="s">
        <v>64</v>
      </c>
      <c r="AM1671" s="10" t="s">
        <v>16700</v>
      </c>
      <c r="AN1671" s="10" t="s">
        <v>50</v>
      </c>
      <c r="AO1671" s="11" t="s">
        <v>50</v>
      </c>
      <c r="AP1671" s="10" t="s">
        <v>50</v>
      </c>
      <c r="AQ1671" s="10" t="s">
        <v>50</v>
      </c>
      <c r="AR1671" s="10" t="s">
        <v>50</v>
      </c>
      <c r="AS1671" s="10" t="s">
        <v>50</v>
      </c>
      <c r="AT1671" s="10" t="s">
        <v>50</v>
      </c>
      <c r="AU1671" s="10" t="s">
        <v>50</v>
      </c>
      <c r="AV1671" s="11"/>
      <c r="AW1671" s="10" t="s">
        <v>66</v>
      </c>
      <c r="AX1671" s="10"/>
      <c r="AY1671" s="10" t="s">
        <v>66</v>
      </c>
    </row>
    <row r="1672" ht="22.5" hidden="1" customHeight="1">
      <c r="A1672" s="9" t="s">
        <v>16701</v>
      </c>
      <c r="B1672" s="10" t="s">
        <v>16702</v>
      </c>
      <c r="C1672" s="10" t="s">
        <v>69</v>
      </c>
      <c r="D1672" s="10" t="s">
        <v>2283</v>
      </c>
      <c r="E1672" s="10" t="s">
        <v>66</v>
      </c>
      <c r="F1672" s="11">
        <v>1.0</v>
      </c>
      <c r="G1672" s="11">
        <v>80.0</v>
      </c>
      <c r="H1672" s="11"/>
      <c r="I1672" s="11">
        <v>-13.6</v>
      </c>
      <c r="J1672" s="11">
        <v>-19.95</v>
      </c>
      <c r="K1672" s="11">
        <v>-50.45</v>
      </c>
      <c r="L1672" s="11">
        <v>0.0</v>
      </c>
      <c r="M1672" s="10" t="s">
        <v>12218</v>
      </c>
      <c r="N1672" s="10" t="s">
        <v>50</v>
      </c>
      <c r="O1672" s="10" t="s">
        <v>143</v>
      </c>
      <c r="P1672" s="10" t="s">
        <v>144</v>
      </c>
      <c r="Q1672" s="10" t="s">
        <v>145</v>
      </c>
      <c r="R1672" s="10" t="s">
        <v>74</v>
      </c>
      <c r="S1672" s="11">
        <v>80.0</v>
      </c>
      <c r="T1672" s="11"/>
      <c r="U1672" s="11" t="s">
        <v>51</v>
      </c>
      <c r="V1672" s="10" t="s">
        <v>2284</v>
      </c>
      <c r="W1672" s="10" t="s">
        <v>16703</v>
      </c>
      <c r="X1672" s="10" t="s">
        <v>16704</v>
      </c>
      <c r="Y1672" s="10" t="s">
        <v>16705</v>
      </c>
      <c r="Z1672" s="10" t="s">
        <v>50</v>
      </c>
      <c r="AA1672" s="10" t="s">
        <v>50</v>
      </c>
      <c r="AB1672" s="10" t="s">
        <v>16703</v>
      </c>
      <c r="AC1672" s="10" t="s">
        <v>16706</v>
      </c>
      <c r="AD1672" s="10" t="s">
        <v>50</v>
      </c>
      <c r="AE1672" s="10" t="s">
        <v>16707</v>
      </c>
      <c r="AF1672" s="10" t="s">
        <v>58</v>
      </c>
      <c r="AG1672" s="10" t="s">
        <v>16708</v>
      </c>
      <c r="AH1672" s="10" t="s">
        <v>60</v>
      </c>
      <c r="AI1672" s="10" t="s">
        <v>13406</v>
      </c>
      <c r="AJ1672" s="10" t="s">
        <v>50</v>
      </c>
      <c r="AK1672" s="10" t="s">
        <v>50</v>
      </c>
      <c r="AL1672" s="10" t="s">
        <v>64</v>
      </c>
      <c r="AM1672" s="10" t="s">
        <v>16709</v>
      </c>
      <c r="AN1672" s="10" t="s">
        <v>50</v>
      </c>
      <c r="AO1672" s="11" t="s">
        <v>50</v>
      </c>
      <c r="AP1672" s="10" t="s">
        <v>50</v>
      </c>
      <c r="AQ1672" s="10" t="s">
        <v>50</v>
      </c>
      <c r="AR1672" s="10" t="s">
        <v>50</v>
      </c>
      <c r="AS1672" s="10" t="s">
        <v>50</v>
      </c>
      <c r="AT1672" s="10" t="s">
        <v>50</v>
      </c>
      <c r="AU1672" s="10" t="s">
        <v>50</v>
      </c>
      <c r="AV1672" s="11"/>
      <c r="AW1672" s="10" t="s">
        <v>66</v>
      </c>
      <c r="AX1672" s="10"/>
      <c r="AY1672" s="10" t="s">
        <v>66</v>
      </c>
    </row>
    <row r="1673" ht="22.5" hidden="1" customHeight="1">
      <c r="A1673" s="9" t="s">
        <v>16710</v>
      </c>
      <c r="B1673" s="10" t="s">
        <v>16711</v>
      </c>
      <c r="C1673" s="10" t="s">
        <v>43</v>
      </c>
      <c r="D1673" s="10" t="s">
        <v>14945</v>
      </c>
      <c r="E1673" s="10" t="s">
        <v>66</v>
      </c>
      <c r="F1673" s="11">
        <v>1.0</v>
      </c>
      <c r="G1673" s="11">
        <v>120.0</v>
      </c>
      <c r="H1673" s="11"/>
      <c r="I1673" s="11">
        <v>-20.4</v>
      </c>
      <c r="J1673" s="11">
        <v>-19.95</v>
      </c>
      <c r="K1673" s="11"/>
      <c r="L1673" s="11">
        <v>86.85</v>
      </c>
      <c r="M1673" s="10" t="s">
        <v>12218</v>
      </c>
      <c r="N1673" s="10" t="s">
        <v>45</v>
      </c>
      <c r="O1673" s="10" t="s">
        <v>85</v>
      </c>
      <c r="P1673" s="10" t="s">
        <v>86</v>
      </c>
      <c r="Q1673" s="10" t="s">
        <v>87</v>
      </c>
      <c r="R1673" s="10" t="s">
        <v>74</v>
      </c>
      <c r="S1673" s="11">
        <v>120.0</v>
      </c>
      <c r="T1673" s="11">
        <v>65.78</v>
      </c>
      <c r="U1673" s="11" t="s">
        <v>51</v>
      </c>
      <c r="V1673" s="10" t="s">
        <v>52</v>
      </c>
      <c r="W1673" s="10" t="s">
        <v>16712</v>
      </c>
      <c r="X1673" s="10" t="s">
        <v>16713</v>
      </c>
      <c r="Y1673" s="10" t="s">
        <v>16714</v>
      </c>
      <c r="Z1673" s="10" t="s">
        <v>50</v>
      </c>
      <c r="AA1673" s="10" t="s">
        <v>50</v>
      </c>
      <c r="AB1673" s="10" t="s">
        <v>16712</v>
      </c>
      <c r="AC1673" s="10" t="s">
        <v>16715</v>
      </c>
      <c r="AD1673" s="10" t="s">
        <v>16716</v>
      </c>
      <c r="AE1673" s="10" t="s">
        <v>492</v>
      </c>
      <c r="AF1673" s="10" t="s">
        <v>58</v>
      </c>
      <c r="AG1673" s="10" t="s">
        <v>16717</v>
      </c>
      <c r="AH1673" s="10" t="s">
        <v>60</v>
      </c>
      <c r="AI1673" s="10" t="s">
        <v>13406</v>
      </c>
      <c r="AJ1673" s="10" t="s">
        <v>15325</v>
      </c>
      <c r="AK1673" s="10" t="s">
        <v>16718</v>
      </c>
      <c r="AL1673" s="10" t="s">
        <v>64</v>
      </c>
      <c r="AM1673" s="10" t="s">
        <v>16719</v>
      </c>
      <c r="AN1673" s="10" t="s">
        <v>50</v>
      </c>
      <c r="AO1673" s="11" t="s">
        <v>50</v>
      </c>
      <c r="AP1673" s="10" t="s">
        <v>50</v>
      </c>
      <c r="AQ1673" s="10" t="s">
        <v>50</v>
      </c>
      <c r="AR1673" s="10" t="s">
        <v>50</v>
      </c>
      <c r="AS1673" s="10" t="s">
        <v>50</v>
      </c>
      <c r="AT1673" s="10" t="s">
        <v>50</v>
      </c>
      <c r="AU1673" s="10" t="s">
        <v>50</v>
      </c>
      <c r="AV1673" s="11"/>
      <c r="AW1673" s="10" t="s">
        <v>66</v>
      </c>
      <c r="AX1673" s="10"/>
      <c r="AY1673" s="10" t="s">
        <v>66</v>
      </c>
    </row>
    <row r="1674" ht="22.5" hidden="1" customHeight="1">
      <c r="A1674" s="9" t="s">
        <v>16720</v>
      </c>
      <c r="B1674" s="10" t="s">
        <v>16721</v>
      </c>
      <c r="C1674" s="10" t="s">
        <v>43</v>
      </c>
      <c r="D1674" s="10" t="s">
        <v>14945</v>
      </c>
      <c r="E1674" s="10" t="s">
        <v>45</v>
      </c>
      <c r="F1674" s="11">
        <v>1.0</v>
      </c>
      <c r="G1674" s="11">
        <v>80.3</v>
      </c>
      <c r="H1674" s="11"/>
      <c r="I1674" s="11">
        <v>-13.65</v>
      </c>
      <c r="J1674" s="11">
        <v>-20.45</v>
      </c>
      <c r="K1674" s="11"/>
      <c r="L1674" s="11">
        <v>46.2</v>
      </c>
      <c r="M1674" s="10" t="s">
        <v>12218</v>
      </c>
      <c r="N1674" s="10" t="s">
        <v>45</v>
      </c>
      <c r="O1674" s="10" t="s">
        <v>127</v>
      </c>
      <c r="P1674" s="10" t="s">
        <v>128</v>
      </c>
      <c r="Q1674" s="10" t="s">
        <v>129</v>
      </c>
      <c r="R1674" s="10" t="s">
        <v>74</v>
      </c>
      <c r="S1674" s="11">
        <v>80.3</v>
      </c>
      <c r="T1674" s="11">
        <v>17.68</v>
      </c>
      <c r="U1674" s="11" t="s">
        <v>51</v>
      </c>
      <c r="V1674" s="10" t="s">
        <v>52</v>
      </c>
      <c r="W1674" s="10" t="s">
        <v>16722</v>
      </c>
      <c r="X1674" s="10" t="s">
        <v>16723</v>
      </c>
      <c r="Y1674" s="10" t="s">
        <v>16724</v>
      </c>
      <c r="Z1674" s="10" t="s">
        <v>50</v>
      </c>
      <c r="AA1674" s="10" t="s">
        <v>50</v>
      </c>
      <c r="AB1674" s="10" t="s">
        <v>16722</v>
      </c>
      <c r="AC1674" s="10" t="s">
        <v>16725</v>
      </c>
      <c r="AD1674" s="10" t="s">
        <v>16726</v>
      </c>
      <c r="AE1674" s="10" t="s">
        <v>16727</v>
      </c>
      <c r="AF1674" s="10" t="s">
        <v>119</v>
      </c>
      <c r="AG1674" s="10" t="s">
        <v>16728</v>
      </c>
      <c r="AH1674" s="10" t="s">
        <v>60</v>
      </c>
      <c r="AI1674" s="10" t="s">
        <v>13406</v>
      </c>
      <c r="AJ1674" s="10" t="s">
        <v>15291</v>
      </c>
      <c r="AK1674" s="10" t="s">
        <v>16729</v>
      </c>
      <c r="AL1674" s="10" t="s">
        <v>64</v>
      </c>
      <c r="AM1674" s="10" t="s">
        <v>16730</v>
      </c>
      <c r="AN1674" s="10" t="s">
        <v>50</v>
      </c>
      <c r="AO1674" s="11" t="s">
        <v>50</v>
      </c>
      <c r="AP1674" s="10" t="s">
        <v>50</v>
      </c>
      <c r="AQ1674" s="10" t="s">
        <v>50</v>
      </c>
      <c r="AR1674" s="10" t="s">
        <v>50</v>
      </c>
      <c r="AS1674" s="10" t="s">
        <v>50</v>
      </c>
      <c r="AT1674" s="10" t="s">
        <v>50</v>
      </c>
      <c r="AU1674" s="10" t="s">
        <v>50</v>
      </c>
      <c r="AV1674" s="11"/>
      <c r="AW1674" s="10" t="s">
        <v>66</v>
      </c>
      <c r="AX1674" s="10"/>
      <c r="AY1674" s="10" t="s">
        <v>66</v>
      </c>
    </row>
    <row r="1675" ht="22.5" hidden="1" customHeight="1">
      <c r="A1675" s="9" t="s">
        <v>16731</v>
      </c>
      <c r="B1675" s="10" t="s">
        <v>16732</v>
      </c>
      <c r="C1675" s="10" t="s">
        <v>43</v>
      </c>
      <c r="D1675" s="10" t="s">
        <v>14923</v>
      </c>
      <c r="E1675" s="10" t="s">
        <v>66</v>
      </c>
      <c r="F1675" s="11">
        <v>1.0</v>
      </c>
      <c r="G1675" s="11">
        <v>120.0</v>
      </c>
      <c r="H1675" s="11"/>
      <c r="I1675" s="11">
        <v>-20.4</v>
      </c>
      <c r="J1675" s="11">
        <v>-19.95</v>
      </c>
      <c r="K1675" s="11"/>
      <c r="L1675" s="11">
        <v>86.85</v>
      </c>
      <c r="M1675" s="10" t="s">
        <v>12218</v>
      </c>
      <c r="N1675" s="10" t="s">
        <v>45</v>
      </c>
      <c r="O1675" s="10" t="s">
        <v>85</v>
      </c>
      <c r="P1675" s="10" t="s">
        <v>86</v>
      </c>
      <c r="Q1675" s="10" t="s">
        <v>87</v>
      </c>
      <c r="R1675" s="10" t="s">
        <v>74</v>
      </c>
      <c r="S1675" s="11">
        <v>120.0</v>
      </c>
      <c r="T1675" s="11">
        <v>65.78</v>
      </c>
      <c r="U1675" s="11" t="s">
        <v>51</v>
      </c>
      <c r="V1675" s="10" t="s">
        <v>52</v>
      </c>
      <c r="W1675" s="10" t="s">
        <v>16733</v>
      </c>
      <c r="X1675" s="10" t="s">
        <v>16734</v>
      </c>
      <c r="Y1675" s="10" t="s">
        <v>16735</v>
      </c>
      <c r="Z1675" s="10" t="s">
        <v>50</v>
      </c>
      <c r="AA1675" s="10" t="s">
        <v>50</v>
      </c>
      <c r="AB1675" s="10" t="s">
        <v>16733</v>
      </c>
      <c r="AC1675" s="10" t="s">
        <v>16736</v>
      </c>
      <c r="AD1675" s="10" t="s">
        <v>16737</v>
      </c>
      <c r="AE1675" s="10" t="s">
        <v>492</v>
      </c>
      <c r="AF1675" s="10" t="s">
        <v>58</v>
      </c>
      <c r="AG1675" s="10" t="s">
        <v>16738</v>
      </c>
      <c r="AH1675" s="10" t="s">
        <v>60</v>
      </c>
      <c r="AI1675" s="10" t="s">
        <v>13406</v>
      </c>
      <c r="AJ1675" s="10" t="s">
        <v>15325</v>
      </c>
      <c r="AK1675" s="10" t="s">
        <v>16739</v>
      </c>
      <c r="AL1675" s="10" t="s">
        <v>64</v>
      </c>
      <c r="AM1675" s="10" t="s">
        <v>16740</v>
      </c>
      <c r="AN1675" s="10" t="s">
        <v>16741</v>
      </c>
      <c r="AO1675" s="11" t="s">
        <v>50</v>
      </c>
      <c r="AP1675" s="10" t="s">
        <v>50</v>
      </c>
      <c r="AQ1675" s="10" t="s">
        <v>50</v>
      </c>
      <c r="AR1675" s="10" t="s">
        <v>50</v>
      </c>
      <c r="AS1675" s="10" t="s">
        <v>50</v>
      </c>
      <c r="AT1675" s="10" t="s">
        <v>50</v>
      </c>
      <c r="AU1675" s="10" t="s">
        <v>50</v>
      </c>
      <c r="AV1675" s="11"/>
      <c r="AW1675" s="10" t="s">
        <v>66</v>
      </c>
      <c r="AX1675" s="10"/>
      <c r="AY1675" s="10" t="s">
        <v>66</v>
      </c>
    </row>
    <row r="1676" ht="22.5" hidden="1" customHeight="1">
      <c r="A1676" s="12" t="s">
        <v>16742</v>
      </c>
      <c r="B1676" s="13" t="s">
        <v>16743</v>
      </c>
      <c r="C1676" s="13" t="s">
        <v>747</v>
      </c>
      <c r="D1676" s="13" t="s">
        <v>50</v>
      </c>
      <c r="E1676" s="13" t="s">
        <v>50</v>
      </c>
      <c r="F1676" s="14"/>
      <c r="G1676" s="14">
        <v>90.25</v>
      </c>
      <c r="H1676" s="14"/>
      <c r="I1676" s="14">
        <v>-27.34</v>
      </c>
      <c r="J1676" s="14"/>
      <c r="K1676" s="14"/>
      <c r="L1676" s="14">
        <v>68.32</v>
      </c>
      <c r="M1676" s="13" t="s">
        <v>12218</v>
      </c>
      <c r="N1676" s="13" t="s">
        <v>50</v>
      </c>
      <c r="O1676" s="13" t="s">
        <v>50</v>
      </c>
      <c r="P1676" s="13" t="s">
        <v>50</v>
      </c>
      <c r="Q1676" s="13" t="s">
        <v>50</v>
      </c>
      <c r="R1676" s="13" t="s">
        <v>50</v>
      </c>
      <c r="S1676" s="14"/>
      <c r="T1676" s="11">
        <v>2.49</v>
      </c>
      <c r="U1676" s="14" t="s">
        <v>50</v>
      </c>
      <c r="V1676" s="13" t="s">
        <v>52</v>
      </c>
      <c r="W1676" s="13" t="s">
        <v>16744</v>
      </c>
      <c r="X1676" s="13" t="s">
        <v>16745</v>
      </c>
      <c r="Y1676" s="13" t="s">
        <v>16746</v>
      </c>
      <c r="Z1676" s="13" t="s">
        <v>50</v>
      </c>
      <c r="AA1676" s="13" t="s">
        <v>50</v>
      </c>
      <c r="AB1676" s="13" t="s">
        <v>16744</v>
      </c>
      <c r="AC1676" s="13" t="s">
        <v>16747</v>
      </c>
      <c r="AD1676" s="13" t="s">
        <v>16748</v>
      </c>
      <c r="AE1676" s="13" t="s">
        <v>58</v>
      </c>
      <c r="AF1676" s="13" t="s">
        <v>58</v>
      </c>
      <c r="AG1676" s="13" t="s">
        <v>16749</v>
      </c>
      <c r="AH1676" s="13" t="s">
        <v>60</v>
      </c>
      <c r="AI1676" s="13" t="s">
        <v>13406</v>
      </c>
      <c r="AJ1676" s="13" t="s">
        <v>16346</v>
      </c>
      <c r="AK1676" s="13" t="s">
        <v>16750</v>
      </c>
      <c r="AL1676" s="13" t="s">
        <v>64</v>
      </c>
      <c r="AM1676" s="13" t="s">
        <v>16751</v>
      </c>
      <c r="AN1676" s="13" t="s">
        <v>50</v>
      </c>
      <c r="AO1676" s="15" t="s">
        <v>50</v>
      </c>
      <c r="AP1676" s="13" t="s">
        <v>50</v>
      </c>
      <c r="AQ1676" s="13" t="s">
        <v>50</v>
      </c>
      <c r="AR1676" s="13" t="s">
        <v>50</v>
      </c>
      <c r="AS1676" s="13" t="s">
        <v>50</v>
      </c>
      <c r="AT1676" s="13" t="s">
        <v>50</v>
      </c>
      <c r="AU1676" s="13" t="s">
        <v>50</v>
      </c>
      <c r="AV1676" s="15"/>
      <c r="AW1676" s="13" t="s">
        <v>50</v>
      </c>
      <c r="AX1676" s="13"/>
      <c r="AY1676" s="13" t="s">
        <v>50</v>
      </c>
    </row>
    <row r="1677" ht="22.5" hidden="1" customHeight="1">
      <c r="A1677" s="16" t="s">
        <v>16752</v>
      </c>
      <c r="B1677" s="17" t="s">
        <v>16743</v>
      </c>
      <c r="C1677" s="17" t="s">
        <v>43</v>
      </c>
      <c r="D1677" s="17" t="s">
        <v>14945</v>
      </c>
      <c r="E1677" s="17" t="s">
        <v>45</v>
      </c>
      <c r="F1677" s="18">
        <v>1.0</v>
      </c>
      <c r="G1677" s="18"/>
      <c r="H1677" s="18"/>
      <c r="I1677" s="18"/>
      <c r="J1677" s="18"/>
      <c r="K1677" s="18"/>
      <c r="L1677" s="18"/>
      <c r="M1677" s="17" t="s">
        <v>50</v>
      </c>
      <c r="N1677" s="17" t="s">
        <v>45</v>
      </c>
      <c r="O1677" s="17" t="s">
        <v>176</v>
      </c>
      <c r="P1677" s="17" t="s">
        <v>177</v>
      </c>
      <c r="Q1677" s="17" t="s">
        <v>178</v>
      </c>
      <c r="R1677" s="17" t="s">
        <v>74</v>
      </c>
      <c r="S1677" s="18">
        <v>43.7</v>
      </c>
      <c r="T1677" s="18">
        <v>22.58</v>
      </c>
      <c r="U1677" s="18" t="s">
        <v>51</v>
      </c>
      <c r="V1677" s="17" t="s">
        <v>50</v>
      </c>
      <c r="W1677" s="17" t="s">
        <v>50</v>
      </c>
      <c r="X1677" s="17" t="s">
        <v>50</v>
      </c>
      <c r="Y1677" s="17" t="s">
        <v>50</v>
      </c>
      <c r="Z1677" s="17" t="s">
        <v>50</v>
      </c>
      <c r="AA1677" s="17" t="s">
        <v>50</v>
      </c>
      <c r="AB1677" s="17" t="s">
        <v>50</v>
      </c>
      <c r="AC1677" s="17" t="s">
        <v>50</v>
      </c>
      <c r="AD1677" s="17" t="s">
        <v>50</v>
      </c>
      <c r="AE1677" s="17" t="s">
        <v>50</v>
      </c>
      <c r="AF1677" s="17" t="s">
        <v>50</v>
      </c>
      <c r="AG1677" s="17" t="s">
        <v>50</v>
      </c>
      <c r="AH1677" s="17" t="s">
        <v>50</v>
      </c>
      <c r="AI1677" s="17" t="s">
        <v>50</v>
      </c>
      <c r="AJ1677" s="17" t="s">
        <v>50</v>
      </c>
      <c r="AK1677" s="17" t="s">
        <v>50</v>
      </c>
      <c r="AL1677" s="17" t="s">
        <v>50</v>
      </c>
      <c r="AM1677" s="17" t="s">
        <v>50</v>
      </c>
      <c r="AN1677" s="17" t="s">
        <v>50</v>
      </c>
      <c r="AO1677" s="18" t="s">
        <v>50</v>
      </c>
      <c r="AP1677" s="17" t="s">
        <v>50</v>
      </c>
      <c r="AQ1677" s="17" t="s">
        <v>50</v>
      </c>
      <c r="AR1677" s="17" t="s">
        <v>50</v>
      </c>
      <c r="AS1677" s="17" t="s">
        <v>50</v>
      </c>
      <c r="AT1677" s="17" t="s">
        <v>50</v>
      </c>
      <c r="AU1677" s="17" t="s">
        <v>50</v>
      </c>
      <c r="AV1677" s="18"/>
      <c r="AW1677" s="17" t="s">
        <v>66</v>
      </c>
      <c r="AX1677" s="17"/>
      <c r="AY1677" s="17" t="s">
        <v>66</v>
      </c>
    </row>
    <row r="1678" ht="22.5" hidden="1" customHeight="1">
      <c r="A1678" s="16" t="s">
        <v>16753</v>
      </c>
      <c r="B1678" s="17" t="s">
        <v>16743</v>
      </c>
      <c r="C1678" s="17" t="s">
        <v>43</v>
      </c>
      <c r="D1678" s="17" t="s">
        <v>14945</v>
      </c>
      <c r="E1678" s="17" t="s">
        <v>45</v>
      </c>
      <c r="F1678" s="18">
        <v>1.0</v>
      </c>
      <c r="G1678" s="18"/>
      <c r="H1678" s="18"/>
      <c r="I1678" s="18"/>
      <c r="J1678" s="18"/>
      <c r="K1678" s="18"/>
      <c r="L1678" s="18"/>
      <c r="M1678" s="17" t="s">
        <v>50</v>
      </c>
      <c r="N1678" s="17" t="s">
        <v>45</v>
      </c>
      <c r="O1678" s="17" t="s">
        <v>888</v>
      </c>
      <c r="P1678" s="17" t="s">
        <v>889</v>
      </c>
      <c r="Q1678" s="17" t="s">
        <v>890</v>
      </c>
      <c r="R1678" s="17" t="s">
        <v>74</v>
      </c>
      <c r="S1678" s="18">
        <v>46.55</v>
      </c>
      <c r="T1678" s="18">
        <v>16.46</v>
      </c>
      <c r="U1678" s="18" t="s">
        <v>51</v>
      </c>
      <c r="V1678" s="17" t="s">
        <v>50</v>
      </c>
      <c r="W1678" s="17" t="s">
        <v>50</v>
      </c>
      <c r="X1678" s="17" t="s">
        <v>50</v>
      </c>
      <c r="Y1678" s="17" t="s">
        <v>50</v>
      </c>
      <c r="Z1678" s="17" t="s">
        <v>50</v>
      </c>
      <c r="AA1678" s="17" t="s">
        <v>50</v>
      </c>
      <c r="AB1678" s="17" t="s">
        <v>50</v>
      </c>
      <c r="AC1678" s="17" t="s">
        <v>50</v>
      </c>
      <c r="AD1678" s="17" t="s">
        <v>50</v>
      </c>
      <c r="AE1678" s="17" t="s">
        <v>50</v>
      </c>
      <c r="AF1678" s="17" t="s">
        <v>50</v>
      </c>
      <c r="AG1678" s="17" t="s">
        <v>50</v>
      </c>
      <c r="AH1678" s="17" t="s">
        <v>50</v>
      </c>
      <c r="AI1678" s="17" t="s">
        <v>50</v>
      </c>
      <c r="AJ1678" s="17" t="s">
        <v>50</v>
      </c>
      <c r="AK1678" s="17" t="s">
        <v>50</v>
      </c>
      <c r="AL1678" s="17" t="s">
        <v>50</v>
      </c>
      <c r="AM1678" s="17" t="s">
        <v>50</v>
      </c>
      <c r="AN1678" s="17" t="s">
        <v>50</v>
      </c>
      <c r="AO1678" s="18" t="s">
        <v>50</v>
      </c>
      <c r="AP1678" s="17" t="s">
        <v>50</v>
      </c>
      <c r="AQ1678" s="17" t="s">
        <v>50</v>
      </c>
      <c r="AR1678" s="17" t="s">
        <v>50</v>
      </c>
      <c r="AS1678" s="17" t="s">
        <v>50</v>
      </c>
      <c r="AT1678" s="17" t="s">
        <v>50</v>
      </c>
      <c r="AU1678" s="17" t="s">
        <v>50</v>
      </c>
      <c r="AV1678" s="18"/>
      <c r="AW1678" s="17" t="s">
        <v>66</v>
      </c>
      <c r="AX1678" s="17"/>
      <c r="AY1678" s="17" t="s">
        <v>66</v>
      </c>
    </row>
    <row r="1679" ht="22.5" hidden="1" customHeight="1">
      <c r="A1679" s="9" t="s">
        <v>16754</v>
      </c>
      <c r="B1679" s="10" t="s">
        <v>16755</v>
      </c>
      <c r="C1679" s="10" t="s">
        <v>43</v>
      </c>
      <c r="D1679" s="10" t="s">
        <v>13175</v>
      </c>
      <c r="E1679" s="10" t="s">
        <v>66</v>
      </c>
      <c r="F1679" s="11">
        <v>1.0</v>
      </c>
      <c r="G1679" s="11">
        <v>120.0</v>
      </c>
      <c r="H1679" s="11"/>
      <c r="I1679" s="11">
        <v>-20.4</v>
      </c>
      <c r="J1679" s="11">
        <v>-19.95</v>
      </c>
      <c r="K1679" s="11"/>
      <c r="L1679" s="11">
        <v>86.85</v>
      </c>
      <c r="M1679" s="10" t="s">
        <v>12218</v>
      </c>
      <c r="N1679" s="10" t="s">
        <v>50</v>
      </c>
      <c r="O1679" s="10" t="s">
        <v>85</v>
      </c>
      <c r="P1679" s="10" t="s">
        <v>86</v>
      </c>
      <c r="Q1679" s="10" t="s">
        <v>87</v>
      </c>
      <c r="R1679" s="10" t="s">
        <v>74</v>
      </c>
      <c r="S1679" s="11">
        <v>120.0</v>
      </c>
      <c r="T1679" s="11">
        <v>65.78</v>
      </c>
      <c r="U1679" s="11" t="s">
        <v>51</v>
      </c>
      <c r="V1679" s="10" t="s">
        <v>52</v>
      </c>
      <c r="W1679" s="10" t="s">
        <v>16756</v>
      </c>
      <c r="X1679" s="10" t="s">
        <v>16757</v>
      </c>
      <c r="Y1679" s="10" t="s">
        <v>16758</v>
      </c>
      <c r="Z1679" s="10" t="s">
        <v>50</v>
      </c>
      <c r="AA1679" s="10" t="s">
        <v>50</v>
      </c>
      <c r="AB1679" s="10" t="s">
        <v>16756</v>
      </c>
      <c r="AC1679" s="10" t="s">
        <v>16759</v>
      </c>
      <c r="AD1679" s="10" t="s">
        <v>16760</v>
      </c>
      <c r="AE1679" s="10" t="s">
        <v>16761</v>
      </c>
      <c r="AF1679" s="10" t="s">
        <v>185</v>
      </c>
      <c r="AG1679" s="10" t="s">
        <v>16762</v>
      </c>
      <c r="AH1679" s="10" t="s">
        <v>60</v>
      </c>
      <c r="AI1679" s="10" t="s">
        <v>13406</v>
      </c>
      <c r="AJ1679" s="10" t="s">
        <v>16346</v>
      </c>
      <c r="AK1679" s="10" t="s">
        <v>16763</v>
      </c>
      <c r="AL1679" s="10" t="s">
        <v>64</v>
      </c>
      <c r="AM1679" s="10" t="s">
        <v>16764</v>
      </c>
      <c r="AN1679" s="10" t="s">
        <v>50</v>
      </c>
      <c r="AO1679" s="11" t="s">
        <v>50</v>
      </c>
      <c r="AP1679" s="10" t="s">
        <v>50</v>
      </c>
      <c r="AQ1679" s="10" t="s">
        <v>50</v>
      </c>
      <c r="AR1679" s="10" t="s">
        <v>50</v>
      </c>
      <c r="AS1679" s="10" t="s">
        <v>50</v>
      </c>
      <c r="AT1679" s="10" t="s">
        <v>50</v>
      </c>
      <c r="AU1679" s="10" t="s">
        <v>50</v>
      </c>
      <c r="AV1679" s="11"/>
      <c r="AW1679" s="10" t="s">
        <v>66</v>
      </c>
      <c r="AX1679" s="10"/>
      <c r="AY1679" s="10" t="s">
        <v>66</v>
      </c>
    </row>
    <row r="1680" ht="22.5" hidden="1" customHeight="1">
      <c r="A1680" s="9" t="s">
        <v>16765</v>
      </c>
      <c r="B1680" s="10" t="s">
        <v>16766</v>
      </c>
      <c r="C1680" s="10" t="s">
        <v>43</v>
      </c>
      <c r="D1680" s="10" t="s">
        <v>12217</v>
      </c>
      <c r="E1680" s="10" t="s">
        <v>66</v>
      </c>
      <c r="F1680" s="11">
        <v>1.0</v>
      </c>
      <c r="G1680" s="11">
        <v>79.35</v>
      </c>
      <c r="H1680" s="11">
        <v>16.7</v>
      </c>
      <c r="I1680" s="11">
        <v>-15.08</v>
      </c>
      <c r="J1680" s="11">
        <v>-36.65</v>
      </c>
      <c r="K1680" s="11"/>
      <c r="L1680" s="11">
        <v>44.32</v>
      </c>
      <c r="M1680" s="10" t="s">
        <v>12218</v>
      </c>
      <c r="N1680" s="10" t="s">
        <v>45</v>
      </c>
      <c r="O1680" s="10" t="s">
        <v>47</v>
      </c>
      <c r="P1680" s="10" t="s">
        <v>48</v>
      </c>
      <c r="Q1680" s="10" t="s">
        <v>49</v>
      </c>
      <c r="R1680" s="10" t="s">
        <v>50</v>
      </c>
      <c r="S1680" s="11">
        <v>79.35</v>
      </c>
      <c r="T1680" s="11">
        <v>12.45</v>
      </c>
      <c r="U1680" s="11" t="s">
        <v>51</v>
      </c>
      <c r="V1680" s="10" t="s">
        <v>52</v>
      </c>
      <c r="W1680" s="10" t="s">
        <v>16767</v>
      </c>
      <c r="X1680" s="10" t="s">
        <v>16768</v>
      </c>
      <c r="Y1680" s="10" t="s">
        <v>16769</v>
      </c>
      <c r="Z1680" s="10" t="s">
        <v>50</v>
      </c>
      <c r="AA1680" s="10" t="s">
        <v>50</v>
      </c>
      <c r="AB1680" s="10" t="s">
        <v>16767</v>
      </c>
      <c r="AC1680" s="10" t="s">
        <v>16770</v>
      </c>
      <c r="AD1680" s="10" t="s">
        <v>16771</v>
      </c>
      <c r="AE1680" s="10" t="s">
        <v>16772</v>
      </c>
      <c r="AF1680" s="10" t="s">
        <v>6728</v>
      </c>
      <c r="AG1680" s="10" t="s">
        <v>16773</v>
      </c>
      <c r="AH1680" s="10" t="s">
        <v>60</v>
      </c>
      <c r="AI1680" s="10" t="s">
        <v>13406</v>
      </c>
      <c r="AJ1680" s="10" t="s">
        <v>16346</v>
      </c>
      <c r="AK1680" s="10" t="s">
        <v>16774</v>
      </c>
      <c r="AL1680" s="10" t="s">
        <v>64</v>
      </c>
      <c r="AM1680" s="10" t="s">
        <v>16775</v>
      </c>
      <c r="AN1680" s="10" t="s">
        <v>50</v>
      </c>
      <c r="AO1680" s="11" t="s">
        <v>50</v>
      </c>
      <c r="AP1680" s="10" t="s">
        <v>50</v>
      </c>
      <c r="AQ1680" s="10" t="s">
        <v>50</v>
      </c>
      <c r="AR1680" s="10" t="s">
        <v>50</v>
      </c>
      <c r="AS1680" s="10" t="s">
        <v>50</v>
      </c>
      <c r="AT1680" s="10" t="s">
        <v>50</v>
      </c>
      <c r="AU1680" s="10" t="s">
        <v>50</v>
      </c>
      <c r="AV1680" s="11"/>
      <c r="AW1680" s="10" t="s">
        <v>66</v>
      </c>
      <c r="AX1680" s="10"/>
      <c r="AY1680" s="10" t="s">
        <v>66</v>
      </c>
    </row>
    <row r="1681" ht="22.5" hidden="1" customHeight="1">
      <c r="A1681" s="9" t="s">
        <v>16776</v>
      </c>
      <c r="B1681" s="10" t="s">
        <v>16777</v>
      </c>
      <c r="C1681" s="10" t="s">
        <v>43</v>
      </c>
      <c r="D1681" s="10" t="s">
        <v>14945</v>
      </c>
      <c r="E1681" s="10" t="s">
        <v>66</v>
      </c>
      <c r="F1681" s="11">
        <v>1.0</v>
      </c>
      <c r="G1681" s="11">
        <v>105.0</v>
      </c>
      <c r="H1681" s="11"/>
      <c r="I1681" s="11">
        <v>-19.95</v>
      </c>
      <c r="J1681" s="11">
        <v>-19.95</v>
      </c>
      <c r="K1681" s="11"/>
      <c r="L1681" s="11">
        <v>65.1</v>
      </c>
      <c r="M1681" s="10" t="s">
        <v>12218</v>
      </c>
      <c r="N1681" s="10" t="s">
        <v>45</v>
      </c>
      <c r="O1681" s="10" t="s">
        <v>100</v>
      </c>
      <c r="P1681" s="10" t="s">
        <v>101</v>
      </c>
      <c r="Q1681" s="10" t="s">
        <v>102</v>
      </c>
      <c r="R1681" s="10" t="s">
        <v>50</v>
      </c>
      <c r="S1681" s="11">
        <v>105.0</v>
      </c>
      <c r="T1681" s="11">
        <v>38.61</v>
      </c>
      <c r="U1681" s="11" t="s">
        <v>51</v>
      </c>
      <c r="V1681" s="10" t="s">
        <v>52</v>
      </c>
      <c r="W1681" s="10" t="s">
        <v>589</v>
      </c>
      <c r="X1681" s="10" t="s">
        <v>590</v>
      </c>
      <c r="Y1681" s="10" t="s">
        <v>591</v>
      </c>
      <c r="Z1681" s="10" t="s">
        <v>50</v>
      </c>
      <c r="AA1681" s="10" t="s">
        <v>50</v>
      </c>
      <c r="AB1681" s="10" t="s">
        <v>589</v>
      </c>
      <c r="AC1681" s="10" t="s">
        <v>592</v>
      </c>
      <c r="AD1681" s="10" t="s">
        <v>593</v>
      </c>
      <c r="AE1681" s="10" t="s">
        <v>594</v>
      </c>
      <c r="AF1681" s="10" t="s">
        <v>323</v>
      </c>
      <c r="AG1681" s="10" t="s">
        <v>595</v>
      </c>
      <c r="AH1681" s="10" t="s">
        <v>60</v>
      </c>
      <c r="AI1681" s="10" t="s">
        <v>13406</v>
      </c>
      <c r="AJ1681" s="10" t="s">
        <v>16778</v>
      </c>
      <c r="AK1681" s="10" t="s">
        <v>16779</v>
      </c>
      <c r="AL1681" s="10" t="s">
        <v>64</v>
      </c>
      <c r="AM1681" s="10" t="s">
        <v>16780</v>
      </c>
      <c r="AN1681" s="10" t="s">
        <v>50</v>
      </c>
      <c r="AO1681" s="11" t="s">
        <v>50</v>
      </c>
      <c r="AP1681" s="10" t="s">
        <v>50</v>
      </c>
      <c r="AQ1681" s="10" t="s">
        <v>50</v>
      </c>
      <c r="AR1681" s="10" t="s">
        <v>50</v>
      </c>
      <c r="AS1681" s="10" t="s">
        <v>50</v>
      </c>
      <c r="AT1681" s="10" t="s">
        <v>50</v>
      </c>
      <c r="AU1681" s="10" t="s">
        <v>50</v>
      </c>
      <c r="AV1681" s="11"/>
      <c r="AW1681" s="10" t="s">
        <v>66</v>
      </c>
      <c r="AX1681" s="10"/>
      <c r="AY1681" s="10" t="s">
        <v>66</v>
      </c>
    </row>
    <row r="1682" ht="22.5" hidden="1" customHeight="1">
      <c r="A1682" s="9" t="s">
        <v>16781</v>
      </c>
      <c r="B1682" s="10" t="s">
        <v>16782</v>
      </c>
      <c r="C1682" s="10" t="s">
        <v>43</v>
      </c>
      <c r="D1682" s="10" t="s">
        <v>16334</v>
      </c>
      <c r="E1682" s="10" t="s">
        <v>66</v>
      </c>
      <c r="F1682" s="11">
        <v>1.0</v>
      </c>
      <c r="G1682" s="11">
        <v>79.0</v>
      </c>
      <c r="H1682" s="11"/>
      <c r="I1682" s="11">
        <v>-13.43</v>
      </c>
      <c r="J1682" s="11">
        <v>-19.95</v>
      </c>
      <c r="K1682" s="11"/>
      <c r="L1682" s="11">
        <v>45.62</v>
      </c>
      <c r="M1682" s="10" t="s">
        <v>12218</v>
      </c>
      <c r="N1682" s="10" t="s">
        <v>45</v>
      </c>
      <c r="O1682" s="10" t="s">
        <v>5100</v>
      </c>
      <c r="P1682" s="10" t="s">
        <v>5101</v>
      </c>
      <c r="Q1682" s="10" t="s">
        <v>5102</v>
      </c>
      <c r="R1682" s="10" t="s">
        <v>74</v>
      </c>
      <c r="S1682" s="11">
        <v>79.0</v>
      </c>
      <c r="T1682" s="11">
        <v>12.9</v>
      </c>
      <c r="U1682" s="11" t="s">
        <v>51</v>
      </c>
      <c r="V1682" s="10" t="s">
        <v>52</v>
      </c>
      <c r="W1682" s="10" t="s">
        <v>16783</v>
      </c>
      <c r="X1682" s="10" t="s">
        <v>16784</v>
      </c>
      <c r="Y1682" s="10" t="s">
        <v>16785</v>
      </c>
      <c r="Z1682" s="10" t="s">
        <v>50</v>
      </c>
      <c r="AA1682" s="10" t="s">
        <v>50</v>
      </c>
      <c r="AB1682" s="10" t="s">
        <v>16783</v>
      </c>
      <c r="AC1682" s="10" t="s">
        <v>16786</v>
      </c>
      <c r="AD1682" s="10" t="s">
        <v>16787</v>
      </c>
      <c r="AE1682" s="10" t="s">
        <v>3030</v>
      </c>
      <c r="AF1682" s="10" t="s">
        <v>151</v>
      </c>
      <c r="AG1682" s="10" t="s">
        <v>16788</v>
      </c>
      <c r="AH1682" s="10" t="s">
        <v>60</v>
      </c>
      <c r="AI1682" s="10" t="s">
        <v>13406</v>
      </c>
      <c r="AJ1682" s="10" t="s">
        <v>16496</v>
      </c>
      <c r="AK1682" s="10" t="s">
        <v>16789</v>
      </c>
      <c r="AL1682" s="10" t="s">
        <v>64</v>
      </c>
      <c r="AM1682" s="10" t="s">
        <v>16790</v>
      </c>
      <c r="AN1682" s="10" t="s">
        <v>50</v>
      </c>
      <c r="AO1682" s="11" t="s">
        <v>50</v>
      </c>
      <c r="AP1682" s="10" t="s">
        <v>50</v>
      </c>
      <c r="AQ1682" s="10" t="s">
        <v>50</v>
      </c>
      <c r="AR1682" s="10" t="s">
        <v>50</v>
      </c>
      <c r="AS1682" s="10" t="s">
        <v>50</v>
      </c>
      <c r="AT1682" s="10" t="s">
        <v>50</v>
      </c>
      <c r="AU1682" s="10" t="s">
        <v>50</v>
      </c>
      <c r="AV1682" s="11"/>
      <c r="AW1682" s="10" t="s">
        <v>66</v>
      </c>
      <c r="AX1682" s="10"/>
      <c r="AY1682" s="10" t="s">
        <v>66</v>
      </c>
    </row>
    <row r="1683" ht="22.5" hidden="1" customHeight="1">
      <c r="A1683" s="9" t="s">
        <v>16791</v>
      </c>
      <c r="B1683" s="10" t="s">
        <v>16792</v>
      </c>
      <c r="C1683" s="10" t="s">
        <v>43</v>
      </c>
      <c r="D1683" s="10" t="s">
        <v>14945</v>
      </c>
      <c r="E1683" s="10" t="s">
        <v>66</v>
      </c>
      <c r="F1683" s="11">
        <v>1.0</v>
      </c>
      <c r="G1683" s="11">
        <v>79.35</v>
      </c>
      <c r="H1683" s="11"/>
      <c r="I1683" s="11">
        <v>-15.08</v>
      </c>
      <c r="J1683" s="11">
        <v>-19.95</v>
      </c>
      <c r="K1683" s="11"/>
      <c r="L1683" s="11">
        <v>44.32</v>
      </c>
      <c r="M1683" s="10" t="s">
        <v>12218</v>
      </c>
      <c r="N1683" s="10" t="s">
        <v>45</v>
      </c>
      <c r="O1683" s="10" t="s">
        <v>47</v>
      </c>
      <c r="P1683" s="10" t="s">
        <v>48</v>
      </c>
      <c r="Q1683" s="10" t="s">
        <v>49</v>
      </c>
      <c r="R1683" s="10" t="s">
        <v>50</v>
      </c>
      <c r="S1683" s="11">
        <v>79.35</v>
      </c>
      <c r="T1683" s="11">
        <v>12.45</v>
      </c>
      <c r="U1683" s="11" t="s">
        <v>51</v>
      </c>
      <c r="V1683" s="10" t="s">
        <v>52</v>
      </c>
      <c r="W1683" s="10" t="s">
        <v>16793</v>
      </c>
      <c r="X1683" s="10" t="s">
        <v>16794</v>
      </c>
      <c r="Y1683" s="10" t="s">
        <v>16795</v>
      </c>
      <c r="Z1683" s="10" t="s">
        <v>50</v>
      </c>
      <c r="AA1683" s="10" t="s">
        <v>50</v>
      </c>
      <c r="AB1683" s="10" t="s">
        <v>16793</v>
      </c>
      <c r="AC1683" s="10" t="s">
        <v>16796</v>
      </c>
      <c r="AD1683" s="10" t="s">
        <v>16797</v>
      </c>
      <c r="AE1683" s="10" t="s">
        <v>13451</v>
      </c>
      <c r="AF1683" s="10" t="s">
        <v>58</v>
      </c>
      <c r="AG1683" s="10" t="s">
        <v>16798</v>
      </c>
      <c r="AH1683" s="10" t="s">
        <v>60</v>
      </c>
      <c r="AI1683" s="10" t="s">
        <v>13406</v>
      </c>
      <c r="AJ1683" s="10" t="s">
        <v>15302</v>
      </c>
      <c r="AK1683" s="10" t="s">
        <v>16799</v>
      </c>
      <c r="AL1683" s="10" t="s">
        <v>64</v>
      </c>
      <c r="AM1683" s="10" t="s">
        <v>16800</v>
      </c>
      <c r="AN1683" s="10" t="s">
        <v>50</v>
      </c>
      <c r="AO1683" s="11" t="s">
        <v>50</v>
      </c>
      <c r="AP1683" s="10" t="s">
        <v>50</v>
      </c>
      <c r="AQ1683" s="10" t="s">
        <v>50</v>
      </c>
      <c r="AR1683" s="10" t="s">
        <v>50</v>
      </c>
      <c r="AS1683" s="10" t="s">
        <v>50</v>
      </c>
      <c r="AT1683" s="10" t="s">
        <v>50</v>
      </c>
      <c r="AU1683" s="10" t="s">
        <v>50</v>
      </c>
      <c r="AV1683" s="11"/>
      <c r="AW1683" s="10" t="s">
        <v>66</v>
      </c>
      <c r="AX1683" s="10"/>
      <c r="AY1683" s="10" t="s">
        <v>66</v>
      </c>
    </row>
    <row r="1684" ht="22.5" hidden="1" customHeight="1">
      <c r="A1684" s="9" t="s">
        <v>16801</v>
      </c>
      <c r="B1684" s="10" t="s">
        <v>16802</v>
      </c>
      <c r="C1684" s="10" t="s">
        <v>69</v>
      </c>
      <c r="D1684" s="10" t="s">
        <v>2283</v>
      </c>
      <c r="E1684" s="10" t="s">
        <v>66</v>
      </c>
      <c r="F1684" s="11">
        <v>1.0</v>
      </c>
      <c r="G1684" s="11">
        <v>80.0</v>
      </c>
      <c r="H1684" s="11"/>
      <c r="I1684" s="11">
        <v>-13.6</v>
      </c>
      <c r="J1684" s="11">
        <v>-19.95</v>
      </c>
      <c r="K1684" s="11">
        <v>-50.45</v>
      </c>
      <c r="L1684" s="11">
        <v>0.0</v>
      </c>
      <c r="M1684" s="10" t="s">
        <v>12218</v>
      </c>
      <c r="N1684" s="10" t="s">
        <v>45</v>
      </c>
      <c r="O1684" s="10" t="s">
        <v>143</v>
      </c>
      <c r="P1684" s="10" t="s">
        <v>144</v>
      </c>
      <c r="Q1684" s="10" t="s">
        <v>145</v>
      </c>
      <c r="R1684" s="10" t="s">
        <v>74</v>
      </c>
      <c r="S1684" s="11">
        <v>80.0</v>
      </c>
      <c r="T1684" s="11"/>
      <c r="U1684" s="11" t="s">
        <v>51</v>
      </c>
      <c r="V1684" s="10" t="s">
        <v>52</v>
      </c>
      <c r="W1684" s="10" t="s">
        <v>16803</v>
      </c>
      <c r="X1684" s="10" t="s">
        <v>16804</v>
      </c>
      <c r="Y1684" s="10" t="s">
        <v>16805</v>
      </c>
      <c r="Z1684" s="10" t="s">
        <v>50</v>
      </c>
      <c r="AA1684" s="10" t="s">
        <v>50</v>
      </c>
      <c r="AB1684" s="10" t="s">
        <v>16803</v>
      </c>
      <c r="AC1684" s="10" t="s">
        <v>16806</v>
      </c>
      <c r="AD1684" s="10" t="s">
        <v>50</v>
      </c>
      <c r="AE1684" s="10" t="s">
        <v>5596</v>
      </c>
      <c r="AF1684" s="10" t="s">
        <v>561</v>
      </c>
      <c r="AG1684" s="10" t="s">
        <v>5597</v>
      </c>
      <c r="AH1684" s="10" t="s">
        <v>60</v>
      </c>
      <c r="AI1684" s="10" t="s">
        <v>13406</v>
      </c>
      <c r="AJ1684" s="10" t="s">
        <v>50</v>
      </c>
      <c r="AK1684" s="10" t="s">
        <v>50</v>
      </c>
      <c r="AL1684" s="10" t="s">
        <v>64</v>
      </c>
      <c r="AM1684" s="10" t="s">
        <v>16807</v>
      </c>
      <c r="AN1684" s="10" t="s">
        <v>50</v>
      </c>
      <c r="AO1684" s="11" t="s">
        <v>50</v>
      </c>
      <c r="AP1684" s="10" t="s">
        <v>50</v>
      </c>
      <c r="AQ1684" s="10" t="s">
        <v>50</v>
      </c>
      <c r="AR1684" s="10" t="s">
        <v>50</v>
      </c>
      <c r="AS1684" s="10" t="s">
        <v>50</v>
      </c>
      <c r="AT1684" s="10" t="s">
        <v>50</v>
      </c>
      <c r="AU1684" s="10" t="s">
        <v>50</v>
      </c>
      <c r="AV1684" s="11"/>
      <c r="AW1684" s="10" t="s">
        <v>66</v>
      </c>
      <c r="AX1684" s="10"/>
      <c r="AY1684" s="10" t="s">
        <v>66</v>
      </c>
    </row>
    <row r="1685" ht="22.5" hidden="1" customHeight="1">
      <c r="A1685" s="9" t="s">
        <v>16808</v>
      </c>
      <c r="B1685" s="10" t="s">
        <v>16809</v>
      </c>
      <c r="C1685" s="10" t="s">
        <v>43</v>
      </c>
      <c r="D1685" s="10" t="s">
        <v>13175</v>
      </c>
      <c r="E1685" s="10" t="s">
        <v>66</v>
      </c>
      <c r="F1685" s="11">
        <v>1.0</v>
      </c>
      <c r="G1685" s="11">
        <v>80.0</v>
      </c>
      <c r="H1685" s="11"/>
      <c r="I1685" s="11">
        <v>-13.6</v>
      </c>
      <c r="J1685" s="11">
        <v>-19.95</v>
      </c>
      <c r="K1685" s="11"/>
      <c r="L1685" s="11">
        <v>50.45</v>
      </c>
      <c r="M1685" s="10" t="s">
        <v>12218</v>
      </c>
      <c r="N1685" s="10" t="s">
        <v>50</v>
      </c>
      <c r="O1685" s="10" t="s">
        <v>143</v>
      </c>
      <c r="P1685" s="10" t="s">
        <v>144</v>
      </c>
      <c r="Q1685" s="10" t="s">
        <v>145</v>
      </c>
      <c r="R1685" s="10" t="s">
        <v>74</v>
      </c>
      <c r="S1685" s="11">
        <v>80.0</v>
      </c>
      <c r="T1685" s="11">
        <v>33.38</v>
      </c>
      <c r="U1685" s="11" t="s">
        <v>51</v>
      </c>
      <c r="V1685" s="10" t="s">
        <v>52</v>
      </c>
      <c r="W1685" s="10" t="s">
        <v>16810</v>
      </c>
      <c r="X1685" s="10" t="s">
        <v>16811</v>
      </c>
      <c r="Y1685" s="10" t="s">
        <v>16812</v>
      </c>
      <c r="Z1685" s="10" t="s">
        <v>50</v>
      </c>
      <c r="AA1685" s="10" t="s">
        <v>50</v>
      </c>
      <c r="AB1685" s="10" t="s">
        <v>16810</v>
      </c>
      <c r="AC1685" s="10" t="s">
        <v>16813</v>
      </c>
      <c r="AD1685" s="10" t="s">
        <v>16814</v>
      </c>
      <c r="AE1685" s="10" t="s">
        <v>12960</v>
      </c>
      <c r="AF1685" s="10" t="s">
        <v>185</v>
      </c>
      <c r="AG1685" s="10" t="s">
        <v>12961</v>
      </c>
      <c r="AH1685" s="10" t="s">
        <v>60</v>
      </c>
      <c r="AI1685" s="10" t="s">
        <v>13406</v>
      </c>
      <c r="AJ1685" s="10" t="s">
        <v>16346</v>
      </c>
      <c r="AK1685" s="10" t="s">
        <v>16815</v>
      </c>
      <c r="AL1685" s="10" t="s">
        <v>64</v>
      </c>
      <c r="AM1685" s="10" t="s">
        <v>16816</v>
      </c>
      <c r="AN1685" s="10" t="s">
        <v>50</v>
      </c>
      <c r="AO1685" s="11" t="s">
        <v>50</v>
      </c>
      <c r="AP1685" s="10" t="s">
        <v>50</v>
      </c>
      <c r="AQ1685" s="10" t="s">
        <v>50</v>
      </c>
      <c r="AR1685" s="10" t="s">
        <v>50</v>
      </c>
      <c r="AS1685" s="10" t="s">
        <v>50</v>
      </c>
      <c r="AT1685" s="10" t="s">
        <v>50</v>
      </c>
      <c r="AU1685" s="10" t="s">
        <v>50</v>
      </c>
      <c r="AV1685" s="11"/>
      <c r="AW1685" s="10" t="s">
        <v>66</v>
      </c>
      <c r="AX1685" s="10"/>
      <c r="AY1685" s="10" t="s">
        <v>66</v>
      </c>
    </row>
    <row r="1686" ht="22.5" hidden="1" customHeight="1">
      <c r="A1686" s="12" t="s">
        <v>16817</v>
      </c>
      <c r="B1686" s="13" t="s">
        <v>16818</v>
      </c>
      <c r="C1686" s="13" t="s">
        <v>747</v>
      </c>
      <c r="D1686" s="13" t="s">
        <v>50</v>
      </c>
      <c r="E1686" s="13" t="s">
        <v>50</v>
      </c>
      <c r="F1686" s="14"/>
      <c r="G1686" s="14">
        <v>202.5</v>
      </c>
      <c r="H1686" s="14"/>
      <c r="I1686" s="14">
        <v>-34.43</v>
      </c>
      <c r="J1686" s="14">
        <v>-41.9</v>
      </c>
      <c r="K1686" s="14"/>
      <c r="L1686" s="14">
        <v>133.09</v>
      </c>
      <c r="M1686" s="13" t="s">
        <v>12218</v>
      </c>
      <c r="N1686" s="13" t="s">
        <v>50</v>
      </c>
      <c r="O1686" s="13" t="s">
        <v>50</v>
      </c>
      <c r="P1686" s="13" t="s">
        <v>50</v>
      </c>
      <c r="Q1686" s="13" t="s">
        <v>50</v>
      </c>
      <c r="R1686" s="13" t="s">
        <v>50</v>
      </c>
      <c r="S1686" s="14"/>
      <c r="T1686" s="11">
        <v>2.49</v>
      </c>
      <c r="U1686" s="14" t="s">
        <v>50</v>
      </c>
      <c r="V1686" s="13" t="s">
        <v>52</v>
      </c>
      <c r="W1686" s="13" t="s">
        <v>16819</v>
      </c>
      <c r="X1686" s="13" t="s">
        <v>16820</v>
      </c>
      <c r="Y1686" s="13" t="s">
        <v>16821</v>
      </c>
      <c r="Z1686" s="13" t="s">
        <v>50</v>
      </c>
      <c r="AA1686" s="13" t="s">
        <v>50</v>
      </c>
      <c r="AB1686" s="13" t="s">
        <v>16819</v>
      </c>
      <c r="AC1686" s="13" t="s">
        <v>16822</v>
      </c>
      <c r="AD1686" s="13" t="s">
        <v>16823</v>
      </c>
      <c r="AE1686" s="13" t="s">
        <v>12532</v>
      </c>
      <c r="AF1686" s="13" t="s">
        <v>799</v>
      </c>
      <c r="AG1686" s="13" t="s">
        <v>16824</v>
      </c>
      <c r="AH1686" s="13" t="s">
        <v>60</v>
      </c>
      <c r="AI1686" s="13" t="s">
        <v>13406</v>
      </c>
      <c r="AJ1686" s="13" t="s">
        <v>16329</v>
      </c>
      <c r="AK1686" s="13" t="s">
        <v>16825</v>
      </c>
      <c r="AL1686" s="13" t="s">
        <v>64</v>
      </c>
      <c r="AM1686" s="13" t="s">
        <v>16826</v>
      </c>
      <c r="AN1686" s="13" t="s">
        <v>50</v>
      </c>
      <c r="AO1686" s="15" t="s">
        <v>50</v>
      </c>
      <c r="AP1686" s="13" t="s">
        <v>50</v>
      </c>
      <c r="AQ1686" s="13" t="s">
        <v>50</v>
      </c>
      <c r="AR1686" s="13" t="s">
        <v>50</v>
      </c>
      <c r="AS1686" s="13" t="s">
        <v>50</v>
      </c>
      <c r="AT1686" s="13" t="s">
        <v>50</v>
      </c>
      <c r="AU1686" s="13" t="s">
        <v>50</v>
      </c>
      <c r="AV1686" s="15"/>
      <c r="AW1686" s="13" t="s">
        <v>50</v>
      </c>
      <c r="AX1686" s="13"/>
      <c r="AY1686" s="13" t="s">
        <v>50</v>
      </c>
    </row>
    <row r="1687" ht="22.5" hidden="1" customHeight="1">
      <c r="A1687" s="16" t="s">
        <v>16827</v>
      </c>
      <c r="B1687" s="17" t="s">
        <v>16818</v>
      </c>
      <c r="C1687" s="17" t="s">
        <v>43</v>
      </c>
      <c r="D1687" s="17" t="s">
        <v>14945</v>
      </c>
      <c r="E1687" s="17" t="s">
        <v>45</v>
      </c>
      <c r="F1687" s="18">
        <v>1.0</v>
      </c>
      <c r="G1687" s="18"/>
      <c r="H1687" s="18"/>
      <c r="I1687" s="18"/>
      <c r="J1687" s="18"/>
      <c r="K1687" s="18"/>
      <c r="L1687" s="18"/>
      <c r="M1687" s="17" t="s">
        <v>50</v>
      </c>
      <c r="N1687" s="17" t="s">
        <v>50</v>
      </c>
      <c r="O1687" s="17" t="s">
        <v>160</v>
      </c>
      <c r="P1687" s="17" t="s">
        <v>161</v>
      </c>
      <c r="Q1687" s="17" t="s">
        <v>162</v>
      </c>
      <c r="R1687" s="17" t="s">
        <v>74</v>
      </c>
      <c r="S1687" s="18">
        <v>79.0</v>
      </c>
      <c r="T1687" s="11">
        <v>2.49</v>
      </c>
      <c r="U1687" s="18" t="s">
        <v>51</v>
      </c>
      <c r="V1687" s="17" t="s">
        <v>50</v>
      </c>
      <c r="W1687" s="17" t="s">
        <v>50</v>
      </c>
      <c r="X1687" s="17" t="s">
        <v>50</v>
      </c>
      <c r="Y1687" s="17" t="s">
        <v>50</v>
      </c>
      <c r="Z1687" s="17" t="s">
        <v>50</v>
      </c>
      <c r="AA1687" s="17" t="s">
        <v>50</v>
      </c>
      <c r="AB1687" s="17" t="s">
        <v>50</v>
      </c>
      <c r="AC1687" s="17" t="s">
        <v>50</v>
      </c>
      <c r="AD1687" s="17" t="s">
        <v>50</v>
      </c>
      <c r="AE1687" s="17" t="s">
        <v>50</v>
      </c>
      <c r="AF1687" s="17" t="s">
        <v>50</v>
      </c>
      <c r="AG1687" s="17" t="s">
        <v>50</v>
      </c>
      <c r="AH1687" s="17" t="s">
        <v>50</v>
      </c>
      <c r="AI1687" s="17" t="s">
        <v>50</v>
      </c>
      <c r="AJ1687" s="17" t="s">
        <v>50</v>
      </c>
      <c r="AK1687" s="17" t="s">
        <v>50</v>
      </c>
      <c r="AL1687" s="17" t="s">
        <v>50</v>
      </c>
      <c r="AM1687" s="17" t="s">
        <v>50</v>
      </c>
      <c r="AN1687" s="17" t="s">
        <v>50</v>
      </c>
      <c r="AO1687" s="18" t="s">
        <v>50</v>
      </c>
      <c r="AP1687" s="17" t="s">
        <v>50</v>
      </c>
      <c r="AQ1687" s="17" t="s">
        <v>50</v>
      </c>
      <c r="AR1687" s="17" t="s">
        <v>50</v>
      </c>
      <c r="AS1687" s="17" t="s">
        <v>50</v>
      </c>
      <c r="AT1687" s="17" t="s">
        <v>50</v>
      </c>
      <c r="AU1687" s="17" t="s">
        <v>50</v>
      </c>
      <c r="AV1687" s="18"/>
      <c r="AW1687" s="17" t="s">
        <v>66</v>
      </c>
      <c r="AX1687" s="17"/>
      <c r="AY1687" s="17" t="s">
        <v>66</v>
      </c>
    </row>
    <row r="1688" ht="22.5" hidden="1" customHeight="1">
      <c r="A1688" s="16" t="s">
        <v>16828</v>
      </c>
      <c r="B1688" s="17" t="s">
        <v>16818</v>
      </c>
      <c r="C1688" s="17" t="s">
        <v>43</v>
      </c>
      <c r="D1688" s="17" t="s">
        <v>14945</v>
      </c>
      <c r="E1688" s="17" t="s">
        <v>45</v>
      </c>
      <c r="F1688" s="18">
        <v>1.0</v>
      </c>
      <c r="G1688" s="18"/>
      <c r="H1688" s="18"/>
      <c r="I1688" s="18"/>
      <c r="J1688" s="18"/>
      <c r="K1688" s="18"/>
      <c r="L1688" s="18"/>
      <c r="M1688" s="17" t="s">
        <v>50</v>
      </c>
      <c r="N1688" s="17" t="s">
        <v>50</v>
      </c>
      <c r="O1688" s="17" t="s">
        <v>16829</v>
      </c>
      <c r="P1688" s="17" t="s">
        <v>16830</v>
      </c>
      <c r="Q1688" s="17" t="s">
        <v>16831</v>
      </c>
      <c r="R1688" s="17" t="s">
        <v>16832</v>
      </c>
      <c r="S1688" s="18">
        <v>123.5</v>
      </c>
      <c r="T1688" s="18">
        <v>71.38</v>
      </c>
      <c r="U1688" s="18" t="s">
        <v>51</v>
      </c>
      <c r="V1688" s="17" t="s">
        <v>50</v>
      </c>
      <c r="W1688" s="17" t="s">
        <v>50</v>
      </c>
      <c r="X1688" s="17" t="s">
        <v>50</v>
      </c>
      <c r="Y1688" s="17" t="s">
        <v>50</v>
      </c>
      <c r="Z1688" s="17" t="s">
        <v>50</v>
      </c>
      <c r="AA1688" s="17" t="s">
        <v>50</v>
      </c>
      <c r="AB1688" s="17" t="s">
        <v>50</v>
      </c>
      <c r="AC1688" s="17" t="s">
        <v>50</v>
      </c>
      <c r="AD1688" s="17" t="s">
        <v>50</v>
      </c>
      <c r="AE1688" s="17" t="s">
        <v>50</v>
      </c>
      <c r="AF1688" s="17" t="s">
        <v>50</v>
      </c>
      <c r="AG1688" s="17" t="s">
        <v>50</v>
      </c>
      <c r="AH1688" s="17" t="s">
        <v>50</v>
      </c>
      <c r="AI1688" s="17" t="s">
        <v>50</v>
      </c>
      <c r="AJ1688" s="17" t="s">
        <v>50</v>
      </c>
      <c r="AK1688" s="17" t="s">
        <v>50</v>
      </c>
      <c r="AL1688" s="17" t="s">
        <v>50</v>
      </c>
      <c r="AM1688" s="17" t="s">
        <v>50</v>
      </c>
      <c r="AN1688" s="17" t="s">
        <v>50</v>
      </c>
      <c r="AO1688" s="18" t="s">
        <v>50</v>
      </c>
      <c r="AP1688" s="17" t="s">
        <v>50</v>
      </c>
      <c r="AQ1688" s="17" t="s">
        <v>50</v>
      </c>
      <c r="AR1688" s="17" t="s">
        <v>50</v>
      </c>
      <c r="AS1688" s="17" t="s">
        <v>50</v>
      </c>
      <c r="AT1688" s="17" t="s">
        <v>50</v>
      </c>
      <c r="AU1688" s="17" t="s">
        <v>50</v>
      </c>
      <c r="AV1688" s="18"/>
      <c r="AW1688" s="17" t="s">
        <v>66</v>
      </c>
      <c r="AX1688" s="17"/>
      <c r="AY1688" s="17" t="s">
        <v>66</v>
      </c>
    </row>
    <row r="1689" ht="22.5" hidden="1" customHeight="1">
      <c r="A1689" s="9" t="s">
        <v>16833</v>
      </c>
      <c r="B1689" s="10" t="s">
        <v>16834</v>
      </c>
      <c r="C1689" s="10" t="s">
        <v>43</v>
      </c>
      <c r="D1689" s="10" t="s">
        <v>13049</v>
      </c>
      <c r="E1689" s="10" t="s">
        <v>45</v>
      </c>
      <c r="F1689" s="11">
        <v>1.0</v>
      </c>
      <c r="G1689" s="11">
        <v>79.2</v>
      </c>
      <c r="H1689" s="11"/>
      <c r="I1689" s="11">
        <v>-13.46</v>
      </c>
      <c r="J1689" s="11">
        <v>-20.45</v>
      </c>
      <c r="K1689" s="11"/>
      <c r="L1689" s="11">
        <v>45.29</v>
      </c>
      <c r="M1689" s="10" t="s">
        <v>12218</v>
      </c>
      <c r="N1689" s="10" t="s">
        <v>45</v>
      </c>
      <c r="O1689" s="10" t="s">
        <v>892</v>
      </c>
      <c r="P1689" s="10" t="s">
        <v>893</v>
      </c>
      <c r="Q1689" s="10" t="s">
        <v>894</v>
      </c>
      <c r="R1689" s="10" t="s">
        <v>74</v>
      </c>
      <c r="S1689" s="11">
        <v>79.2</v>
      </c>
      <c r="T1689" s="11">
        <v>2.97</v>
      </c>
      <c r="U1689" s="11" t="s">
        <v>51</v>
      </c>
      <c r="V1689" s="10" t="s">
        <v>52</v>
      </c>
      <c r="W1689" s="10" t="s">
        <v>16835</v>
      </c>
      <c r="X1689" s="10" t="s">
        <v>16836</v>
      </c>
      <c r="Y1689" s="10" t="s">
        <v>16837</v>
      </c>
      <c r="Z1689" s="10" t="s">
        <v>50</v>
      </c>
      <c r="AA1689" s="10" t="s">
        <v>50</v>
      </c>
      <c r="AB1689" s="10" t="s">
        <v>16835</v>
      </c>
      <c r="AC1689" s="10" t="s">
        <v>16838</v>
      </c>
      <c r="AD1689" s="10" t="s">
        <v>16839</v>
      </c>
      <c r="AE1689" s="10" t="s">
        <v>6888</v>
      </c>
      <c r="AF1689" s="10" t="s">
        <v>185</v>
      </c>
      <c r="AG1689" s="10" t="s">
        <v>6889</v>
      </c>
      <c r="AH1689" s="10" t="s">
        <v>60</v>
      </c>
      <c r="AI1689" s="10" t="s">
        <v>13406</v>
      </c>
      <c r="AJ1689" s="10" t="s">
        <v>16346</v>
      </c>
      <c r="AK1689" s="10" t="s">
        <v>16840</v>
      </c>
      <c r="AL1689" s="10" t="s">
        <v>64</v>
      </c>
      <c r="AM1689" s="10" t="s">
        <v>16841</v>
      </c>
      <c r="AN1689" s="10" t="s">
        <v>16842</v>
      </c>
      <c r="AO1689" s="11" t="s">
        <v>50</v>
      </c>
      <c r="AP1689" s="10" t="s">
        <v>50</v>
      </c>
      <c r="AQ1689" s="10" t="s">
        <v>50</v>
      </c>
      <c r="AR1689" s="10" t="s">
        <v>50</v>
      </c>
      <c r="AS1689" s="10" t="s">
        <v>50</v>
      </c>
      <c r="AT1689" s="10" t="s">
        <v>50</v>
      </c>
      <c r="AU1689" s="10" t="s">
        <v>50</v>
      </c>
      <c r="AV1689" s="11"/>
      <c r="AW1689" s="10" t="s">
        <v>66</v>
      </c>
      <c r="AX1689" s="10"/>
      <c r="AY1689" s="10" t="s">
        <v>66</v>
      </c>
    </row>
    <row r="1690" ht="22.5" hidden="1" customHeight="1">
      <c r="A1690" s="9" t="s">
        <v>16843</v>
      </c>
      <c r="B1690" s="10" t="s">
        <v>16844</v>
      </c>
      <c r="C1690" s="10" t="s">
        <v>43</v>
      </c>
      <c r="D1690" s="10" t="s">
        <v>14945</v>
      </c>
      <c r="E1690" s="10" t="s">
        <v>66</v>
      </c>
      <c r="F1690" s="11">
        <v>1.0</v>
      </c>
      <c r="G1690" s="11">
        <v>120.0</v>
      </c>
      <c r="H1690" s="11"/>
      <c r="I1690" s="11">
        <v>-20.4</v>
      </c>
      <c r="J1690" s="11">
        <v>-19.95</v>
      </c>
      <c r="K1690" s="11"/>
      <c r="L1690" s="11">
        <v>86.85</v>
      </c>
      <c r="M1690" s="10" t="s">
        <v>12218</v>
      </c>
      <c r="N1690" s="10" t="s">
        <v>50</v>
      </c>
      <c r="O1690" s="10" t="s">
        <v>85</v>
      </c>
      <c r="P1690" s="10" t="s">
        <v>86</v>
      </c>
      <c r="Q1690" s="10" t="s">
        <v>87</v>
      </c>
      <c r="R1690" s="10" t="s">
        <v>74</v>
      </c>
      <c r="S1690" s="11">
        <v>120.0</v>
      </c>
      <c r="T1690" s="11">
        <v>65.78</v>
      </c>
      <c r="U1690" s="11" t="s">
        <v>51</v>
      </c>
      <c r="V1690" s="10" t="s">
        <v>52</v>
      </c>
      <c r="W1690" s="10" t="s">
        <v>16845</v>
      </c>
      <c r="X1690" s="10" t="s">
        <v>16846</v>
      </c>
      <c r="Y1690" s="10" t="s">
        <v>16847</v>
      </c>
      <c r="Z1690" s="10" t="s">
        <v>50</v>
      </c>
      <c r="AA1690" s="10" t="s">
        <v>50</v>
      </c>
      <c r="AB1690" s="10" t="s">
        <v>16845</v>
      </c>
      <c r="AC1690" s="10" t="s">
        <v>16848</v>
      </c>
      <c r="AD1690" s="10" t="s">
        <v>16849</v>
      </c>
      <c r="AE1690" s="10" t="s">
        <v>58</v>
      </c>
      <c r="AF1690" s="10" t="s">
        <v>58</v>
      </c>
      <c r="AG1690" s="10" t="s">
        <v>16850</v>
      </c>
      <c r="AH1690" s="10" t="s">
        <v>60</v>
      </c>
      <c r="AI1690" s="10" t="s">
        <v>13406</v>
      </c>
      <c r="AJ1690" s="10" t="s">
        <v>15325</v>
      </c>
      <c r="AK1690" s="10" t="s">
        <v>16851</v>
      </c>
      <c r="AL1690" s="10" t="s">
        <v>64</v>
      </c>
      <c r="AM1690" s="10" t="s">
        <v>16852</v>
      </c>
      <c r="AN1690" s="10" t="s">
        <v>50</v>
      </c>
      <c r="AO1690" s="11" t="s">
        <v>50</v>
      </c>
      <c r="AP1690" s="10" t="s">
        <v>50</v>
      </c>
      <c r="AQ1690" s="10" t="s">
        <v>50</v>
      </c>
      <c r="AR1690" s="10" t="s">
        <v>50</v>
      </c>
      <c r="AS1690" s="10" t="s">
        <v>50</v>
      </c>
      <c r="AT1690" s="10" t="s">
        <v>50</v>
      </c>
      <c r="AU1690" s="10" t="s">
        <v>50</v>
      </c>
      <c r="AV1690" s="11"/>
      <c r="AW1690" s="10" t="s">
        <v>66</v>
      </c>
      <c r="AX1690" s="10"/>
      <c r="AY1690" s="10" t="s">
        <v>66</v>
      </c>
    </row>
    <row r="1691" ht="22.5" hidden="1" customHeight="1">
      <c r="A1691" s="12" t="s">
        <v>16853</v>
      </c>
      <c r="B1691" s="13" t="s">
        <v>16854</v>
      </c>
      <c r="C1691" s="13" t="s">
        <v>747</v>
      </c>
      <c r="D1691" s="13" t="s">
        <v>50</v>
      </c>
      <c r="E1691" s="13" t="s">
        <v>50</v>
      </c>
      <c r="F1691" s="14"/>
      <c r="G1691" s="14">
        <v>120.37</v>
      </c>
      <c r="H1691" s="14"/>
      <c r="I1691" s="14">
        <v>-26.46</v>
      </c>
      <c r="J1691" s="14">
        <v>-20.45</v>
      </c>
      <c r="K1691" s="14"/>
      <c r="L1691" s="14">
        <v>73.46</v>
      </c>
      <c r="M1691" s="13" t="s">
        <v>12218</v>
      </c>
      <c r="N1691" s="13" t="s">
        <v>50</v>
      </c>
      <c r="O1691" s="13" t="s">
        <v>50</v>
      </c>
      <c r="P1691" s="13" t="s">
        <v>50</v>
      </c>
      <c r="Q1691" s="13" t="s">
        <v>50</v>
      </c>
      <c r="R1691" s="13" t="s">
        <v>50</v>
      </c>
      <c r="S1691" s="14"/>
      <c r="T1691" s="14"/>
      <c r="U1691" s="14" t="s">
        <v>50</v>
      </c>
      <c r="V1691" s="13" t="s">
        <v>52</v>
      </c>
      <c r="W1691" s="13" t="s">
        <v>16855</v>
      </c>
      <c r="X1691" s="13" t="s">
        <v>16856</v>
      </c>
      <c r="Y1691" s="13" t="s">
        <v>16857</v>
      </c>
      <c r="Z1691" s="13" t="s">
        <v>50</v>
      </c>
      <c r="AA1691" s="13" t="s">
        <v>50</v>
      </c>
      <c r="AB1691" s="13" t="s">
        <v>16855</v>
      </c>
      <c r="AC1691" s="13" t="s">
        <v>16858</v>
      </c>
      <c r="AD1691" s="13" t="s">
        <v>16859</v>
      </c>
      <c r="AE1691" s="13" t="s">
        <v>11227</v>
      </c>
      <c r="AF1691" s="13" t="s">
        <v>151</v>
      </c>
      <c r="AG1691" s="13" t="s">
        <v>16860</v>
      </c>
      <c r="AH1691" s="13" t="s">
        <v>60</v>
      </c>
      <c r="AI1691" s="13" t="s">
        <v>13406</v>
      </c>
      <c r="AJ1691" s="13" t="s">
        <v>16861</v>
      </c>
      <c r="AK1691" s="13" t="s">
        <v>16862</v>
      </c>
      <c r="AL1691" s="13" t="s">
        <v>64</v>
      </c>
      <c r="AM1691" s="13" t="s">
        <v>16863</v>
      </c>
      <c r="AN1691" s="13" t="s">
        <v>50</v>
      </c>
      <c r="AO1691" s="15" t="s">
        <v>50</v>
      </c>
      <c r="AP1691" s="13" t="s">
        <v>50</v>
      </c>
      <c r="AQ1691" s="13" t="s">
        <v>50</v>
      </c>
      <c r="AR1691" s="13" t="s">
        <v>50</v>
      </c>
      <c r="AS1691" s="13" t="s">
        <v>50</v>
      </c>
      <c r="AT1691" s="13" t="s">
        <v>50</v>
      </c>
      <c r="AU1691" s="13" t="s">
        <v>50</v>
      </c>
      <c r="AV1691" s="15"/>
      <c r="AW1691" s="13" t="s">
        <v>50</v>
      </c>
      <c r="AX1691" s="13"/>
      <c r="AY1691" s="13" t="s">
        <v>50</v>
      </c>
    </row>
    <row r="1692" ht="22.5" hidden="1" customHeight="1">
      <c r="A1692" s="16" t="s">
        <v>16864</v>
      </c>
      <c r="B1692" s="17" t="s">
        <v>16854</v>
      </c>
      <c r="C1692" s="17" t="s">
        <v>43</v>
      </c>
      <c r="D1692" s="17" t="s">
        <v>16334</v>
      </c>
      <c r="E1692" s="17" t="s">
        <v>45</v>
      </c>
      <c r="F1692" s="18">
        <v>1.0</v>
      </c>
      <c r="G1692" s="18"/>
      <c r="H1692" s="18"/>
      <c r="I1692" s="18"/>
      <c r="J1692" s="18"/>
      <c r="K1692" s="18"/>
      <c r="L1692" s="18"/>
      <c r="M1692" s="17" t="s">
        <v>50</v>
      </c>
      <c r="N1692" s="17" t="s">
        <v>45</v>
      </c>
      <c r="O1692" s="17" t="s">
        <v>2930</v>
      </c>
      <c r="P1692" s="17" t="s">
        <v>2931</v>
      </c>
      <c r="Q1692" s="17" t="s">
        <v>2932</v>
      </c>
      <c r="R1692" s="17" t="s">
        <v>2933</v>
      </c>
      <c r="S1692" s="18">
        <v>41.17</v>
      </c>
      <c r="T1692" s="18">
        <v>9.36</v>
      </c>
      <c r="U1692" s="18" t="s">
        <v>51</v>
      </c>
      <c r="V1692" s="17" t="s">
        <v>50</v>
      </c>
      <c r="W1692" s="17" t="s">
        <v>50</v>
      </c>
      <c r="X1692" s="17" t="s">
        <v>50</v>
      </c>
      <c r="Y1692" s="17" t="s">
        <v>50</v>
      </c>
      <c r="Z1692" s="17" t="s">
        <v>50</v>
      </c>
      <c r="AA1692" s="17" t="s">
        <v>50</v>
      </c>
      <c r="AB1692" s="17" t="s">
        <v>50</v>
      </c>
      <c r="AC1692" s="17" t="s">
        <v>50</v>
      </c>
      <c r="AD1692" s="17" t="s">
        <v>50</v>
      </c>
      <c r="AE1692" s="17" t="s">
        <v>50</v>
      </c>
      <c r="AF1692" s="17" t="s">
        <v>50</v>
      </c>
      <c r="AG1692" s="17" t="s">
        <v>50</v>
      </c>
      <c r="AH1692" s="17" t="s">
        <v>50</v>
      </c>
      <c r="AI1692" s="17" t="s">
        <v>50</v>
      </c>
      <c r="AJ1692" s="17" t="s">
        <v>50</v>
      </c>
      <c r="AK1692" s="17" t="s">
        <v>50</v>
      </c>
      <c r="AL1692" s="17" t="s">
        <v>50</v>
      </c>
      <c r="AM1692" s="17" t="s">
        <v>50</v>
      </c>
      <c r="AN1692" s="17" t="s">
        <v>50</v>
      </c>
      <c r="AO1692" s="18" t="s">
        <v>50</v>
      </c>
      <c r="AP1692" s="17" t="s">
        <v>50</v>
      </c>
      <c r="AQ1692" s="17" t="s">
        <v>50</v>
      </c>
      <c r="AR1692" s="17" t="s">
        <v>50</v>
      </c>
      <c r="AS1692" s="17" t="s">
        <v>50</v>
      </c>
      <c r="AT1692" s="17" t="s">
        <v>50</v>
      </c>
      <c r="AU1692" s="17" t="s">
        <v>50</v>
      </c>
      <c r="AV1692" s="18"/>
      <c r="AW1692" s="17" t="s">
        <v>66</v>
      </c>
      <c r="AX1692" s="17"/>
      <c r="AY1692" s="17" t="s">
        <v>66</v>
      </c>
    </row>
    <row r="1693" ht="22.5" hidden="1" customHeight="1">
      <c r="A1693" s="16" t="s">
        <v>16865</v>
      </c>
      <c r="B1693" s="17" t="s">
        <v>16854</v>
      </c>
      <c r="C1693" s="17" t="s">
        <v>43</v>
      </c>
      <c r="D1693" s="17" t="s">
        <v>16334</v>
      </c>
      <c r="E1693" s="17" t="s">
        <v>45</v>
      </c>
      <c r="F1693" s="18">
        <v>1.0</v>
      </c>
      <c r="G1693" s="18"/>
      <c r="H1693" s="18"/>
      <c r="I1693" s="18"/>
      <c r="J1693" s="18"/>
      <c r="K1693" s="18"/>
      <c r="L1693" s="18"/>
      <c r="M1693" s="17" t="s">
        <v>50</v>
      </c>
      <c r="N1693" s="17" t="s">
        <v>45</v>
      </c>
      <c r="O1693" s="17" t="s">
        <v>892</v>
      </c>
      <c r="P1693" s="17" t="s">
        <v>893</v>
      </c>
      <c r="Q1693" s="17" t="s">
        <v>894</v>
      </c>
      <c r="R1693" s="17" t="s">
        <v>74</v>
      </c>
      <c r="S1693" s="18">
        <v>79.2</v>
      </c>
      <c r="T1693" s="18">
        <v>2.97</v>
      </c>
      <c r="U1693" s="18" t="s">
        <v>51</v>
      </c>
      <c r="V1693" s="17" t="s">
        <v>50</v>
      </c>
      <c r="W1693" s="17" t="s">
        <v>50</v>
      </c>
      <c r="X1693" s="17" t="s">
        <v>50</v>
      </c>
      <c r="Y1693" s="17" t="s">
        <v>50</v>
      </c>
      <c r="Z1693" s="17" t="s">
        <v>50</v>
      </c>
      <c r="AA1693" s="17" t="s">
        <v>50</v>
      </c>
      <c r="AB1693" s="17" t="s">
        <v>50</v>
      </c>
      <c r="AC1693" s="17" t="s">
        <v>50</v>
      </c>
      <c r="AD1693" s="17" t="s">
        <v>50</v>
      </c>
      <c r="AE1693" s="17" t="s">
        <v>50</v>
      </c>
      <c r="AF1693" s="17" t="s">
        <v>50</v>
      </c>
      <c r="AG1693" s="17" t="s">
        <v>50</v>
      </c>
      <c r="AH1693" s="17" t="s">
        <v>50</v>
      </c>
      <c r="AI1693" s="17" t="s">
        <v>50</v>
      </c>
      <c r="AJ1693" s="17" t="s">
        <v>50</v>
      </c>
      <c r="AK1693" s="17" t="s">
        <v>50</v>
      </c>
      <c r="AL1693" s="17" t="s">
        <v>50</v>
      </c>
      <c r="AM1693" s="17" t="s">
        <v>50</v>
      </c>
      <c r="AN1693" s="17" t="s">
        <v>50</v>
      </c>
      <c r="AO1693" s="18" t="s">
        <v>50</v>
      </c>
      <c r="AP1693" s="17" t="s">
        <v>50</v>
      </c>
      <c r="AQ1693" s="17" t="s">
        <v>50</v>
      </c>
      <c r="AR1693" s="17" t="s">
        <v>50</v>
      </c>
      <c r="AS1693" s="17" t="s">
        <v>50</v>
      </c>
      <c r="AT1693" s="17" t="s">
        <v>50</v>
      </c>
      <c r="AU1693" s="17" t="s">
        <v>50</v>
      </c>
      <c r="AV1693" s="18"/>
      <c r="AW1693" s="17" t="s">
        <v>66</v>
      </c>
      <c r="AX1693" s="17"/>
      <c r="AY1693" s="17" t="s">
        <v>66</v>
      </c>
    </row>
    <row r="1694" ht="22.5" hidden="1" customHeight="1">
      <c r="A1694" s="9" t="s">
        <v>16866</v>
      </c>
      <c r="B1694" s="10" t="s">
        <v>16867</v>
      </c>
      <c r="C1694" s="10" t="s">
        <v>43</v>
      </c>
      <c r="D1694" s="10" t="s">
        <v>13175</v>
      </c>
      <c r="E1694" s="10" t="s">
        <v>45</v>
      </c>
      <c r="F1694" s="11">
        <v>2.0</v>
      </c>
      <c r="G1694" s="11">
        <v>160.0</v>
      </c>
      <c r="H1694" s="11"/>
      <c r="I1694" s="11">
        <v>-27.2</v>
      </c>
      <c r="J1694" s="11">
        <v>-39.9</v>
      </c>
      <c r="K1694" s="11"/>
      <c r="L1694" s="11">
        <v>100.9</v>
      </c>
      <c r="M1694" s="10" t="s">
        <v>12218</v>
      </c>
      <c r="N1694" s="10" t="s">
        <v>50</v>
      </c>
      <c r="O1694" s="10" t="s">
        <v>143</v>
      </c>
      <c r="P1694" s="10" t="s">
        <v>144</v>
      </c>
      <c r="Q1694" s="10" t="s">
        <v>145</v>
      </c>
      <c r="R1694" s="10" t="s">
        <v>74</v>
      </c>
      <c r="S1694" s="11">
        <v>80.0</v>
      </c>
      <c r="T1694" s="11">
        <v>33.38</v>
      </c>
      <c r="U1694" s="11" t="s">
        <v>51</v>
      </c>
      <c r="V1694" s="10" t="s">
        <v>52</v>
      </c>
      <c r="W1694" s="10" t="s">
        <v>16868</v>
      </c>
      <c r="X1694" s="10" t="s">
        <v>16869</v>
      </c>
      <c r="Y1694" s="10" t="s">
        <v>16870</v>
      </c>
      <c r="Z1694" s="10" t="s">
        <v>50</v>
      </c>
      <c r="AA1694" s="10" t="s">
        <v>50</v>
      </c>
      <c r="AB1694" s="10" t="s">
        <v>16868</v>
      </c>
      <c r="AC1694" s="10" t="s">
        <v>16871</v>
      </c>
      <c r="AD1694" s="10" t="s">
        <v>16872</v>
      </c>
      <c r="AE1694" s="10" t="s">
        <v>9494</v>
      </c>
      <c r="AF1694" s="10" t="s">
        <v>185</v>
      </c>
      <c r="AG1694" s="10" t="s">
        <v>9495</v>
      </c>
      <c r="AH1694" s="10" t="s">
        <v>60</v>
      </c>
      <c r="AI1694" s="10" t="s">
        <v>13406</v>
      </c>
      <c r="AJ1694" s="10" t="s">
        <v>16346</v>
      </c>
      <c r="AK1694" s="10" t="s">
        <v>16873</v>
      </c>
      <c r="AL1694" s="10" t="s">
        <v>64</v>
      </c>
      <c r="AM1694" s="10" t="s">
        <v>16874</v>
      </c>
      <c r="AN1694" s="10" t="s">
        <v>50</v>
      </c>
      <c r="AO1694" s="11" t="s">
        <v>50</v>
      </c>
      <c r="AP1694" s="10" t="s">
        <v>50</v>
      </c>
      <c r="AQ1694" s="10" t="s">
        <v>50</v>
      </c>
      <c r="AR1694" s="10" t="s">
        <v>50</v>
      </c>
      <c r="AS1694" s="10" t="s">
        <v>50</v>
      </c>
      <c r="AT1694" s="10" t="s">
        <v>50</v>
      </c>
      <c r="AU1694" s="10" t="s">
        <v>50</v>
      </c>
      <c r="AV1694" s="11"/>
      <c r="AW1694" s="10" t="s">
        <v>66</v>
      </c>
      <c r="AX1694" s="10"/>
      <c r="AY1694" s="10" t="s">
        <v>66</v>
      </c>
    </row>
    <row r="1695" ht="22.5" hidden="1" customHeight="1">
      <c r="A1695" s="9" t="s">
        <v>16875</v>
      </c>
      <c r="B1695" s="10" t="s">
        <v>16876</v>
      </c>
      <c r="C1695" s="10" t="s">
        <v>43</v>
      </c>
      <c r="D1695" s="10" t="s">
        <v>14923</v>
      </c>
      <c r="E1695" s="10" t="s">
        <v>66</v>
      </c>
      <c r="F1695" s="11">
        <v>1.0</v>
      </c>
      <c r="G1695" s="11">
        <v>80.0</v>
      </c>
      <c r="H1695" s="11"/>
      <c r="I1695" s="11">
        <v>-13.6</v>
      </c>
      <c r="J1695" s="11">
        <v>-19.95</v>
      </c>
      <c r="K1695" s="11"/>
      <c r="L1695" s="11">
        <v>50.45</v>
      </c>
      <c r="M1695" s="10" t="s">
        <v>12218</v>
      </c>
      <c r="N1695" s="10" t="s">
        <v>50</v>
      </c>
      <c r="O1695" s="10" t="s">
        <v>143</v>
      </c>
      <c r="P1695" s="10" t="s">
        <v>144</v>
      </c>
      <c r="Q1695" s="10" t="s">
        <v>145</v>
      </c>
      <c r="R1695" s="10" t="s">
        <v>74</v>
      </c>
      <c r="S1695" s="11">
        <v>80.0</v>
      </c>
      <c r="T1695" s="11">
        <v>33.38</v>
      </c>
      <c r="U1695" s="11" t="s">
        <v>51</v>
      </c>
      <c r="V1695" s="10" t="s">
        <v>52</v>
      </c>
      <c r="W1695" s="10" t="s">
        <v>16877</v>
      </c>
      <c r="X1695" s="10" t="s">
        <v>16878</v>
      </c>
      <c r="Y1695" s="10" t="s">
        <v>16879</v>
      </c>
      <c r="Z1695" s="10" t="s">
        <v>50</v>
      </c>
      <c r="AA1695" s="10" t="s">
        <v>50</v>
      </c>
      <c r="AB1695" s="10" t="s">
        <v>16877</v>
      </c>
      <c r="AC1695" s="10" t="s">
        <v>16880</v>
      </c>
      <c r="AD1695" s="10" t="s">
        <v>16881</v>
      </c>
      <c r="AE1695" s="10" t="s">
        <v>16882</v>
      </c>
      <c r="AF1695" s="10" t="s">
        <v>284</v>
      </c>
      <c r="AG1695" s="10" t="s">
        <v>16883</v>
      </c>
      <c r="AH1695" s="10" t="s">
        <v>60</v>
      </c>
      <c r="AI1695" s="10" t="s">
        <v>13406</v>
      </c>
      <c r="AJ1695" s="10" t="s">
        <v>15314</v>
      </c>
      <c r="AK1695" s="10" t="s">
        <v>16884</v>
      </c>
      <c r="AL1695" s="10" t="s">
        <v>64</v>
      </c>
      <c r="AM1695" s="10" t="s">
        <v>16885</v>
      </c>
      <c r="AN1695" s="10" t="s">
        <v>50</v>
      </c>
      <c r="AO1695" s="11" t="s">
        <v>50</v>
      </c>
      <c r="AP1695" s="10" t="s">
        <v>50</v>
      </c>
      <c r="AQ1695" s="10" t="s">
        <v>50</v>
      </c>
      <c r="AR1695" s="10" t="s">
        <v>50</v>
      </c>
      <c r="AS1695" s="10" t="s">
        <v>50</v>
      </c>
      <c r="AT1695" s="10" t="s">
        <v>50</v>
      </c>
      <c r="AU1695" s="10" t="s">
        <v>50</v>
      </c>
      <c r="AV1695" s="11"/>
      <c r="AW1695" s="10" t="s">
        <v>66</v>
      </c>
      <c r="AX1695" s="10"/>
      <c r="AY1695" s="10" t="s">
        <v>66</v>
      </c>
    </row>
    <row r="1696" ht="22.5" hidden="1" customHeight="1">
      <c r="A1696" s="9" t="s">
        <v>16886</v>
      </c>
      <c r="B1696" s="10" t="s">
        <v>16887</v>
      </c>
      <c r="C1696" s="10" t="s">
        <v>43</v>
      </c>
      <c r="D1696" s="10" t="s">
        <v>14945</v>
      </c>
      <c r="E1696" s="10" t="s">
        <v>45</v>
      </c>
      <c r="F1696" s="11">
        <v>2.0</v>
      </c>
      <c r="G1696" s="11">
        <v>87.4</v>
      </c>
      <c r="H1696" s="11"/>
      <c r="I1696" s="11">
        <v>-26.86</v>
      </c>
      <c r="J1696" s="11"/>
      <c r="K1696" s="11"/>
      <c r="L1696" s="11">
        <v>65.78</v>
      </c>
      <c r="M1696" s="10" t="s">
        <v>12218</v>
      </c>
      <c r="N1696" s="10" t="s">
        <v>50</v>
      </c>
      <c r="O1696" s="10" t="s">
        <v>176</v>
      </c>
      <c r="P1696" s="10" t="s">
        <v>177</v>
      </c>
      <c r="Q1696" s="10" t="s">
        <v>178</v>
      </c>
      <c r="R1696" s="10" t="s">
        <v>74</v>
      </c>
      <c r="S1696" s="11">
        <v>43.7</v>
      </c>
      <c r="T1696" s="11">
        <f>2*22.58</f>
        <v>45.16</v>
      </c>
      <c r="U1696" s="11" t="s">
        <v>51</v>
      </c>
      <c r="V1696" s="10" t="s">
        <v>52</v>
      </c>
      <c r="W1696" s="10" t="s">
        <v>16888</v>
      </c>
      <c r="X1696" s="10" t="s">
        <v>16889</v>
      </c>
      <c r="Y1696" s="10" t="s">
        <v>16890</v>
      </c>
      <c r="Z1696" s="10" t="s">
        <v>50</v>
      </c>
      <c r="AA1696" s="10" t="s">
        <v>50</v>
      </c>
      <c r="AB1696" s="10" t="s">
        <v>16888</v>
      </c>
      <c r="AC1696" s="10" t="s">
        <v>16891</v>
      </c>
      <c r="AD1696" s="10" t="s">
        <v>16892</v>
      </c>
      <c r="AE1696" s="10" t="s">
        <v>235</v>
      </c>
      <c r="AF1696" s="10" t="s">
        <v>58</v>
      </c>
      <c r="AG1696" s="10" t="s">
        <v>16893</v>
      </c>
      <c r="AH1696" s="10" t="s">
        <v>60</v>
      </c>
      <c r="AI1696" s="10" t="s">
        <v>13406</v>
      </c>
      <c r="AJ1696" s="10" t="s">
        <v>15325</v>
      </c>
      <c r="AK1696" s="10" t="s">
        <v>16894</v>
      </c>
      <c r="AL1696" s="10" t="s">
        <v>64</v>
      </c>
      <c r="AM1696" s="10" t="s">
        <v>16895</v>
      </c>
      <c r="AN1696" s="10" t="s">
        <v>50</v>
      </c>
      <c r="AO1696" s="11" t="s">
        <v>50</v>
      </c>
      <c r="AP1696" s="10" t="s">
        <v>50</v>
      </c>
      <c r="AQ1696" s="10" t="s">
        <v>50</v>
      </c>
      <c r="AR1696" s="10" t="s">
        <v>50</v>
      </c>
      <c r="AS1696" s="10" t="s">
        <v>50</v>
      </c>
      <c r="AT1696" s="10" t="s">
        <v>50</v>
      </c>
      <c r="AU1696" s="10" t="s">
        <v>50</v>
      </c>
      <c r="AV1696" s="11"/>
      <c r="AW1696" s="10" t="s">
        <v>66</v>
      </c>
      <c r="AX1696" s="10"/>
      <c r="AY1696" s="10" t="s">
        <v>66</v>
      </c>
    </row>
    <row r="1697" ht="22.5" hidden="1" customHeight="1">
      <c r="A1697" s="9" t="s">
        <v>16896</v>
      </c>
      <c r="B1697" s="10" t="s">
        <v>16897</v>
      </c>
      <c r="C1697" s="10" t="s">
        <v>69</v>
      </c>
      <c r="D1697" s="10" t="s">
        <v>70</v>
      </c>
      <c r="E1697" s="10" t="s">
        <v>66</v>
      </c>
      <c r="F1697" s="11">
        <v>1.0</v>
      </c>
      <c r="G1697" s="11">
        <v>80.0</v>
      </c>
      <c r="H1697" s="11"/>
      <c r="I1697" s="11">
        <v>-13.6</v>
      </c>
      <c r="J1697" s="11">
        <v>-19.95</v>
      </c>
      <c r="K1697" s="11">
        <v>-50.45</v>
      </c>
      <c r="L1697" s="11">
        <v>0.0</v>
      </c>
      <c r="M1697" s="10" t="s">
        <v>12218</v>
      </c>
      <c r="N1697" s="10" t="s">
        <v>50</v>
      </c>
      <c r="O1697" s="10" t="s">
        <v>143</v>
      </c>
      <c r="P1697" s="10" t="s">
        <v>144</v>
      </c>
      <c r="Q1697" s="10" t="s">
        <v>145</v>
      </c>
      <c r="R1697" s="10" t="s">
        <v>74</v>
      </c>
      <c r="S1697" s="11">
        <v>80.0</v>
      </c>
      <c r="T1697" s="11"/>
      <c r="U1697" s="11" t="s">
        <v>51</v>
      </c>
      <c r="V1697" s="10" t="s">
        <v>75</v>
      </c>
      <c r="W1697" s="10" t="s">
        <v>16898</v>
      </c>
      <c r="X1697" s="10" t="s">
        <v>16899</v>
      </c>
      <c r="Y1697" s="10" t="s">
        <v>16900</v>
      </c>
      <c r="Z1697" s="10" t="s">
        <v>50</v>
      </c>
      <c r="AA1697" s="10" t="s">
        <v>50</v>
      </c>
      <c r="AB1697" s="10" t="s">
        <v>16898</v>
      </c>
      <c r="AC1697" s="10" t="s">
        <v>16901</v>
      </c>
      <c r="AD1697" s="10" t="s">
        <v>50</v>
      </c>
      <c r="AE1697" s="10" t="s">
        <v>1346</v>
      </c>
      <c r="AF1697" s="10" t="s">
        <v>1347</v>
      </c>
      <c r="AG1697" s="10" t="s">
        <v>16902</v>
      </c>
      <c r="AH1697" s="10" t="s">
        <v>60</v>
      </c>
      <c r="AI1697" s="10" t="s">
        <v>13406</v>
      </c>
      <c r="AJ1697" s="10" t="s">
        <v>50</v>
      </c>
      <c r="AK1697" s="10" t="s">
        <v>50</v>
      </c>
      <c r="AL1697" s="10" t="s">
        <v>64</v>
      </c>
      <c r="AM1697" s="10" t="s">
        <v>50</v>
      </c>
      <c r="AN1697" s="10" t="s">
        <v>50</v>
      </c>
      <c r="AO1697" s="11" t="s">
        <v>50</v>
      </c>
      <c r="AP1697" s="10" t="s">
        <v>50</v>
      </c>
      <c r="AQ1697" s="10" t="s">
        <v>50</v>
      </c>
      <c r="AR1697" s="10" t="s">
        <v>50</v>
      </c>
      <c r="AS1697" s="10" t="s">
        <v>50</v>
      </c>
      <c r="AT1697" s="10" t="s">
        <v>50</v>
      </c>
      <c r="AU1697" s="10" t="s">
        <v>50</v>
      </c>
      <c r="AV1697" s="11"/>
      <c r="AW1697" s="10" t="s">
        <v>66</v>
      </c>
      <c r="AX1697" s="10"/>
      <c r="AY1697" s="10" t="s">
        <v>66</v>
      </c>
    </row>
    <row r="1698" ht="22.5" hidden="1" customHeight="1">
      <c r="A1698" s="9" t="s">
        <v>16903</v>
      </c>
      <c r="B1698" s="10" t="s">
        <v>16904</v>
      </c>
      <c r="C1698" s="10" t="s">
        <v>43</v>
      </c>
      <c r="D1698" s="10" t="s">
        <v>13120</v>
      </c>
      <c r="E1698" s="10" t="s">
        <v>66</v>
      </c>
      <c r="F1698" s="11">
        <v>1.0</v>
      </c>
      <c r="G1698" s="11">
        <v>79.2</v>
      </c>
      <c r="H1698" s="11"/>
      <c r="I1698" s="11">
        <v>-13.46</v>
      </c>
      <c r="J1698" s="11">
        <v>-20.45</v>
      </c>
      <c r="K1698" s="11"/>
      <c r="L1698" s="11">
        <v>45.29</v>
      </c>
      <c r="M1698" s="10" t="s">
        <v>12218</v>
      </c>
      <c r="N1698" s="10" t="s">
        <v>45</v>
      </c>
      <c r="O1698" s="10" t="s">
        <v>892</v>
      </c>
      <c r="P1698" s="10" t="s">
        <v>893</v>
      </c>
      <c r="Q1698" s="10" t="s">
        <v>894</v>
      </c>
      <c r="R1698" s="10" t="s">
        <v>74</v>
      </c>
      <c r="S1698" s="11">
        <v>79.2</v>
      </c>
      <c r="T1698" s="11">
        <v>2.97</v>
      </c>
      <c r="U1698" s="11" t="s">
        <v>51</v>
      </c>
      <c r="V1698" s="10" t="s">
        <v>52</v>
      </c>
      <c r="W1698" s="10" t="s">
        <v>16905</v>
      </c>
      <c r="X1698" s="10" t="s">
        <v>16906</v>
      </c>
      <c r="Y1698" s="10" t="s">
        <v>16907</v>
      </c>
      <c r="Z1698" s="10" t="s">
        <v>50</v>
      </c>
      <c r="AA1698" s="10" t="s">
        <v>50</v>
      </c>
      <c r="AB1698" s="10" t="s">
        <v>16905</v>
      </c>
      <c r="AC1698" s="10" t="s">
        <v>16908</v>
      </c>
      <c r="AD1698" s="10" t="s">
        <v>16909</v>
      </c>
      <c r="AE1698" s="10" t="s">
        <v>12763</v>
      </c>
      <c r="AF1698" s="10" t="s">
        <v>214</v>
      </c>
      <c r="AG1698" s="10" t="s">
        <v>12764</v>
      </c>
      <c r="AH1698" s="10" t="s">
        <v>60</v>
      </c>
      <c r="AI1698" s="10" t="s">
        <v>13406</v>
      </c>
      <c r="AJ1698" s="10" t="s">
        <v>15314</v>
      </c>
      <c r="AK1698" s="10" t="s">
        <v>16910</v>
      </c>
      <c r="AL1698" s="10" t="s">
        <v>64</v>
      </c>
      <c r="AM1698" s="10" t="s">
        <v>16911</v>
      </c>
      <c r="AN1698" s="10" t="s">
        <v>50</v>
      </c>
      <c r="AO1698" s="11" t="s">
        <v>50</v>
      </c>
      <c r="AP1698" s="10" t="s">
        <v>50</v>
      </c>
      <c r="AQ1698" s="10" t="s">
        <v>50</v>
      </c>
      <c r="AR1698" s="10" t="s">
        <v>50</v>
      </c>
      <c r="AS1698" s="10" t="s">
        <v>50</v>
      </c>
      <c r="AT1698" s="10" t="s">
        <v>50</v>
      </c>
      <c r="AU1698" s="10" t="s">
        <v>50</v>
      </c>
      <c r="AV1698" s="11"/>
      <c r="AW1698" s="10" t="s">
        <v>66</v>
      </c>
      <c r="AX1698" s="10"/>
      <c r="AY1698" s="10" t="s">
        <v>66</v>
      </c>
    </row>
    <row r="1699" ht="22.5" hidden="1" customHeight="1">
      <c r="A1699" s="9" t="s">
        <v>16912</v>
      </c>
      <c r="B1699" s="10" t="s">
        <v>16913</v>
      </c>
      <c r="C1699" s="10" t="s">
        <v>43</v>
      </c>
      <c r="D1699" s="10" t="s">
        <v>13175</v>
      </c>
      <c r="E1699" s="10" t="s">
        <v>66</v>
      </c>
      <c r="F1699" s="11">
        <v>1.0</v>
      </c>
      <c r="G1699" s="11">
        <v>79.35</v>
      </c>
      <c r="H1699" s="11"/>
      <c r="I1699" s="11">
        <v>-15.08</v>
      </c>
      <c r="J1699" s="11">
        <v>-19.95</v>
      </c>
      <c r="K1699" s="11"/>
      <c r="L1699" s="11">
        <v>44.32</v>
      </c>
      <c r="M1699" s="10" t="s">
        <v>12218</v>
      </c>
      <c r="N1699" s="10" t="s">
        <v>45</v>
      </c>
      <c r="O1699" s="10" t="s">
        <v>47</v>
      </c>
      <c r="P1699" s="10" t="s">
        <v>48</v>
      </c>
      <c r="Q1699" s="10" t="s">
        <v>49</v>
      </c>
      <c r="R1699" s="10" t="s">
        <v>50</v>
      </c>
      <c r="S1699" s="11">
        <v>79.35</v>
      </c>
      <c r="T1699" s="11">
        <v>12.45</v>
      </c>
      <c r="U1699" s="11" t="s">
        <v>51</v>
      </c>
      <c r="V1699" s="10" t="s">
        <v>52</v>
      </c>
      <c r="W1699" s="10" t="s">
        <v>16914</v>
      </c>
      <c r="X1699" s="10" t="s">
        <v>16915</v>
      </c>
      <c r="Y1699" s="10" t="s">
        <v>16916</v>
      </c>
      <c r="Z1699" s="10" t="s">
        <v>50</v>
      </c>
      <c r="AA1699" s="10" t="s">
        <v>50</v>
      </c>
      <c r="AB1699" s="10" t="s">
        <v>16914</v>
      </c>
      <c r="AC1699" s="10" t="s">
        <v>16917</v>
      </c>
      <c r="AD1699" s="10" t="s">
        <v>16918</v>
      </c>
      <c r="AE1699" s="10" t="s">
        <v>1605</v>
      </c>
      <c r="AF1699" s="10" t="s">
        <v>185</v>
      </c>
      <c r="AG1699" s="10" t="s">
        <v>1606</v>
      </c>
      <c r="AH1699" s="10" t="s">
        <v>60</v>
      </c>
      <c r="AI1699" s="10" t="s">
        <v>13406</v>
      </c>
      <c r="AJ1699" s="10" t="s">
        <v>16346</v>
      </c>
      <c r="AK1699" s="10" t="s">
        <v>16919</v>
      </c>
      <c r="AL1699" s="10" t="s">
        <v>64</v>
      </c>
      <c r="AM1699" s="10" t="s">
        <v>16920</v>
      </c>
      <c r="AN1699" s="10" t="s">
        <v>50</v>
      </c>
      <c r="AO1699" s="11" t="s">
        <v>50</v>
      </c>
      <c r="AP1699" s="10" t="s">
        <v>50</v>
      </c>
      <c r="AQ1699" s="10" t="s">
        <v>50</v>
      </c>
      <c r="AR1699" s="10" t="s">
        <v>50</v>
      </c>
      <c r="AS1699" s="10" t="s">
        <v>50</v>
      </c>
      <c r="AT1699" s="10" t="s">
        <v>50</v>
      </c>
      <c r="AU1699" s="10" t="s">
        <v>50</v>
      </c>
      <c r="AV1699" s="11"/>
      <c r="AW1699" s="10" t="s">
        <v>66</v>
      </c>
      <c r="AX1699" s="10"/>
      <c r="AY1699" s="10" t="s">
        <v>66</v>
      </c>
    </row>
    <row r="1700" ht="22.5" hidden="1" customHeight="1">
      <c r="A1700" s="9" t="s">
        <v>16921</v>
      </c>
      <c r="B1700" s="10" t="s">
        <v>16922</v>
      </c>
      <c r="C1700" s="10" t="s">
        <v>43</v>
      </c>
      <c r="D1700" s="10" t="s">
        <v>14945</v>
      </c>
      <c r="E1700" s="10" t="s">
        <v>66</v>
      </c>
      <c r="F1700" s="11">
        <v>1.0</v>
      </c>
      <c r="G1700" s="11">
        <v>79.2</v>
      </c>
      <c r="H1700" s="11"/>
      <c r="I1700" s="11">
        <v>-13.46</v>
      </c>
      <c r="J1700" s="11">
        <v>-20.45</v>
      </c>
      <c r="K1700" s="11"/>
      <c r="L1700" s="11">
        <v>45.29</v>
      </c>
      <c r="M1700" s="10" t="s">
        <v>12218</v>
      </c>
      <c r="N1700" s="10" t="s">
        <v>45</v>
      </c>
      <c r="O1700" s="10" t="s">
        <v>412</v>
      </c>
      <c r="P1700" s="10" t="s">
        <v>413</v>
      </c>
      <c r="Q1700" s="10" t="s">
        <v>414</v>
      </c>
      <c r="R1700" s="10" t="s">
        <v>415</v>
      </c>
      <c r="S1700" s="11">
        <v>79.2</v>
      </c>
      <c r="T1700" s="11">
        <v>10.05</v>
      </c>
      <c r="U1700" s="11" t="s">
        <v>51</v>
      </c>
      <c r="V1700" s="10" t="s">
        <v>52</v>
      </c>
      <c r="W1700" s="10" t="s">
        <v>16923</v>
      </c>
      <c r="X1700" s="10" t="s">
        <v>16924</v>
      </c>
      <c r="Y1700" s="10" t="s">
        <v>16925</v>
      </c>
      <c r="Z1700" s="10" t="s">
        <v>50</v>
      </c>
      <c r="AA1700" s="10" t="s">
        <v>50</v>
      </c>
      <c r="AB1700" s="10" t="s">
        <v>16923</v>
      </c>
      <c r="AC1700" s="10" t="s">
        <v>16926</v>
      </c>
      <c r="AD1700" s="10" t="s">
        <v>16927</v>
      </c>
      <c r="AE1700" s="10" t="s">
        <v>58</v>
      </c>
      <c r="AF1700" s="10" t="s">
        <v>58</v>
      </c>
      <c r="AG1700" s="10" t="s">
        <v>16928</v>
      </c>
      <c r="AH1700" s="10" t="s">
        <v>60</v>
      </c>
      <c r="AI1700" s="10" t="s">
        <v>13406</v>
      </c>
      <c r="AJ1700" s="10" t="s">
        <v>15325</v>
      </c>
      <c r="AK1700" s="10" t="s">
        <v>16929</v>
      </c>
      <c r="AL1700" s="10" t="s">
        <v>64</v>
      </c>
      <c r="AM1700" s="10" t="s">
        <v>16930</v>
      </c>
      <c r="AN1700" s="10" t="s">
        <v>50</v>
      </c>
      <c r="AO1700" s="11" t="s">
        <v>50</v>
      </c>
      <c r="AP1700" s="10" t="s">
        <v>50</v>
      </c>
      <c r="AQ1700" s="10" t="s">
        <v>50</v>
      </c>
      <c r="AR1700" s="10" t="s">
        <v>50</v>
      </c>
      <c r="AS1700" s="10" t="s">
        <v>50</v>
      </c>
      <c r="AT1700" s="10" t="s">
        <v>50</v>
      </c>
      <c r="AU1700" s="10" t="s">
        <v>50</v>
      </c>
      <c r="AV1700" s="11"/>
      <c r="AW1700" s="10" t="s">
        <v>66</v>
      </c>
      <c r="AX1700" s="10"/>
      <c r="AY1700" s="10" t="s">
        <v>66</v>
      </c>
    </row>
    <row r="1701" ht="22.5" hidden="1" customHeight="1">
      <c r="A1701" s="9" t="s">
        <v>16931</v>
      </c>
      <c r="B1701" s="10" t="s">
        <v>16932</v>
      </c>
      <c r="C1701" s="10" t="s">
        <v>43</v>
      </c>
      <c r="D1701" s="10" t="s">
        <v>16334</v>
      </c>
      <c r="E1701" s="10" t="s">
        <v>45</v>
      </c>
      <c r="F1701" s="11">
        <v>1.0</v>
      </c>
      <c r="G1701" s="11">
        <v>80.0</v>
      </c>
      <c r="H1701" s="11"/>
      <c r="I1701" s="11">
        <v>-13.6</v>
      </c>
      <c r="J1701" s="11">
        <v>-19.95</v>
      </c>
      <c r="K1701" s="11"/>
      <c r="L1701" s="11">
        <v>50.45</v>
      </c>
      <c r="M1701" s="10" t="s">
        <v>12218</v>
      </c>
      <c r="N1701" s="10" t="s">
        <v>50</v>
      </c>
      <c r="O1701" s="10" t="s">
        <v>143</v>
      </c>
      <c r="P1701" s="10" t="s">
        <v>144</v>
      </c>
      <c r="Q1701" s="10" t="s">
        <v>145</v>
      </c>
      <c r="R1701" s="10" t="s">
        <v>74</v>
      </c>
      <c r="S1701" s="11">
        <v>80.0</v>
      </c>
      <c r="T1701" s="11">
        <v>33.38</v>
      </c>
      <c r="U1701" s="11" t="s">
        <v>51</v>
      </c>
      <c r="V1701" s="10" t="s">
        <v>52</v>
      </c>
      <c r="W1701" s="10" t="s">
        <v>16933</v>
      </c>
      <c r="X1701" s="10" t="s">
        <v>16934</v>
      </c>
      <c r="Y1701" s="10" t="s">
        <v>16935</v>
      </c>
      <c r="Z1701" s="10" t="s">
        <v>50</v>
      </c>
      <c r="AA1701" s="10" t="s">
        <v>50</v>
      </c>
      <c r="AB1701" s="10" t="s">
        <v>16933</v>
      </c>
      <c r="AC1701" s="10" t="s">
        <v>16936</v>
      </c>
      <c r="AD1701" s="10" t="s">
        <v>16937</v>
      </c>
      <c r="AE1701" s="10" t="s">
        <v>3320</v>
      </c>
      <c r="AF1701" s="10" t="s">
        <v>323</v>
      </c>
      <c r="AG1701" s="10" t="s">
        <v>16938</v>
      </c>
      <c r="AH1701" s="10" t="s">
        <v>60</v>
      </c>
      <c r="AI1701" s="10" t="s">
        <v>13406</v>
      </c>
      <c r="AJ1701" s="10" t="s">
        <v>16939</v>
      </c>
      <c r="AK1701" s="10" t="s">
        <v>16940</v>
      </c>
      <c r="AL1701" s="10" t="s">
        <v>64</v>
      </c>
      <c r="AM1701" s="10" t="s">
        <v>16941</v>
      </c>
      <c r="AN1701" s="10" t="s">
        <v>50</v>
      </c>
      <c r="AO1701" s="11" t="s">
        <v>50</v>
      </c>
      <c r="AP1701" s="10" t="s">
        <v>50</v>
      </c>
      <c r="AQ1701" s="10" t="s">
        <v>50</v>
      </c>
      <c r="AR1701" s="10" t="s">
        <v>50</v>
      </c>
      <c r="AS1701" s="10" t="s">
        <v>50</v>
      </c>
      <c r="AT1701" s="10" t="s">
        <v>50</v>
      </c>
      <c r="AU1701" s="10" t="s">
        <v>50</v>
      </c>
      <c r="AV1701" s="11"/>
      <c r="AW1701" s="10" t="s">
        <v>66</v>
      </c>
      <c r="AX1701" s="10"/>
      <c r="AY1701" s="10" t="s">
        <v>66</v>
      </c>
    </row>
    <row r="1702" ht="22.5" hidden="1" customHeight="1">
      <c r="A1702" s="9" t="s">
        <v>16942</v>
      </c>
      <c r="B1702" s="10" t="s">
        <v>16943</v>
      </c>
      <c r="C1702" s="10" t="s">
        <v>43</v>
      </c>
      <c r="D1702" s="10" t="s">
        <v>14923</v>
      </c>
      <c r="E1702" s="10" t="s">
        <v>66</v>
      </c>
      <c r="F1702" s="11">
        <v>1.0</v>
      </c>
      <c r="G1702" s="11">
        <v>79.0</v>
      </c>
      <c r="H1702" s="11"/>
      <c r="I1702" s="11">
        <v>-13.43</v>
      </c>
      <c r="J1702" s="11">
        <v>-20.45</v>
      </c>
      <c r="K1702" s="11"/>
      <c r="L1702" s="11">
        <v>45.12</v>
      </c>
      <c r="M1702" s="10" t="s">
        <v>12218</v>
      </c>
      <c r="N1702" s="10" t="s">
        <v>45</v>
      </c>
      <c r="O1702" s="10" t="s">
        <v>461</v>
      </c>
      <c r="P1702" s="10" t="s">
        <v>462</v>
      </c>
      <c r="Q1702" s="10" t="s">
        <v>463</v>
      </c>
      <c r="R1702" s="10" t="s">
        <v>74</v>
      </c>
      <c r="S1702" s="11">
        <v>79.0</v>
      </c>
      <c r="T1702" s="11">
        <v>10.09</v>
      </c>
      <c r="U1702" s="11" t="s">
        <v>51</v>
      </c>
      <c r="V1702" s="10" t="s">
        <v>52</v>
      </c>
      <c r="W1702" s="10" t="s">
        <v>16944</v>
      </c>
      <c r="X1702" s="10" t="s">
        <v>16945</v>
      </c>
      <c r="Y1702" s="10" t="s">
        <v>16946</v>
      </c>
      <c r="Z1702" s="10" t="s">
        <v>50</v>
      </c>
      <c r="AA1702" s="10" t="s">
        <v>50</v>
      </c>
      <c r="AB1702" s="10" t="s">
        <v>16944</v>
      </c>
      <c r="AC1702" s="10" t="s">
        <v>16947</v>
      </c>
      <c r="AD1702" s="10" t="s">
        <v>16948</v>
      </c>
      <c r="AE1702" s="10" t="s">
        <v>16949</v>
      </c>
      <c r="AF1702" s="10" t="s">
        <v>323</v>
      </c>
      <c r="AG1702" s="10" t="s">
        <v>16950</v>
      </c>
      <c r="AH1702" s="10" t="s">
        <v>60</v>
      </c>
      <c r="AI1702" s="10" t="s">
        <v>13406</v>
      </c>
      <c r="AJ1702" s="10" t="s">
        <v>15336</v>
      </c>
      <c r="AK1702" s="10" t="s">
        <v>16951</v>
      </c>
      <c r="AL1702" s="10" t="s">
        <v>64</v>
      </c>
      <c r="AM1702" s="10" t="s">
        <v>16952</v>
      </c>
      <c r="AN1702" s="10" t="s">
        <v>50</v>
      </c>
      <c r="AO1702" s="11" t="s">
        <v>50</v>
      </c>
      <c r="AP1702" s="10" t="s">
        <v>50</v>
      </c>
      <c r="AQ1702" s="10" t="s">
        <v>50</v>
      </c>
      <c r="AR1702" s="10" t="s">
        <v>50</v>
      </c>
      <c r="AS1702" s="10" t="s">
        <v>50</v>
      </c>
      <c r="AT1702" s="10" t="s">
        <v>50</v>
      </c>
      <c r="AU1702" s="10" t="s">
        <v>50</v>
      </c>
      <c r="AV1702" s="11"/>
      <c r="AW1702" s="10" t="s">
        <v>66</v>
      </c>
      <c r="AX1702" s="10"/>
      <c r="AY1702" s="10" t="s">
        <v>66</v>
      </c>
    </row>
    <row r="1703" ht="22.5" hidden="1" customHeight="1">
      <c r="A1703" s="9" t="s">
        <v>16953</v>
      </c>
      <c r="B1703" s="10" t="s">
        <v>16954</v>
      </c>
      <c r="C1703" s="10" t="s">
        <v>43</v>
      </c>
      <c r="D1703" s="10" t="s">
        <v>13108</v>
      </c>
      <c r="E1703" s="10" t="s">
        <v>66</v>
      </c>
      <c r="F1703" s="11">
        <v>1.0</v>
      </c>
      <c r="G1703" s="11">
        <v>80.0</v>
      </c>
      <c r="H1703" s="11"/>
      <c r="I1703" s="11">
        <v>-13.6</v>
      </c>
      <c r="J1703" s="11">
        <v>-19.95</v>
      </c>
      <c r="K1703" s="11"/>
      <c r="L1703" s="11">
        <v>50.45</v>
      </c>
      <c r="M1703" s="10" t="s">
        <v>12218</v>
      </c>
      <c r="N1703" s="10" t="s">
        <v>45</v>
      </c>
      <c r="O1703" s="10" t="s">
        <v>143</v>
      </c>
      <c r="P1703" s="10" t="s">
        <v>144</v>
      </c>
      <c r="Q1703" s="10" t="s">
        <v>145</v>
      </c>
      <c r="R1703" s="10" t="s">
        <v>74</v>
      </c>
      <c r="S1703" s="11">
        <v>80.0</v>
      </c>
      <c r="T1703" s="11">
        <v>33.38</v>
      </c>
      <c r="U1703" s="11" t="s">
        <v>51</v>
      </c>
      <c r="V1703" s="10" t="s">
        <v>52</v>
      </c>
      <c r="W1703" s="10" t="s">
        <v>16955</v>
      </c>
      <c r="X1703" s="10" t="s">
        <v>16956</v>
      </c>
      <c r="Y1703" s="10" t="s">
        <v>16957</v>
      </c>
      <c r="Z1703" s="10" t="s">
        <v>50</v>
      </c>
      <c r="AA1703" s="10" t="s">
        <v>50</v>
      </c>
      <c r="AB1703" s="10" t="s">
        <v>16955</v>
      </c>
      <c r="AC1703" s="10" t="s">
        <v>16958</v>
      </c>
      <c r="AD1703" s="10" t="s">
        <v>16959</v>
      </c>
      <c r="AE1703" s="10" t="s">
        <v>9900</v>
      </c>
      <c r="AF1703" s="10" t="s">
        <v>2158</v>
      </c>
      <c r="AG1703" s="10" t="s">
        <v>9901</v>
      </c>
      <c r="AH1703" s="10" t="s">
        <v>60</v>
      </c>
      <c r="AI1703" s="10" t="s">
        <v>13406</v>
      </c>
      <c r="AJ1703" s="10" t="s">
        <v>16329</v>
      </c>
      <c r="AK1703" s="10" t="s">
        <v>16960</v>
      </c>
      <c r="AL1703" s="10" t="s">
        <v>64</v>
      </c>
      <c r="AM1703" s="10" t="s">
        <v>16961</v>
      </c>
      <c r="AN1703" s="10" t="s">
        <v>50</v>
      </c>
      <c r="AO1703" s="11" t="s">
        <v>50</v>
      </c>
      <c r="AP1703" s="10" t="s">
        <v>50</v>
      </c>
      <c r="AQ1703" s="10" t="s">
        <v>50</v>
      </c>
      <c r="AR1703" s="10" t="s">
        <v>50</v>
      </c>
      <c r="AS1703" s="10" t="s">
        <v>50</v>
      </c>
      <c r="AT1703" s="10" t="s">
        <v>50</v>
      </c>
      <c r="AU1703" s="10" t="s">
        <v>50</v>
      </c>
      <c r="AV1703" s="11"/>
      <c r="AW1703" s="10" t="s">
        <v>66</v>
      </c>
      <c r="AX1703" s="10"/>
      <c r="AY1703" s="10" t="s">
        <v>66</v>
      </c>
    </row>
    <row r="1704" ht="22.5" hidden="1" customHeight="1">
      <c r="A1704" s="9" t="s">
        <v>16962</v>
      </c>
      <c r="B1704" s="10" t="s">
        <v>16963</v>
      </c>
      <c r="C1704" s="10" t="s">
        <v>43</v>
      </c>
      <c r="D1704" s="10" t="s">
        <v>14945</v>
      </c>
      <c r="E1704" s="10" t="s">
        <v>66</v>
      </c>
      <c r="F1704" s="11">
        <v>1.0</v>
      </c>
      <c r="G1704" s="11">
        <v>120.0</v>
      </c>
      <c r="H1704" s="11"/>
      <c r="I1704" s="11">
        <v>-20.4</v>
      </c>
      <c r="J1704" s="11">
        <v>-19.95</v>
      </c>
      <c r="K1704" s="11"/>
      <c r="L1704" s="11">
        <v>86.85</v>
      </c>
      <c r="M1704" s="10" t="s">
        <v>12218</v>
      </c>
      <c r="N1704" s="10" t="s">
        <v>50</v>
      </c>
      <c r="O1704" s="10" t="s">
        <v>85</v>
      </c>
      <c r="P1704" s="10" t="s">
        <v>86</v>
      </c>
      <c r="Q1704" s="10" t="s">
        <v>87</v>
      </c>
      <c r="R1704" s="10" t="s">
        <v>74</v>
      </c>
      <c r="S1704" s="11">
        <v>120.0</v>
      </c>
      <c r="T1704" s="11">
        <v>65.78</v>
      </c>
      <c r="U1704" s="11" t="s">
        <v>51</v>
      </c>
      <c r="V1704" s="10" t="s">
        <v>52</v>
      </c>
      <c r="W1704" s="10" t="s">
        <v>16964</v>
      </c>
      <c r="X1704" s="10" t="s">
        <v>16965</v>
      </c>
      <c r="Y1704" s="10" t="s">
        <v>16966</v>
      </c>
      <c r="Z1704" s="10" t="s">
        <v>50</v>
      </c>
      <c r="AA1704" s="10" t="s">
        <v>50</v>
      </c>
      <c r="AB1704" s="10" t="s">
        <v>16964</v>
      </c>
      <c r="AC1704" s="10" t="s">
        <v>16967</v>
      </c>
      <c r="AD1704" s="10" t="s">
        <v>16968</v>
      </c>
      <c r="AE1704" s="10" t="s">
        <v>58</v>
      </c>
      <c r="AF1704" s="10" t="s">
        <v>58</v>
      </c>
      <c r="AG1704" s="10" t="s">
        <v>16969</v>
      </c>
      <c r="AH1704" s="10" t="s">
        <v>60</v>
      </c>
      <c r="AI1704" s="10" t="s">
        <v>13406</v>
      </c>
      <c r="AJ1704" s="10" t="s">
        <v>16388</v>
      </c>
      <c r="AK1704" s="10" t="s">
        <v>16970</v>
      </c>
      <c r="AL1704" s="10" t="s">
        <v>64</v>
      </c>
      <c r="AM1704" s="10" t="s">
        <v>16971</v>
      </c>
      <c r="AN1704" s="10" t="s">
        <v>50</v>
      </c>
      <c r="AO1704" s="11" t="s">
        <v>50</v>
      </c>
      <c r="AP1704" s="10" t="s">
        <v>50</v>
      </c>
      <c r="AQ1704" s="10" t="s">
        <v>50</v>
      </c>
      <c r="AR1704" s="10" t="s">
        <v>50</v>
      </c>
      <c r="AS1704" s="10" t="s">
        <v>50</v>
      </c>
      <c r="AT1704" s="10" t="s">
        <v>50</v>
      </c>
      <c r="AU1704" s="10" t="s">
        <v>50</v>
      </c>
      <c r="AV1704" s="11"/>
      <c r="AW1704" s="10" t="s">
        <v>66</v>
      </c>
      <c r="AX1704" s="10"/>
      <c r="AY1704" s="10" t="s">
        <v>66</v>
      </c>
    </row>
    <row r="1705" ht="22.5" hidden="1" customHeight="1">
      <c r="A1705" s="9" t="s">
        <v>16972</v>
      </c>
      <c r="B1705" s="10" t="s">
        <v>16973</v>
      </c>
      <c r="C1705" s="10" t="s">
        <v>43</v>
      </c>
      <c r="D1705" s="10" t="s">
        <v>14945</v>
      </c>
      <c r="E1705" s="10" t="s">
        <v>66</v>
      </c>
      <c r="F1705" s="11">
        <v>1.0</v>
      </c>
      <c r="G1705" s="11">
        <v>79.0</v>
      </c>
      <c r="H1705" s="11"/>
      <c r="I1705" s="11">
        <v>-13.43</v>
      </c>
      <c r="J1705" s="11">
        <v>-19.95</v>
      </c>
      <c r="K1705" s="11"/>
      <c r="L1705" s="11">
        <v>45.62</v>
      </c>
      <c r="M1705" s="10" t="s">
        <v>12218</v>
      </c>
      <c r="N1705" s="10" t="s">
        <v>45</v>
      </c>
      <c r="O1705" s="10" t="s">
        <v>766</v>
      </c>
      <c r="P1705" s="10" t="s">
        <v>767</v>
      </c>
      <c r="Q1705" s="10" t="s">
        <v>768</v>
      </c>
      <c r="R1705" s="10" t="s">
        <v>74</v>
      </c>
      <c r="S1705" s="11">
        <v>79.0</v>
      </c>
      <c r="T1705" s="11">
        <v>13.62</v>
      </c>
      <c r="U1705" s="11" t="s">
        <v>51</v>
      </c>
      <c r="V1705" s="10" t="s">
        <v>52</v>
      </c>
      <c r="W1705" s="10" t="s">
        <v>16974</v>
      </c>
      <c r="X1705" s="10" t="s">
        <v>16975</v>
      </c>
      <c r="Y1705" s="10" t="s">
        <v>16976</v>
      </c>
      <c r="Z1705" s="10" t="s">
        <v>50</v>
      </c>
      <c r="AA1705" s="10" t="s">
        <v>50</v>
      </c>
      <c r="AB1705" s="10" t="s">
        <v>16974</v>
      </c>
      <c r="AC1705" s="10" t="s">
        <v>16977</v>
      </c>
      <c r="AD1705" s="10" t="s">
        <v>16978</v>
      </c>
      <c r="AE1705" s="10" t="s">
        <v>5638</v>
      </c>
      <c r="AF1705" s="10" t="s">
        <v>58</v>
      </c>
      <c r="AG1705" s="10" t="s">
        <v>16979</v>
      </c>
      <c r="AH1705" s="10" t="s">
        <v>60</v>
      </c>
      <c r="AI1705" s="10" t="s">
        <v>13406</v>
      </c>
      <c r="AJ1705" s="10" t="s">
        <v>16346</v>
      </c>
      <c r="AK1705" s="10" t="s">
        <v>16980</v>
      </c>
      <c r="AL1705" s="10" t="s">
        <v>64</v>
      </c>
      <c r="AM1705" s="10" t="s">
        <v>16981</v>
      </c>
      <c r="AN1705" s="10" t="s">
        <v>50</v>
      </c>
      <c r="AO1705" s="11" t="s">
        <v>50</v>
      </c>
      <c r="AP1705" s="10" t="s">
        <v>50</v>
      </c>
      <c r="AQ1705" s="10" t="s">
        <v>50</v>
      </c>
      <c r="AR1705" s="10" t="s">
        <v>50</v>
      </c>
      <c r="AS1705" s="10" t="s">
        <v>50</v>
      </c>
      <c r="AT1705" s="10" t="s">
        <v>50</v>
      </c>
      <c r="AU1705" s="10" t="s">
        <v>50</v>
      </c>
      <c r="AV1705" s="11"/>
      <c r="AW1705" s="10" t="s">
        <v>66</v>
      </c>
      <c r="AX1705" s="10"/>
      <c r="AY1705" s="10" t="s">
        <v>66</v>
      </c>
    </row>
    <row r="1706" ht="22.5" hidden="1" customHeight="1">
      <c r="A1706" s="9" t="s">
        <v>16982</v>
      </c>
      <c r="B1706" s="10" t="s">
        <v>16983</v>
      </c>
      <c r="C1706" s="10" t="s">
        <v>43</v>
      </c>
      <c r="D1706" s="10" t="s">
        <v>14945</v>
      </c>
      <c r="E1706" s="10" t="s">
        <v>45</v>
      </c>
      <c r="F1706" s="11">
        <v>1.0</v>
      </c>
      <c r="G1706" s="11">
        <v>43.7</v>
      </c>
      <c r="H1706" s="11">
        <v>11.11</v>
      </c>
      <c r="I1706" s="11">
        <v>-13.43</v>
      </c>
      <c r="J1706" s="11">
        <v>-11.11</v>
      </c>
      <c r="K1706" s="11"/>
      <c r="L1706" s="11">
        <v>32.89</v>
      </c>
      <c r="M1706" s="10" t="s">
        <v>12218</v>
      </c>
      <c r="N1706" s="10" t="s">
        <v>50</v>
      </c>
      <c r="O1706" s="10" t="s">
        <v>176</v>
      </c>
      <c r="P1706" s="10" t="s">
        <v>177</v>
      </c>
      <c r="Q1706" s="10" t="s">
        <v>178</v>
      </c>
      <c r="R1706" s="10" t="s">
        <v>74</v>
      </c>
      <c r="S1706" s="11">
        <v>43.7</v>
      </c>
      <c r="T1706" s="11">
        <v>22.58</v>
      </c>
      <c r="U1706" s="11" t="s">
        <v>51</v>
      </c>
      <c r="V1706" s="10" t="s">
        <v>52</v>
      </c>
      <c r="W1706" s="10" t="s">
        <v>16984</v>
      </c>
      <c r="X1706" s="10" t="s">
        <v>16985</v>
      </c>
      <c r="Y1706" s="10" t="s">
        <v>16986</v>
      </c>
      <c r="Z1706" s="10" t="s">
        <v>50</v>
      </c>
      <c r="AA1706" s="10" t="s">
        <v>50</v>
      </c>
      <c r="AB1706" s="10" t="s">
        <v>16984</v>
      </c>
      <c r="AC1706" s="10" t="s">
        <v>16987</v>
      </c>
      <c r="AD1706" s="10" t="s">
        <v>16988</v>
      </c>
      <c r="AE1706" s="10" t="s">
        <v>1379</v>
      </c>
      <c r="AF1706" s="10" t="s">
        <v>58</v>
      </c>
      <c r="AG1706" s="10" t="s">
        <v>16989</v>
      </c>
      <c r="AH1706" s="10" t="s">
        <v>60</v>
      </c>
      <c r="AI1706" s="10" t="s">
        <v>13406</v>
      </c>
      <c r="AJ1706" s="10" t="s">
        <v>16346</v>
      </c>
      <c r="AK1706" s="10" t="s">
        <v>15195</v>
      </c>
      <c r="AL1706" s="10" t="s">
        <v>64</v>
      </c>
      <c r="AM1706" s="10" t="s">
        <v>16990</v>
      </c>
      <c r="AN1706" s="10" t="s">
        <v>50</v>
      </c>
      <c r="AO1706" s="11" t="s">
        <v>50</v>
      </c>
      <c r="AP1706" s="10" t="s">
        <v>50</v>
      </c>
      <c r="AQ1706" s="10" t="s">
        <v>50</v>
      </c>
      <c r="AR1706" s="10" t="s">
        <v>50</v>
      </c>
      <c r="AS1706" s="10" t="s">
        <v>50</v>
      </c>
      <c r="AT1706" s="10" t="s">
        <v>50</v>
      </c>
      <c r="AU1706" s="10" t="s">
        <v>50</v>
      </c>
      <c r="AV1706" s="11"/>
      <c r="AW1706" s="10" t="s">
        <v>66</v>
      </c>
      <c r="AX1706" s="10"/>
      <c r="AY1706" s="10" t="s">
        <v>66</v>
      </c>
    </row>
    <row r="1707" ht="22.5" hidden="1" customHeight="1">
      <c r="A1707" s="9" t="s">
        <v>16991</v>
      </c>
      <c r="B1707" s="10" t="s">
        <v>16992</v>
      </c>
      <c r="C1707" s="10" t="s">
        <v>43</v>
      </c>
      <c r="D1707" s="10" t="s">
        <v>14923</v>
      </c>
      <c r="E1707" s="10" t="s">
        <v>66</v>
      </c>
      <c r="F1707" s="11">
        <v>1.0</v>
      </c>
      <c r="G1707" s="11">
        <v>80.0</v>
      </c>
      <c r="H1707" s="11">
        <v>10.75</v>
      </c>
      <c r="I1707" s="11">
        <v>-13.6</v>
      </c>
      <c r="J1707" s="11">
        <v>-30.7</v>
      </c>
      <c r="K1707" s="11"/>
      <c r="L1707" s="11">
        <v>50.45</v>
      </c>
      <c r="M1707" s="10" t="s">
        <v>12218</v>
      </c>
      <c r="N1707" s="10" t="s">
        <v>50</v>
      </c>
      <c r="O1707" s="10" t="s">
        <v>143</v>
      </c>
      <c r="P1707" s="10" t="s">
        <v>144</v>
      </c>
      <c r="Q1707" s="10" t="s">
        <v>145</v>
      </c>
      <c r="R1707" s="10" t="s">
        <v>74</v>
      </c>
      <c r="S1707" s="11">
        <v>80.0</v>
      </c>
      <c r="T1707" s="11">
        <v>33.38</v>
      </c>
      <c r="U1707" s="11" t="s">
        <v>51</v>
      </c>
      <c r="V1707" s="10" t="s">
        <v>52</v>
      </c>
      <c r="W1707" s="10" t="s">
        <v>16993</v>
      </c>
      <c r="X1707" s="10" t="s">
        <v>16994</v>
      </c>
      <c r="Y1707" s="10" t="s">
        <v>16995</v>
      </c>
      <c r="Z1707" s="10" t="s">
        <v>50</v>
      </c>
      <c r="AA1707" s="10" t="s">
        <v>50</v>
      </c>
      <c r="AB1707" s="10" t="s">
        <v>16993</v>
      </c>
      <c r="AC1707" s="10" t="s">
        <v>16996</v>
      </c>
      <c r="AD1707" s="10" t="s">
        <v>16997</v>
      </c>
      <c r="AE1707" s="10" t="s">
        <v>13947</v>
      </c>
      <c r="AF1707" s="10" t="s">
        <v>1417</v>
      </c>
      <c r="AG1707" s="10" t="s">
        <v>16998</v>
      </c>
      <c r="AH1707" s="10" t="s">
        <v>60</v>
      </c>
      <c r="AI1707" s="10" t="s">
        <v>13406</v>
      </c>
      <c r="AJ1707" s="10" t="s">
        <v>16388</v>
      </c>
      <c r="AK1707" s="10" t="s">
        <v>15801</v>
      </c>
      <c r="AL1707" s="10" t="s">
        <v>64</v>
      </c>
      <c r="AM1707" s="10" t="s">
        <v>16999</v>
      </c>
      <c r="AN1707" s="10" t="s">
        <v>50</v>
      </c>
      <c r="AO1707" s="11" t="s">
        <v>50</v>
      </c>
      <c r="AP1707" s="10" t="s">
        <v>50</v>
      </c>
      <c r="AQ1707" s="10" t="s">
        <v>50</v>
      </c>
      <c r="AR1707" s="10" t="s">
        <v>50</v>
      </c>
      <c r="AS1707" s="10" t="s">
        <v>50</v>
      </c>
      <c r="AT1707" s="10" t="s">
        <v>50</v>
      </c>
      <c r="AU1707" s="10" t="s">
        <v>50</v>
      </c>
      <c r="AV1707" s="11"/>
      <c r="AW1707" s="10" t="s">
        <v>66</v>
      </c>
      <c r="AX1707" s="10"/>
      <c r="AY1707" s="10" t="s">
        <v>66</v>
      </c>
    </row>
    <row r="1708" ht="22.5" hidden="1" customHeight="1">
      <c r="A1708" s="9" t="s">
        <v>17000</v>
      </c>
      <c r="B1708" s="10" t="s">
        <v>17001</v>
      </c>
      <c r="C1708" s="10" t="s">
        <v>43</v>
      </c>
      <c r="D1708" s="10" t="s">
        <v>12217</v>
      </c>
      <c r="E1708" s="10" t="s">
        <v>45</v>
      </c>
      <c r="F1708" s="11">
        <v>1.0</v>
      </c>
      <c r="G1708" s="11">
        <v>120.0</v>
      </c>
      <c r="H1708" s="11"/>
      <c r="I1708" s="11">
        <v>-20.4</v>
      </c>
      <c r="J1708" s="11">
        <v>-19.95</v>
      </c>
      <c r="K1708" s="11"/>
      <c r="L1708" s="11">
        <v>86.85</v>
      </c>
      <c r="M1708" s="10" t="s">
        <v>12218</v>
      </c>
      <c r="N1708" s="10" t="s">
        <v>50</v>
      </c>
      <c r="O1708" s="10" t="s">
        <v>85</v>
      </c>
      <c r="P1708" s="10" t="s">
        <v>86</v>
      </c>
      <c r="Q1708" s="10" t="s">
        <v>87</v>
      </c>
      <c r="R1708" s="10" t="s">
        <v>74</v>
      </c>
      <c r="S1708" s="11">
        <v>120.0</v>
      </c>
      <c r="T1708" s="11">
        <v>65.78</v>
      </c>
      <c r="U1708" s="11" t="s">
        <v>51</v>
      </c>
      <c r="V1708" s="10" t="s">
        <v>52</v>
      </c>
      <c r="W1708" s="10" t="s">
        <v>17002</v>
      </c>
      <c r="X1708" s="10" t="s">
        <v>17003</v>
      </c>
      <c r="Y1708" s="10" t="s">
        <v>17004</v>
      </c>
      <c r="Z1708" s="10" t="s">
        <v>50</v>
      </c>
      <c r="AA1708" s="10" t="s">
        <v>50</v>
      </c>
      <c r="AB1708" s="10" t="s">
        <v>17002</v>
      </c>
      <c r="AC1708" s="10" t="s">
        <v>17005</v>
      </c>
      <c r="AD1708" s="10" t="s">
        <v>17006</v>
      </c>
      <c r="AE1708" s="10" t="s">
        <v>58</v>
      </c>
      <c r="AF1708" s="10" t="s">
        <v>58</v>
      </c>
      <c r="AG1708" s="10" t="s">
        <v>17007</v>
      </c>
      <c r="AH1708" s="10" t="s">
        <v>60</v>
      </c>
      <c r="AI1708" s="10" t="s">
        <v>13406</v>
      </c>
      <c r="AJ1708" s="10" t="s">
        <v>16388</v>
      </c>
      <c r="AK1708" s="10" t="s">
        <v>17008</v>
      </c>
      <c r="AL1708" s="10" t="s">
        <v>64</v>
      </c>
      <c r="AM1708" s="10" t="s">
        <v>17009</v>
      </c>
      <c r="AN1708" s="10" t="s">
        <v>17010</v>
      </c>
      <c r="AO1708" s="11" t="s">
        <v>50</v>
      </c>
      <c r="AP1708" s="10" t="s">
        <v>50</v>
      </c>
      <c r="AQ1708" s="10" t="s">
        <v>50</v>
      </c>
      <c r="AR1708" s="10" t="s">
        <v>50</v>
      </c>
      <c r="AS1708" s="10" t="s">
        <v>50</v>
      </c>
      <c r="AT1708" s="10" t="s">
        <v>50</v>
      </c>
      <c r="AU1708" s="10" t="s">
        <v>50</v>
      </c>
      <c r="AV1708" s="11"/>
      <c r="AW1708" s="10" t="s">
        <v>66</v>
      </c>
      <c r="AX1708" s="10"/>
      <c r="AY1708" s="10" t="s">
        <v>66</v>
      </c>
    </row>
    <row r="1709" ht="22.5" hidden="1" customHeight="1">
      <c r="A1709" s="9" t="s">
        <v>17011</v>
      </c>
      <c r="B1709" s="10" t="s">
        <v>17012</v>
      </c>
      <c r="C1709" s="10" t="s">
        <v>43</v>
      </c>
      <c r="D1709" s="10" t="s">
        <v>13175</v>
      </c>
      <c r="E1709" s="10" t="s">
        <v>66</v>
      </c>
      <c r="F1709" s="11">
        <v>1.0</v>
      </c>
      <c r="G1709" s="11">
        <v>79.35</v>
      </c>
      <c r="H1709" s="11">
        <v>16.7</v>
      </c>
      <c r="I1709" s="11">
        <v>-15.08</v>
      </c>
      <c r="J1709" s="11">
        <v>-36.65</v>
      </c>
      <c r="K1709" s="11"/>
      <c r="L1709" s="11">
        <v>44.32</v>
      </c>
      <c r="M1709" s="10" t="s">
        <v>12218</v>
      </c>
      <c r="N1709" s="10" t="s">
        <v>50</v>
      </c>
      <c r="O1709" s="10" t="s">
        <v>47</v>
      </c>
      <c r="P1709" s="10" t="s">
        <v>48</v>
      </c>
      <c r="Q1709" s="10" t="s">
        <v>49</v>
      </c>
      <c r="R1709" s="10" t="s">
        <v>50</v>
      </c>
      <c r="S1709" s="11">
        <v>79.35</v>
      </c>
      <c r="T1709" s="11">
        <v>12.45</v>
      </c>
      <c r="U1709" s="11" t="s">
        <v>51</v>
      </c>
      <c r="V1709" s="10" t="s">
        <v>52</v>
      </c>
      <c r="W1709" s="10" t="s">
        <v>17013</v>
      </c>
      <c r="X1709" s="10" t="s">
        <v>17014</v>
      </c>
      <c r="Y1709" s="10" t="s">
        <v>17015</v>
      </c>
      <c r="Z1709" s="10" t="s">
        <v>50</v>
      </c>
      <c r="AA1709" s="10" t="s">
        <v>50</v>
      </c>
      <c r="AB1709" s="10" t="s">
        <v>17013</v>
      </c>
      <c r="AC1709" s="10" t="s">
        <v>17016</v>
      </c>
      <c r="AD1709" s="10" t="s">
        <v>17017</v>
      </c>
      <c r="AE1709" s="10" t="s">
        <v>17018</v>
      </c>
      <c r="AF1709" s="10" t="s">
        <v>169</v>
      </c>
      <c r="AG1709" s="10" t="s">
        <v>17019</v>
      </c>
      <c r="AH1709" s="10" t="s">
        <v>60</v>
      </c>
      <c r="AI1709" s="10" t="s">
        <v>13406</v>
      </c>
      <c r="AJ1709" s="10" t="s">
        <v>16368</v>
      </c>
      <c r="AK1709" s="10" t="s">
        <v>17020</v>
      </c>
      <c r="AL1709" s="10" t="s">
        <v>64</v>
      </c>
      <c r="AM1709" s="10" t="s">
        <v>17021</v>
      </c>
      <c r="AN1709" s="10" t="s">
        <v>50</v>
      </c>
      <c r="AO1709" s="11" t="s">
        <v>50</v>
      </c>
      <c r="AP1709" s="10" t="s">
        <v>50</v>
      </c>
      <c r="AQ1709" s="10" t="s">
        <v>50</v>
      </c>
      <c r="AR1709" s="10" t="s">
        <v>50</v>
      </c>
      <c r="AS1709" s="10" t="s">
        <v>50</v>
      </c>
      <c r="AT1709" s="10" t="s">
        <v>50</v>
      </c>
      <c r="AU1709" s="10" t="s">
        <v>50</v>
      </c>
      <c r="AV1709" s="11"/>
      <c r="AW1709" s="10" t="s">
        <v>66</v>
      </c>
      <c r="AX1709" s="10"/>
      <c r="AY1709" s="10" t="s">
        <v>66</v>
      </c>
    </row>
    <row r="1710" ht="22.5" hidden="1" customHeight="1">
      <c r="A1710" s="9" t="s">
        <v>17022</v>
      </c>
      <c r="B1710" s="10" t="s">
        <v>17023</v>
      </c>
      <c r="C1710" s="10" t="s">
        <v>43</v>
      </c>
      <c r="D1710" s="10" t="s">
        <v>14945</v>
      </c>
      <c r="E1710" s="10" t="s">
        <v>45</v>
      </c>
      <c r="F1710" s="11">
        <v>1.0</v>
      </c>
      <c r="G1710" s="11">
        <v>92.15</v>
      </c>
      <c r="H1710" s="11"/>
      <c r="I1710" s="11">
        <v>-17.51</v>
      </c>
      <c r="J1710" s="11">
        <v>-20.45</v>
      </c>
      <c r="K1710" s="11"/>
      <c r="L1710" s="11">
        <v>59.72</v>
      </c>
      <c r="M1710" s="10" t="s">
        <v>12218</v>
      </c>
      <c r="N1710" s="10" t="s">
        <v>50</v>
      </c>
      <c r="O1710" s="10" t="s">
        <v>586</v>
      </c>
      <c r="P1710" s="10" t="s">
        <v>587</v>
      </c>
      <c r="Q1710" s="10" t="s">
        <v>588</v>
      </c>
      <c r="R1710" s="10" t="s">
        <v>50</v>
      </c>
      <c r="S1710" s="11">
        <v>92.15</v>
      </c>
      <c r="T1710" s="11">
        <v>20.76</v>
      </c>
      <c r="U1710" s="11" t="s">
        <v>51</v>
      </c>
      <c r="V1710" s="10" t="s">
        <v>52</v>
      </c>
      <c r="W1710" s="10" t="s">
        <v>17024</v>
      </c>
      <c r="X1710" s="10" t="s">
        <v>17025</v>
      </c>
      <c r="Y1710" s="10" t="s">
        <v>17026</v>
      </c>
      <c r="Z1710" s="10" t="s">
        <v>50</v>
      </c>
      <c r="AA1710" s="10" t="s">
        <v>50</v>
      </c>
      <c r="AB1710" s="10" t="s">
        <v>17024</v>
      </c>
      <c r="AC1710" s="10" t="s">
        <v>17027</v>
      </c>
      <c r="AD1710" s="10" t="s">
        <v>17028</v>
      </c>
      <c r="AE1710" s="10" t="s">
        <v>17029</v>
      </c>
      <c r="AF1710" s="10" t="s">
        <v>58</v>
      </c>
      <c r="AG1710" s="10" t="s">
        <v>17030</v>
      </c>
      <c r="AH1710" s="10" t="s">
        <v>60</v>
      </c>
      <c r="AI1710" s="10" t="s">
        <v>13406</v>
      </c>
      <c r="AJ1710" s="10" t="s">
        <v>16346</v>
      </c>
      <c r="AK1710" s="10" t="s">
        <v>17031</v>
      </c>
      <c r="AL1710" s="10" t="s">
        <v>64</v>
      </c>
      <c r="AM1710" s="10" t="s">
        <v>17032</v>
      </c>
      <c r="AN1710" s="10" t="s">
        <v>50</v>
      </c>
      <c r="AO1710" s="11" t="s">
        <v>50</v>
      </c>
      <c r="AP1710" s="10" t="s">
        <v>50</v>
      </c>
      <c r="AQ1710" s="10" t="s">
        <v>50</v>
      </c>
      <c r="AR1710" s="10" t="s">
        <v>50</v>
      </c>
      <c r="AS1710" s="10" t="s">
        <v>50</v>
      </c>
      <c r="AT1710" s="10" t="s">
        <v>50</v>
      </c>
      <c r="AU1710" s="10" t="s">
        <v>50</v>
      </c>
      <c r="AV1710" s="11"/>
      <c r="AW1710" s="10" t="s">
        <v>66</v>
      </c>
      <c r="AX1710" s="10"/>
      <c r="AY1710" s="10" t="s">
        <v>66</v>
      </c>
    </row>
    <row r="1711" ht="22.5" hidden="1" customHeight="1">
      <c r="A1711" s="9" t="s">
        <v>17033</v>
      </c>
      <c r="B1711" s="10" t="s">
        <v>17034</v>
      </c>
      <c r="C1711" s="10" t="s">
        <v>43</v>
      </c>
      <c r="D1711" s="10" t="s">
        <v>14945</v>
      </c>
      <c r="E1711" s="10" t="s">
        <v>66</v>
      </c>
      <c r="F1711" s="11">
        <v>1.0</v>
      </c>
      <c r="G1711" s="11">
        <v>92.15</v>
      </c>
      <c r="H1711" s="11"/>
      <c r="I1711" s="11">
        <v>-17.51</v>
      </c>
      <c r="J1711" s="11">
        <v>-20.45</v>
      </c>
      <c r="K1711" s="11"/>
      <c r="L1711" s="11">
        <v>59.72</v>
      </c>
      <c r="M1711" s="10" t="s">
        <v>12218</v>
      </c>
      <c r="N1711" s="10" t="s">
        <v>45</v>
      </c>
      <c r="O1711" s="10" t="s">
        <v>586</v>
      </c>
      <c r="P1711" s="10" t="s">
        <v>587</v>
      </c>
      <c r="Q1711" s="10" t="s">
        <v>588</v>
      </c>
      <c r="R1711" s="10" t="s">
        <v>50</v>
      </c>
      <c r="S1711" s="11">
        <v>92.15</v>
      </c>
      <c r="T1711" s="11">
        <v>20.76</v>
      </c>
      <c r="U1711" s="11" t="s">
        <v>51</v>
      </c>
      <c r="V1711" s="10" t="s">
        <v>52</v>
      </c>
      <c r="W1711" s="10" t="s">
        <v>17035</v>
      </c>
      <c r="X1711" s="10" t="s">
        <v>17036</v>
      </c>
      <c r="Y1711" s="10" t="s">
        <v>17037</v>
      </c>
      <c r="Z1711" s="10" t="s">
        <v>50</v>
      </c>
      <c r="AA1711" s="10" t="s">
        <v>50</v>
      </c>
      <c r="AB1711" s="10" t="s">
        <v>17035</v>
      </c>
      <c r="AC1711" s="10" t="s">
        <v>17038</v>
      </c>
      <c r="AD1711" s="10" t="s">
        <v>17039</v>
      </c>
      <c r="AE1711" s="10" t="s">
        <v>4203</v>
      </c>
      <c r="AF1711" s="10" t="s">
        <v>58</v>
      </c>
      <c r="AG1711" s="10" t="s">
        <v>17040</v>
      </c>
      <c r="AH1711" s="10" t="s">
        <v>60</v>
      </c>
      <c r="AI1711" s="10" t="s">
        <v>13406</v>
      </c>
      <c r="AJ1711" s="10" t="s">
        <v>15325</v>
      </c>
      <c r="AK1711" s="10" t="s">
        <v>17041</v>
      </c>
      <c r="AL1711" s="10" t="s">
        <v>64</v>
      </c>
      <c r="AM1711" s="10" t="s">
        <v>17042</v>
      </c>
      <c r="AN1711" s="10" t="s">
        <v>50</v>
      </c>
      <c r="AO1711" s="11" t="s">
        <v>50</v>
      </c>
      <c r="AP1711" s="10" t="s">
        <v>50</v>
      </c>
      <c r="AQ1711" s="10" t="s">
        <v>50</v>
      </c>
      <c r="AR1711" s="10" t="s">
        <v>50</v>
      </c>
      <c r="AS1711" s="10" t="s">
        <v>50</v>
      </c>
      <c r="AT1711" s="10" t="s">
        <v>50</v>
      </c>
      <c r="AU1711" s="10" t="s">
        <v>50</v>
      </c>
      <c r="AV1711" s="11"/>
      <c r="AW1711" s="10" t="s">
        <v>66</v>
      </c>
      <c r="AX1711" s="10"/>
      <c r="AY1711" s="10" t="s">
        <v>66</v>
      </c>
    </row>
    <row r="1712" ht="22.5" hidden="1" customHeight="1">
      <c r="A1712" s="12" t="s">
        <v>17043</v>
      </c>
      <c r="B1712" s="13" t="s">
        <v>17044</v>
      </c>
      <c r="C1712" s="13" t="s">
        <v>747</v>
      </c>
      <c r="D1712" s="13" t="s">
        <v>50</v>
      </c>
      <c r="E1712" s="13" t="s">
        <v>50</v>
      </c>
      <c r="F1712" s="14"/>
      <c r="G1712" s="14">
        <v>116.0</v>
      </c>
      <c r="H1712" s="14"/>
      <c r="I1712" s="14">
        <v>-25.72</v>
      </c>
      <c r="J1712" s="14">
        <v>-20.45</v>
      </c>
      <c r="K1712" s="14"/>
      <c r="L1712" s="14">
        <v>71.67</v>
      </c>
      <c r="M1712" s="13" t="s">
        <v>12218</v>
      </c>
      <c r="N1712" s="13" t="s">
        <v>50</v>
      </c>
      <c r="O1712" s="13" t="s">
        <v>50</v>
      </c>
      <c r="P1712" s="13" t="s">
        <v>50</v>
      </c>
      <c r="Q1712" s="13" t="s">
        <v>50</v>
      </c>
      <c r="R1712" s="13" t="s">
        <v>50</v>
      </c>
      <c r="S1712" s="14"/>
      <c r="T1712" s="14"/>
      <c r="U1712" s="14" t="s">
        <v>50</v>
      </c>
      <c r="V1712" s="13" t="s">
        <v>52</v>
      </c>
      <c r="W1712" s="13" t="s">
        <v>17045</v>
      </c>
      <c r="X1712" s="13" t="s">
        <v>17046</v>
      </c>
      <c r="Y1712" s="13" t="s">
        <v>17047</v>
      </c>
      <c r="Z1712" s="13" t="s">
        <v>50</v>
      </c>
      <c r="AA1712" s="13" t="s">
        <v>50</v>
      </c>
      <c r="AB1712" s="13" t="s">
        <v>17045</v>
      </c>
      <c r="AC1712" s="13" t="s">
        <v>17048</v>
      </c>
      <c r="AD1712" s="13" t="s">
        <v>17049</v>
      </c>
      <c r="AE1712" s="13" t="s">
        <v>17050</v>
      </c>
      <c r="AF1712" s="13" t="s">
        <v>58</v>
      </c>
      <c r="AG1712" s="13" t="s">
        <v>17051</v>
      </c>
      <c r="AH1712" s="13" t="s">
        <v>60</v>
      </c>
      <c r="AI1712" s="13" t="s">
        <v>13406</v>
      </c>
      <c r="AJ1712" s="13" t="s">
        <v>16388</v>
      </c>
      <c r="AK1712" s="13" t="s">
        <v>17052</v>
      </c>
      <c r="AL1712" s="13" t="s">
        <v>64</v>
      </c>
      <c r="AM1712" s="13" t="s">
        <v>17053</v>
      </c>
      <c r="AN1712" s="13" t="s">
        <v>50</v>
      </c>
      <c r="AO1712" s="15" t="s">
        <v>50</v>
      </c>
      <c r="AP1712" s="13" t="s">
        <v>50</v>
      </c>
      <c r="AQ1712" s="13" t="s">
        <v>50</v>
      </c>
      <c r="AR1712" s="13" t="s">
        <v>50</v>
      </c>
      <c r="AS1712" s="13" t="s">
        <v>50</v>
      </c>
      <c r="AT1712" s="13" t="s">
        <v>50</v>
      </c>
      <c r="AU1712" s="13" t="s">
        <v>50</v>
      </c>
      <c r="AV1712" s="15"/>
      <c r="AW1712" s="13" t="s">
        <v>50</v>
      </c>
      <c r="AX1712" s="13"/>
      <c r="AY1712" s="13" t="s">
        <v>50</v>
      </c>
    </row>
    <row r="1713" ht="22.5" hidden="1" customHeight="1">
      <c r="A1713" s="16" t="s">
        <v>17054</v>
      </c>
      <c r="B1713" s="17" t="s">
        <v>17044</v>
      </c>
      <c r="C1713" s="17" t="s">
        <v>43</v>
      </c>
      <c r="D1713" s="17" t="s">
        <v>14945</v>
      </c>
      <c r="E1713" s="17" t="s">
        <v>45</v>
      </c>
      <c r="F1713" s="18">
        <v>1.0</v>
      </c>
      <c r="G1713" s="18"/>
      <c r="H1713" s="18"/>
      <c r="I1713" s="18"/>
      <c r="J1713" s="18"/>
      <c r="K1713" s="18"/>
      <c r="L1713" s="18"/>
      <c r="M1713" s="17" t="s">
        <v>50</v>
      </c>
      <c r="N1713" s="17" t="s">
        <v>45</v>
      </c>
      <c r="O1713" s="17" t="s">
        <v>892</v>
      </c>
      <c r="P1713" s="17" t="s">
        <v>893</v>
      </c>
      <c r="Q1713" s="17" t="s">
        <v>894</v>
      </c>
      <c r="R1713" s="17" t="s">
        <v>74</v>
      </c>
      <c r="S1713" s="18">
        <v>79.2</v>
      </c>
      <c r="T1713" s="18">
        <v>2.97</v>
      </c>
      <c r="U1713" s="18" t="s">
        <v>51</v>
      </c>
      <c r="V1713" s="17" t="s">
        <v>50</v>
      </c>
      <c r="W1713" s="17" t="s">
        <v>50</v>
      </c>
      <c r="X1713" s="17" t="s">
        <v>50</v>
      </c>
      <c r="Y1713" s="17" t="s">
        <v>50</v>
      </c>
      <c r="Z1713" s="17" t="s">
        <v>50</v>
      </c>
      <c r="AA1713" s="17" t="s">
        <v>50</v>
      </c>
      <c r="AB1713" s="17" t="s">
        <v>50</v>
      </c>
      <c r="AC1713" s="17" t="s">
        <v>50</v>
      </c>
      <c r="AD1713" s="17" t="s">
        <v>50</v>
      </c>
      <c r="AE1713" s="17" t="s">
        <v>50</v>
      </c>
      <c r="AF1713" s="17" t="s">
        <v>50</v>
      </c>
      <c r="AG1713" s="17" t="s">
        <v>50</v>
      </c>
      <c r="AH1713" s="17" t="s">
        <v>50</v>
      </c>
      <c r="AI1713" s="17" t="s">
        <v>50</v>
      </c>
      <c r="AJ1713" s="17" t="s">
        <v>50</v>
      </c>
      <c r="AK1713" s="17" t="s">
        <v>50</v>
      </c>
      <c r="AL1713" s="17" t="s">
        <v>50</v>
      </c>
      <c r="AM1713" s="17" t="s">
        <v>50</v>
      </c>
      <c r="AN1713" s="17" t="s">
        <v>50</v>
      </c>
      <c r="AO1713" s="18" t="s">
        <v>50</v>
      </c>
      <c r="AP1713" s="17" t="s">
        <v>50</v>
      </c>
      <c r="AQ1713" s="17" t="s">
        <v>50</v>
      </c>
      <c r="AR1713" s="17" t="s">
        <v>50</v>
      </c>
      <c r="AS1713" s="17" t="s">
        <v>50</v>
      </c>
      <c r="AT1713" s="17" t="s">
        <v>50</v>
      </c>
      <c r="AU1713" s="17" t="s">
        <v>50</v>
      </c>
      <c r="AV1713" s="18"/>
      <c r="AW1713" s="17" t="s">
        <v>66</v>
      </c>
      <c r="AX1713" s="17"/>
      <c r="AY1713" s="17" t="s">
        <v>66</v>
      </c>
    </row>
    <row r="1714" ht="22.5" hidden="1" customHeight="1">
      <c r="A1714" s="16" t="s">
        <v>17055</v>
      </c>
      <c r="B1714" s="17" t="s">
        <v>17044</v>
      </c>
      <c r="C1714" s="17" t="s">
        <v>43</v>
      </c>
      <c r="D1714" s="17" t="s">
        <v>14945</v>
      </c>
      <c r="E1714" s="17" t="s">
        <v>45</v>
      </c>
      <c r="F1714" s="18">
        <v>1.0</v>
      </c>
      <c r="G1714" s="18"/>
      <c r="H1714" s="18"/>
      <c r="I1714" s="18"/>
      <c r="J1714" s="18"/>
      <c r="K1714" s="18"/>
      <c r="L1714" s="18"/>
      <c r="M1714" s="17" t="s">
        <v>50</v>
      </c>
      <c r="N1714" s="17" t="s">
        <v>45</v>
      </c>
      <c r="O1714" s="17" t="s">
        <v>71</v>
      </c>
      <c r="P1714" s="17" t="s">
        <v>72</v>
      </c>
      <c r="Q1714" s="17" t="s">
        <v>73</v>
      </c>
      <c r="R1714" s="17" t="s">
        <v>74</v>
      </c>
      <c r="S1714" s="18">
        <v>36.8</v>
      </c>
      <c r="T1714" s="18">
        <v>4.58</v>
      </c>
      <c r="U1714" s="18" t="s">
        <v>51</v>
      </c>
      <c r="V1714" s="17" t="s">
        <v>50</v>
      </c>
      <c r="W1714" s="17" t="s">
        <v>50</v>
      </c>
      <c r="X1714" s="17" t="s">
        <v>50</v>
      </c>
      <c r="Y1714" s="17" t="s">
        <v>50</v>
      </c>
      <c r="Z1714" s="17" t="s">
        <v>50</v>
      </c>
      <c r="AA1714" s="17" t="s">
        <v>50</v>
      </c>
      <c r="AB1714" s="17" t="s">
        <v>50</v>
      </c>
      <c r="AC1714" s="17" t="s">
        <v>50</v>
      </c>
      <c r="AD1714" s="17" t="s">
        <v>50</v>
      </c>
      <c r="AE1714" s="17" t="s">
        <v>50</v>
      </c>
      <c r="AF1714" s="17" t="s">
        <v>50</v>
      </c>
      <c r="AG1714" s="17" t="s">
        <v>50</v>
      </c>
      <c r="AH1714" s="17" t="s">
        <v>50</v>
      </c>
      <c r="AI1714" s="17" t="s">
        <v>50</v>
      </c>
      <c r="AJ1714" s="17" t="s">
        <v>50</v>
      </c>
      <c r="AK1714" s="17" t="s">
        <v>50</v>
      </c>
      <c r="AL1714" s="17" t="s">
        <v>50</v>
      </c>
      <c r="AM1714" s="17" t="s">
        <v>50</v>
      </c>
      <c r="AN1714" s="17" t="s">
        <v>50</v>
      </c>
      <c r="AO1714" s="18" t="s">
        <v>50</v>
      </c>
      <c r="AP1714" s="17" t="s">
        <v>50</v>
      </c>
      <c r="AQ1714" s="17" t="s">
        <v>50</v>
      </c>
      <c r="AR1714" s="17" t="s">
        <v>50</v>
      </c>
      <c r="AS1714" s="17" t="s">
        <v>50</v>
      </c>
      <c r="AT1714" s="17" t="s">
        <v>50</v>
      </c>
      <c r="AU1714" s="17" t="s">
        <v>50</v>
      </c>
      <c r="AV1714" s="18"/>
      <c r="AW1714" s="17" t="s">
        <v>66</v>
      </c>
      <c r="AX1714" s="17"/>
      <c r="AY1714" s="17" t="s">
        <v>66</v>
      </c>
    </row>
    <row r="1715" ht="22.5" hidden="1" customHeight="1">
      <c r="A1715" s="9" t="s">
        <v>17056</v>
      </c>
      <c r="B1715" s="10" t="s">
        <v>17057</v>
      </c>
      <c r="C1715" s="10" t="s">
        <v>43</v>
      </c>
      <c r="D1715" s="10" t="s">
        <v>14945</v>
      </c>
      <c r="E1715" s="10" t="s">
        <v>66</v>
      </c>
      <c r="F1715" s="11">
        <v>1.0</v>
      </c>
      <c r="G1715" s="11">
        <v>80.0</v>
      </c>
      <c r="H1715" s="11"/>
      <c r="I1715" s="11">
        <v>-13.6</v>
      </c>
      <c r="J1715" s="11">
        <v>-19.95</v>
      </c>
      <c r="K1715" s="11"/>
      <c r="L1715" s="11">
        <v>50.45</v>
      </c>
      <c r="M1715" s="10" t="s">
        <v>12218</v>
      </c>
      <c r="N1715" s="10" t="s">
        <v>50</v>
      </c>
      <c r="O1715" s="10" t="s">
        <v>143</v>
      </c>
      <c r="P1715" s="10" t="s">
        <v>144</v>
      </c>
      <c r="Q1715" s="10" t="s">
        <v>145</v>
      </c>
      <c r="R1715" s="10" t="s">
        <v>74</v>
      </c>
      <c r="S1715" s="11">
        <v>80.0</v>
      </c>
      <c r="T1715" s="11">
        <v>33.38</v>
      </c>
      <c r="U1715" s="11" t="s">
        <v>51</v>
      </c>
      <c r="V1715" s="10" t="s">
        <v>52</v>
      </c>
      <c r="W1715" s="10" t="s">
        <v>17058</v>
      </c>
      <c r="X1715" s="10" t="s">
        <v>17059</v>
      </c>
      <c r="Y1715" s="10" t="s">
        <v>17060</v>
      </c>
      <c r="Z1715" s="10" t="s">
        <v>50</v>
      </c>
      <c r="AA1715" s="10" t="s">
        <v>50</v>
      </c>
      <c r="AB1715" s="10" t="s">
        <v>17058</v>
      </c>
      <c r="AC1715" s="10" t="s">
        <v>17061</v>
      </c>
      <c r="AD1715" s="10" t="s">
        <v>17062</v>
      </c>
      <c r="AE1715" s="10" t="s">
        <v>8561</v>
      </c>
      <c r="AF1715" s="10" t="s">
        <v>214</v>
      </c>
      <c r="AG1715" s="10" t="s">
        <v>17063</v>
      </c>
      <c r="AH1715" s="10" t="s">
        <v>60</v>
      </c>
      <c r="AI1715" s="10" t="s">
        <v>13406</v>
      </c>
      <c r="AJ1715" s="10" t="s">
        <v>15314</v>
      </c>
      <c r="AK1715" s="10" t="s">
        <v>17064</v>
      </c>
      <c r="AL1715" s="10" t="s">
        <v>64</v>
      </c>
      <c r="AM1715" s="10" t="s">
        <v>17065</v>
      </c>
      <c r="AN1715" s="10" t="s">
        <v>50</v>
      </c>
      <c r="AO1715" s="11" t="s">
        <v>50</v>
      </c>
      <c r="AP1715" s="10" t="s">
        <v>50</v>
      </c>
      <c r="AQ1715" s="10" t="s">
        <v>50</v>
      </c>
      <c r="AR1715" s="10" t="s">
        <v>50</v>
      </c>
      <c r="AS1715" s="10" t="s">
        <v>50</v>
      </c>
      <c r="AT1715" s="10" t="s">
        <v>50</v>
      </c>
      <c r="AU1715" s="10" t="s">
        <v>50</v>
      </c>
      <c r="AV1715" s="11"/>
      <c r="AW1715" s="10" t="s">
        <v>66</v>
      </c>
      <c r="AX1715" s="10"/>
      <c r="AY1715" s="10" t="s">
        <v>66</v>
      </c>
    </row>
    <row r="1716" ht="22.5" hidden="1" customHeight="1">
      <c r="A1716" s="9" t="s">
        <v>17066</v>
      </c>
      <c r="B1716" s="10" t="s">
        <v>17067</v>
      </c>
      <c r="C1716" s="10" t="s">
        <v>43</v>
      </c>
      <c r="D1716" s="10" t="s">
        <v>14945</v>
      </c>
      <c r="E1716" s="10" t="s">
        <v>45</v>
      </c>
      <c r="F1716" s="11">
        <v>1.0</v>
      </c>
      <c r="G1716" s="11">
        <v>79.2</v>
      </c>
      <c r="H1716" s="11"/>
      <c r="I1716" s="11">
        <v>-13.46</v>
      </c>
      <c r="J1716" s="11">
        <v>-20.45</v>
      </c>
      <c r="K1716" s="11"/>
      <c r="L1716" s="11">
        <v>45.29</v>
      </c>
      <c r="M1716" s="10" t="s">
        <v>12218</v>
      </c>
      <c r="N1716" s="10" t="s">
        <v>45</v>
      </c>
      <c r="O1716" s="10" t="s">
        <v>412</v>
      </c>
      <c r="P1716" s="10" t="s">
        <v>413</v>
      </c>
      <c r="Q1716" s="10" t="s">
        <v>414</v>
      </c>
      <c r="R1716" s="10" t="s">
        <v>415</v>
      </c>
      <c r="S1716" s="11">
        <v>79.2</v>
      </c>
      <c r="T1716" s="11">
        <v>10.05</v>
      </c>
      <c r="U1716" s="11" t="s">
        <v>51</v>
      </c>
      <c r="V1716" s="10" t="s">
        <v>52</v>
      </c>
      <c r="W1716" s="10" t="s">
        <v>17068</v>
      </c>
      <c r="X1716" s="10" t="s">
        <v>17069</v>
      </c>
      <c r="Y1716" s="10" t="s">
        <v>17070</v>
      </c>
      <c r="Z1716" s="10" t="s">
        <v>50</v>
      </c>
      <c r="AA1716" s="10" t="s">
        <v>50</v>
      </c>
      <c r="AB1716" s="10" t="s">
        <v>17068</v>
      </c>
      <c r="AC1716" s="10" t="s">
        <v>17071</v>
      </c>
      <c r="AD1716" s="10" t="s">
        <v>17072</v>
      </c>
      <c r="AE1716" s="10" t="s">
        <v>3671</v>
      </c>
      <c r="AF1716" s="10" t="s">
        <v>58</v>
      </c>
      <c r="AG1716" s="10" t="s">
        <v>3672</v>
      </c>
      <c r="AH1716" s="10" t="s">
        <v>60</v>
      </c>
      <c r="AI1716" s="10" t="s">
        <v>13406</v>
      </c>
      <c r="AJ1716" s="10" t="s">
        <v>16368</v>
      </c>
      <c r="AK1716" s="10" t="s">
        <v>17073</v>
      </c>
      <c r="AL1716" s="10" t="s">
        <v>64</v>
      </c>
      <c r="AM1716" s="10" t="s">
        <v>17074</v>
      </c>
      <c r="AN1716" s="10" t="s">
        <v>50</v>
      </c>
      <c r="AO1716" s="11" t="s">
        <v>50</v>
      </c>
      <c r="AP1716" s="10" t="s">
        <v>50</v>
      </c>
      <c r="AQ1716" s="10" t="s">
        <v>50</v>
      </c>
      <c r="AR1716" s="10" t="s">
        <v>50</v>
      </c>
      <c r="AS1716" s="10" t="s">
        <v>50</v>
      </c>
      <c r="AT1716" s="10" t="s">
        <v>50</v>
      </c>
      <c r="AU1716" s="10" t="s">
        <v>50</v>
      </c>
      <c r="AV1716" s="11"/>
      <c r="AW1716" s="10" t="s">
        <v>66</v>
      </c>
      <c r="AX1716" s="10"/>
      <c r="AY1716" s="10" t="s">
        <v>66</v>
      </c>
    </row>
    <row r="1717" ht="22.5" hidden="1" customHeight="1">
      <c r="A1717" s="9" t="s">
        <v>17075</v>
      </c>
      <c r="B1717" s="10" t="s">
        <v>17076</v>
      </c>
      <c r="C1717" s="10" t="s">
        <v>43</v>
      </c>
      <c r="D1717" s="10" t="s">
        <v>14945</v>
      </c>
      <c r="E1717" s="10" t="s">
        <v>66</v>
      </c>
      <c r="F1717" s="11">
        <v>1.0</v>
      </c>
      <c r="G1717" s="11">
        <v>79.2</v>
      </c>
      <c r="H1717" s="11"/>
      <c r="I1717" s="11">
        <v>-13.46</v>
      </c>
      <c r="J1717" s="11">
        <v>-20.45</v>
      </c>
      <c r="K1717" s="11"/>
      <c r="L1717" s="11">
        <v>45.29</v>
      </c>
      <c r="M1717" s="10" t="s">
        <v>12218</v>
      </c>
      <c r="N1717" s="10" t="s">
        <v>45</v>
      </c>
      <c r="O1717" s="10" t="s">
        <v>412</v>
      </c>
      <c r="P1717" s="10" t="s">
        <v>413</v>
      </c>
      <c r="Q1717" s="10" t="s">
        <v>414</v>
      </c>
      <c r="R1717" s="10" t="s">
        <v>415</v>
      </c>
      <c r="S1717" s="11">
        <v>79.2</v>
      </c>
      <c r="T1717" s="11">
        <v>10.05</v>
      </c>
      <c r="U1717" s="11" t="s">
        <v>51</v>
      </c>
      <c r="V1717" s="10" t="s">
        <v>52</v>
      </c>
      <c r="W1717" s="10" t="s">
        <v>17077</v>
      </c>
      <c r="X1717" s="10" t="s">
        <v>17078</v>
      </c>
      <c r="Y1717" s="10" t="s">
        <v>17079</v>
      </c>
      <c r="Z1717" s="10" t="s">
        <v>50</v>
      </c>
      <c r="AA1717" s="10" t="s">
        <v>50</v>
      </c>
      <c r="AB1717" s="10" t="s">
        <v>17077</v>
      </c>
      <c r="AC1717" s="10" t="s">
        <v>17080</v>
      </c>
      <c r="AD1717" s="10" t="s">
        <v>17081</v>
      </c>
      <c r="AE1717" s="10" t="s">
        <v>2032</v>
      </c>
      <c r="AF1717" s="10" t="s">
        <v>58</v>
      </c>
      <c r="AG1717" s="10" t="s">
        <v>17082</v>
      </c>
      <c r="AH1717" s="10" t="s">
        <v>60</v>
      </c>
      <c r="AI1717" s="10" t="s">
        <v>13406</v>
      </c>
      <c r="AJ1717" s="10" t="s">
        <v>16388</v>
      </c>
      <c r="AK1717" s="10" t="s">
        <v>17083</v>
      </c>
      <c r="AL1717" s="10" t="s">
        <v>64</v>
      </c>
      <c r="AM1717" s="10" t="s">
        <v>17084</v>
      </c>
      <c r="AN1717" s="10" t="s">
        <v>50</v>
      </c>
      <c r="AO1717" s="11" t="s">
        <v>50</v>
      </c>
      <c r="AP1717" s="10" t="s">
        <v>50</v>
      </c>
      <c r="AQ1717" s="10" t="s">
        <v>50</v>
      </c>
      <c r="AR1717" s="10" t="s">
        <v>50</v>
      </c>
      <c r="AS1717" s="10" t="s">
        <v>50</v>
      </c>
      <c r="AT1717" s="10" t="s">
        <v>50</v>
      </c>
      <c r="AU1717" s="10" t="s">
        <v>50</v>
      </c>
      <c r="AV1717" s="11"/>
      <c r="AW1717" s="10" t="s">
        <v>66</v>
      </c>
      <c r="AX1717" s="10"/>
      <c r="AY1717" s="10" t="s">
        <v>66</v>
      </c>
    </row>
    <row r="1718" ht="22.5" hidden="1" customHeight="1">
      <c r="A1718" s="9" t="s">
        <v>17085</v>
      </c>
      <c r="B1718" s="10" t="s">
        <v>17086</v>
      </c>
      <c r="C1718" s="10" t="s">
        <v>43</v>
      </c>
      <c r="D1718" s="10" t="s">
        <v>14945</v>
      </c>
      <c r="E1718" s="10" t="s">
        <v>66</v>
      </c>
      <c r="F1718" s="11">
        <v>1.0</v>
      </c>
      <c r="G1718" s="11">
        <v>79.0</v>
      </c>
      <c r="H1718" s="11"/>
      <c r="I1718" s="11">
        <v>-13.43</v>
      </c>
      <c r="J1718" s="11">
        <v>-20.45</v>
      </c>
      <c r="K1718" s="11"/>
      <c r="L1718" s="11">
        <v>45.12</v>
      </c>
      <c r="M1718" s="10" t="s">
        <v>12218</v>
      </c>
      <c r="N1718" s="10" t="s">
        <v>45</v>
      </c>
      <c r="O1718" s="10" t="s">
        <v>160</v>
      </c>
      <c r="P1718" s="10" t="s">
        <v>161</v>
      </c>
      <c r="Q1718" s="10" t="s">
        <v>162</v>
      </c>
      <c r="R1718" s="10" t="s">
        <v>74</v>
      </c>
      <c r="S1718" s="11">
        <v>79.0</v>
      </c>
      <c r="T1718" s="11">
        <v>2.49</v>
      </c>
      <c r="U1718" s="11" t="s">
        <v>51</v>
      </c>
      <c r="V1718" s="10" t="s">
        <v>52</v>
      </c>
      <c r="W1718" s="10" t="s">
        <v>17077</v>
      </c>
      <c r="X1718" s="10" t="s">
        <v>17078</v>
      </c>
      <c r="Y1718" s="10" t="s">
        <v>17079</v>
      </c>
      <c r="Z1718" s="10" t="s">
        <v>50</v>
      </c>
      <c r="AA1718" s="10" t="s">
        <v>50</v>
      </c>
      <c r="AB1718" s="10" t="s">
        <v>17077</v>
      </c>
      <c r="AC1718" s="10" t="s">
        <v>17080</v>
      </c>
      <c r="AD1718" s="10" t="s">
        <v>17081</v>
      </c>
      <c r="AE1718" s="10" t="s">
        <v>2032</v>
      </c>
      <c r="AF1718" s="10" t="s">
        <v>58</v>
      </c>
      <c r="AG1718" s="10" t="s">
        <v>17082</v>
      </c>
      <c r="AH1718" s="10" t="s">
        <v>60</v>
      </c>
      <c r="AI1718" s="10" t="s">
        <v>13406</v>
      </c>
      <c r="AJ1718" s="10" t="s">
        <v>16388</v>
      </c>
      <c r="AK1718" s="10" t="s">
        <v>17083</v>
      </c>
      <c r="AL1718" s="10" t="s">
        <v>64</v>
      </c>
      <c r="AM1718" s="10" t="s">
        <v>17087</v>
      </c>
      <c r="AN1718" s="10" t="s">
        <v>50</v>
      </c>
      <c r="AO1718" s="11" t="s">
        <v>50</v>
      </c>
      <c r="AP1718" s="10" t="s">
        <v>50</v>
      </c>
      <c r="AQ1718" s="10" t="s">
        <v>50</v>
      </c>
      <c r="AR1718" s="10" t="s">
        <v>50</v>
      </c>
      <c r="AS1718" s="10" t="s">
        <v>50</v>
      </c>
      <c r="AT1718" s="10" t="s">
        <v>50</v>
      </c>
      <c r="AU1718" s="10" t="s">
        <v>50</v>
      </c>
      <c r="AV1718" s="11"/>
      <c r="AW1718" s="10" t="s">
        <v>66</v>
      </c>
      <c r="AX1718" s="10"/>
      <c r="AY1718" s="10" t="s">
        <v>66</v>
      </c>
    </row>
    <row r="1719" ht="22.5" hidden="1" customHeight="1">
      <c r="A1719" s="9" t="s">
        <v>17088</v>
      </c>
      <c r="B1719" s="10" t="s">
        <v>17089</v>
      </c>
      <c r="C1719" s="10" t="s">
        <v>43</v>
      </c>
      <c r="D1719" s="10" t="s">
        <v>14945</v>
      </c>
      <c r="E1719" s="10" t="s">
        <v>45</v>
      </c>
      <c r="F1719" s="11">
        <v>1.0</v>
      </c>
      <c r="G1719" s="11">
        <v>43.7</v>
      </c>
      <c r="H1719" s="11">
        <v>14.63</v>
      </c>
      <c r="I1719" s="11">
        <v>-13.43</v>
      </c>
      <c r="J1719" s="11">
        <v>-14.63</v>
      </c>
      <c r="K1719" s="11"/>
      <c r="L1719" s="11">
        <v>32.89</v>
      </c>
      <c r="M1719" s="10" t="s">
        <v>12218</v>
      </c>
      <c r="N1719" s="10" t="s">
        <v>50</v>
      </c>
      <c r="O1719" s="10" t="s">
        <v>176</v>
      </c>
      <c r="P1719" s="10" t="s">
        <v>177</v>
      </c>
      <c r="Q1719" s="10" t="s">
        <v>178</v>
      </c>
      <c r="R1719" s="10" t="s">
        <v>74</v>
      </c>
      <c r="S1719" s="11">
        <v>43.7</v>
      </c>
      <c r="T1719" s="11">
        <v>22.58</v>
      </c>
      <c r="U1719" s="11" t="s">
        <v>51</v>
      </c>
      <c r="V1719" s="10" t="s">
        <v>52</v>
      </c>
      <c r="W1719" s="10" t="s">
        <v>17090</v>
      </c>
      <c r="X1719" s="10" t="s">
        <v>17091</v>
      </c>
      <c r="Y1719" s="10" t="s">
        <v>17092</v>
      </c>
      <c r="Z1719" s="10" t="s">
        <v>50</v>
      </c>
      <c r="AA1719" s="10" t="s">
        <v>50</v>
      </c>
      <c r="AB1719" s="10" t="s">
        <v>17090</v>
      </c>
      <c r="AC1719" s="10" t="s">
        <v>17093</v>
      </c>
      <c r="AD1719" s="10" t="s">
        <v>17094</v>
      </c>
      <c r="AE1719" s="10" t="s">
        <v>58</v>
      </c>
      <c r="AF1719" s="10" t="s">
        <v>58</v>
      </c>
      <c r="AG1719" s="10" t="s">
        <v>17095</v>
      </c>
      <c r="AH1719" s="10" t="s">
        <v>60</v>
      </c>
      <c r="AI1719" s="10" t="s">
        <v>13406</v>
      </c>
      <c r="AJ1719" s="10" t="s">
        <v>16346</v>
      </c>
      <c r="AK1719" s="10" t="s">
        <v>17096</v>
      </c>
      <c r="AL1719" s="10" t="s">
        <v>64</v>
      </c>
      <c r="AM1719" s="10" t="s">
        <v>17097</v>
      </c>
      <c r="AN1719" s="10" t="s">
        <v>50</v>
      </c>
      <c r="AO1719" s="11" t="s">
        <v>50</v>
      </c>
      <c r="AP1719" s="10" t="s">
        <v>50</v>
      </c>
      <c r="AQ1719" s="10" t="s">
        <v>50</v>
      </c>
      <c r="AR1719" s="10" t="s">
        <v>50</v>
      </c>
      <c r="AS1719" s="10" t="s">
        <v>50</v>
      </c>
      <c r="AT1719" s="10" t="s">
        <v>50</v>
      </c>
      <c r="AU1719" s="10" t="s">
        <v>50</v>
      </c>
      <c r="AV1719" s="11"/>
      <c r="AW1719" s="10" t="s">
        <v>66</v>
      </c>
      <c r="AX1719" s="10"/>
      <c r="AY1719" s="10" t="s">
        <v>66</v>
      </c>
    </row>
    <row r="1720" ht="22.5" hidden="1" customHeight="1">
      <c r="A1720" s="9" t="s">
        <v>17098</v>
      </c>
      <c r="B1720" s="10" t="s">
        <v>17099</v>
      </c>
      <c r="C1720" s="10" t="s">
        <v>43</v>
      </c>
      <c r="D1720" s="10" t="s">
        <v>14945</v>
      </c>
      <c r="E1720" s="10" t="s">
        <v>66</v>
      </c>
      <c r="F1720" s="11">
        <v>1.0</v>
      </c>
      <c r="G1720" s="11">
        <v>81.25</v>
      </c>
      <c r="H1720" s="11"/>
      <c r="I1720" s="11">
        <v>-13.81</v>
      </c>
      <c r="J1720" s="11">
        <v>-19.95</v>
      </c>
      <c r="K1720" s="11"/>
      <c r="L1720" s="11">
        <v>47.49</v>
      </c>
      <c r="M1720" s="10" t="s">
        <v>12218</v>
      </c>
      <c r="N1720" s="10" t="s">
        <v>50</v>
      </c>
      <c r="O1720" s="10" t="s">
        <v>920</v>
      </c>
      <c r="P1720" s="10" t="s">
        <v>921</v>
      </c>
      <c r="Q1720" s="10" t="s">
        <v>922</v>
      </c>
      <c r="R1720" s="10" t="s">
        <v>74</v>
      </c>
      <c r="S1720" s="11">
        <v>81.25</v>
      </c>
      <c r="T1720" s="11">
        <v>26.22</v>
      </c>
      <c r="U1720" s="11" t="s">
        <v>51</v>
      </c>
      <c r="V1720" s="10" t="s">
        <v>52</v>
      </c>
      <c r="W1720" s="10" t="s">
        <v>17100</v>
      </c>
      <c r="X1720" s="10" t="s">
        <v>17101</v>
      </c>
      <c r="Y1720" s="10" t="s">
        <v>17102</v>
      </c>
      <c r="Z1720" s="10" t="s">
        <v>50</v>
      </c>
      <c r="AA1720" s="10" t="s">
        <v>50</v>
      </c>
      <c r="AB1720" s="10" t="s">
        <v>17100</v>
      </c>
      <c r="AC1720" s="10" t="s">
        <v>17103</v>
      </c>
      <c r="AD1720" s="10" t="s">
        <v>17104</v>
      </c>
      <c r="AE1720" s="10" t="s">
        <v>296</v>
      </c>
      <c r="AF1720" s="10" t="s">
        <v>58</v>
      </c>
      <c r="AG1720" s="10" t="s">
        <v>17105</v>
      </c>
      <c r="AH1720" s="10" t="s">
        <v>60</v>
      </c>
      <c r="AI1720" s="10" t="s">
        <v>13406</v>
      </c>
      <c r="AJ1720" s="10" t="s">
        <v>15302</v>
      </c>
      <c r="AK1720" s="10" t="s">
        <v>17106</v>
      </c>
      <c r="AL1720" s="10" t="s">
        <v>64</v>
      </c>
      <c r="AM1720" s="10" t="s">
        <v>17107</v>
      </c>
      <c r="AN1720" s="10" t="s">
        <v>50</v>
      </c>
      <c r="AO1720" s="11" t="s">
        <v>50</v>
      </c>
      <c r="AP1720" s="10" t="s">
        <v>50</v>
      </c>
      <c r="AQ1720" s="10" t="s">
        <v>50</v>
      </c>
      <c r="AR1720" s="10" t="s">
        <v>50</v>
      </c>
      <c r="AS1720" s="10" t="s">
        <v>50</v>
      </c>
      <c r="AT1720" s="10" t="s">
        <v>50</v>
      </c>
      <c r="AU1720" s="10" t="s">
        <v>50</v>
      </c>
      <c r="AV1720" s="11"/>
      <c r="AW1720" s="10" t="s">
        <v>66</v>
      </c>
      <c r="AX1720" s="10"/>
      <c r="AY1720" s="10" t="s">
        <v>66</v>
      </c>
    </row>
    <row r="1721" ht="22.5" hidden="1" customHeight="1">
      <c r="A1721" s="9" t="s">
        <v>17108</v>
      </c>
      <c r="B1721" s="10" t="s">
        <v>17109</v>
      </c>
      <c r="C1721" s="10" t="s">
        <v>43</v>
      </c>
      <c r="D1721" s="10" t="s">
        <v>16334</v>
      </c>
      <c r="E1721" s="10" t="s">
        <v>66</v>
      </c>
      <c r="F1721" s="11">
        <v>1.0</v>
      </c>
      <c r="G1721" s="11">
        <v>80.0</v>
      </c>
      <c r="H1721" s="11"/>
      <c r="I1721" s="11">
        <v>-13.6</v>
      </c>
      <c r="J1721" s="11">
        <v>-19.95</v>
      </c>
      <c r="K1721" s="11"/>
      <c r="L1721" s="11">
        <v>50.45</v>
      </c>
      <c r="M1721" s="10" t="s">
        <v>12218</v>
      </c>
      <c r="N1721" s="10" t="s">
        <v>50</v>
      </c>
      <c r="O1721" s="10" t="s">
        <v>143</v>
      </c>
      <c r="P1721" s="10" t="s">
        <v>144</v>
      </c>
      <c r="Q1721" s="10" t="s">
        <v>145</v>
      </c>
      <c r="R1721" s="10" t="s">
        <v>74</v>
      </c>
      <c r="S1721" s="11">
        <v>80.0</v>
      </c>
      <c r="T1721" s="11">
        <v>33.38</v>
      </c>
      <c r="U1721" s="11" t="s">
        <v>51</v>
      </c>
      <c r="V1721" s="10" t="s">
        <v>52</v>
      </c>
      <c r="W1721" s="10" t="s">
        <v>17110</v>
      </c>
      <c r="X1721" s="10" t="s">
        <v>17111</v>
      </c>
      <c r="Y1721" s="10" t="s">
        <v>17112</v>
      </c>
      <c r="Z1721" s="10" t="s">
        <v>50</v>
      </c>
      <c r="AA1721" s="10" t="s">
        <v>50</v>
      </c>
      <c r="AB1721" s="10" t="s">
        <v>17110</v>
      </c>
      <c r="AC1721" s="10" t="s">
        <v>17113</v>
      </c>
      <c r="AD1721" s="10" t="s">
        <v>17114</v>
      </c>
      <c r="AE1721" s="10" t="s">
        <v>7470</v>
      </c>
      <c r="AF1721" s="10" t="s">
        <v>151</v>
      </c>
      <c r="AG1721" s="10" t="s">
        <v>17115</v>
      </c>
      <c r="AH1721" s="10" t="s">
        <v>60</v>
      </c>
      <c r="AI1721" s="10" t="s">
        <v>13406</v>
      </c>
      <c r="AJ1721" s="10" t="s">
        <v>16496</v>
      </c>
      <c r="AK1721" s="10" t="s">
        <v>17116</v>
      </c>
      <c r="AL1721" s="10" t="s">
        <v>64</v>
      </c>
      <c r="AM1721" s="10" t="s">
        <v>17117</v>
      </c>
      <c r="AN1721" s="10" t="s">
        <v>50</v>
      </c>
      <c r="AO1721" s="11" t="s">
        <v>50</v>
      </c>
      <c r="AP1721" s="10" t="s">
        <v>50</v>
      </c>
      <c r="AQ1721" s="10" t="s">
        <v>50</v>
      </c>
      <c r="AR1721" s="10" t="s">
        <v>50</v>
      </c>
      <c r="AS1721" s="10" t="s">
        <v>50</v>
      </c>
      <c r="AT1721" s="10" t="s">
        <v>50</v>
      </c>
      <c r="AU1721" s="10" t="s">
        <v>50</v>
      </c>
      <c r="AV1721" s="11"/>
      <c r="AW1721" s="10" t="s">
        <v>66</v>
      </c>
      <c r="AX1721" s="10"/>
      <c r="AY1721" s="10" t="s">
        <v>66</v>
      </c>
    </row>
    <row r="1722" ht="22.5" hidden="1" customHeight="1">
      <c r="A1722" s="9" t="s">
        <v>17118</v>
      </c>
      <c r="B1722" s="10" t="s">
        <v>17119</v>
      </c>
      <c r="C1722" s="10" t="s">
        <v>43</v>
      </c>
      <c r="D1722" s="10" t="s">
        <v>14945</v>
      </c>
      <c r="E1722" s="10" t="s">
        <v>66</v>
      </c>
      <c r="F1722" s="11">
        <v>1.0</v>
      </c>
      <c r="G1722" s="11">
        <v>80.6</v>
      </c>
      <c r="H1722" s="11"/>
      <c r="I1722" s="11">
        <v>-13.7</v>
      </c>
      <c r="J1722" s="11">
        <v>-20.45</v>
      </c>
      <c r="K1722" s="11"/>
      <c r="L1722" s="11">
        <v>46.45</v>
      </c>
      <c r="M1722" s="10" t="s">
        <v>12218</v>
      </c>
      <c r="N1722" s="10" t="s">
        <v>45</v>
      </c>
      <c r="O1722" s="10" t="s">
        <v>265</v>
      </c>
      <c r="P1722" s="10" t="s">
        <v>266</v>
      </c>
      <c r="Q1722" s="10" t="s">
        <v>267</v>
      </c>
      <c r="R1722" s="10" t="s">
        <v>74</v>
      </c>
      <c r="S1722" s="11">
        <v>80.6</v>
      </c>
      <c r="T1722" s="11">
        <v>26.22</v>
      </c>
      <c r="U1722" s="11" t="s">
        <v>51</v>
      </c>
      <c r="V1722" s="10" t="s">
        <v>52</v>
      </c>
      <c r="W1722" s="10" t="s">
        <v>17120</v>
      </c>
      <c r="X1722" s="10" t="s">
        <v>17121</v>
      </c>
      <c r="Y1722" s="10" t="s">
        <v>17122</v>
      </c>
      <c r="Z1722" s="10" t="s">
        <v>50</v>
      </c>
      <c r="AA1722" s="10" t="s">
        <v>50</v>
      </c>
      <c r="AB1722" s="10" t="s">
        <v>17120</v>
      </c>
      <c r="AC1722" s="10" t="s">
        <v>17123</v>
      </c>
      <c r="AD1722" s="10" t="s">
        <v>17124</v>
      </c>
      <c r="AE1722" s="10" t="s">
        <v>17125</v>
      </c>
      <c r="AF1722" s="10" t="s">
        <v>58</v>
      </c>
      <c r="AG1722" s="10" t="s">
        <v>17126</v>
      </c>
      <c r="AH1722" s="10" t="s">
        <v>60</v>
      </c>
      <c r="AI1722" s="10" t="s">
        <v>13406</v>
      </c>
      <c r="AJ1722" s="10" t="s">
        <v>16346</v>
      </c>
      <c r="AK1722" s="10" t="s">
        <v>16572</v>
      </c>
      <c r="AL1722" s="10" t="s">
        <v>64</v>
      </c>
      <c r="AM1722" s="10" t="s">
        <v>17127</v>
      </c>
      <c r="AN1722" s="10" t="s">
        <v>17128</v>
      </c>
      <c r="AO1722" s="11" t="s">
        <v>50</v>
      </c>
      <c r="AP1722" s="10" t="s">
        <v>50</v>
      </c>
      <c r="AQ1722" s="10" t="s">
        <v>50</v>
      </c>
      <c r="AR1722" s="10" t="s">
        <v>50</v>
      </c>
      <c r="AS1722" s="10" t="s">
        <v>50</v>
      </c>
      <c r="AT1722" s="10" t="s">
        <v>50</v>
      </c>
      <c r="AU1722" s="10" t="s">
        <v>50</v>
      </c>
      <c r="AV1722" s="11"/>
      <c r="AW1722" s="10" t="s">
        <v>66</v>
      </c>
      <c r="AX1722" s="10"/>
      <c r="AY1722" s="10" t="s">
        <v>66</v>
      </c>
    </row>
    <row r="1723" ht="22.5" hidden="1" customHeight="1">
      <c r="A1723" s="9" t="s">
        <v>17129</v>
      </c>
      <c r="B1723" s="10" t="s">
        <v>17130</v>
      </c>
      <c r="C1723" s="10" t="s">
        <v>43</v>
      </c>
      <c r="D1723" s="10" t="s">
        <v>14945</v>
      </c>
      <c r="E1723" s="10" t="s">
        <v>66</v>
      </c>
      <c r="F1723" s="11">
        <v>1.0</v>
      </c>
      <c r="G1723" s="11">
        <v>43.7</v>
      </c>
      <c r="H1723" s="11">
        <v>11.7</v>
      </c>
      <c r="I1723" s="11">
        <v>-13.43</v>
      </c>
      <c r="J1723" s="11">
        <v>-11.7</v>
      </c>
      <c r="K1723" s="11"/>
      <c r="L1723" s="11">
        <v>32.89</v>
      </c>
      <c r="M1723" s="10" t="s">
        <v>12218</v>
      </c>
      <c r="N1723" s="10" t="s">
        <v>45</v>
      </c>
      <c r="O1723" s="10" t="s">
        <v>176</v>
      </c>
      <c r="P1723" s="10" t="s">
        <v>177</v>
      </c>
      <c r="Q1723" s="10" t="s">
        <v>178</v>
      </c>
      <c r="R1723" s="10" t="s">
        <v>74</v>
      </c>
      <c r="S1723" s="11">
        <v>43.7</v>
      </c>
      <c r="T1723" s="11">
        <v>22.58</v>
      </c>
      <c r="U1723" s="11" t="s">
        <v>51</v>
      </c>
      <c r="V1723" s="10" t="s">
        <v>52</v>
      </c>
      <c r="W1723" s="10" t="s">
        <v>12317</v>
      </c>
      <c r="X1723" s="10" t="s">
        <v>12318</v>
      </c>
      <c r="Y1723" s="10" t="s">
        <v>12319</v>
      </c>
      <c r="Z1723" s="10" t="s">
        <v>50</v>
      </c>
      <c r="AA1723" s="10" t="s">
        <v>50</v>
      </c>
      <c r="AB1723" s="10" t="s">
        <v>12317</v>
      </c>
      <c r="AC1723" s="10" t="s">
        <v>12320</v>
      </c>
      <c r="AD1723" s="10" t="s">
        <v>12321</v>
      </c>
      <c r="AE1723" s="10" t="s">
        <v>5397</v>
      </c>
      <c r="AF1723" s="10" t="s">
        <v>58</v>
      </c>
      <c r="AG1723" s="10" t="s">
        <v>12322</v>
      </c>
      <c r="AH1723" s="10" t="s">
        <v>60</v>
      </c>
      <c r="AI1723" s="10" t="s">
        <v>13406</v>
      </c>
      <c r="AJ1723" s="10" t="s">
        <v>15302</v>
      </c>
      <c r="AK1723" s="10" t="s">
        <v>17131</v>
      </c>
      <c r="AL1723" s="10" t="s">
        <v>64</v>
      </c>
      <c r="AM1723" s="10" t="s">
        <v>17132</v>
      </c>
      <c r="AN1723" s="10" t="s">
        <v>50</v>
      </c>
      <c r="AO1723" s="11" t="s">
        <v>50</v>
      </c>
      <c r="AP1723" s="10" t="s">
        <v>50</v>
      </c>
      <c r="AQ1723" s="10" t="s">
        <v>50</v>
      </c>
      <c r="AR1723" s="10" t="s">
        <v>50</v>
      </c>
      <c r="AS1723" s="10" t="s">
        <v>50</v>
      </c>
      <c r="AT1723" s="10" t="s">
        <v>50</v>
      </c>
      <c r="AU1723" s="10" t="s">
        <v>50</v>
      </c>
      <c r="AV1723" s="11"/>
      <c r="AW1723" s="10" t="s">
        <v>66</v>
      </c>
      <c r="AX1723" s="10"/>
      <c r="AY1723" s="10" t="s">
        <v>66</v>
      </c>
    </row>
    <row r="1724" ht="22.5" hidden="1" customHeight="1">
      <c r="A1724" s="9" t="s">
        <v>17133</v>
      </c>
      <c r="B1724" s="10" t="s">
        <v>17134</v>
      </c>
      <c r="C1724" s="10" t="s">
        <v>43</v>
      </c>
      <c r="D1724" s="10" t="s">
        <v>14945</v>
      </c>
      <c r="E1724" s="10" t="s">
        <v>45</v>
      </c>
      <c r="F1724" s="11">
        <v>1.0</v>
      </c>
      <c r="G1724" s="11">
        <v>80.0</v>
      </c>
      <c r="H1724" s="11"/>
      <c r="I1724" s="11">
        <v>-13.6</v>
      </c>
      <c r="J1724" s="11">
        <v>-19.95</v>
      </c>
      <c r="K1724" s="11"/>
      <c r="L1724" s="11">
        <v>50.45</v>
      </c>
      <c r="M1724" s="10" t="s">
        <v>12218</v>
      </c>
      <c r="N1724" s="10" t="s">
        <v>45</v>
      </c>
      <c r="O1724" s="10" t="s">
        <v>143</v>
      </c>
      <c r="P1724" s="10" t="s">
        <v>144</v>
      </c>
      <c r="Q1724" s="10" t="s">
        <v>145</v>
      </c>
      <c r="R1724" s="10" t="s">
        <v>74</v>
      </c>
      <c r="S1724" s="11">
        <v>80.0</v>
      </c>
      <c r="T1724" s="11">
        <v>33.38</v>
      </c>
      <c r="U1724" s="11" t="s">
        <v>51</v>
      </c>
      <c r="V1724" s="10" t="s">
        <v>52</v>
      </c>
      <c r="W1724" s="10" t="s">
        <v>17135</v>
      </c>
      <c r="X1724" s="10" t="s">
        <v>17136</v>
      </c>
      <c r="Y1724" s="10" t="s">
        <v>17137</v>
      </c>
      <c r="Z1724" s="10" t="s">
        <v>50</v>
      </c>
      <c r="AA1724" s="10" t="s">
        <v>50</v>
      </c>
      <c r="AB1724" s="10" t="s">
        <v>17135</v>
      </c>
      <c r="AC1724" s="10" t="s">
        <v>17138</v>
      </c>
      <c r="AD1724" s="10" t="s">
        <v>17139</v>
      </c>
      <c r="AE1724" s="10" t="s">
        <v>17140</v>
      </c>
      <c r="AF1724" s="10" t="s">
        <v>119</v>
      </c>
      <c r="AG1724" s="10" t="s">
        <v>17141</v>
      </c>
      <c r="AH1724" s="10" t="s">
        <v>60</v>
      </c>
      <c r="AI1724" s="10" t="s">
        <v>13406</v>
      </c>
      <c r="AJ1724" s="10" t="s">
        <v>15314</v>
      </c>
      <c r="AK1724" s="10" t="s">
        <v>17142</v>
      </c>
      <c r="AL1724" s="10" t="s">
        <v>64</v>
      </c>
      <c r="AM1724" s="10" t="s">
        <v>17143</v>
      </c>
      <c r="AN1724" s="10" t="s">
        <v>50</v>
      </c>
      <c r="AO1724" s="11" t="s">
        <v>50</v>
      </c>
      <c r="AP1724" s="10" t="s">
        <v>50</v>
      </c>
      <c r="AQ1724" s="10" t="s">
        <v>50</v>
      </c>
      <c r="AR1724" s="10" t="s">
        <v>50</v>
      </c>
      <c r="AS1724" s="10" t="s">
        <v>50</v>
      </c>
      <c r="AT1724" s="10" t="s">
        <v>50</v>
      </c>
      <c r="AU1724" s="10" t="s">
        <v>50</v>
      </c>
      <c r="AV1724" s="11"/>
      <c r="AW1724" s="10" t="s">
        <v>66</v>
      </c>
      <c r="AX1724" s="10"/>
      <c r="AY1724" s="10" t="s">
        <v>66</v>
      </c>
    </row>
    <row r="1725" ht="22.5" hidden="1" customHeight="1">
      <c r="A1725" s="9" t="s">
        <v>17144</v>
      </c>
      <c r="B1725" s="10" t="s">
        <v>17145</v>
      </c>
      <c r="C1725" s="10" t="s">
        <v>43</v>
      </c>
      <c r="D1725" s="10" t="s">
        <v>16334</v>
      </c>
      <c r="E1725" s="10" t="s">
        <v>66</v>
      </c>
      <c r="F1725" s="11">
        <v>1.0</v>
      </c>
      <c r="G1725" s="11">
        <v>81.25</v>
      </c>
      <c r="H1725" s="11"/>
      <c r="I1725" s="11">
        <v>-13.81</v>
      </c>
      <c r="J1725" s="11">
        <v>-19.95</v>
      </c>
      <c r="K1725" s="11"/>
      <c r="L1725" s="11">
        <v>47.49</v>
      </c>
      <c r="M1725" s="10" t="s">
        <v>12218</v>
      </c>
      <c r="N1725" s="10" t="s">
        <v>45</v>
      </c>
      <c r="O1725" s="10" t="s">
        <v>920</v>
      </c>
      <c r="P1725" s="10" t="s">
        <v>921</v>
      </c>
      <c r="Q1725" s="10" t="s">
        <v>922</v>
      </c>
      <c r="R1725" s="10" t="s">
        <v>74</v>
      </c>
      <c r="S1725" s="11">
        <v>81.25</v>
      </c>
      <c r="T1725" s="11">
        <v>26.22</v>
      </c>
      <c r="U1725" s="11" t="s">
        <v>51</v>
      </c>
      <c r="V1725" s="10" t="s">
        <v>52</v>
      </c>
      <c r="W1725" s="10" t="s">
        <v>17146</v>
      </c>
      <c r="X1725" s="10" t="s">
        <v>17147</v>
      </c>
      <c r="Y1725" s="10" t="s">
        <v>17148</v>
      </c>
      <c r="Z1725" s="10" t="s">
        <v>50</v>
      </c>
      <c r="AA1725" s="10" t="s">
        <v>50</v>
      </c>
      <c r="AB1725" s="10" t="s">
        <v>17146</v>
      </c>
      <c r="AC1725" s="10" t="s">
        <v>17149</v>
      </c>
      <c r="AD1725" s="10" t="s">
        <v>17150</v>
      </c>
      <c r="AE1725" s="10" t="s">
        <v>151</v>
      </c>
      <c r="AF1725" s="10" t="s">
        <v>151</v>
      </c>
      <c r="AG1725" s="10" t="s">
        <v>17151</v>
      </c>
      <c r="AH1725" s="10" t="s">
        <v>60</v>
      </c>
      <c r="AI1725" s="10" t="s">
        <v>13406</v>
      </c>
      <c r="AJ1725" s="10" t="s">
        <v>16409</v>
      </c>
      <c r="AK1725" s="10" t="s">
        <v>17152</v>
      </c>
      <c r="AL1725" s="10" t="s">
        <v>64</v>
      </c>
      <c r="AM1725" s="10" t="s">
        <v>17153</v>
      </c>
      <c r="AN1725" s="10" t="s">
        <v>50</v>
      </c>
      <c r="AO1725" s="11" t="s">
        <v>50</v>
      </c>
      <c r="AP1725" s="10" t="s">
        <v>50</v>
      </c>
      <c r="AQ1725" s="10" t="s">
        <v>50</v>
      </c>
      <c r="AR1725" s="10" t="s">
        <v>50</v>
      </c>
      <c r="AS1725" s="10" t="s">
        <v>50</v>
      </c>
      <c r="AT1725" s="10" t="s">
        <v>50</v>
      </c>
      <c r="AU1725" s="10" t="s">
        <v>50</v>
      </c>
      <c r="AV1725" s="11"/>
      <c r="AW1725" s="10" t="s">
        <v>66</v>
      </c>
      <c r="AX1725" s="10"/>
      <c r="AY1725" s="10" t="s">
        <v>66</v>
      </c>
    </row>
    <row r="1726" ht="22.5" hidden="1" customHeight="1">
      <c r="A1726" s="9" t="s">
        <v>17154</v>
      </c>
      <c r="B1726" s="10" t="s">
        <v>17155</v>
      </c>
      <c r="C1726" s="10" t="s">
        <v>43</v>
      </c>
      <c r="D1726" s="10" t="s">
        <v>5200</v>
      </c>
      <c r="E1726" s="10" t="s">
        <v>66</v>
      </c>
      <c r="F1726" s="11">
        <v>1.0</v>
      </c>
      <c r="G1726" s="11">
        <v>92.15</v>
      </c>
      <c r="H1726" s="11">
        <v>34.18</v>
      </c>
      <c r="I1726" s="11">
        <v>-17.51</v>
      </c>
      <c r="J1726" s="11">
        <v>-54.63</v>
      </c>
      <c r="K1726" s="11"/>
      <c r="L1726" s="11">
        <v>59.72</v>
      </c>
      <c r="M1726" s="10" t="s">
        <v>12218</v>
      </c>
      <c r="N1726" s="10" t="s">
        <v>45</v>
      </c>
      <c r="O1726" s="10" t="s">
        <v>586</v>
      </c>
      <c r="P1726" s="10" t="s">
        <v>587</v>
      </c>
      <c r="Q1726" s="10" t="s">
        <v>588</v>
      </c>
      <c r="R1726" s="10" t="s">
        <v>50</v>
      </c>
      <c r="S1726" s="11">
        <v>92.15</v>
      </c>
      <c r="T1726" s="11">
        <v>20.76</v>
      </c>
      <c r="U1726" s="11" t="s">
        <v>51</v>
      </c>
      <c r="V1726" s="10" t="s">
        <v>52</v>
      </c>
      <c r="W1726" s="10" t="s">
        <v>17156</v>
      </c>
      <c r="X1726" s="10" t="s">
        <v>17157</v>
      </c>
      <c r="Y1726" s="10" t="s">
        <v>17158</v>
      </c>
      <c r="Z1726" s="10" t="s">
        <v>50</v>
      </c>
      <c r="AA1726" s="10" t="s">
        <v>50</v>
      </c>
      <c r="AB1726" s="10" t="s">
        <v>17156</v>
      </c>
      <c r="AC1726" s="10" t="s">
        <v>17159</v>
      </c>
      <c r="AD1726" s="10" t="s">
        <v>17160</v>
      </c>
      <c r="AE1726" s="10" t="s">
        <v>17161</v>
      </c>
      <c r="AF1726" s="10" t="s">
        <v>10524</v>
      </c>
      <c r="AG1726" s="10" t="s">
        <v>17162</v>
      </c>
      <c r="AH1726" s="10" t="s">
        <v>60</v>
      </c>
      <c r="AI1726" s="10" t="s">
        <v>13406</v>
      </c>
      <c r="AJ1726" s="10" t="s">
        <v>16346</v>
      </c>
      <c r="AK1726" s="10" t="s">
        <v>17163</v>
      </c>
      <c r="AL1726" s="10" t="s">
        <v>2138</v>
      </c>
      <c r="AM1726" s="10" t="s">
        <v>17164</v>
      </c>
      <c r="AN1726" s="10" t="s">
        <v>17165</v>
      </c>
      <c r="AO1726" s="11" t="s">
        <v>50</v>
      </c>
      <c r="AP1726" s="10" t="s">
        <v>50</v>
      </c>
      <c r="AQ1726" s="10" t="s">
        <v>50</v>
      </c>
      <c r="AR1726" s="10" t="s">
        <v>50</v>
      </c>
      <c r="AS1726" s="10" t="s">
        <v>50</v>
      </c>
      <c r="AT1726" s="10" t="s">
        <v>50</v>
      </c>
      <c r="AU1726" s="10" t="s">
        <v>50</v>
      </c>
      <c r="AV1726" s="11"/>
      <c r="AW1726" s="10" t="s">
        <v>66</v>
      </c>
      <c r="AX1726" s="10"/>
      <c r="AY1726" s="10" t="s">
        <v>66</v>
      </c>
    </row>
    <row r="1727" ht="22.5" hidden="1" customHeight="1">
      <c r="A1727" s="9" t="s">
        <v>17166</v>
      </c>
      <c r="B1727" s="10" t="s">
        <v>17167</v>
      </c>
      <c r="C1727" s="10" t="s">
        <v>43</v>
      </c>
      <c r="D1727" s="10" t="s">
        <v>14923</v>
      </c>
      <c r="E1727" s="10" t="s">
        <v>45</v>
      </c>
      <c r="F1727" s="11">
        <v>1.0</v>
      </c>
      <c r="G1727" s="11">
        <v>120.0</v>
      </c>
      <c r="H1727" s="11">
        <v>7.55</v>
      </c>
      <c r="I1727" s="11">
        <v>-20.4</v>
      </c>
      <c r="J1727" s="11">
        <v>-27.5</v>
      </c>
      <c r="K1727" s="11"/>
      <c r="L1727" s="11">
        <v>86.85</v>
      </c>
      <c r="M1727" s="10" t="s">
        <v>12218</v>
      </c>
      <c r="N1727" s="10" t="s">
        <v>45</v>
      </c>
      <c r="O1727" s="10" t="s">
        <v>85</v>
      </c>
      <c r="P1727" s="10" t="s">
        <v>86</v>
      </c>
      <c r="Q1727" s="10" t="s">
        <v>87</v>
      </c>
      <c r="R1727" s="10" t="s">
        <v>74</v>
      </c>
      <c r="S1727" s="11">
        <v>120.0</v>
      </c>
      <c r="T1727" s="11">
        <v>65.78</v>
      </c>
      <c r="U1727" s="11" t="s">
        <v>51</v>
      </c>
      <c r="V1727" s="10" t="s">
        <v>52</v>
      </c>
      <c r="W1727" s="10" t="s">
        <v>17168</v>
      </c>
      <c r="X1727" s="10" t="s">
        <v>17169</v>
      </c>
      <c r="Y1727" s="10" t="s">
        <v>17170</v>
      </c>
      <c r="Z1727" s="10" t="s">
        <v>50</v>
      </c>
      <c r="AA1727" s="10" t="s">
        <v>50</v>
      </c>
      <c r="AB1727" s="10" t="s">
        <v>17168</v>
      </c>
      <c r="AC1727" s="10" t="s">
        <v>17171</v>
      </c>
      <c r="AD1727" s="10" t="s">
        <v>17172</v>
      </c>
      <c r="AE1727" s="10" t="s">
        <v>2975</v>
      </c>
      <c r="AF1727" s="10" t="s">
        <v>2976</v>
      </c>
      <c r="AG1727" s="10" t="s">
        <v>17173</v>
      </c>
      <c r="AH1727" s="10" t="s">
        <v>60</v>
      </c>
      <c r="AI1727" s="10" t="s">
        <v>13406</v>
      </c>
      <c r="AJ1727" s="10" t="s">
        <v>16388</v>
      </c>
      <c r="AK1727" s="10" t="s">
        <v>17174</v>
      </c>
      <c r="AL1727" s="10" t="s">
        <v>64</v>
      </c>
      <c r="AM1727" s="10" t="s">
        <v>17175</v>
      </c>
      <c r="AN1727" s="10" t="s">
        <v>50</v>
      </c>
      <c r="AO1727" s="11" t="s">
        <v>50</v>
      </c>
      <c r="AP1727" s="10" t="s">
        <v>50</v>
      </c>
      <c r="AQ1727" s="10" t="s">
        <v>50</v>
      </c>
      <c r="AR1727" s="10" t="s">
        <v>50</v>
      </c>
      <c r="AS1727" s="10" t="s">
        <v>50</v>
      </c>
      <c r="AT1727" s="10" t="s">
        <v>50</v>
      </c>
      <c r="AU1727" s="10" t="s">
        <v>50</v>
      </c>
      <c r="AV1727" s="11"/>
      <c r="AW1727" s="10" t="s">
        <v>66</v>
      </c>
      <c r="AX1727" s="10"/>
      <c r="AY1727" s="10" t="s">
        <v>66</v>
      </c>
    </row>
    <row r="1728" ht="22.5" hidden="1" customHeight="1">
      <c r="A1728" s="9" t="s">
        <v>17176</v>
      </c>
      <c r="B1728" s="10" t="s">
        <v>17177</v>
      </c>
      <c r="C1728" s="10" t="s">
        <v>43</v>
      </c>
      <c r="D1728" s="10" t="s">
        <v>14945</v>
      </c>
      <c r="E1728" s="10" t="s">
        <v>45</v>
      </c>
      <c r="F1728" s="11">
        <v>1.0</v>
      </c>
      <c r="G1728" s="11">
        <v>79.0</v>
      </c>
      <c r="H1728" s="11"/>
      <c r="I1728" s="11">
        <v>-13.43</v>
      </c>
      <c r="J1728" s="11">
        <v>-19.95</v>
      </c>
      <c r="K1728" s="11"/>
      <c r="L1728" s="11">
        <v>45.62</v>
      </c>
      <c r="M1728" s="10" t="s">
        <v>12218</v>
      </c>
      <c r="N1728" s="10" t="s">
        <v>50</v>
      </c>
      <c r="O1728" s="10" t="s">
        <v>11728</v>
      </c>
      <c r="P1728" s="10" t="s">
        <v>11729</v>
      </c>
      <c r="Q1728" s="10" t="s">
        <v>11730</v>
      </c>
      <c r="R1728" s="10" t="s">
        <v>74</v>
      </c>
      <c r="S1728" s="11">
        <v>79.0</v>
      </c>
      <c r="T1728" s="11">
        <v>7.11</v>
      </c>
      <c r="U1728" s="11" t="s">
        <v>51</v>
      </c>
      <c r="V1728" s="10" t="s">
        <v>52</v>
      </c>
      <c r="W1728" s="10" t="s">
        <v>17178</v>
      </c>
      <c r="X1728" s="10" t="s">
        <v>17179</v>
      </c>
      <c r="Y1728" s="10" t="s">
        <v>17180</v>
      </c>
      <c r="Z1728" s="10" t="s">
        <v>50</v>
      </c>
      <c r="AA1728" s="10" t="s">
        <v>50</v>
      </c>
      <c r="AB1728" s="10" t="s">
        <v>17178</v>
      </c>
      <c r="AC1728" s="10" t="s">
        <v>17181</v>
      </c>
      <c r="AD1728" s="10" t="s">
        <v>17182</v>
      </c>
      <c r="AE1728" s="10" t="s">
        <v>4981</v>
      </c>
      <c r="AF1728" s="10" t="s">
        <v>119</v>
      </c>
      <c r="AG1728" s="10" t="s">
        <v>17183</v>
      </c>
      <c r="AH1728" s="10" t="s">
        <v>60</v>
      </c>
      <c r="AI1728" s="10" t="s">
        <v>13406</v>
      </c>
      <c r="AJ1728" s="10" t="s">
        <v>15291</v>
      </c>
      <c r="AK1728" s="10" t="s">
        <v>17184</v>
      </c>
      <c r="AL1728" s="10" t="s">
        <v>64</v>
      </c>
      <c r="AM1728" s="10" t="s">
        <v>17185</v>
      </c>
      <c r="AN1728" s="10" t="s">
        <v>50</v>
      </c>
      <c r="AO1728" s="11" t="s">
        <v>50</v>
      </c>
      <c r="AP1728" s="10" t="s">
        <v>50</v>
      </c>
      <c r="AQ1728" s="10" t="s">
        <v>50</v>
      </c>
      <c r="AR1728" s="10" t="s">
        <v>50</v>
      </c>
      <c r="AS1728" s="10" t="s">
        <v>50</v>
      </c>
      <c r="AT1728" s="10" t="s">
        <v>50</v>
      </c>
      <c r="AU1728" s="10" t="s">
        <v>50</v>
      </c>
      <c r="AV1728" s="11"/>
      <c r="AW1728" s="10" t="s">
        <v>66</v>
      </c>
      <c r="AX1728" s="10"/>
      <c r="AY1728" s="10" t="s">
        <v>66</v>
      </c>
    </row>
    <row r="1729" ht="22.5" hidden="1" customHeight="1">
      <c r="A1729" s="9" t="s">
        <v>17186</v>
      </c>
      <c r="B1729" s="10" t="s">
        <v>17177</v>
      </c>
      <c r="C1729" s="10" t="s">
        <v>43</v>
      </c>
      <c r="D1729" s="10" t="s">
        <v>14945</v>
      </c>
      <c r="E1729" s="10" t="s">
        <v>66</v>
      </c>
      <c r="F1729" s="11">
        <v>1.0</v>
      </c>
      <c r="G1729" s="11">
        <v>120.0</v>
      </c>
      <c r="H1729" s="11"/>
      <c r="I1729" s="11">
        <v>-20.4</v>
      </c>
      <c r="J1729" s="11">
        <v>-19.95</v>
      </c>
      <c r="K1729" s="11"/>
      <c r="L1729" s="11">
        <v>86.85</v>
      </c>
      <c r="M1729" s="10" t="s">
        <v>12218</v>
      </c>
      <c r="N1729" s="10" t="s">
        <v>50</v>
      </c>
      <c r="O1729" s="10" t="s">
        <v>85</v>
      </c>
      <c r="P1729" s="10" t="s">
        <v>86</v>
      </c>
      <c r="Q1729" s="10" t="s">
        <v>87</v>
      </c>
      <c r="R1729" s="10" t="s">
        <v>74</v>
      </c>
      <c r="S1729" s="11">
        <v>120.0</v>
      </c>
      <c r="T1729" s="11">
        <v>65.78</v>
      </c>
      <c r="U1729" s="11" t="s">
        <v>51</v>
      </c>
      <c r="V1729" s="10" t="s">
        <v>52</v>
      </c>
      <c r="W1729" s="10" t="s">
        <v>17187</v>
      </c>
      <c r="X1729" s="10" t="s">
        <v>17188</v>
      </c>
      <c r="Y1729" s="10" t="s">
        <v>17189</v>
      </c>
      <c r="Z1729" s="10" t="s">
        <v>50</v>
      </c>
      <c r="AA1729" s="10" t="s">
        <v>50</v>
      </c>
      <c r="AB1729" s="10" t="s">
        <v>17187</v>
      </c>
      <c r="AC1729" s="10" t="s">
        <v>17190</v>
      </c>
      <c r="AD1729" s="10" t="s">
        <v>17191</v>
      </c>
      <c r="AE1729" s="10" t="s">
        <v>58</v>
      </c>
      <c r="AF1729" s="10" t="s">
        <v>58</v>
      </c>
      <c r="AG1729" s="10" t="s">
        <v>17192</v>
      </c>
      <c r="AH1729" s="10" t="s">
        <v>60</v>
      </c>
      <c r="AI1729" s="10" t="s">
        <v>13406</v>
      </c>
      <c r="AJ1729" s="10" t="s">
        <v>16388</v>
      </c>
      <c r="AK1729" s="10" t="s">
        <v>17193</v>
      </c>
      <c r="AL1729" s="10" t="s">
        <v>64</v>
      </c>
      <c r="AM1729" s="10" t="s">
        <v>17194</v>
      </c>
      <c r="AN1729" s="10" t="s">
        <v>50</v>
      </c>
      <c r="AO1729" s="11" t="s">
        <v>50</v>
      </c>
      <c r="AP1729" s="10" t="s">
        <v>50</v>
      </c>
      <c r="AQ1729" s="10" t="s">
        <v>50</v>
      </c>
      <c r="AR1729" s="10" t="s">
        <v>50</v>
      </c>
      <c r="AS1729" s="10" t="s">
        <v>50</v>
      </c>
      <c r="AT1729" s="10" t="s">
        <v>50</v>
      </c>
      <c r="AU1729" s="10" t="s">
        <v>50</v>
      </c>
      <c r="AV1729" s="11"/>
      <c r="AW1729" s="10" t="s">
        <v>66</v>
      </c>
      <c r="AX1729" s="10"/>
      <c r="AY1729" s="10" t="s">
        <v>66</v>
      </c>
    </row>
    <row r="1730" ht="22.5" hidden="1" customHeight="1">
      <c r="A1730" s="9" t="s">
        <v>17195</v>
      </c>
      <c r="B1730" s="10" t="s">
        <v>17196</v>
      </c>
      <c r="C1730" s="10" t="s">
        <v>43</v>
      </c>
      <c r="D1730" s="10" t="s">
        <v>16334</v>
      </c>
      <c r="E1730" s="10" t="s">
        <v>66</v>
      </c>
      <c r="F1730" s="11">
        <v>1.0</v>
      </c>
      <c r="G1730" s="11">
        <v>120.0</v>
      </c>
      <c r="H1730" s="11"/>
      <c r="I1730" s="11">
        <v>-20.4</v>
      </c>
      <c r="J1730" s="11">
        <v>-19.95</v>
      </c>
      <c r="K1730" s="11"/>
      <c r="L1730" s="11">
        <v>86.85</v>
      </c>
      <c r="M1730" s="10" t="s">
        <v>12218</v>
      </c>
      <c r="N1730" s="10" t="s">
        <v>45</v>
      </c>
      <c r="O1730" s="10" t="s">
        <v>85</v>
      </c>
      <c r="P1730" s="10" t="s">
        <v>86</v>
      </c>
      <c r="Q1730" s="10" t="s">
        <v>87</v>
      </c>
      <c r="R1730" s="10" t="s">
        <v>74</v>
      </c>
      <c r="S1730" s="11">
        <v>120.0</v>
      </c>
      <c r="T1730" s="11">
        <v>65.78</v>
      </c>
      <c r="U1730" s="11" t="s">
        <v>51</v>
      </c>
      <c r="V1730" s="10" t="s">
        <v>52</v>
      </c>
      <c r="W1730" s="10" t="s">
        <v>17197</v>
      </c>
      <c r="X1730" s="10" t="s">
        <v>17198</v>
      </c>
      <c r="Y1730" s="10" t="s">
        <v>17199</v>
      </c>
      <c r="Z1730" s="10" t="s">
        <v>50</v>
      </c>
      <c r="AA1730" s="10" t="s">
        <v>50</v>
      </c>
      <c r="AB1730" s="10" t="s">
        <v>17197</v>
      </c>
      <c r="AC1730" s="10" t="s">
        <v>17200</v>
      </c>
      <c r="AD1730" s="10" t="s">
        <v>17201</v>
      </c>
      <c r="AE1730" s="10" t="s">
        <v>322</v>
      </c>
      <c r="AF1730" s="10" t="s">
        <v>323</v>
      </c>
      <c r="AG1730" s="10" t="s">
        <v>17202</v>
      </c>
      <c r="AH1730" s="10" t="s">
        <v>60</v>
      </c>
      <c r="AI1730" s="10" t="s">
        <v>13406</v>
      </c>
      <c r="AJ1730" s="10" t="s">
        <v>17203</v>
      </c>
      <c r="AK1730" s="10" t="s">
        <v>17204</v>
      </c>
      <c r="AL1730" s="10" t="s">
        <v>64</v>
      </c>
      <c r="AM1730" s="10" t="s">
        <v>17205</v>
      </c>
      <c r="AN1730" s="10" t="s">
        <v>50</v>
      </c>
      <c r="AO1730" s="11" t="s">
        <v>50</v>
      </c>
      <c r="AP1730" s="10" t="s">
        <v>50</v>
      </c>
      <c r="AQ1730" s="10" t="s">
        <v>50</v>
      </c>
      <c r="AR1730" s="10" t="s">
        <v>50</v>
      </c>
      <c r="AS1730" s="10" t="s">
        <v>50</v>
      </c>
      <c r="AT1730" s="10" t="s">
        <v>50</v>
      </c>
      <c r="AU1730" s="10" t="s">
        <v>50</v>
      </c>
      <c r="AV1730" s="11"/>
      <c r="AW1730" s="10" t="s">
        <v>66</v>
      </c>
      <c r="AX1730" s="10"/>
      <c r="AY1730" s="10" t="s">
        <v>66</v>
      </c>
    </row>
    <row r="1731" ht="22.5" hidden="1" customHeight="1">
      <c r="A1731" s="9" t="s">
        <v>17206</v>
      </c>
      <c r="B1731" s="10" t="s">
        <v>17207</v>
      </c>
      <c r="C1731" s="10" t="s">
        <v>43</v>
      </c>
      <c r="D1731" s="10" t="s">
        <v>13175</v>
      </c>
      <c r="E1731" s="10" t="s">
        <v>66</v>
      </c>
      <c r="F1731" s="11">
        <v>1.0</v>
      </c>
      <c r="G1731" s="11">
        <v>79.0</v>
      </c>
      <c r="H1731" s="11"/>
      <c r="I1731" s="11">
        <v>-13.43</v>
      </c>
      <c r="J1731" s="11">
        <v>-20.45</v>
      </c>
      <c r="K1731" s="11"/>
      <c r="L1731" s="11">
        <v>45.12</v>
      </c>
      <c r="M1731" s="10" t="s">
        <v>12218</v>
      </c>
      <c r="N1731" s="10" t="s">
        <v>45</v>
      </c>
      <c r="O1731" s="10" t="s">
        <v>461</v>
      </c>
      <c r="P1731" s="10" t="s">
        <v>462</v>
      </c>
      <c r="Q1731" s="10" t="s">
        <v>463</v>
      </c>
      <c r="R1731" s="10" t="s">
        <v>74</v>
      </c>
      <c r="S1731" s="11">
        <v>79.0</v>
      </c>
      <c r="T1731" s="11">
        <v>10.09</v>
      </c>
      <c r="U1731" s="11" t="s">
        <v>51</v>
      </c>
      <c r="V1731" s="10" t="s">
        <v>52</v>
      </c>
      <c r="W1731" s="10" t="s">
        <v>17208</v>
      </c>
      <c r="X1731" s="10" t="s">
        <v>17209</v>
      </c>
      <c r="Y1731" s="10" t="s">
        <v>17210</v>
      </c>
      <c r="Z1731" s="10" t="s">
        <v>50</v>
      </c>
      <c r="AA1731" s="10" t="s">
        <v>50</v>
      </c>
      <c r="AB1731" s="10" t="s">
        <v>17208</v>
      </c>
      <c r="AC1731" s="10" t="s">
        <v>17211</v>
      </c>
      <c r="AD1731" s="10" t="s">
        <v>17212</v>
      </c>
      <c r="AE1731" s="10" t="s">
        <v>17213</v>
      </c>
      <c r="AF1731" s="10" t="s">
        <v>185</v>
      </c>
      <c r="AG1731" s="10" t="s">
        <v>17214</v>
      </c>
      <c r="AH1731" s="10" t="s">
        <v>60</v>
      </c>
      <c r="AI1731" s="10" t="s">
        <v>13406</v>
      </c>
      <c r="AJ1731" s="10" t="s">
        <v>16346</v>
      </c>
      <c r="AK1731" s="10" t="s">
        <v>17215</v>
      </c>
      <c r="AL1731" s="10" t="s">
        <v>64</v>
      </c>
      <c r="AM1731" s="10" t="s">
        <v>17216</v>
      </c>
      <c r="AN1731" s="10" t="s">
        <v>50</v>
      </c>
      <c r="AO1731" s="11" t="s">
        <v>50</v>
      </c>
      <c r="AP1731" s="10" t="s">
        <v>50</v>
      </c>
      <c r="AQ1731" s="10" t="s">
        <v>50</v>
      </c>
      <c r="AR1731" s="10" t="s">
        <v>50</v>
      </c>
      <c r="AS1731" s="10" t="s">
        <v>50</v>
      </c>
      <c r="AT1731" s="10" t="s">
        <v>50</v>
      </c>
      <c r="AU1731" s="10" t="s">
        <v>50</v>
      </c>
      <c r="AV1731" s="11"/>
      <c r="AW1731" s="10" t="s">
        <v>66</v>
      </c>
      <c r="AX1731" s="10"/>
      <c r="AY1731" s="10" t="s">
        <v>66</v>
      </c>
    </row>
    <row r="1732" ht="22.5" hidden="1" customHeight="1">
      <c r="A1732" s="9" t="s">
        <v>17217</v>
      </c>
      <c r="B1732" s="10" t="s">
        <v>17218</v>
      </c>
      <c r="C1732" s="10" t="s">
        <v>43</v>
      </c>
      <c r="D1732" s="10" t="s">
        <v>14945</v>
      </c>
      <c r="E1732" s="10" t="s">
        <v>45</v>
      </c>
      <c r="F1732" s="11">
        <v>1.0</v>
      </c>
      <c r="G1732" s="11">
        <v>80.3</v>
      </c>
      <c r="H1732" s="11"/>
      <c r="I1732" s="11">
        <v>-13.65</v>
      </c>
      <c r="J1732" s="11">
        <v>-20.45</v>
      </c>
      <c r="K1732" s="11"/>
      <c r="L1732" s="11">
        <v>46.2</v>
      </c>
      <c r="M1732" s="10" t="s">
        <v>12218</v>
      </c>
      <c r="N1732" s="10" t="s">
        <v>45</v>
      </c>
      <c r="O1732" s="10" t="s">
        <v>127</v>
      </c>
      <c r="P1732" s="10" t="s">
        <v>128</v>
      </c>
      <c r="Q1732" s="10" t="s">
        <v>129</v>
      </c>
      <c r="R1732" s="10" t="s">
        <v>74</v>
      </c>
      <c r="S1732" s="11">
        <v>80.3</v>
      </c>
      <c r="T1732" s="11">
        <v>17.68</v>
      </c>
      <c r="U1732" s="11" t="s">
        <v>51</v>
      </c>
      <c r="V1732" s="10" t="s">
        <v>52</v>
      </c>
      <c r="W1732" s="10" t="s">
        <v>17219</v>
      </c>
      <c r="X1732" s="10" t="s">
        <v>17220</v>
      </c>
      <c r="Y1732" s="10" t="s">
        <v>17221</v>
      </c>
      <c r="Z1732" s="10" t="s">
        <v>50</v>
      </c>
      <c r="AA1732" s="10" t="s">
        <v>50</v>
      </c>
      <c r="AB1732" s="10" t="s">
        <v>17219</v>
      </c>
      <c r="AC1732" s="10" t="s">
        <v>17222</v>
      </c>
      <c r="AD1732" s="10" t="s">
        <v>17223</v>
      </c>
      <c r="AE1732" s="10" t="s">
        <v>58</v>
      </c>
      <c r="AF1732" s="10" t="s">
        <v>58</v>
      </c>
      <c r="AG1732" s="10" t="s">
        <v>17224</v>
      </c>
      <c r="AH1732" s="10" t="s">
        <v>60</v>
      </c>
      <c r="AI1732" s="10" t="s">
        <v>13406</v>
      </c>
      <c r="AJ1732" s="10" t="s">
        <v>15325</v>
      </c>
      <c r="AK1732" s="10" t="s">
        <v>17225</v>
      </c>
      <c r="AL1732" s="10" t="s">
        <v>64</v>
      </c>
      <c r="AM1732" s="10" t="s">
        <v>17226</v>
      </c>
      <c r="AN1732" s="10" t="s">
        <v>50</v>
      </c>
      <c r="AO1732" s="11" t="s">
        <v>50</v>
      </c>
      <c r="AP1732" s="10" t="s">
        <v>50</v>
      </c>
      <c r="AQ1732" s="10" t="s">
        <v>50</v>
      </c>
      <c r="AR1732" s="10" t="s">
        <v>50</v>
      </c>
      <c r="AS1732" s="10" t="s">
        <v>50</v>
      </c>
      <c r="AT1732" s="10" t="s">
        <v>50</v>
      </c>
      <c r="AU1732" s="10" t="s">
        <v>50</v>
      </c>
      <c r="AV1732" s="11"/>
      <c r="AW1732" s="10" t="s">
        <v>66</v>
      </c>
      <c r="AX1732" s="10"/>
      <c r="AY1732" s="10" t="s">
        <v>66</v>
      </c>
    </row>
    <row r="1733" ht="22.5" hidden="1" customHeight="1">
      <c r="A1733" s="9" t="s">
        <v>17227</v>
      </c>
      <c r="B1733" s="10" t="s">
        <v>17228</v>
      </c>
      <c r="C1733" s="10" t="s">
        <v>43</v>
      </c>
      <c r="D1733" s="10" t="s">
        <v>14945</v>
      </c>
      <c r="E1733" s="10" t="s">
        <v>66</v>
      </c>
      <c r="F1733" s="11">
        <v>1.0</v>
      </c>
      <c r="G1733" s="11">
        <v>80.0</v>
      </c>
      <c r="H1733" s="11"/>
      <c r="I1733" s="11">
        <v>-13.6</v>
      </c>
      <c r="J1733" s="11">
        <v>-19.95</v>
      </c>
      <c r="K1733" s="11"/>
      <c r="L1733" s="11">
        <v>50.45</v>
      </c>
      <c r="M1733" s="10" t="s">
        <v>12218</v>
      </c>
      <c r="N1733" s="10" t="s">
        <v>45</v>
      </c>
      <c r="O1733" s="10" t="s">
        <v>143</v>
      </c>
      <c r="P1733" s="10" t="s">
        <v>144</v>
      </c>
      <c r="Q1733" s="10" t="s">
        <v>145</v>
      </c>
      <c r="R1733" s="10" t="s">
        <v>74</v>
      </c>
      <c r="S1733" s="11">
        <v>80.0</v>
      </c>
      <c r="T1733" s="11">
        <v>33.38</v>
      </c>
      <c r="U1733" s="11" t="s">
        <v>51</v>
      </c>
      <c r="V1733" s="10" t="s">
        <v>52</v>
      </c>
      <c r="W1733" s="10" t="s">
        <v>17229</v>
      </c>
      <c r="X1733" s="10" t="s">
        <v>17230</v>
      </c>
      <c r="Y1733" s="10" t="s">
        <v>17231</v>
      </c>
      <c r="Z1733" s="10" t="s">
        <v>50</v>
      </c>
      <c r="AA1733" s="10" t="s">
        <v>50</v>
      </c>
      <c r="AB1733" s="10" t="s">
        <v>17229</v>
      </c>
      <c r="AC1733" s="10" t="s">
        <v>17232</v>
      </c>
      <c r="AD1733" s="10" t="s">
        <v>17233</v>
      </c>
      <c r="AE1733" s="10" t="s">
        <v>10264</v>
      </c>
      <c r="AF1733" s="10" t="s">
        <v>214</v>
      </c>
      <c r="AG1733" s="10" t="s">
        <v>17234</v>
      </c>
      <c r="AH1733" s="10" t="s">
        <v>60</v>
      </c>
      <c r="AI1733" s="10" t="s">
        <v>13406</v>
      </c>
      <c r="AJ1733" s="10" t="s">
        <v>15314</v>
      </c>
      <c r="AK1733" s="10" t="s">
        <v>17235</v>
      </c>
      <c r="AL1733" s="10" t="s">
        <v>64</v>
      </c>
      <c r="AM1733" s="10" t="s">
        <v>17236</v>
      </c>
      <c r="AN1733" s="10" t="s">
        <v>50</v>
      </c>
      <c r="AO1733" s="11" t="s">
        <v>50</v>
      </c>
      <c r="AP1733" s="10" t="s">
        <v>50</v>
      </c>
      <c r="AQ1733" s="10" t="s">
        <v>50</v>
      </c>
      <c r="AR1733" s="10" t="s">
        <v>50</v>
      </c>
      <c r="AS1733" s="10" t="s">
        <v>50</v>
      </c>
      <c r="AT1733" s="10" t="s">
        <v>50</v>
      </c>
      <c r="AU1733" s="10" t="s">
        <v>50</v>
      </c>
      <c r="AV1733" s="11"/>
      <c r="AW1733" s="10" t="s">
        <v>66</v>
      </c>
      <c r="AX1733" s="10"/>
      <c r="AY1733" s="10" t="s">
        <v>66</v>
      </c>
    </row>
    <row r="1734" ht="22.5" hidden="1" customHeight="1">
      <c r="A1734" s="12" t="s">
        <v>17237</v>
      </c>
      <c r="B1734" s="13" t="s">
        <v>17238</v>
      </c>
      <c r="C1734" s="13" t="s">
        <v>1976</v>
      </c>
      <c r="D1734" s="13" t="s">
        <v>50</v>
      </c>
      <c r="E1734" s="13" t="s">
        <v>50</v>
      </c>
      <c r="F1734" s="14"/>
      <c r="G1734" s="14">
        <v>202.05</v>
      </c>
      <c r="H1734" s="14"/>
      <c r="I1734" s="14">
        <v>-41.94</v>
      </c>
      <c r="J1734" s="14">
        <v>-40.4</v>
      </c>
      <c r="K1734" s="14"/>
      <c r="L1734" s="14">
        <v>122.33</v>
      </c>
      <c r="M1734" s="13" t="s">
        <v>12218</v>
      </c>
      <c r="N1734" s="13" t="s">
        <v>50</v>
      </c>
      <c r="O1734" s="13" t="s">
        <v>50</v>
      </c>
      <c r="P1734" s="13" t="s">
        <v>50</v>
      </c>
      <c r="Q1734" s="13" t="s">
        <v>50</v>
      </c>
      <c r="R1734" s="13" t="s">
        <v>50</v>
      </c>
      <c r="S1734" s="14"/>
      <c r="T1734" s="11"/>
      <c r="U1734" s="14" t="s">
        <v>50</v>
      </c>
      <c r="V1734" s="13" t="s">
        <v>52</v>
      </c>
      <c r="W1734" s="13" t="s">
        <v>17239</v>
      </c>
      <c r="X1734" s="13" t="s">
        <v>17240</v>
      </c>
      <c r="Y1734" s="13" t="s">
        <v>17241</v>
      </c>
      <c r="Z1734" s="13" t="s">
        <v>50</v>
      </c>
      <c r="AA1734" s="13" t="s">
        <v>50</v>
      </c>
      <c r="AB1734" s="13" t="s">
        <v>17239</v>
      </c>
      <c r="AC1734" s="13" t="s">
        <v>17242</v>
      </c>
      <c r="AD1734" s="13" t="s">
        <v>17243</v>
      </c>
      <c r="AE1734" s="13" t="s">
        <v>4905</v>
      </c>
      <c r="AF1734" s="13" t="s">
        <v>151</v>
      </c>
      <c r="AG1734" s="13" t="s">
        <v>17244</v>
      </c>
      <c r="AH1734" s="13" t="s">
        <v>60</v>
      </c>
      <c r="AI1734" s="13" t="s">
        <v>13406</v>
      </c>
      <c r="AJ1734" s="13" t="s">
        <v>16496</v>
      </c>
      <c r="AK1734" s="13" t="s">
        <v>17245</v>
      </c>
      <c r="AL1734" s="13" t="s">
        <v>64</v>
      </c>
      <c r="AM1734" s="13" t="s">
        <v>17246</v>
      </c>
      <c r="AN1734" s="13" t="s">
        <v>50</v>
      </c>
      <c r="AO1734" s="15" t="s">
        <v>50</v>
      </c>
      <c r="AP1734" s="13" t="s">
        <v>50</v>
      </c>
      <c r="AQ1734" s="13" t="s">
        <v>50</v>
      </c>
      <c r="AR1734" s="13" t="s">
        <v>50</v>
      </c>
      <c r="AS1734" s="13" t="s">
        <v>50</v>
      </c>
      <c r="AT1734" s="13" t="s">
        <v>50</v>
      </c>
      <c r="AU1734" s="13" t="s">
        <v>50</v>
      </c>
      <c r="AV1734" s="15"/>
      <c r="AW1734" s="13" t="s">
        <v>50</v>
      </c>
      <c r="AX1734" s="13"/>
      <c r="AY1734" s="13" t="s">
        <v>50</v>
      </c>
    </row>
    <row r="1735" ht="22.5" hidden="1" customHeight="1">
      <c r="A1735" s="16" t="s">
        <v>17247</v>
      </c>
      <c r="B1735" s="17" t="s">
        <v>17238</v>
      </c>
      <c r="C1735" s="17" t="s">
        <v>43</v>
      </c>
      <c r="D1735" s="17" t="s">
        <v>16334</v>
      </c>
      <c r="E1735" s="17" t="s">
        <v>45</v>
      </c>
      <c r="F1735" s="18">
        <v>1.0</v>
      </c>
      <c r="G1735" s="18"/>
      <c r="H1735" s="18"/>
      <c r="I1735" s="18"/>
      <c r="J1735" s="18"/>
      <c r="K1735" s="18"/>
      <c r="L1735" s="18"/>
      <c r="M1735" s="17" t="s">
        <v>50</v>
      </c>
      <c r="N1735" s="17" t="s">
        <v>45</v>
      </c>
      <c r="O1735" s="17" t="s">
        <v>160</v>
      </c>
      <c r="P1735" s="17" t="s">
        <v>161</v>
      </c>
      <c r="Q1735" s="17" t="s">
        <v>162</v>
      </c>
      <c r="R1735" s="17" t="s">
        <v>74</v>
      </c>
      <c r="S1735" s="18">
        <v>79.0</v>
      </c>
      <c r="T1735" s="11">
        <v>2.49</v>
      </c>
      <c r="U1735" s="18" t="s">
        <v>51</v>
      </c>
      <c r="V1735" s="17" t="s">
        <v>50</v>
      </c>
      <c r="W1735" s="17" t="s">
        <v>50</v>
      </c>
      <c r="X1735" s="17" t="s">
        <v>50</v>
      </c>
      <c r="Y1735" s="17" t="s">
        <v>50</v>
      </c>
      <c r="Z1735" s="17" t="s">
        <v>50</v>
      </c>
      <c r="AA1735" s="17" t="s">
        <v>50</v>
      </c>
      <c r="AB1735" s="17" t="s">
        <v>50</v>
      </c>
      <c r="AC1735" s="17" t="s">
        <v>50</v>
      </c>
      <c r="AD1735" s="17" t="s">
        <v>50</v>
      </c>
      <c r="AE1735" s="17" t="s">
        <v>50</v>
      </c>
      <c r="AF1735" s="17" t="s">
        <v>50</v>
      </c>
      <c r="AG1735" s="17" t="s">
        <v>50</v>
      </c>
      <c r="AH1735" s="17" t="s">
        <v>50</v>
      </c>
      <c r="AI1735" s="17" t="s">
        <v>50</v>
      </c>
      <c r="AJ1735" s="17" t="s">
        <v>50</v>
      </c>
      <c r="AK1735" s="17" t="s">
        <v>50</v>
      </c>
      <c r="AL1735" s="17" t="s">
        <v>50</v>
      </c>
      <c r="AM1735" s="17" t="s">
        <v>50</v>
      </c>
      <c r="AN1735" s="17" t="s">
        <v>50</v>
      </c>
      <c r="AO1735" s="18" t="s">
        <v>50</v>
      </c>
      <c r="AP1735" s="17" t="s">
        <v>50</v>
      </c>
      <c r="AQ1735" s="17" t="s">
        <v>50</v>
      </c>
      <c r="AR1735" s="17" t="s">
        <v>50</v>
      </c>
      <c r="AS1735" s="17" t="s">
        <v>50</v>
      </c>
      <c r="AT1735" s="17" t="s">
        <v>50</v>
      </c>
      <c r="AU1735" s="17" t="s">
        <v>50</v>
      </c>
      <c r="AV1735" s="18"/>
      <c r="AW1735" s="17" t="s">
        <v>66</v>
      </c>
      <c r="AX1735" s="17"/>
      <c r="AY1735" s="17" t="s">
        <v>66</v>
      </c>
    </row>
    <row r="1736" ht="22.5" hidden="1" customHeight="1">
      <c r="A1736" s="16" t="s">
        <v>17248</v>
      </c>
      <c r="B1736" s="17" t="s">
        <v>17238</v>
      </c>
      <c r="C1736" s="17" t="s">
        <v>43</v>
      </c>
      <c r="D1736" s="17" t="s">
        <v>16334</v>
      </c>
      <c r="E1736" s="17" t="s">
        <v>45</v>
      </c>
      <c r="F1736" s="18">
        <v>1.0</v>
      </c>
      <c r="G1736" s="18"/>
      <c r="H1736" s="18"/>
      <c r="I1736" s="18"/>
      <c r="J1736" s="18"/>
      <c r="K1736" s="18"/>
      <c r="L1736" s="18"/>
      <c r="M1736" s="17" t="s">
        <v>50</v>
      </c>
      <c r="N1736" s="17" t="s">
        <v>45</v>
      </c>
      <c r="O1736" s="17" t="s">
        <v>47</v>
      </c>
      <c r="P1736" s="17" t="s">
        <v>48</v>
      </c>
      <c r="Q1736" s="17" t="s">
        <v>49</v>
      </c>
      <c r="R1736" s="17" t="s">
        <v>50</v>
      </c>
      <c r="S1736" s="18">
        <v>79.35</v>
      </c>
      <c r="T1736" s="18">
        <v>12.45</v>
      </c>
      <c r="U1736" s="18" t="s">
        <v>51</v>
      </c>
      <c r="V1736" s="17" t="s">
        <v>50</v>
      </c>
      <c r="W1736" s="17" t="s">
        <v>50</v>
      </c>
      <c r="X1736" s="17" t="s">
        <v>50</v>
      </c>
      <c r="Y1736" s="17" t="s">
        <v>50</v>
      </c>
      <c r="Z1736" s="17" t="s">
        <v>50</v>
      </c>
      <c r="AA1736" s="17" t="s">
        <v>50</v>
      </c>
      <c r="AB1736" s="17" t="s">
        <v>50</v>
      </c>
      <c r="AC1736" s="17" t="s">
        <v>50</v>
      </c>
      <c r="AD1736" s="17" t="s">
        <v>50</v>
      </c>
      <c r="AE1736" s="17" t="s">
        <v>50</v>
      </c>
      <c r="AF1736" s="17" t="s">
        <v>50</v>
      </c>
      <c r="AG1736" s="17" t="s">
        <v>50</v>
      </c>
      <c r="AH1736" s="17" t="s">
        <v>50</v>
      </c>
      <c r="AI1736" s="17" t="s">
        <v>50</v>
      </c>
      <c r="AJ1736" s="17" t="s">
        <v>50</v>
      </c>
      <c r="AK1736" s="17" t="s">
        <v>50</v>
      </c>
      <c r="AL1736" s="17" t="s">
        <v>50</v>
      </c>
      <c r="AM1736" s="17" t="s">
        <v>50</v>
      </c>
      <c r="AN1736" s="17" t="s">
        <v>50</v>
      </c>
      <c r="AO1736" s="18" t="s">
        <v>50</v>
      </c>
      <c r="AP1736" s="17" t="s">
        <v>50</v>
      </c>
      <c r="AQ1736" s="17" t="s">
        <v>50</v>
      </c>
      <c r="AR1736" s="17" t="s">
        <v>50</v>
      </c>
      <c r="AS1736" s="17" t="s">
        <v>50</v>
      </c>
      <c r="AT1736" s="17" t="s">
        <v>50</v>
      </c>
      <c r="AU1736" s="17" t="s">
        <v>50</v>
      </c>
      <c r="AV1736" s="18"/>
      <c r="AW1736" s="17" t="s">
        <v>66</v>
      </c>
      <c r="AX1736" s="17"/>
      <c r="AY1736" s="17" t="s">
        <v>66</v>
      </c>
    </row>
    <row r="1737" ht="22.5" hidden="1" customHeight="1">
      <c r="A1737" s="16" t="s">
        <v>17249</v>
      </c>
      <c r="B1737" s="17" t="s">
        <v>17238</v>
      </c>
      <c r="C1737" s="17" t="s">
        <v>43</v>
      </c>
      <c r="D1737" s="17" t="s">
        <v>16334</v>
      </c>
      <c r="E1737" s="17" t="s">
        <v>45</v>
      </c>
      <c r="F1737" s="18">
        <v>1.0</v>
      </c>
      <c r="G1737" s="18"/>
      <c r="H1737" s="18"/>
      <c r="I1737" s="18"/>
      <c r="J1737" s="18"/>
      <c r="K1737" s="18"/>
      <c r="L1737" s="18"/>
      <c r="M1737" s="17" t="s">
        <v>50</v>
      </c>
      <c r="N1737" s="17" t="s">
        <v>45</v>
      </c>
      <c r="O1737" s="17" t="s">
        <v>176</v>
      </c>
      <c r="P1737" s="17" t="s">
        <v>177</v>
      </c>
      <c r="Q1737" s="17" t="s">
        <v>178</v>
      </c>
      <c r="R1737" s="17" t="s">
        <v>74</v>
      </c>
      <c r="S1737" s="18">
        <v>43.7</v>
      </c>
      <c r="T1737" s="18">
        <v>22.58</v>
      </c>
      <c r="U1737" s="18" t="s">
        <v>51</v>
      </c>
      <c r="V1737" s="17" t="s">
        <v>50</v>
      </c>
      <c r="W1737" s="17" t="s">
        <v>50</v>
      </c>
      <c r="X1737" s="17" t="s">
        <v>50</v>
      </c>
      <c r="Y1737" s="17" t="s">
        <v>50</v>
      </c>
      <c r="Z1737" s="17" t="s">
        <v>50</v>
      </c>
      <c r="AA1737" s="17" t="s">
        <v>50</v>
      </c>
      <c r="AB1737" s="17" t="s">
        <v>50</v>
      </c>
      <c r="AC1737" s="17" t="s">
        <v>50</v>
      </c>
      <c r="AD1737" s="17" t="s">
        <v>50</v>
      </c>
      <c r="AE1737" s="17" t="s">
        <v>50</v>
      </c>
      <c r="AF1737" s="17" t="s">
        <v>50</v>
      </c>
      <c r="AG1737" s="17" t="s">
        <v>50</v>
      </c>
      <c r="AH1737" s="17" t="s">
        <v>50</v>
      </c>
      <c r="AI1737" s="17" t="s">
        <v>50</v>
      </c>
      <c r="AJ1737" s="17" t="s">
        <v>50</v>
      </c>
      <c r="AK1737" s="17" t="s">
        <v>50</v>
      </c>
      <c r="AL1737" s="17" t="s">
        <v>50</v>
      </c>
      <c r="AM1737" s="17" t="s">
        <v>50</v>
      </c>
      <c r="AN1737" s="17" t="s">
        <v>50</v>
      </c>
      <c r="AO1737" s="18" t="s">
        <v>50</v>
      </c>
      <c r="AP1737" s="17" t="s">
        <v>50</v>
      </c>
      <c r="AQ1737" s="17" t="s">
        <v>50</v>
      </c>
      <c r="AR1737" s="17" t="s">
        <v>50</v>
      </c>
      <c r="AS1737" s="17" t="s">
        <v>50</v>
      </c>
      <c r="AT1737" s="17" t="s">
        <v>50</v>
      </c>
      <c r="AU1737" s="17" t="s">
        <v>50</v>
      </c>
      <c r="AV1737" s="18"/>
      <c r="AW1737" s="17" t="s">
        <v>66</v>
      </c>
      <c r="AX1737" s="17"/>
      <c r="AY1737" s="17" t="s">
        <v>66</v>
      </c>
    </row>
    <row r="1738" ht="22.5" hidden="1" customHeight="1">
      <c r="A1738" s="9" t="s">
        <v>17250</v>
      </c>
      <c r="B1738" s="10" t="s">
        <v>17251</v>
      </c>
      <c r="C1738" s="10" t="s">
        <v>43</v>
      </c>
      <c r="D1738" s="10" t="s">
        <v>14945</v>
      </c>
      <c r="E1738" s="10" t="s">
        <v>45</v>
      </c>
      <c r="F1738" s="11">
        <v>1.0</v>
      </c>
      <c r="G1738" s="11">
        <v>80.0</v>
      </c>
      <c r="H1738" s="11"/>
      <c r="I1738" s="11">
        <v>-13.6</v>
      </c>
      <c r="J1738" s="11">
        <v>-19.95</v>
      </c>
      <c r="K1738" s="11"/>
      <c r="L1738" s="11">
        <v>50.45</v>
      </c>
      <c r="M1738" s="10" t="s">
        <v>12218</v>
      </c>
      <c r="N1738" s="10" t="s">
        <v>50</v>
      </c>
      <c r="O1738" s="10" t="s">
        <v>143</v>
      </c>
      <c r="P1738" s="10" t="s">
        <v>144</v>
      </c>
      <c r="Q1738" s="10" t="s">
        <v>145</v>
      </c>
      <c r="R1738" s="10" t="s">
        <v>74</v>
      </c>
      <c r="S1738" s="11">
        <v>80.0</v>
      </c>
      <c r="T1738" s="11">
        <v>33.38</v>
      </c>
      <c r="U1738" s="11" t="s">
        <v>51</v>
      </c>
      <c r="V1738" s="10" t="s">
        <v>52</v>
      </c>
      <c r="W1738" s="10" t="s">
        <v>17252</v>
      </c>
      <c r="X1738" s="10" t="s">
        <v>17253</v>
      </c>
      <c r="Y1738" s="10" t="s">
        <v>17254</v>
      </c>
      <c r="Z1738" s="10" t="s">
        <v>50</v>
      </c>
      <c r="AA1738" s="10" t="s">
        <v>50</v>
      </c>
      <c r="AB1738" s="10" t="s">
        <v>17252</v>
      </c>
      <c r="AC1738" s="10" t="s">
        <v>17255</v>
      </c>
      <c r="AD1738" s="10" t="s">
        <v>17256</v>
      </c>
      <c r="AE1738" s="10" t="s">
        <v>1268</v>
      </c>
      <c r="AF1738" s="10" t="s">
        <v>58</v>
      </c>
      <c r="AG1738" s="10" t="s">
        <v>17257</v>
      </c>
      <c r="AH1738" s="10" t="s">
        <v>60</v>
      </c>
      <c r="AI1738" s="10" t="s">
        <v>13406</v>
      </c>
      <c r="AJ1738" s="10" t="s">
        <v>16346</v>
      </c>
      <c r="AK1738" s="10" t="s">
        <v>17258</v>
      </c>
      <c r="AL1738" s="10" t="s">
        <v>64</v>
      </c>
      <c r="AM1738" s="10" t="s">
        <v>17259</v>
      </c>
      <c r="AN1738" s="10" t="s">
        <v>50</v>
      </c>
      <c r="AO1738" s="11" t="s">
        <v>50</v>
      </c>
      <c r="AP1738" s="10" t="s">
        <v>50</v>
      </c>
      <c r="AQ1738" s="10" t="s">
        <v>50</v>
      </c>
      <c r="AR1738" s="10" t="s">
        <v>50</v>
      </c>
      <c r="AS1738" s="10" t="s">
        <v>50</v>
      </c>
      <c r="AT1738" s="10" t="s">
        <v>50</v>
      </c>
      <c r="AU1738" s="10" t="s">
        <v>50</v>
      </c>
      <c r="AV1738" s="11"/>
      <c r="AW1738" s="10" t="s">
        <v>66</v>
      </c>
      <c r="AX1738" s="10"/>
      <c r="AY1738" s="10" t="s">
        <v>66</v>
      </c>
    </row>
    <row r="1739" ht="22.5" hidden="1" customHeight="1">
      <c r="A1739" s="9" t="s">
        <v>17260</v>
      </c>
      <c r="B1739" s="10" t="s">
        <v>17261</v>
      </c>
      <c r="C1739" s="10" t="s">
        <v>43</v>
      </c>
      <c r="D1739" s="10" t="s">
        <v>13120</v>
      </c>
      <c r="E1739" s="10" t="s">
        <v>66</v>
      </c>
      <c r="F1739" s="11">
        <v>1.0</v>
      </c>
      <c r="G1739" s="11">
        <v>80.0</v>
      </c>
      <c r="H1739" s="11"/>
      <c r="I1739" s="11">
        <v>-13.6</v>
      </c>
      <c r="J1739" s="11">
        <v>-19.95</v>
      </c>
      <c r="K1739" s="11"/>
      <c r="L1739" s="11">
        <v>50.45</v>
      </c>
      <c r="M1739" s="10" t="s">
        <v>12218</v>
      </c>
      <c r="N1739" s="10" t="s">
        <v>50</v>
      </c>
      <c r="O1739" s="10" t="s">
        <v>143</v>
      </c>
      <c r="P1739" s="10" t="s">
        <v>144</v>
      </c>
      <c r="Q1739" s="10" t="s">
        <v>145</v>
      </c>
      <c r="R1739" s="10" t="s">
        <v>74</v>
      </c>
      <c r="S1739" s="11">
        <v>80.0</v>
      </c>
      <c r="T1739" s="11">
        <v>33.38</v>
      </c>
      <c r="U1739" s="11" t="s">
        <v>51</v>
      </c>
      <c r="V1739" s="10" t="s">
        <v>52</v>
      </c>
      <c r="W1739" s="10" t="s">
        <v>17262</v>
      </c>
      <c r="X1739" s="10" t="s">
        <v>17263</v>
      </c>
      <c r="Y1739" s="10" t="s">
        <v>17264</v>
      </c>
      <c r="Z1739" s="10" t="s">
        <v>50</v>
      </c>
      <c r="AA1739" s="10" t="s">
        <v>50</v>
      </c>
      <c r="AB1739" s="10" t="s">
        <v>17262</v>
      </c>
      <c r="AC1739" s="10" t="s">
        <v>17265</v>
      </c>
      <c r="AD1739" s="10" t="s">
        <v>17266</v>
      </c>
      <c r="AE1739" s="10" t="s">
        <v>17267</v>
      </c>
      <c r="AF1739" s="10" t="s">
        <v>284</v>
      </c>
      <c r="AG1739" s="10" t="s">
        <v>17268</v>
      </c>
      <c r="AH1739" s="10" t="s">
        <v>60</v>
      </c>
      <c r="AI1739" s="10" t="s">
        <v>13406</v>
      </c>
      <c r="AJ1739" s="10" t="s">
        <v>15291</v>
      </c>
      <c r="AK1739" s="10" t="s">
        <v>17269</v>
      </c>
      <c r="AL1739" s="10" t="s">
        <v>64</v>
      </c>
      <c r="AM1739" s="10" t="s">
        <v>17270</v>
      </c>
      <c r="AN1739" s="10" t="s">
        <v>50</v>
      </c>
      <c r="AO1739" s="11" t="s">
        <v>50</v>
      </c>
      <c r="AP1739" s="10" t="s">
        <v>50</v>
      </c>
      <c r="AQ1739" s="10" t="s">
        <v>50</v>
      </c>
      <c r="AR1739" s="10" t="s">
        <v>50</v>
      </c>
      <c r="AS1739" s="10" t="s">
        <v>50</v>
      </c>
      <c r="AT1739" s="10" t="s">
        <v>50</v>
      </c>
      <c r="AU1739" s="10" t="s">
        <v>50</v>
      </c>
      <c r="AV1739" s="11"/>
      <c r="AW1739" s="10" t="s">
        <v>66</v>
      </c>
      <c r="AX1739" s="10"/>
      <c r="AY1739" s="10" t="s">
        <v>66</v>
      </c>
    </row>
    <row r="1740" ht="22.5" hidden="1" customHeight="1">
      <c r="A1740" s="9" t="s">
        <v>17271</v>
      </c>
      <c r="B1740" s="10" t="s">
        <v>17272</v>
      </c>
      <c r="C1740" s="10" t="s">
        <v>43</v>
      </c>
      <c r="D1740" s="10" t="s">
        <v>14945</v>
      </c>
      <c r="E1740" s="10" t="s">
        <v>45</v>
      </c>
      <c r="F1740" s="11">
        <v>1.0</v>
      </c>
      <c r="G1740" s="11">
        <v>113.6</v>
      </c>
      <c r="H1740" s="11"/>
      <c r="I1740" s="11">
        <v>-13.63</v>
      </c>
      <c r="J1740" s="11">
        <v>-22.95</v>
      </c>
      <c r="K1740" s="11"/>
      <c r="L1740" s="11">
        <v>77.02</v>
      </c>
      <c r="M1740" s="10" t="s">
        <v>12218</v>
      </c>
      <c r="N1740" s="10" t="s">
        <v>50</v>
      </c>
      <c r="O1740" s="10" t="s">
        <v>9521</v>
      </c>
      <c r="P1740" s="10" t="s">
        <v>9522</v>
      </c>
      <c r="Q1740" s="10" t="s">
        <v>9523</v>
      </c>
      <c r="R1740" s="10" t="s">
        <v>74</v>
      </c>
      <c r="S1740" s="11">
        <v>113.6</v>
      </c>
      <c r="T1740" s="11">
        <v>71.65</v>
      </c>
      <c r="U1740" s="11" t="s">
        <v>194</v>
      </c>
      <c r="V1740" s="10" t="s">
        <v>52</v>
      </c>
      <c r="W1740" s="10" t="s">
        <v>17273</v>
      </c>
      <c r="X1740" s="10" t="s">
        <v>17274</v>
      </c>
      <c r="Y1740" s="10" t="s">
        <v>17275</v>
      </c>
      <c r="Z1740" s="10" t="s">
        <v>50</v>
      </c>
      <c r="AA1740" s="10" t="s">
        <v>50</v>
      </c>
      <c r="AB1740" s="10" t="s">
        <v>17273</v>
      </c>
      <c r="AC1740" s="10" t="s">
        <v>17276</v>
      </c>
      <c r="AD1740" s="10" t="s">
        <v>17277</v>
      </c>
      <c r="AE1740" s="10" t="s">
        <v>5342</v>
      </c>
      <c r="AF1740" s="10" t="s">
        <v>58</v>
      </c>
      <c r="AG1740" s="10" t="s">
        <v>17278</v>
      </c>
      <c r="AH1740" s="10" t="s">
        <v>60</v>
      </c>
      <c r="AI1740" s="10" t="s">
        <v>13406</v>
      </c>
      <c r="AJ1740" s="10" t="s">
        <v>16346</v>
      </c>
      <c r="AK1740" s="10" t="s">
        <v>17279</v>
      </c>
      <c r="AL1740" s="10" t="s">
        <v>64</v>
      </c>
      <c r="AM1740" s="10" t="s">
        <v>17280</v>
      </c>
      <c r="AN1740" s="10" t="s">
        <v>50</v>
      </c>
      <c r="AO1740" s="11" t="s">
        <v>50</v>
      </c>
      <c r="AP1740" s="10" t="s">
        <v>50</v>
      </c>
      <c r="AQ1740" s="10" t="s">
        <v>50</v>
      </c>
      <c r="AR1740" s="10" t="s">
        <v>50</v>
      </c>
      <c r="AS1740" s="10" t="s">
        <v>50</v>
      </c>
      <c r="AT1740" s="10" t="s">
        <v>50</v>
      </c>
      <c r="AU1740" s="10" t="s">
        <v>50</v>
      </c>
      <c r="AV1740" s="11"/>
      <c r="AW1740" s="10" t="s">
        <v>66</v>
      </c>
      <c r="AX1740" s="10"/>
      <c r="AY1740" s="10" t="s">
        <v>66</v>
      </c>
    </row>
    <row r="1741" ht="22.5" hidden="1" customHeight="1">
      <c r="A1741" s="9" t="s">
        <v>17281</v>
      </c>
      <c r="B1741" s="10" t="s">
        <v>17282</v>
      </c>
      <c r="C1741" s="10" t="s">
        <v>43</v>
      </c>
      <c r="D1741" s="10" t="s">
        <v>14945</v>
      </c>
      <c r="E1741" s="10" t="s">
        <v>66</v>
      </c>
      <c r="F1741" s="11">
        <v>1.0</v>
      </c>
      <c r="G1741" s="11">
        <v>43.7</v>
      </c>
      <c r="H1741" s="11">
        <v>11.11</v>
      </c>
      <c r="I1741" s="11">
        <v>-13.43</v>
      </c>
      <c r="J1741" s="11">
        <v>-11.11</v>
      </c>
      <c r="K1741" s="11"/>
      <c r="L1741" s="11">
        <v>32.89</v>
      </c>
      <c r="M1741" s="10" t="s">
        <v>12218</v>
      </c>
      <c r="N1741" s="10" t="s">
        <v>50</v>
      </c>
      <c r="O1741" s="10" t="s">
        <v>176</v>
      </c>
      <c r="P1741" s="10" t="s">
        <v>177</v>
      </c>
      <c r="Q1741" s="10" t="s">
        <v>178</v>
      </c>
      <c r="R1741" s="10" t="s">
        <v>74</v>
      </c>
      <c r="S1741" s="11">
        <v>43.7</v>
      </c>
      <c r="T1741" s="11">
        <v>22.58</v>
      </c>
      <c r="U1741" s="11" t="s">
        <v>51</v>
      </c>
      <c r="V1741" s="10" t="s">
        <v>52</v>
      </c>
      <c r="W1741" s="10" t="s">
        <v>15319</v>
      </c>
      <c r="X1741" s="10" t="s">
        <v>15320</v>
      </c>
      <c r="Y1741" s="10" t="s">
        <v>15321</v>
      </c>
      <c r="Z1741" s="10" t="s">
        <v>50</v>
      </c>
      <c r="AA1741" s="10" t="s">
        <v>50</v>
      </c>
      <c r="AB1741" s="10" t="s">
        <v>15319</v>
      </c>
      <c r="AC1741" s="10" t="s">
        <v>15322</v>
      </c>
      <c r="AD1741" s="10" t="s">
        <v>15323</v>
      </c>
      <c r="AE1741" s="10" t="s">
        <v>58</v>
      </c>
      <c r="AF1741" s="10" t="s">
        <v>58</v>
      </c>
      <c r="AG1741" s="10" t="s">
        <v>15324</v>
      </c>
      <c r="AH1741" s="10" t="s">
        <v>60</v>
      </c>
      <c r="AI1741" s="10" t="s">
        <v>13406</v>
      </c>
      <c r="AJ1741" s="10" t="s">
        <v>15325</v>
      </c>
      <c r="AK1741" s="10" t="s">
        <v>15326</v>
      </c>
      <c r="AL1741" s="10" t="s">
        <v>64</v>
      </c>
      <c r="AM1741" s="10" t="s">
        <v>17283</v>
      </c>
      <c r="AN1741" s="10" t="s">
        <v>50</v>
      </c>
      <c r="AO1741" s="11" t="s">
        <v>50</v>
      </c>
      <c r="AP1741" s="10" t="s">
        <v>50</v>
      </c>
      <c r="AQ1741" s="10" t="s">
        <v>50</v>
      </c>
      <c r="AR1741" s="10" t="s">
        <v>50</v>
      </c>
      <c r="AS1741" s="10" t="s">
        <v>50</v>
      </c>
      <c r="AT1741" s="10" t="s">
        <v>50</v>
      </c>
      <c r="AU1741" s="10" t="s">
        <v>50</v>
      </c>
      <c r="AV1741" s="11"/>
      <c r="AW1741" s="10" t="s">
        <v>66</v>
      </c>
      <c r="AX1741" s="10"/>
      <c r="AY1741" s="10" t="s">
        <v>66</v>
      </c>
    </row>
    <row r="1742" ht="22.5" hidden="1" customHeight="1">
      <c r="A1742" s="9" t="s">
        <v>17284</v>
      </c>
      <c r="B1742" s="10" t="s">
        <v>17285</v>
      </c>
      <c r="C1742" s="10" t="s">
        <v>43</v>
      </c>
      <c r="D1742" s="10" t="s">
        <v>16334</v>
      </c>
      <c r="E1742" s="10" t="s">
        <v>66</v>
      </c>
      <c r="F1742" s="11">
        <v>1.0</v>
      </c>
      <c r="G1742" s="11">
        <v>80.6</v>
      </c>
      <c r="H1742" s="11"/>
      <c r="I1742" s="11">
        <v>-13.7</v>
      </c>
      <c r="J1742" s="11">
        <v>-20.45</v>
      </c>
      <c r="K1742" s="11"/>
      <c r="L1742" s="11">
        <v>46.45</v>
      </c>
      <c r="M1742" s="10" t="s">
        <v>12218</v>
      </c>
      <c r="N1742" s="10" t="s">
        <v>45</v>
      </c>
      <c r="O1742" s="10" t="s">
        <v>265</v>
      </c>
      <c r="P1742" s="10" t="s">
        <v>266</v>
      </c>
      <c r="Q1742" s="10" t="s">
        <v>267</v>
      </c>
      <c r="R1742" s="10" t="s">
        <v>74</v>
      </c>
      <c r="S1742" s="11">
        <v>80.6</v>
      </c>
      <c r="T1742" s="11">
        <v>26.22</v>
      </c>
      <c r="U1742" s="11" t="s">
        <v>51</v>
      </c>
      <c r="V1742" s="10" t="s">
        <v>52</v>
      </c>
      <c r="W1742" s="10" t="s">
        <v>17286</v>
      </c>
      <c r="X1742" s="10" t="s">
        <v>17287</v>
      </c>
      <c r="Y1742" s="10" t="s">
        <v>17288</v>
      </c>
      <c r="Z1742" s="10" t="s">
        <v>50</v>
      </c>
      <c r="AA1742" s="10" t="s">
        <v>50</v>
      </c>
      <c r="AB1742" s="10" t="s">
        <v>17286</v>
      </c>
      <c r="AC1742" s="10" t="s">
        <v>17289</v>
      </c>
      <c r="AD1742" s="10" t="s">
        <v>17290</v>
      </c>
      <c r="AE1742" s="10" t="s">
        <v>2860</v>
      </c>
      <c r="AF1742" s="10" t="s">
        <v>151</v>
      </c>
      <c r="AG1742" s="10" t="s">
        <v>17291</v>
      </c>
      <c r="AH1742" s="10" t="s">
        <v>60</v>
      </c>
      <c r="AI1742" s="10" t="s">
        <v>13406</v>
      </c>
      <c r="AJ1742" s="10" t="s">
        <v>16341</v>
      </c>
      <c r="AK1742" s="10" t="s">
        <v>17292</v>
      </c>
      <c r="AL1742" s="10" t="s">
        <v>64</v>
      </c>
      <c r="AM1742" s="10" t="s">
        <v>17293</v>
      </c>
      <c r="AN1742" s="10" t="s">
        <v>50</v>
      </c>
      <c r="AO1742" s="11" t="s">
        <v>50</v>
      </c>
      <c r="AP1742" s="10" t="s">
        <v>50</v>
      </c>
      <c r="AQ1742" s="10" t="s">
        <v>50</v>
      </c>
      <c r="AR1742" s="10" t="s">
        <v>50</v>
      </c>
      <c r="AS1742" s="10" t="s">
        <v>50</v>
      </c>
      <c r="AT1742" s="10" t="s">
        <v>50</v>
      </c>
      <c r="AU1742" s="10" t="s">
        <v>50</v>
      </c>
      <c r="AV1742" s="11"/>
      <c r="AW1742" s="10" t="s">
        <v>66</v>
      </c>
      <c r="AX1742" s="10"/>
      <c r="AY1742" s="10" t="s">
        <v>66</v>
      </c>
    </row>
    <row r="1743" ht="22.5" hidden="1" customHeight="1">
      <c r="A1743" s="9" t="s">
        <v>17294</v>
      </c>
      <c r="B1743" s="10" t="s">
        <v>17295</v>
      </c>
      <c r="C1743" s="10" t="s">
        <v>43</v>
      </c>
      <c r="D1743" s="10" t="s">
        <v>16334</v>
      </c>
      <c r="E1743" s="10" t="s">
        <v>66</v>
      </c>
      <c r="F1743" s="11">
        <v>1.0</v>
      </c>
      <c r="G1743" s="11">
        <v>79.0</v>
      </c>
      <c r="H1743" s="11"/>
      <c r="I1743" s="11">
        <v>-13.43</v>
      </c>
      <c r="J1743" s="11">
        <v>-20.45</v>
      </c>
      <c r="K1743" s="11"/>
      <c r="L1743" s="11">
        <v>45.12</v>
      </c>
      <c r="M1743" s="10" t="s">
        <v>12218</v>
      </c>
      <c r="N1743" s="10" t="s">
        <v>45</v>
      </c>
      <c r="O1743" s="10" t="s">
        <v>160</v>
      </c>
      <c r="P1743" s="10" t="s">
        <v>161</v>
      </c>
      <c r="Q1743" s="10" t="s">
        <v>162</v>
      </c>
      <c r="R1743" s="10" t="s">
        <v>74</v>
      </c>
      <c r="S1743" s="11">
        <v>79.0</v>
      </c>
      <c r="T1743" s="11">
        <v>2.49</v>
      </c>
      <c r="U1743" s="11" t="s">
        <v>51</v>
      </c>
      <c r="V1743" s="10" t="s">
        <v>52</v>
      </c>
      <c r="W1743" s="10" t="s">
        <v>17296</v>
      </c>
      <c r="X1743" s="10" t="s">
        <v>17297</v>
      </c>
      <c r="Y1743" s="10" t="s">
        <v>17298</v>
      </c>
      <c r="Z1743" s="10" t="s">
        <v>50</v>
      </c>
      <c r="AA1743" s="10" t="s">
        <v>50</v>
      </c>
      <c r="AB1743" s="10" t="s">
        <v>17296</v>
      </c>
      <c r="AC1743" s="10" t="s">
        <v>17299</v>
      </c>
      <c r="AD1743" s="10" t="s">
        <v>17300</v>
      </c>
      <c r="AE1743" s="10" t="s">
        <v>322</v>
      </c>
      <c r="AF1743" s="10" t="s">
        <v>323</v>
      </c>
      <c r="AG1743" s="10" t="s">
        <v>17301</v>
      </c>
      <c r="AH1743" s="10" t="s">
        <v>60</v>
      </c>
      <c r="AI1743" s="10" t="s">
        <v>13406</v>
      </c>
      <c r="AJ1743" s="10" t="s">
        <v>17203</v>
      </c>
      <c r="AK1743" s="10" t="s">
        <v>17302</v>
      </c>
      <c r="AL1743" s="10" t="s">
        <v>64</v>
      </c>
      <c r="AM1743" s="10" t="s">
        <v>17303</v>
      </c>
      <c r="AN1743" s="10" t="s">
        <v>50</v>
      </c>
      <c r="AO1743" s="11" t="s">
        <v>50</v>
      </c>
      <c r="AP1743" s="10" t="s">
        <v>50</v>
      </c>
      <c r="AQ1743" s="10" t="s">
        <v>50</v>
      </c>
      <c r="AR1743" s="10" t="s">
        <v>50</v>
      </c>
      <c r="AS1743" s="10" t="s">
        <v>50</v>
      </c>
      <c r="AT1743" s="10" t="s">
        <v>50</v>
      </c>
      <c r="AU1743" s="10" t="s">
        <v>50</v>
      </c>
      <c r="AV1743" s="11"/>
      <c r="AW1743" s="10" t="s">
        <v>66</v>
      </c>
      <c r="AX1743" s="10"/>
      <c r="AY1743" s="10" t="s">
        <v>66</v>
      </c>
    </row>
    <row r="1744" ht="22.5" hidden="1" customHeight="1">
      <c r="A1744" s="9" t="s">
        <v>17304</v>
      </c>
      <c r="B1744" s="10" t="s">
        <v>17305</v>
      </c>
      <c r="C1744" s="10" t="s">
        <v>43</v>
      </c>
      <c r="D1744" s="10" t="s">
        <v>14945</v>
      </c>
      <c r="E1744" s="10" t="s">
        <v>66</v>
      </c>
      <c r="F1744" s="11">
        <v>1.0</v>
      </c>
      <c r="G1744" s="11">
        <v>43.7</v>
      </c>
      <c r="H1744" s="11">
        <v>17.0</v>
      </c>
      <c r="I1744" s="11">
        <v>-13.43</v>
      </c>
      <c r="J1744" s="11">
        <v>-17.0</v>
      </c>
      <c r="K1744" s="11"/>
      <c r="L1744" s="11">
        <v>32.89</v>
      </c>
      <c r="M1744" s="10" t="s">
        <v>12218</v>
      </c>
      <c r="N1744" s="10" t="s">
        <v>50</v>
      </c>
      <c r="O1744" s="10" t="s">
        <v>176</v>
      </c>
      <c r="P1744" s="10" t="s">
        <v>177</v>
      </c>
      <c r="Q1744" s="10" t="s">
        <v>178</v>
      </c>
      <c r="R1744" s="10" t="s">
        <v>74</v>
      </c>
      <c r="S1744" s="11">
        <v>43.7</v>
      </c>
      <c r="T1744" s="11">
        <v>22.58</v>
      </c>
      <c r="U1744" s="11" t="s">
        <v>51</v>
      </c>
      <c r="V1744" s="10" t="s">
        <v>52</v>
      </c>
      <c r="W1744" s="10" t="s">
        <v>17306</v>
      </c>
      <c r="X1744" s="10" t="s">
        <v>17307</v>
      </c>
      <c r="Y1744" s="10" t="s">
        <v>17308</v>
      </c>
      <c r="Z1744" s="10" t="s">
        <v>50</v>
      </c>
      <c r="AA1744" s="10" t="s">
        <v>50</v>
      </c>
      <c r="AB1744" s="10" t="s">
        <v>17306</v>
      </c>
      <c r="AC1744" s="10" t="s">
        <v>17309</v>
      </c>
      <c r="AD1744" s="10" t="s">
        <v>17310</v>
      </c>
      <c r="AE1744" s="10" t="s">
        <v>2988</v>
      </c>
      <c r="AF1744" s="10" t="s">
        <v>58</v>
      </c>
      <c r="AG1744" s="10" t="s">
        <v>17311</v>
      </c>
      <c r="AH1744" s="10" t="s">
        <v>60</v>
      </c>
      <c r="AI1744" s="10" t="s">
        <v>13406</v>
      </c>
      <c r="AJ1744" s="10" t="s">
        <v>16346</v>
      </c>
      <c r="AK1744" s="10" t="s">
        <v>17312</v>
      </c>
      <c r="AL1744" s="10" t="s">
        <v>64</v>
      </c>
      <c r="AM1744" s="10" t="s">
        <v>17313</v>
      </c>
      <c r="AN1744" s="10" t="s">
        <v>50</v>
      </c>
      <c r="AO1744" s="11" t="s">
        <v>50</v>
      </c>
      <c r="AP1744" s="10" t="s">
        <v>50</v>
      </c>
      <c r="AQ1744" s="10" t="s">
        <v>50</v>
      </c>
      <c r="AR1744" s="10" t="s">
        <v>50</v>
      </c>
      <c r="AS1744" s="10" t="s">
        <v>50</v>
      </c>
      <c r="AT1744" s="10" t="s">
        <v>50</v>
      </c>
      <c r="AU1744" s="10" t="s">
        <v>50</v>
      </c>
      <c r="AV1744" s="11"/>
      <c r="AW1744" s="10" t="s">
        <v>66</v>
      </c>
      <c r="AX1744" s="10"/>
      <c r="AY1744" s="10" t="s">
        <v>66</v>
      </c>
    </row>
    <row r="1745" ht="22.5" hidden="1" customHeight="1">
      <c r="A1745" s="9" t="s">
        <v>17314</v>
      </c>
      <c r="B1745" s="10" t="s">
        <v>17315</v>
      </c>
      <c r="C1745" s="10" t="s">
        <v>43</v>
      </c>
      <c r="D1745" s="10" t="s">
        <v>14945</v>
      </c>
      <c r="E1745" s="10" t="s">
        <v>66</v>
      </c>
      <c r="F1745" s="11">
        <v>1.0</v>
      </c>
      <c r="G1745" s="11">
        <v>114.95</v>
      </c>
      <c r="H1745" s="11"/>
      <c r="I1745" s="11">
        <v>-19.54</v>
      </c>
      <c r="J1745" s="11">
        <v>-20.45</v>
      </c>
      <c r="K1745" s="11"/>
      <c r="L1745" s="11">
        <v>81.86</v>
      </c>
      <c r="M1745" s="10" t="s">
        <v>12218</v>
      </c>
      <c r="N1745" s="10" t="s">
        <v>50</v>
      </c>
      <c r="O1745" s="10" t="s">
        <v>10595</v>
      </c>
      <c r="P1745" s="10" t="s">
        <v>10596</v>
      </c>
      <c r="Q1745" s="10" t="s">
        <v>10597</v>
      </c>
      <c r="R1745" s="10" t="s">
        <v>74</v>
      </c>
      <c r="S1745" s="11">
        <v>114.95</v>
      </c>
      <c r="T1745" s="11">
        <v>49.74</v>
      </c>
      <c r="U1745" s="11" t="s">
        <v>51</v>
      </c>
      <c r="V1745" s="10" t="s">
        <v>52</v>
      </c>
      <c r="W1745" s="10" t="s">
        <v>17316</v>
      </c>
      <c r="X1745" s="10" t="s">
        <v>17317</v>
      </c>
      <c r="Y1745" s="10" t="s">
        <v>17318</v>
      </c>
      <c r="Z1745" s="10" t="s">
        <v>50</v>
      </c>
      <c r="AA1745" s="10" t="s">
        <v>50</v>
      </c>
      <c r="AB1745" s="10" t="s">
        <v>17316</v>
      </c>
      <c r="AC1745" s="10" t="s">
        <v>17319</v>
      </c>
      <c r="AD1745" s="10" t="s">
        <v>17320</v>
      </c>
      <c r="AE1745" s="10" t="s">
        <v>58</v>
      </c>
      <c r="AF1745" s="10" t="s">
        <v>58</v>
      </c>
      <c r="AG1745" s="10" t="s">
        <v>17321</v>
      </c>
      <c r="AH1745" s="10" t="s">
        <v>60</v>
      </c>
      <c r="AI1745" s="10" t="s">
        <v>13406</v>
      </c>
      <c r="AJ1745" s="10" t="s">
        <v>17322</v>
      </c>
      <c r="AK1745" s="10" t="s">
        <v>17323</v>
      </c>
      <c r="AL1745" s="10" t="s">
        <v>64</v>
      </c>
      <c r="AM1745" s="10" t="s">
        <v>17324</v>
      </c>
      <c r="AN1745" s="10" t="s">
        <v>50</v>
      </c>
      <c r="AO1745" s="11" t="s">
        <v>50</v>
      </c>
      <c r="AP1745" s="10" t="s">
        <v>50</v>
      </c>
      <c r="AQ1745" s="10" t="s">
        <v>50</v>
      </c>
      <c r="AR1745" s="10" t="s">
        <v>50</v>
      </c>
      <c r="AS1745" s="10" t="s">
        <v>50</v>
      </c>
      <c r="AT1745" s="10" t="s">
        <v>50</v>
      </c>
      <c r="AU1745" s="10" t="s">
        <v>50</v>
      </c>
      <c r="AV1745" s="11"/>
      <c r="AW1745" s="10" t="s">
        <v>66</v>
      </c>
      <c r="AX1745" s="10"/>
      <c r="AY1745" s="10" t="s">
        <v>66</v>
      </c>
    </row>
    <row r="1746" ht="22.5" hidden="1" customHeight="1">
      <c r="A1746" s="9" t="s">
        <v>17325</v>
      </c>
      <c r="B1746" s="10" t="s">
        <v>17326</v>
      </c>
      <c r="C1746" s="10" t="s">
        <v>43</v>
      </c>
      <c r="D1746" s="10" t="s">
        <v>13175</v>
      </c>
      <c r="E1746" s="10" t="s">
        <v>66</v>
      </c>
      <c r="F1746" s="11">
        <v>1.0</v>
      </c>
      <c r="G1746" s="11">
        <v>80.0</v>
      </c>
      <c r="H1746" s="11"/>
      <c r="I1746" s="11">
        <v>-13.6</v>
      </c>
      <c r="J1746" s="11">
        <v>-19.95</v>
      </c>
      <c r="K1746" s="11"/>
      <c r="L1746" s="11">
        <v>50.45</v>
      </c>
      <c r="M1746" s="10" t="s">
        <v>12218</v>
      </c>
      <c r="N1746" s="10" t="s">
        <v>50</v>
      </c>
      <c r="O1746" s="10" t="s">
        <v>143</v>
      </c>
      <c r="P1746" s="10" t="s">
        <v>144</v>
      </c>
      <c r="Q1746" s="10" t="s">
        <v>145</v>
      </c>
      <c r="R1746" s="10" t="s">
        <v>74</v>
      </c>
      <c r="S1746" s="11">
        <v>80.0</v>
      </c>
      <c r="T1746" s="11">
        <v>33.38</v>
      </c>
      <c r="U1746" s="11" t="s">
        <v>51</v>
      </c>
      <c r="V1746" s="10" t="s">
        <v>52</v>
      </c>
      <c r="W1746" s="10" t="s">
        <v>17327</v>
      </c>
      <c r="X1746" s="10" t="s">
        <v>17328</v>
      </c>
      <c r="Y1746" s="10" t="s">
        <v>17329</v>
      </c>
      <c r="Z1746" s="10" t="s">
        <v>50</v>
      </c>
      <c r="AA1746" s="10" t="s">
        <v>50</v>
      </c>
      <c r="AB1746" s="10" t="s">
        <v>17327</v>
      </c>
      <c r="AC1746" s="10" t="s">
        <v>17330</v>
      </c>
      <c r="AD1746" s="10" t="s">
        <v>17331</v>
      </c>
      <c r="AE1746" s="10" t="s">
        <v>14370</v>
      </c>
      <c r="AF1746" s="10" t="s">
        <v>185</v>
      </c>
      <c r="AG1746" s="10" t="s">
        <v>14371</v>
      </c>
      <c r="AH1746" s="10" t="s">
        <v>60</v>
      </c>
      <c r="AI1746" s="10" t="s">
        <v>13406</v>
      </c>
      <c r="AJ1746" s="10" t="s">
        <v>16329</v>
      </c>
      <c r="AK1746" s="10" t="s">
        <v>17332</v>
      </c>
      <c r="AL1746" s="10" t="s">
        <v>64</v>
      </c>
      <c r="AM1746" s="10" t="s">
        <v>17333</v>
      </c>
      <c r="AN1746" s="10" t="s">
        <v>50</v>
      </c>
      <c r="AO1746" s="11" t="s">
        <v>50</v>
      </c>
      <c r="AP1746" s="10" t="s">
        <v>50</v>
      </c>
      <c r="AQ1746" s="10" t="s">
        <v>50</v>
      </c>
      <c r="AR1746" s="10" t="s">
        <v>50</v>
      </c>
      <c r="AS1746" s="10" t="s">
        <v>50</v>
      </c>
      <c r="AT1746" s="10" t="s">
        <v>50</v>
      </c>
      <c r="AU1746" s="10" t="s">
        <v>50</v>
      </c>
      <c r="AV1746" s="11"/>
      <c r="AW1746" s="10" t="s">
        <v>66</v>
      </c>
      <c r="AX1746" s="10"/>
      <c r="AY1746" s="10" t="s">
        <v>66</v>
      </c>
    </row>
    <row r="1747" ht="22.5" hidden="1" customHeight="1">
      <c r="A1747" s="9" t="s">
        <v>17334</v>
      </c>
      <c r="B1747" s="10" t="s">
        <v>17335</v>
      </c>
      <c r="C1747" s="10" t="s">
        <v>43</v>
      </c>
      <c r="D1747" s="10" t="s">
        <v>14945</v>
      </c>
      <c r="E1747" s="10" t="s">
        <v>66</v>
      </c>
      <c r="F1747" s="11">
        <v>1.0</v>
      </c>
      <c r="G1747" s="11">
        <v>79.2</v>
      </c>
      <c r="H1747" s="11"/>
      <c r="I1747" s="11">
        <v>-13.46</v>
      </c>
      <c r="J1747" s="11">
        <v>-20.45</v>
      </c>
      <c r="K1747" s="11"/>
      <c r="L1747" s="11">
        <v>45.29</v>
      </c>
      <c r="M1747" s="10" t="s">
        <v>12218</v>
      </c>
      <c r="N1747" s="10" t="s">
        <v>45</v>
      </c>
      <c r="O1747" s="10" t="s">
        <v>892</v>
      </c>
      <c r="P1747" s="10" t="s">
        <v>893</v>
      </c>
      <c r="Q1747" s="10" t="s">
        <v>894</v>
      </c>
      <c r="R1747" s="10" t="s">
        <v>74</v>
      </c>
      <c r="S1747" s="11">
        <v>79.2</v>
      </c>
      <c r="T1747" s="11">
        <v>2.97</v>
      </c>
      <c r="U1747" s="11" t="s">
        <v>51</v>
      </c>
      <c r="V1747" s="10" t="s">
        <v>52</v>
      </c>
      <c r="W1747" s="10" t="s">
        <v>17336</v>
      </c>
      <c r="X1747" s="10" t="s">
        <v>17337</v>
      </c>
      <c r="Y1747" s="10" t="s">
        <v>17338</v>
      </c>
      <c r="Z1747" s="10" t="s">
        <v>50</v>
      </c>
      <c r="AA1747" s="10" t="s">
        <v>50</v>
      </c>
      <c r="AB1747" s="10" t="s">
        <v>17336</v>
      </c>
      <c r="AC1747" s="10" t="s">
        <v>17339</v>
      </c>
      <c r="AD1747" s="10" t="s">
        <v>17340</v>
      </c>
      <c r="AE1747" s="10" t="s">
        <v>17341</v>
      </c>
      <c r="AF1747" s="10" t="s">
        <v>214</v>
      </c>
      <c r="AG1747" s="10" t="s">
        <v>17342</v>
      </c>
      <c r="AH1747" s="10" t="s">
        <v>60</v>
      </c>
      <c r="AI1747" s="10" t="s">
        <v>13406</v>
      </c>
      <c r="AJ1747" s="10" t="s">
        <v>15291</v>
      </c>
      <c r="AK1747" s="10" t="s">
        <v>17343</v>
      </c>
      <c r="AL1747" s="10" t="s">
        <v>64</v>
      </c>
      <c r="AM1747" s="10" t="s">
        <v>17344</v>
      </c>
      <c r="AN1747" s="10" t="s">
        <v>50</v>
      </c>
      <c r="AO1747" s="11" t="s">
        <v>50</v>
      </c>
      <c r="AP1747" s="10" t="s">
        <v>50</v>
      </c>
      <c r="AQ1747" s="10" t="s">
        <v>50</v>
      </c>
      <c r="AR1747" s="10" t="s">
        <v>50</v>
      </c>
      <c r="AS1747" s="10" t="s">
        <v>50</v>
      </c>
      <c r="AT1747" s="10" t="s">
        <v>50</v>
      </c>
      <c r="AU1747" s="10" t="s">
        <v>50</v>
      </c>
      <c r="AV1747" s="11"/>
      <c r="AW1747" s="10" t="s">
        <v>66</v>
      </c>
      <c r="AX1747" s="10"/>
      <c r="AY1747" s="10" t="s">
        <v>66</v>
      </c>
    </row>
    <row r="1748" ht="22.5" hidden="1" customHeight="1">
      <c r="A1748" s="9" t="s">
        <v>17345</v>
      </c>
      <c r="B1748" s="10" t="s">
        <v>17346</v>
      </c>
      <c r="C1748" s="10" t="s">
        <v>43</v>
      </c>
      <c r="D1748" s="10" t="s">
        <v>14945</v>
      </c>
      <c r="E1748" s="10" t="s">
        <v>66</v>
      </c>
      <c r="F1748" s="11">
        <v>1.0</v>
      </c>
      <c r="G1748" s="11">
        <v>80.3</v>
      </c>
      <c r="H1748" s="11"/>
      <c r="I1748" s="11">
        <v>-13.65</v>
      </c>
      <c r="J1748" s="11">
        <v>-20.45</v>
      </c>
      <c r="K1748" s="11"/>
      <c r="L1748" s="11">
        <v>46.2</v>
      </c>
      <c r="M1748" s="10" t="s">
        <v>12218</v>
      </c>
      <c r="N1748" s="10" t="s">
        <v>45</v>
      </c>
      <c r="O1748" s="10" t="s">
        <v>127</v>
      </c>
      <c r="P1748" s="10" t="s">
        <v>128</v>
      </c>
      <c r="Q1748" s="10" t="s">
        <v>129</v>
      </c>
      <c r="R1748" s="10" t="s">
        <v>74</v>
      </c>
      <c r="S1748" s="11">
        <v>80.3</v>
      </c>
      <c r="T1748" s="11">
        <v>17.68</v>
      </c>
      <c r="U1748" s="11" t="s">
        <v>51</v>
      </c>
      <c r="V1748" s="10" t="s">
        <v>52</v>
      </c>
      <c r="W1748" s="10" t="s">
        <v>17347</v>
      </c>
      <c r="X1748" s="10" t="s">
        <v>17348</v>
      </c>
      <c r="Y1748" s="10" t="s">
        <v>17349</v>
      </c>
      <c r="Z1748" s="10" t="s">
        <v>50</v>
      </c>
      <c r="AA1748" s="10" t="s">
        <v>50</v>
      </c>
      <c r="AB1748" s="10" t="s">
        <v>17347</v>
      </c>
      <c r="AC1748" s="10" t="s">
        <v>17350</v>
      </c>
      <c r="AD1748" s="10" t="s">
        <v>17351</v>
      </c>
      <c r="AE1748" s="10" t="s">
        <v>17352</v>
      </c>
      <c r="AF1748" s="10" t="s">
        <v>323</v>
      </c>
      <c r="AG1748" s="10" t="s">
        <v>17353</v>
      </c>
      <c r="AH1748" s="10" t="s">
        <v>60</v>
      </c>
      <c r="AI1748" s="10" t="s">
        <v>13406</v>
      </c>
      <c r="AJ1748" s="10" t="s">
        <v>17354</v>
      </c>
      <c r="AK1748" s="10" t="s">
        <v>17355</v>
      </c>
      <c r="AL1748" s="10" t="s">
        <v>64</v>
      </c>
      <c r="AM1748" s="10" t="s">
        <v>17356</v>
      </c>
      <c r="AN1748" s="10" t="s">
        <v>50</v>
      </c>
      <c r="AO1748" s="11" t="s">
        <v>50</v>
      </c>
      <c r="AP1748" s="10" t="s">
        <v>50</v>
      </c>
      <c r="AQ1748" s="10" t="s">
        <v>50</v>
      </c>
      <c r="AR1748" s="10" t="s">
        <v>50</v>
      </c>
      <c r="AS1748" s="10" t="s">
        <v>50</v>
      </c>
      <c r="AT1748" s="10" t="s">
        <v>50</v>
      </c>
      <c r="AU1748" s="10" t="s">
        <v>50</v>
      </c>
      <c r="AV1748" s="11"/>
      <c r="AW1748" s="10" t="s">
        <v>66</v>
      </c>
      <c r="AX1748" s="10"/>
      <c r="AY1748" s="10" t="s">
        <v>66</v>
      </c>
    </row>
    <row r="1749" ht="22.5" hidden="1" customHeight="1">
      <c r="A1749" s="12" t="s">
        <v>17357</v>
      </c>
      <c r="B1749" s="13" t="s">
        <v>17358</v>
      </c>
      <c r="C1749" s="13" t="s">
        <v>747</v>
      </c>
      <c r="D1749" s="13" t="s">
        <v>50</v>
      </c>
      <c r="E1749" s="13" t="s">
        <v>50</v>
      </c>
      <c r="F1749" s="14"/>
      <c r="G1749" s="14">
        <v>114.15</v>
      </c>
      <c r="H1749" s="14"/>
      <c r="I1749" s="14">
        <v>-23.65</v>
      </c>
      <c r="J1749" s="14">
        <v>-19.95</v>
      </c>
      <c r="K1749" s="14"/>
      <c r="L1749" s="14">
        <v>72.66</v>
      </c>
      <c r="M1749" s="13" t="s">
        <v>12218</v>
      </c>
      <c r="N1749" s="13" t="s">
        <v>50</v>
      </c>
      <c r="O1749" s="13" t="s">
        <v>50</v>
      </c>
      <c r="P1749" s="13" t="s">
        <v>50</v>
      </c>
      <c r="Q1749" s="13" t="s">
        <v>50</v>
      </c>
      <c r="R1749" s="13" t="s">
        <v>50</v>
      </c>
      <c r="S1749" s="14"/>
      <c r="T1749" s="14"/>
      <c r="U1749" s="14" t="s">
        <v>50</v>
      </c>
      <c r="V1749" s="13" t="s">
        <v>52</v>
      </c>
      <c r="W1749" s="13" t="s">
        <v>17359</v>
      </c>
      <c r="X1749" s="13" t="s">
        <v>17360</v>
      </c>
      <c r="Y1749" s="13" t="s">
        <v>17361</v>
      </c>
      <c r="Z1749" s="13" t="s">
        <v>50</v>
      </c>
      <c r="AA1749" s="13" t="s">
        <v>50</v>
      </c>
      <c r="AB1749" s="13" t="s">
        <v>17359</v>
      </c>
      <c r="AC1749" s="13" t="s">
        <v>17362</v>
      </c>
      <c r="AD1749" s="13" t="s">
        <v>17363</v>
      </c>
      <c r="AE1749" s="13" t="s">
        <v>17364</v>
      </c>
      <c r="AF1749" s="13" t="s">
        <v>58</v>
      </c>
      <c r="AG1749" s="13" t="s">
        <v>17365</v>
      </c>
      <c r="AH1749" s="13" t="s">
        <v>60</v>
      </c>
      <c r="AI1749" s="13" t="s">
        <v>13406</v>
      </c>
      <c r="AJ1749" s="13" t="s">
        <v>16346</v>
      </c>
      <c r="AK1749" s="13" t="s">
        <v>17366</v>
      </c>
      <c r="AL1749" s="13" t="s">
        <v>64</v>
      </c>
      <c r="AM1749" s="13" t="s">
        <v>17367</v>
      </c>
      <c r="AN1749" s="13" t="s">
        <v>50</v>
      </c>
      <c r="AO1749" s="15" t="s">
        <v>50</v>
      </c>
      <c r="AP1749" s="13" t="s">
        <v>50</v>
      </c>
      <c r="AQ1749" s="13" t="s">
        <v>50</v>
      </c>
      <c r="AR1749" s="13" t="s">
        <v>50</v>
      </c>
      <c r="AS1749" s="13" t="s">
        <v>50</v>
      </c>
      <c r="AT1749" s="13" t="s">
        <v>50</v>
      </c>
      <c r="AU1749" s="13" t="s">
        <v>50</v>
      </c>
      <c r="AV1749" s="15"/>
      <c r="AW1749" s="13" t="s">
        <v>50</v>
      </c>
      <c r="AX1749" s="13"/>
      <c r="AY1749" s="13" t="s">
        <v>50</v>
      </c>
    </row>
    <row r="1750" ht="22.5" hidden="1" customHeight="1">
      <c r="A1750" s="16" t="s">
        <v>17368</v>
      </c>
      <c r="B1750" s="17" t="s">
        <v>17358</v>
      </c>
      <c r="C1750" s="17" t="s">
        <v>43</v>
      </c>
      <c r="D1750" s="17" t="s">
        <v>14945</v>
      </c>
      <c r="E1750" s="17" t="s">
        <v>45</v>
      </c>
      <c r="F1750" s="18">
        <v>1.0</v>
      </c>
      <c r="G1750" s="18"/>
      <c r="H1750" s="18"/>
      <c r="I1750" s="18"/>
      <c r="J1750" s="18"/>
      <c r="K1750" s="18"/>
      <c r="L1750" s="18"/>
      <c r="M1750" s="17" t="s">
        <v>50</v>
      </c>
      <c r="N1750" s="17" t="s">
        <v>45</v>
      </c>
      <c r="O1750" s="17" t="s">
        <v>9112</v>
      </c>
      <c r="P1750" s="17" t="s">
        <v>9113</v>
      </c>
      <c r="Q1750" s="17" t="s">
        <v>9114</v>
      </c>
      <c r="R1750" s="17" t="s">
        <v>74</v>
      </c>
      <c r="S1750" s="18">
        <v>35.15</v>
      </c>
      <c r="T1750" s="18">
        <v>10.05</v>
      </c>
      <c r="U1750" s="18" t="s">
        <v>194</v>
      </c>
      <c r="V1750" s="17" t="s">
        <v>50</v>
      </c>
      <c r="W1750" s="17" t="s">
        <v>50</v>
      </c>
      <c r="X1750" s="17" t="s">
        <v>50</v>
      </c>
      <c r="Y1750" s="17" t="s">
        <v>50</v>
      </c>
      <c r="Z1750" s="17" t="s">
        <v>50</v>
      </c>
      <c r="AA1750" s="17" t="s">
        <v>50</v>
      </c>
      <c r="AB1750" s="17" t="s">
        <v>50</v>
      </c>
      <c r="AC1750" s="17" t="s">
        <v>50</v>
      </c>
      <c r="AD1750" s="17" t="s">
        <v>50</v>
      </c>
      <c r="AE1750" s="17" t="s">
        <v>50</v>
      </c>
      <c r="AF1750" s="17" t="s">
        <v>50</v>
      </c>
      <c r="AG1750" s="17" t="s">
        <v>50</v>
      </c>
      <c r="AH1750" s="17" t="s">
        <v>50</v>
      </c>
      <c r="AI1750" s="17" t="s">
        <v>50</v>
      </c>
      <c r="AJ1750" s="17" t="s">
        <v>50</v>
      </c>
      <c r="AK1750" s="17" t="s">
        <v>50</v>
      </c>
      <c r="AL1750" s="17" t="s">
        <v>50</v>
      </c>
      <c r="AM1750" s="17" t="s">
        <v>50</v>
      </c>
      <c r="AN1750" s="17" t="s">
        <v>50</v>
      </c>
      <c r="AO1750" s="18" t="s">
        <v>50</v>
      </c>
      <c r="AP1750" s="17" t="s">
        <v>50</v>
      </c>
      <c r="AQ1750" s="17" t="s">
        <v>50</v>
      </c>
      <c r="AR1750" s="17" t="s">
        <v>50</v>
      </c>
      <c r="AS1750" s="17" t="s">
        <v>50</v>
      </c>
      <c r="AT1750" s="17" t="s">
        <v>50</v>
      </c>
      <c r="AU1750" s="17" t="s">
        <v>50</v>
      </c>
      <c r="AV1750" s="18"/>
      <c r="AW1750" s="17" t="s">
        <v>66</v>
      </c>
      <c r="AX1750" s="17"/>
      <c r="AY1750" s="17" t="s">
        <v>66</v>
      </c>
    </row>
    <row r="1751" ht="22.5" hidden="1" customHeight="1">
      <c r="A1751" s="16" t="s">
        <v>17369</v>
      </c>
      <c r="B1751" s="17" t="s">
        <v>17358</v>
      </c>
      <c r="C1751" s="17" t="s">
        <v>43</v>
      </c>
      <c r="D1751" s="17" t="s">
        <v>14945</v>
      </c>
      <c r="E1751" s="17" t="s">
        <v>45</v>
      </c>
      <c r="F1751" s="18">
        <v>1.0</v>
      </c>
      <c r="G1751" s="18"/>
      <c r="H1751" s="18"/>
      <c r="I1751" s="18"/>
      <c r="J1751" s="18"/>
      <c r="K1751" s="18"/>
      <c r="L1751" s="18"/>
      <c r="M1751" s="17" t="s">
        <v>50</v>
      </c>
      <c r="N1751" s="17" t="s">
        <v>45</v>
      </c>
      <c r="O1751" s="17" t="s">
        <v>766</v>
      </c>
      <c r="P1751" s="17" t="s">
        <v>767</v>
      </c>
      <c r="Q1751" s="17" t="s">
        <v>768</v>
      </c>
      <c r="R1751" s="17" t="s">
        <v>74</v>
      </c>
      <c r="S1751" s="18">
        <v>79.0</v>
      </c>
      <c r="T1751" s="18">
        <v>13.62</v>
      </c>
      <c r="U1751" s="18" t="s">
        <v>51</v>
      </c>
      <c r="V1751" s="17" t="s">
        <v>50</v>
      </c>
      <c r="W1751" s="17" t="s">
        <v>50</v>
      </c>
      <c r="X1751" s="17" t="s">
        <v>50</v>
      </c>
      <c r="Y1751" s="17" t="s">
        <v>50</v>
      </c>
      <c r="Z1751" s="17" t="s">
        <v>50</v>
      </c>
      <c r="AA1751" s="17" t="s">
        <v>50</v>
      </c>
      <c r="AB1751" s="17" t="s">
        <v>50</v>
      </c>
      <c r="AC1751" s="17" t="s">
        <v>50</v>
      </c>
      <c r="AD1751" s="17" t="s">
        <v>50</v>
      </c>
      <c r="AE1751" s="17" t="s">
        <v>50</v>
      </c>
      <c r="AF1751" s="17" t="s">
        <v>50</v>
      </c>
      <c r="AG1751" s="17" t="s">
        <v>50</v>
      </c>
      <c r="AH1751" s="17" t="s">
        <v>50</v>
      </c>
      <c r="AI1751" s="17" t="s">
        <v>50</v>
      </c>
      <c r="AJ1751" s="17" t="s">
        <v>50</v>
      </c>
      <c r="AK1751" s="17" t="s">
        <v>50</v>
      </c>
      <c r="AL1751" s="17" t="s">
        <v>50</v>
      </c>
      <c r="AM1751" s="17" t="s">
        <v>50</v>
      </c>
      <c r="AN1751" s="17" t="s">
        <v>50</v>
      </c>
      <c r="AO1751" s="18" t="s">
        <v>50</v>
      </c>
      <c r="AP1751" s="17" t="s">
        <v>50</v>
      </c>
      <c r="AQ1751" s="17" t="s">
        <v>50</v>
      </c>
      <c r="AR1751" s="17" t="s">
        <v>50</v>
      </c>
      <c r="AS1751" s="17" t="s">
        <v>50</v>
      </c>
      <c r="AT1751" s="17" t="s">
        <v>50</v>
      </c>
      <c r="AU1751" s="17" t="s">
        <v>50</v>
      </c>
      <c r="AV1751" s="18"/>
      <c r="AW1751" s="17" t="s">
        <v>66</v>
      </c>
      <c r="AX1751" s="17"/>
      <c r="AY1751" s="17" t="s">
        <v>66</v>
      </c>
    </row>
    <row r="1752" ht="22.5" hidden="1" customHeight="1">
      <c r="A1752" s="9" t="s">
        <v>17370</v>
      </c>
      <c r="B1752" s="10" t="s">
        <v>17371</v>
      </c>
      <c r="C1752" s="10" t="s">
        <v>43</v>
      </c>
      <c r="D1752" s="10" t="s">
        <v>13108</v>
      </c>
      <c r="E1752" s="10" t="s">
        <v>66</v>
      </c>
      <c r="F1752" s="11">
        <v>1.0</v>
      </c>
      <c r="G1752" s="11">
        <v>120.0</v>
      </c>
      <c r="H1752" s="11">
        <v>13.45</v>
      </c>
      <c r="I1752" s="11">
        <v>-20.4</v>
      </c>
      <c r="J1752" s="11">
        <v>-33.4</v>
      </c>
      <c r="K1752" s="11"/>
      <c r="L1752" s="11">
        <v>86.85</v>
      </c>
      <c r="M1752" s="10" t="s">
        <v>12218</v>
      </c>
      <c r="N1752" s="10" t="s">
        <v>50</v>
      </c>
      <c r="O1752" s="10" t="s">
        <v>85</v>
      </c>
      <c r="P1752" s="10" t="s">
        <v>86</v>
      </c>
      <c r="Q1752" s="10" t="s">
        <v>87</v>
      </c>
      <c r="R1752" s="10" t="s">
        <v>74</v>
      </c>
      <c r="S1752" s="11">
        <v>120.0</v>
      </c>
      <c r="T1752" s="11">
        <v>65.78</v>
      </c>
      <c r="U1752" s="11" t="s">
        <v>51</v>
      </c>
      <c r="V1752" s="10" t="s">
        <v>52</v>
      </c>
      <c r="W1752" s="10" t="s">
        <v>6564</v>
      </c>
      <c r="X1752" s="10" t="s">
        <v>17372</v>
      </c>
      <c r="Y1752" s="10" t="s">
        <v>17373</v>
      </c>
      <c r="Z1752" s="10" t="s">
        <v>50</v>
      </c>
      <c r="AA1752" s="10" t="s">
        <v>50</v>
      </c>
      <c r="AB1752" s="10" t="s">
        <v>6564</v>
      </c>
      <c r="AC1752" s="10" t="s">
        <v>17374</v>
      </c>
      <c r="AD1752" s="10" t="s">
        <v>17375</v>
      </c>
      <c r="AE1752" s="10" t="s">
        <v>17376</v>
      </c>
      <c r="AF1752" s="10" t="s">
        <v>2636</v>
      </c>
      <c r="AG1752" s="10" t="s">
        <v>17377</v>
      </c>
      <c r="AH1752" s="10" t="s">
        <v>60</v>
      </c>
      <c r="AI1752" s="10" t="s">
        <v>13406</v>
      </c>
      <c r="AJ1752" s="10" t="s">
        <v>16346</v>
      </c>
      <c r="AK1752" s="10" t="s">
        <v>17378</v>
      </c>
      <c r="AL1752" s="10" t="s">
        <v>64</v>
      </c>
      <c r="AM1752" s="10" t="s">
        <v>17379</v>
      </c>
      <c r="AN1752" s="10" t="s">
        <v>50</v>
      </c>
      <c r="AO1752" s="11" t="s">
        <v>50</v>
      </c>
      <c r="AP1752" s="10" t="s">
        <v>50</v>
      </c>
      <c r="AQ1752" s="10" t="s">
        <v>50</v>
      </c>
      <c r="AR1752" s="10" t="s">
        <v>50</v>
      </c>
      <c r="AS1752" s="10" t="s">
        <v>50</v>
      </c>
      <c r="AT1752" s="10" t="s">
        <v>50</v>
      </c>
      <c r="AU1752" s="10" t="s">
        <v>50</v>
      </c>
      <c r="AV1752" s="11"/>
      <c r="AW1752" s="10" t="s">
        <v>66</v>
      </c>
      <c r="AX1752" s="10"/>
      <c r="AY1752" s="10" t="s">
        <v>66</v>
      </c>
    </row>
    <row r="1753" ht="22.5" hidden="1" customHeight="1">
      <c r="A1753" s="9" t="s">
        <v>17380</v>
      </c>
      <c r="B1753" s="10" t="s">
        <v>17381</v>
      </c>
      <c r="C1753" s="10" t="s">
        <v>43</v>
      </c>
      <c r="D1753" s="10" t="s">
        <v>13120</v>
      </c>
      <c r="E1753" s="10" t="s">
        <v>45</v>
      </c>
      <c r="F1753" s="11">
        <v>2.0</v>
      </c>
      <c r="G1753" s="11">
        <v>160.0</v>
      </c>
      <c r="H1753" s="11"/>
      <c r="I1753" s="11">
        <v>-27.2</v>
      </c>
      <c r="J1753" s="11">
        <v>-39.9</v>
      </c>
      <c r="K1753" s="11"/>
      <c r="L1753" s="11">
        <v>100.9</v>
      </c>
      <c r="M1753" s="10" t="s">
        <v>12218</v>
      </c>
      <c r="N1753" s="10" t="s">
        <v>50</v>
      </c>
      <c r="O1753" s="10" t="s">
        <v>143</v>
      </c>
      <c r="P1753" s="10" t="s">
        <v>144</v>
      </c>
      <c r="Q1753" s="10" t="s">
        <v>145</v>
      </c>
      <c r="R1753" s="10" t="s">
        <v>74</v>
      </c>
      <c r="S1753" s="11">
        <v>80.0</v>
      </c>
      <c r="T1753" s="11">
        <v>33.38</v>
      </c>
      <c r="U1753" s="11" t="s">
        <v>51</v>
      </c>
      <c r="V1753" s="10" t="s">
        <v>52</v>
      </c>
      <c r="W1753" s="10" t="s">
        <v>17382</v>
      </c>
      <c r="X1753" s="10" t="s">
        <v>17383</v>
      </c>
      <c r="Y1753" s="10" t="s">
        <v>17384</v>
      </c>
      <c r="Z1753" s="10" t="s">
        <v>50</v>
      </c>
      <c r="AA1753" s="10" t="s">
        <v>50</v>
      </c>
      <c r="AB1753" s="10" t="s">
        <v>17382</v>
      </c>
      <c r="AC1753" s="10" t="s">
        <v>17385</v>
      </c>
      <c r="AD1753" s="10" t="s">
        <v>17386</v>
      </c>
      <c r="AE1753" s="10" t="s">
        <v>17387</v>
      </c>
      <c r="AF1753" s="10" t="s">
        <v>799</v>
      </c>
      <c r="AG1753" s="10" t="s">
        <v>17388</v>
      </c>
      <c r="AH1753" s="10" t="s">
        <v>60</v>
      </c>
      <c r="AI1753" s="10" t="s">
        <v>13406</v>
      </c>
      <c r="AJ1753" s="10" t="s">
        <v>16346</v>
      </c>
      <c r="AK1753" s="10" t="s">
        <v>17389</v>
      </c>
      <c r="AL1753" s="10" t="s">
        <v>64</v>
      </c>
      <c r="AM1753" s="10" t="s">
        <v>17390</v>
      </c>
      <c r="AN1753" s="10" t="s">
        <v>50</v>
      </c>
      <c r="AO1753" s="11" t="s">
        <v>50</v>
      </c>
      <c r="AP1753" s="10" t="s">
        <v>50</v>
      </c>
      <c r="AQ1753" s="10" t="s">
        <v>50</v>
      </c>
      <c r="AR1753" s="10" t="s">
        <v>50</v>
      </c>
      <c r="AS1753" s="10" t="s">
        <v>50</v>
      </c>
      <c r="AT1753" s="10" t="s">
        <v>50</v>
      </c>
      <c r="AU1753" s="10" t="s">
        <v>50</v>
      </c>
      <c r="AV1753" s="11"/>
      <c r="AW1753" s="10" t="s">
        <v>66</v>
      </c>
      <c r="AX1753" s="10"/>
      <c r="AY1753" s="10" t="s">
        <v>66</v>
      </c>
    </row>
    <row r="1754" ht="22.5" hidden="1" customHeight="1">
      <c r="A1754" s="9" t="s">
        <v>17391</v>
      </c>
      <c r="B1754" s="10" t="s">
        <v>17392</v>
      </c>
      <c r="C1754" s="10" t="s">
        <v>43</v>
      </c>
      <c r="D1754" s="10" t="s">
        <v>16334</v>
      </c>
      <c r="E1754" s="10" t="s">
        <v>45</v>
      </c>
      <c r="F1754" s="11">
        <v>1.0</v>
      </c>
      <c r="G1754" s="11">
        <v>43.7</v>
      </c>
      <c r="H1754" s="11">
        <v>13.77</v>
      </c>
      <c r="I1754" s="11">
        <v>-13.43</v>
      </c>
      <c r="J1754" s="11">
        <v>-13.77</v>
      </c>
      <c r="K1754" s="11"/>
      <c r="L1754" s="11">
        <v>32.89</v>
      </c>
      <c r="M1754" s="10" t="s">
        <v>12218</v>
      </c>
      <c r="N1754" s="10" t="s">
        <v>50</v>
      </c>
      <c r="O1754" s="10" t="s">
        <v>176</v>
      </c>
      <c r="P1754" s="10" t="s">
        <v>177</v>
      </c>
      <c r="Q1754" s="10" t="s">
        <v>178</v>
      </c>
      <c r="R1754" s="10" t="s">
        <v>74</v>
      </c>
      <c r="S1754" s="11">
        <v>43.7</v>
      </c>
      <c r="T1754" s="11">
        <v>22.58</v>
      </c>
      <c r="U1754" s="11" t="s">
        <v>51</v>
      </c>
      <c r="V1754" s="10" t="s">
        <v>52</v>
      </c>
      <c r="W1754" s="10" t="s">
        <v>983</v>
      </c>
      <c r="X1754" s="10" t="s">
        <v>984</v>
      </c>
      <c r="Y1754" s="10" t="s">
        <v>17393</v>
      </c>
      <c r="Z1754" s="10" t="s">
        <v>50</v>
      </c>
      <c r="AA1754" s="10" t="s">
        <v>50</v>
      </c>
      <c r="AB1754" s="10" t="s">
        <v>983</v>
      </c>
      <c r="AC1754" s="10" t="s">
        <v>986</v>
      </c>
      <c r="AD1754" s="10" t="s">
        <v>987</v>
      </c>
      <c r="AE1754" s="10" t="s">
        <v>151</v>
      </c>
      <c r="AF1754" s="10" t="s">
        <v>151</v>
      </c>
      <c r="AG1754" s="10" t="s">
        <v>988</v>
      </c>
      <c r="AH1754" s="10" t="s">
        <v>60</v>
      </c>
      <c r="AI1754" s="10" t="s">
        <v>13406</v>
      </c>
      <c r="AJ1754" s="10" t="s">
        <v>16341</v>
      </c>
      <c r="AK1754" s="10" t="s">
        <v>16430</v>
      </c>
      <c r="AL1754" s="10" t="s">
        <v>64</v>
      </c>
      <c r="AM1754" s="10" t="s">
        <v>17394</v>
      </c>
      <c r="AN1754" s="10" t="s">
        <v>50</v>
      </c>
      <c r="AO1754" s="11" t="s">
        <v>50</v>
      </c>
      <c r="AP1754" s="10" t="s">
        <v>50</v>
      </c>
      <c r="AQ1754" s="10" t="s">
        <v>50</v>
      </c>
      <c r="AR1754" s="10" t="s">
        <v>50</v>
      </c>
      <c r="AS1754" s="10" t="s">
        <v>50</v>
      </c>
      <c r="AT1754" s="10" t="s">
        <v>50</v>
      </c>
      <c r="AU1754" s="10" t="s">
        <v>50</v>
      </c>
      <c r="AV1754" s="11"/>
      <c r="AW1754" s="10" t="s">
        <v>66</v>
      </c>
      <c r="AX1754" s="10"/>
      <c r="AY1754" s="10" t="s">
        <v>66</v>
      </c>
    </row>
    <row r="1755" ht="22.5" hidden="1" customHeight="1">
      <c r="A1755" s="9" t="s">
        <v>17395</v>
      </c>
      <c r="B1755" s="10" t="s">
        <v>17396</v>
      </c>
      <c r="C1755" s="10" t="s">
        <v>43</v>
      </c>
      <c r="D1755" s="10" t="s">
        <v>13120</v>
      </c>
      <c r="E1755" s="10" t="s">
        <v>45</v>
      </c>
      <c r="F1755" s="11">
        <v>2.0</v>
      </c>
      <c r="G1755" s="11">
        <v>87.4</v>
      </c>
      <c r="H1755" s="11">
        <v>17.61</v>
      </c>
      <c r="I1755" s="11">
        <v>-26.86</v>
      </c>
      <c r="J1755" s="11">
        <v>-17.61</v>
      </c>
      <c r="K1755" s="11"/>
      <c r="L1755" s="11">
        <v>65.78</v>
      </c>
      <c r="M1755" s="10" t="s">
        <v>12218</v>
      </c>
      <c r="N1755" s="10" t="s">
        <v>50</v>
      </c>
      <c r="O1755" s="10" t="s">
        <v>176</v>
      </c>
      <c r="P1755" s="10" t="s">
        <v>177</v>
      </c>
      <c r="Q1755" s="10" t="s">
        <v>178</v>
      </c>
      <c r="R1755" s="10" t="s">
        <v>74</v>
      </c>
      <c r="S1755" s="11">
        <v>43.7</v>
      </c>
      <c r="T1755" s="11">
        <f>2*22.58</f>
        <v>45.16</v>
      </c>
      <c r="U1755" s="11" t="s">
        <v>51</v>
      </c>
      <c r="V1755" s="10" t="s">
        <v>52</v>
      </c>
      <c r="W1755" s="10" t="s">
        <v>17397</v>
      </c>
      <c r="X1755" s="10" t="s">
        <v>17398</v>
      </c>
      <c r="Y1755" s="10" t="s">
        <v>17399</v>
      </c>
      <c r="Z1755" s="10" t="s">
        <v>50</v>
      </c>
      <c r="AA1755" s="10" t="s">
        <v>50</v>
      </c>
      <c r="AB1755" s="10" t="s">
        <v>17397</v>
      </c>
      <c r="AC1755" s="10" t="s">
        <v>17400</v>
      </c>
      <c r="AD1755" s="10" t="s">
        <v>17401</v>
      </c>
      <c r="AE1755" s="10" t="s">
        <v>2670</v>
      </c>
      <c r="AF1755" s="10" t="s">
        <v>1593</v>
      </c>
      <c r="AG1755" s="10" t="s">
        <v>17402</v>
      </c>
      <c r="AH1755" s="10" t="s">
        <v>60</v>
      </c>
      <c r="AI1755" s="10" t="s">
        <v>13406</v>
      </c>
      <c r="AJ1755" s="10" t="s">
        <v>16329</v>
      </c>
      <c r="AK1755" s="10" t="s">
        <v>17403</v>
      </c>
      <c r="AL1755" s="10" t="s">
        <v>64</v>
      </c>
      <c r="AM1755" s="10" t="s">
        <v>17404</v>
      </c>
      <c r="AN1755" s="10" t="s">
        <v>50</v>
      </c>
      <c r="AO1755" s="11" t="s">
        <v>50</v>
      </c>
      <c r="AP1755" s="10" t="s">
        <v>50</v>
      </c>
      <c r="AQ1755" s="10" t="s">
        <v>50</v>
      </c>
      <c r="AR1755" s="10" t="s">
        <v>50</v>
      </c>
      <c r="AS1755" s="10" t="s">
        <v>50</v>
      </c>
      <c r="AT1755" s="10" t="s">
        <v>50</v>
      </c>
      <c r="AU1755" s="10" t="s">
        <v>50</v>
      </c>
      <c r="AV1755" s="11"/>
      <c r="AW1755" s="10" t="s">
        <v>66</v>
      </c>
      <c r="AX1755" s="10"/>
      <c r="AY1755" s="10" t="s">
        <v>66</v>
      </c>
    </row>
    <row r="1756" ht="22.5" hidden="1" customHeight="1">
      <c r="A1756" s="9" t="s">
        <v>17405</v>
      </c>
      <c r="B1756" s="10" t="s">
        <v>17406</v>
      </c>
      <c r="C1756" s="10" t="s">
        <v>43</v>
      </c>
      <c r="D1756" s="10" t="s">
        <v>13120</v>
      </c>
      <c r="E1756" s="10" t="s">
        <v>45</v>
      </c>
      <c r="F1756" s="11">
        <v>10.0</v>
      </c>
      <c r="G1756" s="11">
        <v>437.0</v>
      </c>
      <c r="H1756" s="11"/>
      <c r="I1756" s="11">
        <v>-134.3</v>
      </c>
      <c r="J1756" s="11"/>
      <c r="K1756" s="11"/>
      <c r="L1756" s="11">
        <v>328.9</v>
      </c>
      <c r="M1756" s="10" t="s">
        <v>12218</v>
      </c>
      <c r="N1756" s="10" t="s">
        <v>50</v>
      </c>
      <c r="O1756" s="10" t="s">
        <v>176</v>
      </c>
      <c r="P1756" s="10" t="s">
        <v>177</v>
      </c>
      <c r="Q1756" s="10" t="s">
        <v>178</v>
      </c>
      <c r="R1756" s="10" t="s">
        <v>74</v>
      </c>
      <c r="S1756" s="11">
        <v>43.7</v>
      </c>
      <c r="T1756" s="11">
        <f>10*22.58</f>
        <v>225.8</v>
      </c>
      <c r="U1756" s="11" t="s">
        <v>51</v>
      </c>
      <c r="V1756" s="10" t="s">
        <v>52</v>
      </c>
      <c r="W1756" s="10" t="s">
        <v>17407</v>
      </c>
      <c r="X1756" s="10" t="s">
        <v>17408</v>
      </c>
      <c r="Y1756" s="10" t="s">
        <v>17409</v>
      </c>
      <c r="Z1756" s="10" t="s">
        <v>50</v>
      </c>
      <c r="AA1756" s="10" t="s">
        <v>50</v>
      </c>
      <c r="AB1756" s="10" t="s">
        <v>17407</v>
      </c>
      <c r="AC1756" s="10" t="s">
        <v>17410</v>
      </c>
      <c r="AD1756" s="10" t="s">
        <v>17411</v>
      </c>
      <c r="AE1756" s="10" t="s">
        <v>17412</v>
      </c>
      <c r="AF1756" s="10" t="s">
        <v>284</v>
      </c>
      <c r="AG1756" s="10" t="s">
        <v>17413</v>
      </c>
      <c r="AH1756" s="10" t="s">
        <v>60</v>
      </c>
      <c r="AI1756" s="10" t="s">
        <v>13406</v>
      </c>
      <c r="AJ1756" s="10" t="s">
        <v>15291</v>
      </c>
      <c r="AK1756" s="10" t="s">
        <v>17414</v>
      </c>
      <c r="AL1756" s="10" t="s">
        <v>64</v>
      </c>
      <c r="AM1756" s="10" t="s">
        <v>17415</v>
      </c>
      <c r="AN1756" s="10" t="s">
        <v>50</v>
      </c>
      <c r="AO1756" s="11" t="s">
        <v>50</v>
      </c>
      <c r="AP1756" s="10" t="s">
        <v>50</v>
      </c>
      <c r="AQ1756" s="10" t="s">
        <v>50</v>
      </c>
      <c r="AR1756" s="10" t="s">
        <v>50</v>
      </c>
      <c r="AS1756" s="10" t="s">
        <v>50</v>
      </c>
      <c r="AT1756" s="10" t="s">
        <v>50</v>
      </c>
      <c r="AU1756" s="10" t="s">
        <v>50</v>
      </c>
      <c r="AV1756" s="11"/>
      <c r="AW1756" s="10" t="s">
        <v>66</v>
      </c>
      <c r="AX1756" s="10"/>
      <c r="AY1756" s="10" t="s">
        <v>66</v>
      </c>
    </row>
    <row r="1757" ht="22.5" hidden="1" customHeight="1">
      <c r="A1757" s="9" t="s">
        <v>17416</v>
      </c>
      <c r="B1757" s="10" t="s">
        <v>17417</v>
      </c>
      <c r="C1757" s="10" t="s">
        <v>43</v>
      </c>
      <c r="D1757" s="10" t="s">
        <v>16334</v>
      </c>
      <c r="E1757" s="10" t="s">
        <v>45</v>
      </c>
      <c r="F1757" s="11">
        <v>1.0</v>
      </c>
      <c r="G1757" s="11">
        <v>79.0</v>
      </c>
      <c r="H1757" s="11"/>
      <c r="I1757" s="11">
        <v>-13.43</v>
      </c>
      <c r="J1757" s="11">
        <v>-19.95</v>
      </c>
      <c r="K1757" s="11"/>
      <c r="L1757" s="11">
        <v>45.62</v>
      </c>
      <c r="M1757" s="10" t="s">
        <v>12218</v>
      </c>
      <c r="N1757" s="10" t="s">
        <v>45</v>
      </c>
      <c r="O1757" s="10" t="s">
        <v>766</v>
      </c>
      <c r="P1757" s="10" t="s">
        <v>767</v>
      </c>
      <c r="Q1757" s="10" t="s">
        <v>768</v>
      </c>
      <c r="R1757" s="10" t="s">
        <v>74</v>
      </c>
      <c r="S1757" s="11">
        <v>79.0</v>
      </c>
      <c r="T1757" s="11">
        <v>13.62</v>
      </c>
      <c r="U1757" s="11" t="s">
        <v>51</v>
      </c>
      <c r="V1757" s="10" t="s">
        <v>52</v>
      </c>
      <c r="W1757" s="10" t="s">
        <v>17418</v>
      </c>
      <c r="X1757" s="10" t="s">
        <v>17419</v>
      </c>
      <c r="Y1757" s="10" t="s">
        <v>17420</v>
      </c>
      <c r="Z1757" s="10" t="s">
        <v>50</v>
      </c>
      <c r="AA1757" s="10" t="s">
        <v>50</v>
      </c>
      <c r="AB1757" s="10" t="s">
        <v>17418</v>
      </c>
      <c r="AC1757" s="10" t="s">
        <v>17421</v>
      </c>
      <c r="AD1757" s="10" t="s">
        <v>17422</v>
      </c>
      <c r="AE1757" s="10" t="s">
        <v>151</v>
      </c>
      <c r="AF1757" s="10" t="s">
        <v>151</v>
      </c>
      <c r="AG1757" s="10" t="s">
        <v>17423</v>
      </c>
      <c r="AH1757" s="10" t="s">
        <v>60</v>
      </c>
      <c r="AI1757" s="10" t="s">
        <v>13406</v>
      </c>
      <c r="AJ1757" s="10" t="s">
        <v>17424</v>
      </c>
      <c r="AK1757" s="10" t="s">
        <v>17425</v>
      </c>
      <c r="AL1757" s="10" t="s">
        <v>64</v>
      </c>
      <c r="AM1757" s="10" t="s">
        <v>17426</v>
      </c>
      <c r="AN1757" s="10" t="s">
        <v>50</v>
      </c>
      <c r="AO1757" s="11" t="s">
        <v>50</v>
      </c>
      <c r="AP1757" s="10" t="s">
        <v>50</v>
      </c>
      <c r="AQ1757" s="10" t="s">
        <v>50</v>
      </c>
      <c r="AR1757" s="10" t="s">
        <v>50</v>
      </c>
      <c r="AS1757" s="10" t="s">
        <v>50</v>
      </c>
      <c r="AT1757" s="10" t="s">
        <v>50</v>
      </c>
      <c r="AU1757" s="10" t="s">
        <v>50</v>
      </c>
      <c r="AV1757" s="11"/>
      <c r="AW1757" s="10" t="s">
        <v>66</v>
      </c>
      <c r="AX1757" s="10"/>
      <c r="AY1757" s="10" t="s">
        <v>66</v>
      </c>
    </row>
    <row r="1758" ht="22.5" hidden="1" customHeight="1">
      <c r="A1758" s="9" t="s">
        <v>17427</v>
      </c>
      <c r="B1758" s="10" t="s">
        <v>17428</v>
      </c>
      <c r="C1758" s="10" t="s">
        <v>43</v>
      </c>
      <c r="D1758" s="10" t="s">
        <v>16334</v>
      </c>
      <c r="E1758" s="10" t="s">
        <v>66</v>
      </c>
      <c r="F1758" s="11">
        <v>1.0</v>
      </c>
      <c r="G1758" s="11">
        <v>80.0</v>
      </c>
      <c r="H1758" s="11"/>
      <c r="I1758" s="11">
        <v>-13.6</v>
      </c>
      <c r="J1758" s="11">
        <v>-19.95</v>
      </c>
      <c r="K1758" s="11"/>
      <c r="L1758" s="11">
        <v>50.45</v>
      </c>
      <c r="M1758" s="10" t="s">
        <v>12218</v>
      </c>
      <c r="N1758" s="10" t="s">
        <v>50</v>
      </c>
      <c r="O1758" s="10" t="s">
        <v>143</v>
      </c>
      <c r="P1758" s="10" t="s">
        <v>144</v>
      </c>
      <c r="Q1758" s="10" t="s">
        <v>145</v>
      </c>
      <c r="R1758" s="10" t="s">
        <v>74</v>
      </c>
      <c r="S1758" s="11">
        <v>80.0</v>
      </c>
      <c r="T1758" s="11">
        <v>33.38</v>
      </c>
      <c r="U1758" s="11" t="s">
        <v>51</v>
      </c>
      <c r="V1758" s="10" t="s">
        <v>52</v>
      </c>
      <c r="W1758" s="10" t="s">
        <v>17429</v>
      </c>
      <c r="X1758" s="10" t="s">
        <v>17430</v>
      </c>
      <c r="Y1758" s="10" t="s">
        <v>17431</v>
      </c>
      <c r="Z1758" s="10" t="s">
        <v>50</v>
      </c>
      <c r="AA1758" s="10" t="s">
        <v>50</v>
      </c>
      <c r="AB1758" s="10" t="s">
        <v>17429</v>
      </c>
      <c r="AC1758" s="10" t="s">
        <v>17432</v>
      </c>
      <c r="AD1758" s="10" t="s">
        <v>17433</v>
      </c>
      <c r="AE1758" s="10" t="s">
        <v>17434</v>
      </c>
      <c r="AF1758" s="10" t="s">
        <v>323</v>
      </c>
      <c r="AG1758" s="10" t="s">
        <v>17435</v>
      </c>
      <c r="AH1758" s="10" t="s">
        <v>60</v>
      </c>
      <c r="AI1758" s="10" t="s">
        <v>13406</v>
      </c>
      <c r="AJ1758" s="10" t="s">
        <v>17436</v>
      </c>
      <c r="AK1758" s="10" t="s">
        <v>17437</v>
      </c>
      <c r="AL1758" s="10" t="s">
        <v>64</v>
      </c>
      <c r="AM1758" s="10" t="s">
        <v>17438</v>
      </c>
      <c r="AN1758" s="10" t="s">
        <v>50</v>
      </c>
      <c r="AO1758" s="11" t="s">
        <v>50</v>
      </c>
      <c r="AP1758" s="10" t="s">
        <v>50</v>
      </c>
      <c r="AQ1758" s="10" t="s">
        <v>50</v>
      </c>
      <c r="AR1758" s="10" t="s">
        <v>50</v>
      </c>
      <c r="AS1758" s="10" t="s">
        <v>50</v>
      </c>
      <c r="AT1758" s="10" t="s">
        <v>50</v>
      </c>
      <c r="AU1758" s="10" t="s">
        <v>50</v>
      </c>
      <c r="AV1758" s="11"/>
      <c r="AW1758" s="10" t="s">
        <v>66</v>
      </c>
      <c r="AX1758" s="10"/>
      <c r="AY1758" s="10" t="s">
        <v>66</v>
      </c>
    </row>
    <row r="1759" ht="22.5" hidden="1" customHeight="1">
      <c r="A1759" s="9" t="s">
        <v>17439</v>
      </c>
      <c r="B1759" s="10" t="s">
        <v>17440</v>
      </c>
      <c r="C1759" s="10" t="s">
        <v>43</v>
      </c>
      <c r="D1759" s="10" t="s">
        <v>14945</v>
      </c>
      <c r="E1759" s="10" t="s">
        <v>66</v>
      </c>
      <c r="F1759" s="11">
        <v>1.0</v>
      </c>
      <c r="G1759" s="11">
        <v>79.2</v>
      </c>
      <c r="H1759" s="11"/>
      <c r="I1759" s="11">
        <v>-13.46</v>
      </c>
      <c r="J1759" s="11">
        <v>-20.45</v>
      </c>
      <c r="K1759" s="11"/>
      <c r="L1759" s="11">
        <v>45.29</v>
      </c>
      <c r="M1759" s="10" t="s">
        <v>12218</v>
      </c>
      <c r="N1759" s="10" t="s">
        <v>45</v>
      </c>
      <c r="O1759" s="10" t="s">
        <v>412</v>
      </c>
      <c r="P1759" s="10" t="s">
        <v>413</v>
      </c>
      <c r="Q1759" s="10" t="s">
        <v>414</v>
      </c>
      <c r="R1759" s="10" t="s">
        <v>415</v>
      </c>
      <c r="S1759" s="11">
        <v>79.2</v>
      </c>
      <c r="T1759" s="11">
        <v>10.05</v>
      </c>
      <c r="U1759" s="11" t="s">
        <v>51</v>
      </c>
      <c r="V1759" s="10" t="s">
        <v>52</v>
      </c>
      <c r="W1759" s="10" t="s">
        <v>17441</v>
      </c>
      <c r="X1759" s="10" t="s">
        <v>17442</v>
      </c>
      <c r="Y1759" s="10" t="s">
        <v>17443</v>
      </c>
      <c r="Z1759" s="10" t="s">
        <v>50</v>
      </c>
      <c r="AA1759" s="10" t="s">
        <v>50</v>
      </c>
      <c r="AB1759" s="10" t="s">
        <v>17441</v>
      </c>
      <c r="AC1759" s="10" t="s">
        <v>17444</v>
      </c>
      <c r="AD1759" s="10" t="s">
        <v>17445</v>
      </c>
      <c r="AE1759" s="10" t="s">
        <v>17341</v>
      </c>
      <c r="AF1759" s="10" t="s">
        <v>214</v>
      </c>
      <c r="AG1759" s="10" t="s">
        <v>17342</v>
      </c>
      <c r="AH1759" s="10" t="s">
        <v>60</v>
      </c>
      <c r="AI1759" s="10" t="s">
        <v>13406</v>
      </c>
      <c r="AJ1759" s="10" t="s">
        <v>15291</v>
      </c>
      <c r="AK1759" s="10" t="s">
        <v>17446</v>
      </c>
      <c r="AL1759" s="10" t="s">
        <v>64</v>
      </c>
      <c r="AM1759" s="10" t="s">
        <v>17447</v>
      </c>
      <c r="AN1759" s="10" t="s">
        <v>50</v>
      </c>
      <c r="AO1759" s="11" t="s">
        <v>50</v>
      </c>
      <c r="AP1759" s="10" t="s">
        <v>50</v>
      </c>
      <c r="AQ1759" s="10" t="s">
        <v>50</v>
      </c>
      <c r="AR1759" s="10" t="s">
        <v>50</v>
      </c>
      <c r="AS1759" s="10" t="s">
        <v>50</v>
      </c>
      <c r="AT1759" s="10" t="s">
        <v>50</v>
      </c>
      <c r="AU1759" s="10" t="s">
        <v>50</v>
      </c>
      <c r="AV1759" s="11"/>
      <c r="AW1759" s="10" t="s">
        <v>66</v>
      </c>
      <c r="AX1759" s="10"/>
      <c r="AY1759" s="10" t="s">
        <v>66</v>
      </c>
    </row>
    <row r="1760" ht="22.5" hidden="1" customHeight="1">
      <c r="A1760" s="9" t="s">
        <v>17448</v>
      </c>
      <c r="B1760" s="10" t="s">
        <v>17449</v>
      </c>
      <c r="C1760" s="10" t="s">
        <v>43</v>
      </c>
      <c r="D1760" s="10" t="s">
        <v>14923</v>
      </c>
      <c r="E1760" s="10" t="s">
        <v>66</v>
      </c>
      <c r="F1760" s="11">
        <v>1.0</v>
      </c>
      <c r="G1760" s="11">
        <v>80.0</v>
      </c>
      <c r="H1760" s="11"/>
      <c r="I1760" s="11">
        <v>-13.6</v>
      </c>
      <c r="J1760" s="11">
        <v>-19.95</v>
      </c>
      <c r="K1760" s="11"/>
      <c r="L1760" s="11">
        <v>50.45</v>
      </c>
      <c r="M1760" s="10" t="s">
        <v>12218</v>
      </c>
      <c r="N1760" s="10" t="s">
        <v>45</v>
      </c>
      <c r="O1760" s="10" t="s">
        <v>143</v>
      </c>
      <c r="P1760" s="10" t="s">
        <v>144</v>
      </c>
      <c r="Q1760" s="10" t="s">
        <v>145</v>
      </c>
      <c r="R1760" s="10" t="s">
        <v>74</v>
      </c>
      <c r="S1760" s="11">
        <v>80.0</v>
      </c>
      <c r="T1760" s="11">
        <v>33.38</v>
      </c>
      <c r="U1760" s="11" t="s">
        <v>51</v>
      </c>
      <c r="V1760" s="10" t="s">
        <v>52</v>
      </c>
      <c r="W1760" s="10" t="s">
        <v>17450</v>
      </c>
      <c r="X1760" s="10" t="s">
        <v>17451</v>
      </c>
      <c r="Y1760" s="10" t="s">
        <v>17452</v>
      </c>
      <c r="Z1760" s="10" t="s">
        <v>50</v>
      </c>
      <c r="AA1760" s="10" t="s">
        <v>50</v>
      </c>
      <c r="AB1760" s="10" t="s">
        <v>17450</v>
      </c>
      <c r="AC1760" s="10" t="s">
        <v>17453</v>
      </c>
      <c r="AD1760" s="10" t="s">
        <v>17454</v>
      </c>
      <c r="AE1760" s="10" t="s">
        <v>17455</v>
      </c>
      <c r="AF1760" s="10" t="s">
        <v>214</v>
      </c>
      <c r="AG1760" s="10" t="s">
        <v>17456</v>
      </c>
      <c r="AH1760" s="10" t="s">
        <v>60</v>
      </c>
      <c r="AI1760" s="10" t="s">
        <v>13406</v>
      </c>
      <c r="AJ1760" s="10" t="s">
        <v>15314</v>
      </c>
      <c r="AK1760" s="10" t="s">
        <v>17457</v>
      </c>
      <c r="AL1760" s="10" t="s">
        <v>64</v>
      </c>
      <c r="AM1760" s="10" t="s">
        <v>17458</v>
      </c>
      <c r="AN1760" s="10" t="s">
        <v>50</v>
      </c>
      <c r="AO1760" s="11" t="s">
        <v>50</v>
      </c>
      <c r="AP1760" s="10" t="s">
        <v>50</v>
      </c>
      <c r="AQ1760" s="10" t="s">
        <v>50</v>
      </c>
      <c r="AR1760" s="10" t="s">
        <v>50</v>
      </c>
      <c r="AS1760" s="10" t="s">
        <v>50</v>
      </c>
      <c r="AT1760" s="10" t="s">
        <v>50</v>
      </c>
      <c r="AU1760" s="10" t="s">
        <v>50</v>
      </c>
      <c r="AV1760" s="11"/>
      <c r="AW1760" s="10" t="s">
        <v>66</v>
      </c>
      <c r="AX1760" s="10"/>
      <c r="AY1760" s="10" t="s">
        <v>66</v>
      </c>
    </row>
    <row r="1761" ht="22.5" hidden="1" customHeight="1">
      <c r="A1761" s="9" t="s">
        <v>17459</v>
      </c>
      <c r="B1761" s="10" t="s">
        <v>17460</v>
      </c>
      <c r="C1761" s="10" t="s">
        <v>43</v>
      </c>
      <c r="D1761" s="10" t="s">
        <v>16334</v>
      </c>
      <c r="E1761" s="10" t="s">
        <v>66</v>
      </c>
      <c r="F1761" s="11">
        <v>1.0</v>
      </c>
      <c r="G1761" s="11">
        <v>80.6</v>
      </c>
      <c r="H1761" s="11"/>
      <c r="I1761" s="11">
        <v>-13.7</v>
      </c>
      <c r="J1761" s="11">
        <v>-20.45</v>
      </c>
      <c r="K1761" s="11"/>
      <c r="L1761" s="11">
        <v>46.45</v>
      </c>
      <c r="M1761" s="10" t="s">
        <v>12218</v>
      </c>
      <c r="N1761" s="10" t="s">
        <v>45</v>
      </c>
      <c r="O1761" s="10" t="s">
        <v>265</v>
      </c>
      <c r="P1761" s="10" t="s">
        <v>266</v>
      </c>
      <c r="Q1761" s="10" t="s">
        <v>267</v>
      </c>
      <c r="R1761" s="10" t="s">
        <v>74</v>
      </c>
      <c r="S1761" s="11">
        <v>80.6</v>
      </c>
      <c r="T1761" s="11">
        <v>26.22</v>
      </c>
      <c r="U1761" s="11" t="s">
        <v>51</v>
      </c>
      <c r="V1761" s="10" t="s">
        <v>52</v>
      </c>
      <c r="W1761" s="10" t="s">
        <v>17461</v>
      </c>
      <c r="X1761" s="10" t="s">
        <v>17462</v>
      </c>
      <c r="Y1761" s="10" t="s">
        <v>17463</v>
      </c>
      <c r="Z1761" s="10" t="s">
        <v>50</v>
      </c>
      <c r="AA1761" s="10" t="s">
        <v>50</v>
      </c>
      <c r="AB1761" s="10" t="s">
        <v>17461</v>
      </c>
      <c r="AC1761" s="10" t="s">
        <v>17464</v>
      </c>
      <c r="AD1761" s="10" t="s">
        <v>17465</v>
      </c>
      <c r="AE1761" s="10" t="s">
        <v>151</v>
      </c>
      <c r="AF1761" s="10" t="s">
        <v>151</v>
      </c>
      <c r="AG1761" s="10" t="s">
        <v>17466</v>
      </c>
      <c r="AH1761" s="10" t="s">
        <v>60</v>
      </c>
      <c r="AI1761" s="10" t="s">
        <v>13406</v>
      </c>
      <c r="AJ1761" s="10" t="s">
        <v>16409</v>
      </c>
      <c r="AK1761" s="10" t="s">
        <v>17467</v>
      </c>
      <c r="AL1761" s="10" t="s">
        <v>64</v>
      </c>
      <c r="AM1761" s="10" t="s">
        <v>17468</v>
      </c>
      <c r="AN1761" s="10" t="s">
        <v>50</v>
      </c>
      <c r="AO1761" s="11" t="s">
        <v>50</v>
      </c>
      <c r="AP1761" s="10" t="s">
        <v>50</v>
      </c>
      <c r="AQ1761" s="10" t="s">
        <v>50</v>
      </c>
      <c r="AR1761" s="10" t="s">
        <v>50</v>
      </c>
      <c r="AS1761" s="10" t="s">
        <v>50</v>
      </c>
      <c r="AT1761" s="10" t="s">
        <v>50</v>
      </c>
      <c r="AU1761" s="10" t="s">
        <v>50</v>
      </c>
      <c r="AV1761" s="11"/>
      <c r="AW1761" s="10" t="s">
        <v>66</v>
      </c>
      <c r="AX1761" s="10"/>
      <c r="AY1761" s="10" t="s">
        <v>66</v>
      </c>
    </row>
    <row r="1762" ht="22.5" hidden="1" customHeight="1">
      <c r="A1762" s="9" t="s">
        <v>17469</v>
      </c>
      <c r="B1762" s="10" t="s">
        <v>17470</v>
      </c>
      <c r="C1762" s="10" t="s">
        <v>43</v>
      </c>
      <c r="D1762" s="10" t="s">
        <v>14945</v>
      </c>
      <c r="E1762" s="10" t="s">
        <v>66</v>
      </c>
      <c r="F1762" s="11">
        <v>1.0</v>
      </c>
      <c r="G1762" s="11">
        <v>80.0</v>
      </c>
      <c r="H1762" s="11"/>
      <c r="I1762" s="11">
        <v>-13.6</v>
      </c>
      <c r="J1762" s="11">
        <v>-19.95</v>
      </c>
      <c r="K1762" s="11"/>
      <c r="L1762" s="11">
        <v>50.45</v>
      </c>
      <c r="M1762" s="10" t="s">
        <v>12218</v>
      </c>
      <c r="N1762" s="10" t="s">
        <v>50</v>
      </c>
      <c r="O1762" s="10" t="s">
        <v>143</v>
      </c>
      <c r="P1762" s="10" t="s">
        <v>144</v>
      </c>
      <c r="Q1762" s="10" t="s">
        <v>145</v>
      </c>
      <c r="R1762" s="10" t="s">
        <v>74</v>
      </c>
      <c r="S1762" s="11">
        <v>80.0</v>
      </c>
      <c r="T1762" s="11">
        <v>33.38</v>
      </c>
      <c r="U1762" s="11" t="s">
        <v>51</v>
      </c>
      <c r="V1762" s="10" t="s">
        <v>52</v>
      </c>
      <c r="W1762" s="10" t="s">
        <v>17471</v>
      </c>
      <c r="X1762" s="10" t="s">
        <v>17472</v>
      </c>
      <c r="Y1762" s="10" t="s">
        <v>17473</v>
      </c>
      <c r="Z1762" s="10" t="s">
        <v>50</v>
      </c>
      <c r="AA1762" s="10" t="s">
        <v>50</v>
      </c>
      <c r="AB1762" s="10" t="s">
        <v>17471</v>
      </c>
      <c r="AC1762" s="10" t="s">
        <v>17474</v>
      </c>
      <c r="AD1762" s="10" t="s">
        <v>17475</v>
      </c>
      <c r="AE1762" s="10" t="s">
        <v>17476</v>
      </c>
      <c r="AF1762" s="10" t="s">
        <v>119</v>
      </c>
      <c r="AG1762" s="10" t="s">
        <v>17477</v>
      </c>
      <c r="AH1762" s="10" t="s">
        <v>60</v>
      </c>
      <c r="AI1762" s="10" t="s">
        <v>13406</v>
      </c>
      <c r="AJ1762" s="10" t="s">
        <v>15314</v>
      </c>
      <c r="AK1762" s="10" t="s">
        <v>16729</v>
      </c>
      <c r="AL1762" s="10" t="s">
        <v>64</v>
      </c>
      <c r="AM1762" s="10" t="s">
        <v>17478</v>
      </c>
      <c r="AN1762" s="10" t="s">
        <v>50</v>
      </c>
      <c r="AO1762" s="11" t="s">
        <v>50</v>
      </c>
      <c r="AP1762" s="10" t="s">
        <v>50</v>
      </c>
      <c r="AQ1762" s="10" t="s">
        <v>50</v>
      </c>
      <c r="AR1762" s="10" t="s">
        <v>50</v>
      </c>
      <c r="AS1762" s="10" t="s">
        <v>50</v>
      </c>
      <c r="AT1762" s="10" t="s">
        <v>50</v>
      </c>
      <c r="AU1762" s="10" t="s">
        <v>50</v>
      </c>
      <c r="AV1762" s="11"/>
      <c r="AW1762" s="10" t="s">
        <v>66</v>
      </c>
      <c r="AX1762" s="10"/>
      <c r="AY1762" s="10" t="s">
        <v>66</v>
      </c>
    </row>
    <row r="1763" ht="22.5" hidden="1" customHeight="1">
      <c r="A1763" s="9" t="s">
        <v>17479</v>
      </c>
      <c r="B1763" s="10" t="s">
        <v>17480</v>
      </c>
      <c r="C1763" s="10" t="s">
        <v>43</v>
      </c>
      <c r="D1763" s="10" t="s">
        <v>13175</v>
      </c>
      <c r="E1763" s="10" t="s">
        <v>66</v>
      </c>
      <c r="F1763" s="11">
        <v>1.0</v>
      </c>
      <c r="G1763" s="11">
        <v>120.0</v>
      </c>
      <c r="H1763" s="11">
        <v>13.45</v>
      </c>
      <c r="I1763" s="11">
        <v>-20.4</v>
      </c>
      <c r="J1763" s="11">
        <v>-33.4</v>
      </c>
      <c r="K1763" s="11"/>
      <c r="L1763" s="11">
        <v>86.85</v>
      </c>
      <c r="M1763" s="10" t="s">
        <v>12218</v>
      </c>
      <c r="N1763" s="10" t="s">
        <v>45</v>
      </c>
      <c r="O1763" s="10" t="s">
        <v>85</v>
      </c>
      <c r="P1763" s="10" t="s">
        <v>86</v>
      </c>
      <c r="Q1763" s="10" t="s">
        <v>87</v>
      </c>
      <c r="R1763" s="10" t="s">
        <v>74</v>
      </c>
      <c r="S1763" s="11">
        <v>120.0</v>
      </c>
      <c r="T1763" s="11">
        <v>65.78</v>
      </c>
      <c r="U1763" s="11" t="s">
        <v>51</v>
      </c>
      <c r="V1763" s="10" t="s">
        <v>52</v>
      </c>
      <c r="W1763" s="10" t="s">
        <v>17481</v>
      </c>
      <c r="X1763" s="10" t="s">
        <v>17482</v>
      </c>
      <c r="Y1763" s="10" t="s">
        <v>17483</v>
      </c>
      <c r="Z1763" s="10" t="s">
        <v>50</v>
      </c>
      <c r="AA1763" s="10" t="s">
        <v>50</v>
      </c>
      <c r="AB1763" s="10" t="s">
        <v>17481</v>
      </c>
      <c r="AC1763" s="10" t="s">
        <v>17484</v>
      </c>
      <c r="AD1763" s="10" t="s">
        <v>17485</v>
      </c>
      <c r="AE1763" s="10" t="s">
        <v>17486</v>
      </c>
      <c r="AF1763" s="10" t="s">
        <v>2648</v>
      </c>
      <c r="AG1763" s="10" t="s">
        <v>17487</v>
      </c>
      <c r="AH1763" s="10" t="s">
        <v>60</v>
      </c>
      <c r="AI1763" s="10" t="s">
        <v>13406</v>
      </c>
      <c r="AJ1763" s="10" t="s">
        <v>17488</v>
      </c>
      <c r="AK1763" s="10" t="s">
        <v>17489</v>
      </c>
      <c r="AL1763" s="10" t="s">
        <v>64</v>
      </c>
      <c r="AM1763" s="10" t="s">
        <v>17490</v>
      </c>
      <c r="AN1763" s="10" t="s">
        <v>50</v>
      </c>
      <c r="AO1763" s="11" t="s">
        <v>50</v>
      </c>
      <c r="AP1763" s="10" t="s">
        <v>50</v>
      </c>
      <c r="AQ1763" s="10" t="s">
        <v>50</v>
      </c>
      <c r="AR1763" s="10" t="s">
        <v>50</v>
      </c>
      <c r="AS1763" s="10" t="s">
        <v>50</v>
      </c>
      <c r="AT1763" s="10" t="s">
        <v>50</v>
      </c>
      <c r="AU1763" s="10" t="s">
        <v>50</v>
      </c>
      <c r="AV1763" s="11"/>
      <c r="AW1763" s="10" t="s">
        <v>66</v>
      </c>
      <c r="AX1763" s="10"/>
      <c r="AY1763" s="10" t="s">
        <v>66</v>
      </c>
    </row>
    <row r="1764" ht="22.5" hidden="1" customHeight="1">
      <c r="A1764" s="9" t="s">
        <v>17491</v>
      </c>
      <c r="B1764" s="10" t="s">
        <v>17492</v>
      </c>
      <c r="C1764" s="10" t="s">
        <v>43</v>
      </c>
      <c r="D1764" s="10" t="s">
        <v>16334</v>
      </c>
      <c r="E1764" s="10" t="s">
        <v>45</v>
      </c>
      <c r="F1764" s="11">
        <v>1.0</v>
      </c>
      <c r="G1764" s="11">
        <v>88.4</v>
      </c>
      <c r="H1764" s="11"/>
      <c r="I1764" s="11">
        <v>-15.03</v>
      </c>
      <c r="J1764" s="11">
        <v>-19.95</v>
      </c>
      <c r="K1764" s="11"/>
      <c r="L1764" s="11">
        <v>53.42</v>
      </c>
      <c r="M1764" s="10" t="s">
        <v>12218</v>
      </c>
      <c r="N1764" s="10" t="s">
        <v>50</v>
      </c>
      <c r="O1764" s="10" t="s">
        <v>314</v>
      </c>
      <c r="P1764" s="10" t="s">
        <v>315</v>
      </c>
      <c r="Q1764" s="10" t="s">
        <v>316</v>
      </c>
      <c r="R1764" s="10" t="s">
        <v>74</v>
      </c>
      <c r="S1764" s="11">
        <v>88.4</v>
      </c>
      <c r="T1764" s="11">
        <v>6.66</v>
      </c>
      <c r="U1764" s="11" t="s">
        <v>51</v>
      </c>
      <c r="V1764" s="10" t="s">
        <v>52</v>
      </c>
      <c r="W1764" s="10" t="s">
        <v>17493</v>
      </c>
      <c r="X1764" s="10" t="s">
        <v>17494</v>
      </c>
      <c r="Y1764" s="10" t="s">
        <v>17495</v>
      </c>
      <c r="Z1764" s="10" t="s">
        <v>50</v>
      </c>
      <c r="AA1764" s="10" t="s">
        <v>50</v>
      </c>
      <c r="AB1764" s="10" t="s">
        <v>17493</v>
      </c>
      <c r="AC1764" s="10" t="s">
        <v>17496</v>
      </c>
      <c r="AD1764" s="10" t="s">
        <v>17497</v>
      </c>
      <c r="AE1764" s="10" t="s">
        <v>17498</v>
      </c>
      <c r="AF1764" s="10" t="s">
        <v>214</v>
      </c>
      <c r="AG1764" s="10" t="s">
        <v>17499</v>
      </c>
      <c r="AH1764" s="10" t="s">
        <v>60</v>
      </c>
      <c r="AI1764" s="10" t="s">
        <v>13406</v>
      </c>
      <c r="AJ1764" s="10" t="s">
        <v>17500</v>
      </c>
      <c r="AK1764" s="10" t="s">
        <v>17501</v>
      </c>
      <c r="AL1764" s="10" t="s">
        <v>64</v>
      </c>
      <c r="AM1764" s="10" t="s">
        <v>17502</v>
      </c>
      <c r="AN1764" s="10" t="s">
        <v>50</v>
      </c>
      <c r="AO1764" s="11" t="s">
        <v>50</v>
      </c>
      <c r="AP1764" s="10" t="s">
        <v>50</v>
      </c>
      <c r="AQ1764" s="10" t="s">
        <v>50</v>
      </c>
      <c r="AR1764" s="10" t="s">
        <v>50</v>
      </c>
      <c r="AS1764" s="10" t="s">
        <v>50</v>
      </c>
      <c r="AT1764" s="10" t="s">
        <v>50</v>
      </c>
      <c r="AU1764" s="10" t="s">
        <v>50</v>
      </c>
      <c r="AV1764" s="11"/>
      <c r="AW1764" s="10" t="s">
        <v>66</v>
      </c>
      <c r="AX1764" s="10"/>
      <c r="AY1764" s="10" t="s">
        <v>66</v>
      </c>
    </row>
    <row r="1765" ht="22.5" hidden="1" customHeight="1">
      <c r="A1765" s="9" t="s">
        <v>17503</v>
      </c>
      <c r="B1765" s="10" t="s">
        <v>17504</v>
      </c>
      <c r="C1765" s="10" t="s">
        <v>43</v>
      </c>
      <c r="D1765" s="10" t="s">
        <v>17505</v>
      </c>
      <c r="E1765" s="10" t="s">
        <v>66</v>
      </c>
      <c r="F1765" s="11">
        <v>1.0</v>
      </c>
      <c r="G1765" s="11">
        <v>92.15</v>
      </c>
      <c r="H1765" s="11"/>
      <c r="I1765" s="11">
        <v>-17.51</v>
      </c>
      <c r="J1765" s="11">
        <v>-20.45</v>
      </c>
      <c r="K1765" s="11"/>
      <c r="L1765" s="11">
        <v>59.72</v>
      </c>
      <c r="M1765" s="10" t="s">
        <v>12218</v>
      </c>
      <c r="N1765" s="10" t="s">
        <v>45</v>
      </c>
      <c r="O1765" s="10" t="s">
        <v>586</v>
      </c>
      <c r="P1765" s="10" t="s">
        <v>587</v>
      </c>
      <c r="Q1765" s="10" t="s">
        <v>588</v>
      </c>
      <c r="R1765" s="10" t="s">
        <v>50</v>
      </c>
      <c r="S1765" s="11">
        <v>92.15</v>
      </c>
      <c r="T1765" s="11">
        <v>20.76</v>
      </c>
      <c r="U1765" s="11" t="s">
        <v>51</v>
      </c>
      <c r="V1765" s="10" t="s">
        <v>52</v>
      </c>
      <c r="W1765" s="10" t="s">
        <v>17506</v>
      </c>
      <c r="X1765" s="10" t="s">
        <v>17507</v>
      </c>
      <c r="Y1765" s="10" t="s">
        <v>17508</v>
      </c>
      <c r="Z1765" s="10" t="s">
        <v>50</v>
      </c>
      <c r="AA1765" s="10" t="s">
        <v>50</v>
      </c>
      <c r="AB1765" s="10" t="s">
        <v>17506</v>
      </c>
      <c r="AC1765" s="10" t="s">
        <v>17509</v>
      </c>
      <c r="AD1765" s="10" t="s">
        <v>17510</v>
      </c>
      <c r="AE1765" s="10" t="s">
        <v>1181</v>
      </c>
      <c r="AF1765" s="10" t="s">
        <v>323</v>
      </c>
      <c r="AG1765" s="10" t="s">
        <v>17511</v>
      </c>
      <c r="AH1765" s="10" t="s">
        <v>60</v>
      </c>
      <c r="AI1765" s="10" t="s">
        <v>13406</v>
      </c>
      <c r="AJ1765" s="10" t="s">
        <v>17512</v>
      </c>
      <c r="AK1765" s="10" t="s">
        <v>17513</v>
      </c>
      <c r="AL1765" s="10" t="s">
        <v>64</v>
      </c>
      <c r="AM1765" s="10" t="s">
        <v>17514</v>
      </c>
      <c r="AN1765" s="10" t="s">
        <v>50</v>
      </c>
      <c r="AO1765" s="11" t="s">
        <v>50</v>
      </c>
      <c r="AP1765" s="10" t="s">
        <v>50</v>
      </c>
      <c r="AQ1765" s="10" t="s">
        <v>50</v>
      </c>
      <c r="AR1765" s="10" t="s">
        <v>50</v>
      </c>
      <c r="AS1765" s="10" t="s">
        <v>50</v>
      </c>
      <c r="AT1765" s="10" t="s">
        <v>50</v>
      </c>
      <c r="AU1765" s="10" t="s">
        <v>50</v>
      </c>
      <c r="AV1765" s="11"/>
      <c r="AW1765" s="10" t="s">
        <v>66</v>
      </c>
      <c r="AX1765" s="10"/>
      <c r="AY1765" s="10" t="s">
        <v>66</v>
      </c>
    </row>
    <row r="1766" ht="22.5" hidden="1" customHeight="1">
      <c r="A1766" s="9" t="s">
        <v>17515</v>
      </c>
      <c r="B1766" s="10" t="s">
        <v>17516</v>
      </c>
      <c r="C1766" s="10" t="s">
        <v>43</v>
      </c>
      <c r="D1766" s="10" t="s">
        <v>16334</v>
      </c>
      <c r="E1766" s="10" t="s">
        <v>66</v>
      </c>
      <c r="F1766" s="11">
        <v>1.0</v>
      </c>
      <c r="G1766" s="11">
        <v>80.0</v>
      </c>
      <c r="H1766" s="11"/>
      <c r="I1766" s="11">
        <v>-13.6</v>
      </c>
      <c r="J1766" s="11">
        <v>-19.95</v>
      </c>
      <c r="K1766" s="11"/>
      <c r="L1766" s="11">
        <v>50.45</v>
      </c>
      <c r="M1766" s="10" t="s">
        <v>12218</v>
      </c>
      <c r="N1766" s="10" t="s">
        <v>50</v>
      </c>
      <c r="O1766" s="10" t="s">
        <v>143</v>
      </c>
      <c r="P1766" s="10" t="s">
        <v>144</v>
      </c>
      <c r="Q1766" s="10" t="s">
        <v>145</v>
      </c>
      <c r="R1766" s="10" t="s">
        <v>74</v>
      </c>
      <c r="S1766" s="11">
        <v>80.0</v>
      </c>
      <c r="T1766" s="11">
        <v>33.38</v>
      </c>
      <c r="U1766" s="11" t="s">
        <v>51</v>
      </c>
      <c r="V1766" s="10" t="s">
        <v>52</v>
      </c>
      <c r="W1766" s="10" t="s">
        <v>17517</v>
      </c>
      <c r="X1766" s="10" t="s">
        <v>17518</v>
      </c>
      <c r="Y1766" s="10" t="s">
        <v>17519</v>
      </c>
      <c r="Z1766" s="10" t="s">
        <v>50</v>
      </c>
      <c r="AA1766" s="10" t="s">
        <v>50</v>
      </c>
      <c r="AB1766" s="10" t="s">
        <v>17517</v>
      </c>
      <c r="AC1766" s="10" t="s">
        <v>17520</v>
      </c>
      <c r="AD1766" s="10" t="s">
        <v>17521</v>
      </c>
      <c r="AE1766" s="10" t="s">
        <v>8976</v>
      </c>
      <c r="AF1766" s="10" t="s">
        <v>119</v>
      </c>
      <c r="AG1766" s="10" t="s">
        <v>17522</v>
      </c>
      <c r="AH1766" s="10" t="s">
        <v>60</v>
      </c>
      <c r="AI1766" s="10" t="s">
        <v>13406</v>
      </c>
      <c r="AJ1766" s="10" t="s">
        <v>17500</v>
      </c>
      <c r="AK1766" s="10" t="s">
        <v>17523</v>
      </c>
      <c r="AL1766" s="10" t="s">
        <v>64</v>
      </c>
      <c r="AM1766" s="10" t="s">
        <v>17524</v>
      </c>
      <c r="AN1766" s="10" t="s">
        <v>50</v>
      </c>
      <c r="AO1766" s="11" t="s">
        <v>50</v>
      </c>
      <c r="AP1766" s="10" t="s">
        <v>50</v>
      </c>
      <c r="AQ1766" s="10" t="s">
        <v>50</v>
      </c>
      <c r="AR1766" s="10" t="s">
        <v>50</v>
      </c>
      <c r="AS1766" s="10" t="s">
        <v>50</v>
      </c>
      <c r="AT1766" s="10" t="s">
        <v>50</v>
      </c>
      <c r="AU1766" s="10" t="s">
        <v>50</v>
      </c>
      <c r="AV1766" s="11"/>
      <c r="AW1766" s="10" t="s">
        <v>66</v>
      </c>
      <c r="AX1766" s="10"/>
      <c r="AY1766" s="10" t="s">
        <v>66</v>
      </c>
    </row>
    <row r="1767" ht="22.5" hidden="1" customHeight="1">
      <c r="A1767" s="9" t="s">
        <v>17525</v>
      </c>
      <c r="B1767" s="10" t="s">
        <v>17526</v>
      </c>
      <c r="C1767" s="10" t="s">
        <v>43</v>
      </c>
      <c r="D1767" s="10" t="s">
        <v>13120</v>
      </c>
      <c r="E1767" s="10" t="s">
        <v>66</v>
      </c>
      <c r="F1767" s="11">
        <v>1.0</v>
      </c>
      <c r="G1767" s="11">
        <v>43.7</v>
      </c>
      <c r="H1767" s="11">
        <v>13.49</v>
      </c>
      <c r="I1767" s="11">
        <v>-13.43</v>
      </c>
      <c r="J1767" s="11">
        <v>-13.49</v>
      </c>
      <c r="K1767" s="11"/>
      <c r="L1767" s="11">
        <v>32.89</v>
      </c>
      <c r="M1767" s="10" t="s">
        <v>12218</v>
      </c>
      <c r="N1767" s="10" t="s">
        <v>50</v>
      </c>
      <c r="O1767" s="10" t="s">
        <v>176</v>
      </c>
      <c r="P1767" s="10" t="s">
        <v>177</v>
      </c>
      <c r="Q1767" s="10" t="s">
        <v>178</v>
      </c>
      <c r="R1767" s="10" t="s">
        <v>74</v>
      </c>
      <c r="S1767" s="11">
        <v>43.7</v>
      </c>
      <c r="T1767" s="11">
        <v>22.58</v>
      </c>
      <c r="U1767" s="11" t="s">
        <v>51</v>
      </c>
      <c r="V1767" s="10" t="s">
        <v>52</v>
      </c>
      <c r="W1767" s="10" t="s">
        <v>17527</v>
      </c>
      <c r="X1767" s="10" t="s">
        <v>17528</v>
      </c>
      <c r="Y1767" s="10" t="s">
        <v>17529</v>
      </c>
      <c r="Z1767" s="10" t="s">
        <v>50</v>
      </c>
      <c r="AA1767" s="10" t="s">
        <v>50</v>
      </c>
      <c r="AB1767" s="10" t="s">
        <v>17527</v>
      </c>
      <c r="AC1767" s="10" t="s">
        <v>17530</v>
      </c>
      <c r="AD1767" s="10" t="s">
        <v>17531</v>
      </c>
      <c r="AE1767" s="10" t="s">
        <v>1213</v>
      </c>
      <c r="AF1767" s="10" t="s">
        <v>284</v>
      </c>
      <c r="AG1767" s="10" t="s">
        <v>17532</v>
      </c>
      <c r="AH1767" s="10" t="s">
        <v>60</v>
      </c>
      <c r="AI1767" s="10" t="s">
        <v>13406</v>
      </c>
      <c r="AJ1767" s="10" t="s">
        <v>17533</v>
      </c>
      <c r="AK1767" s="10" t="s">
        <v>17534</v>
      </c>
      <c r="AL1767" s="10" t="s">
        <v>64</v>
      </c>
      <c r="AM1767" s="10" t="s">
        <v>17535</v>
      </c>
      <c r="AN1767" s="10" t="s">
        <v>17536</v>
      </c>
      <c r="AO1767" s="11" t="s">
        <v>50</v>
      </c>
      <c r="AP1767" s="10" t="s">
        <v>50</v>
      </c>
      <c r="AQ1767" s="10" t="s">
        <v>50</v>
      </c>
      <c r="AR1767" s="10" t="s">
        <v>50</v>
      </c>
      <c r="AS1767" s="10" t="s">
        <v>50</v>
      </c>
      <c r="AT1767" s="10" t="s">
        <v>50</v>
      </c>
      <c r="AU1767" s="10" t="s">
        <v>50</v>
      </c>
      <c r="AV1767" s="11"/>
      <c r="AW1767" s="10" t="s">
        <v>66</v>
      </c>
      <c r="AX1767" s="10"/>
      <c r="AY1767" s="10" t="s">
        <v>66</v>
      </c>
    </row>
    <row r="1768" ht="22.5" hidden="1" customHeight="1">
      <c r="A1768" s="9" t="s">
        <v>17537</v>
      </c>
      <c r="B1768" s="10" t="s">
        <v>17538</v>
      </c>
      <c r="C1768" s="10" t="s">
        <v>43</v>
      </c>
      <c r="D1768" s="10" t="s">
        <v>16334</v>
      </c>
      <c r="E1768" s="10" t="s">
        <v>66</v>
      </c>
      <c r="F1768" s="11">
        <v>1.0</v>
      </c>
      <c r="G1768" s="11">
        <v>79.2</v>
      </c>
      <c r="H1768" s="11"/>
      <c r="I1768" s="11">
        <v>-15.05</v>
      </c>
      <c r="J1768" s="11">
        <v>-19.95</v>
      </c>
      <c r="K1768" s="11"/>
      <c r="L1768" s="11">
        <v>44.2</v>
      </c>
      <c r="M1768" s="10" t="s">
        <v>12218</v>
      </c>
      <c r="N1768" s="10" t="s">
        <v>45</v>
      </c>
      <c r="O1768" s="10" t="s">
        <v>586</v>
      </c>
      <c r="P1768" s="10" t="s">
        <v>1467</v>
      </c>
      <c r="Q1768" s="10" t="s">
        <v>1468</v>
      </c>
      <c r="R1768" s="10" t="s">
        <v>50</v>
      </c>
      <c r="S1768" s="11">
        <v>79.2</v>
      </c>
      <c r="T1768" s="11">
        <v>9.89</v>
      </c>
      <c r="U1768" s="11" t="s">
        <v>51</v>
      </c>
      <c r="V1768" s="10" t="s">
        <v>52</v>
      </c>
      <c r="W1768" s="10" t="s">
        <v>17539</v>
      </c>
      <c r="X1768" s="10" t="s">
        <v>17540</v>
      </c>
      <c r="Y1768" s="10" t="s">
        <v>17541</v>
      </c>
      <c r="Z1768" s="10" t="s">
        <v>50</v>
      </c>
      <c r="AA1768" s="10" t="s">
        <v>50</v>
      </c>
      <c r="AB1768" s="10" t="s">
        <v>17539</v>
      </c>
      <c r="AC1768" s="10" t="s">
        <v>17542</v>
      </c>
      <c r="AD1768" s="10" t="s">
        <v>17543</v>
      </c>
      <c r="AE1768" s="10" t="s">
        <v>17544</v>
      </c>
      <c r="AF1768" s="10" t="s">
        <v>185</v>
      </c>
      <c r="AG1768" s="10" t="s">
        <v>17545</v>
      </c>
      <c r="AH1768" s="10" t="s">
        <v>60</v>
      </c>
      <c r="AI1768" s="10" t="s">
        <v>13406</v>
      </c>
      <c r="AJ1768" s="10" t="s">
        <v>17546</v>
      </c>
      <c r="AK1768" s="10" t="s">
        <v>17547</v>
      </c>
      <c r="AL1768" s="10" t="s">
        <v>64</v>
      </c>
      <c r="AM1768" s="10" t="s">
        <v>17548</v>
      </c>
      <c r="AN1768" s="10" t="s">
        <v>50</v>
      </c>
      <c r="AO1768" s="11" t="s">
        <v>50</v>
      </c>
      <c r="AP1768" s="10" t="s">
        <v>50</v>
      </c>
      <c r="AQ1768" s="10" t="s">
        <v>50</v>
      </c>
      <c r="AR1768" s="10" t="s">
        <v>50</v>
      </c>
      <c r="AS1768" s="10" t="s">
        <v>50</v>
      </c>
      <c r="AT1768" s="10" t="s">
        <v>50</v>
      </c>
      <c r="AU1768" s="10" t="s">
        <v>50</v>
      </c>
      <c r="AV1768" s="11"/>
      <c r="AW1768" s="10" t="s">
        <v>66</v>
      </c>
      <c r="AX1768" s="10"/>
      <c r="AY1768" s="10" t="s">
        <v>66</v>
      </c>
    </row>
    <row r="1769" ht="22.5" hidden="1" customHeight="1">
      <c r="A1769" s="9" t="s">
        <v>17549</v>
      </c>
      <c r="B1769" s="10" t="s">
        <v>17550</v>
      </c>
      <c r="C1769" s="10" t="s">
        <v>43</v>
      </c>
      <c r="D1769" s="10" t="s">
        <v>17551</v>
      </c>
      <c r="E1769" s="10" t="s">
        <v>45</v>
      </c>
      <c r="F1769" s="11">
        <v>1.0</v>
      </c>
      <c r="G1769" s="11">
        <v>80.3</v>
      </c>
      <c r="H1769" s="11"/>
      <c r="I1769" s="11">
        <v>-13.65</v>
      </c>
      <c r="J1769" s="11">
        <v>-20.45</v>
      </c>
      <c r="K1769" s="11"/>
      <c r="L1769" s="11">
        <v>46.2</v>
      </c>
      <c r="M1769" s="10" t="s">
        <v>12218</v>
      </c>
      <c r="N1769" s="10" t="s">
        <v>45</v>
      </c>
      <c r="O1769" s="10" t="s">
        <v>127</v>
      </c>
      <c r="P1769" s="10" t="s">
        <v>128</v>
      </c>
      <c r="Q1769" s="10" t="s">
        <v>129</v>
      </c>
      <c r="R1769" s="10" t="s">
        <v>74</v>
      </c>
      <c r="S1769" s="11">
        <v>80.3</v>
      </c>
      <c r="T1769" s="11">
        <v>17.68</v>
      </c>
      <c r="U1769" s="11" t="s">
        <v>51</v>
      </c>
      <c r="V1769" s="10" t="s">
        <v>52</v>
      </c>
      <c r="W1769" s="10" t="s">
        <v>17552</v>
      </c>
      <c r="X1769" s="10" t="s">
        <v>17553</v>
      </c>
      <c r="Y1769" s="10" t="s">
        <v>17554</v>
      </c>
      <c r="Z1769" s="10" t="s">
        <v>50</v>
      </c>
      <c r="AA1769" s="10" t="s">
        <v>50</v>
      </c>
      <c r="AB1769" s="10" t="s">
        <v>17552</v>
      </c>
      <c r="AC1769" s="10" t="s">
        <v>17555</v>
      </c>
      <c r="AD1769" s="10" t="s">
        <v>17556</v>
      </c>
      <c r="AE1769" s="10" t="s">
        <v>58</v>
      </c>
      <c r="AF1769" s="10" t="s">
        <v>58</v>
      </c>
      <c r="AG1769" s="10" t="s">
        <v>17557</v>
      </c>
      <c r="AH1769" s="10" t="s">
        <v>60</v>
      </c>
      <c r="AI1769" s="10" t="s">
        <v>13406</v>
      </c>
      <c r="AJ1769" s="10" t="s">
        <v>17558</v>
      </c>
      <c r="AK1769" s="10" t="s">
        <v>17559</v>
      </c>
      <c r="AL1769" s="10" t="s">
        <v>64</v>
      </c>
      <c r="AM1769" s="10" t="s">
        <v>17560</v>
      </c>
      <c r="AN1769" s="10" t="s">
        <v>50</v>
      </c>
      <c r="AO1769" s="11" t="s">
        <v>50</v>
      </c>
      <c r="AP1769" s="10" t="s">
        <v>50</v>
      </c>
      <c r="AQ1769" s="10" t="s">
        <v>50</v>
      </c>
      <c r="AR1769" s="10" t="s">
        <v>50</v>
      </c>
      <c r="AS1769" s="10" t="s">
        <v>50</v>
      </c>
      <c r="AT1769" s="10" t="s">
        <v>50</v>
      </c>
      <c r="AU1769" s="10" t="s">
        <v>50</v>
      </c>
      <c r="AV1769" s="11"/>
      <c r="AW1769" s="10" t="s">
        <v>66</v>
      </c>
      <c r="AX1769" s="10"/>
      <c r="AY1769" s="10" t="s">
        <v>66</v>
      </c>
    </row>
    <row r="1770" ht="22.5" hidden="1" customHeight="1">
      <c r="A1770" s="12" t="s">
        <v>17561</v>
      </c>
      <c r="B1770" s="13" t="s">
        <v>17562</v>
      </c>
      <c r="C1770" s="13" t="s">
        <v>747</v>
      </c>
      <c r="D1770" s="13" t="s">
        <v>50</v>
      </c>
      <c r="E1770" s="13" t="s">
        <v>50</v>
      </c>
      <c r="F1770" s="14"/>
      <c r="G1770" s="14">
        <v>98.3</v>
      </c>
      <c r="H1770" s="14"/>
      <c r="I1770" s="14">
        <v>-28.71</v>
      </c>
      <c r="J1770" s="14"/>
      <c r="K1770" s="14"/>
      <c r="L1770" s="14">
        <v>69.59</v>
      </c>
      <c r="M1770" s="13" t="s">
        <v>12218</v>
      </c>
      <c r="N1770" s="13" t="s">
        <v>50</v>
      </c>
      <c r="O1770" s="13" t="s">
        <v>50</v>
      </c>
      <c r="P1770" s="13" t="s">
        <v>50</v>
      </c>
      <c r="Q1770" s="13" t="s">
        <v>50</v>
      </c>
      <c r="R1770" s="13" t="s">
        <v>50</v>
      </c>
      <c r="S1770" s="14"/>
      <c r="T1770" s="14"/>
      <c r="U1770" s="14" t="s">
        <v>50</v>
      </c>
      <c r="V1770" s="13" t="s">
        <v>52</v>
      </c>
      <c r="W1770" s="13" t="s">
        <v>17563</v>
      </c>
      <c r="X1770" s="13" t="s">
        <v>17564</v>
      </c>
      <c r="Y1770" s="13" t="s">
        <v>17565</v>
      </c>
      <c r="Z1770" s="13" t="s">
        <v>50</v>
      </c>
      <c r="AA1770" s="13" t="s">
        <v>50</v>
      </c>
      <c r="AB1770" s="13" t="s">
        <v>17563</v>
      </c>
      <c r="AC1770" s="13" t="s">
        <v>17566</v>
      </c>
      <c r="AD1770" s="13" t="s">
        <v>17567</v>
      </c>
      <c r="AE1770" s="13" t="s">
        <v>235</v>
      </c>
      <c r="AF1770" s="13" t="s">
        <v>58</v>
      </c>
      <c r="AG1770" s="13" t="s">
        <v>17568</v>
      </c>
      <c r="AH1770" s="13" t="s">
        <v>60</v>
      </c>
      <c r="AI1770" s="13" t="s">
        <v>13406</v>
      </c>
      <c r="AJ1770" s="13" t="s">
        <v>17569</v>
      </c>
      <c r="AK1770" s="13" t="s">
        <v>17570</v>
      </c>
      <c r="AL1770" s="13" t="s">
        <v>64</v>
      </c>
      <c r="AM1770" s="13" t="s">
        <v>17571</v>
      </c>
      <c r="AN1770" s="13" t="s">
        <v>50</v>
      </c>
      <c r="AO1770" s="15" t="s">
        <v>50</v>
      </c>
      <c r="AP1770" s="13" t="s">
        <v>50</v>
      </c>
      <c r="AQ1770" s="13" t="s">
        <v>50</v>
      </c>
      <c r="AR1770" s="13" t="s">
        <v>50</v>
      </c>
      <c r="AS1770" s="13" t="s">
        <v>50</v>
      </c>
      <c r="AT1770" s="13" t="s">
        <v>50</v>
      </c>
      <c r="AU1770" s="13" t="s">
        <v>50</v>
      </c>
      <c r="AV1770" s="15"/>
      <c r="AW1770" s="13" t="s">
        <v>50</v>
      </c>
      <c r="AX1770" s="13"/>
      <c r="AY1770" s="13" t="s">
        <v>50</v>
      </c>
    </row>
    <row r="1771" ht="22.5" hidden="1" customHeight="1">
      <c r="A1771" s="16" t="s">
        <v>17572</v>
      </c>
      <c r="B1771" s="17" t="s">
        <v>17562</v>
      </c>
      <c r="C1771" s="17" t="s">
        <v>43</v>
      </c>
      <c r="D1771" s="17" t="s">
        <v>16334</v>
      </c>
      <c r="E1771" s="17" t="s">
        <v>45</v>
      </c>
      <c r="F1771" s="18">
        <v>1.0</v>
      </c>
      <c r="G1771" s="18"/>
      <c r="H1771" s="18"/>
      <c r="I1771" s="18"/>
      <c r="J1771" s="18"/>
      <c r="K1771" s="18"/>
      <c r="L1771" s="18"/>
      <c r="M1771" s="17" t="s">
        <v>50</v>
      </c>
      <c r="N1771" s="17" t="s">
        <v>45</v>
      </c>
      <c r="O1771" s="17" t="s">
        <v>888</v>
      </c>
      <c r="P1771" s="17" t="s">
        <v>889</v>
      </c>
      <c r="Q1771" s="17" t="s">
        <v>890</v>
      </c>
      <c r="R1771" s="17" t="s">
        <v>74</v>
      </c>
      <c r="S1771" s="18">
        <v>50.7</v>
      </c>
      <c r="T1771" s="18">
        <v>16.46</v>
      </c>
      <c r="U1771" s="18" t="s">
        <v>51</v>
      </c>
      <c r="V1771" s="17" t="s">
        <v>50</v>
      </c>
      <c r="W1771" s="17" t="s">
        <v>50</v>
      </c>
      <c r="X1771" s="17" t="s">
        <v>50</v>
      </c>
      <c r="Y1771" s="17" t="s">
        <v>50</v>
      </c>
      <c r="Z1771" s="17" t="s">
        <v>50</v>
      </c>
      <c r="AA1771" s="17" t="s">
        <v>50</v>
      </c>
      <c r="AB1771" s="17" t="s">
        <v>50</v>
      </c>
      <c r="AC1771" s="17" t="s">
        <v>50</v>
      </c>
      <c r="AD1771" s="17" t="s">
        <v>50</v>
      </c>
      <c r="AE1771" s="17" t="s">
        <v>50</v>
      </c>
      <c r="AF1771" s="17" t="s">
        <v>50</v>
      </c>
      <c r="AG1771" s="17" t="s">
        <v>50</v>
      </c>
      <c r="AH1771" s="17" t="s">
        <v>50</v>
      </c>
      <c r="AI1771" s="17" t="s">
        <v>50</v>
      </c>
      <c r="AJ1771" s="17" t="s">
        <v>50</v>
      </c>
      <c r="AK1771" s="17" t="s">
        <v>50</v>
      </c>
      <c r="AL1771" s="17" t="s">
        <v>50</v>
      </c>
      <c r="AM1771" s="17" t="s">
        <v>50</v>
      </c>
      <c r="AN1771" s="17" t="s">
        <v>50</v>
      </c>
      <c r="AO1771" s="18" t="s">
        <v>50</v>
      </c>
      <c r="AP1771" s="17" t="s">
        <v>50</v>
      </c>
      <c r="AQ1771" s="17" t="s">
        <v>50</v>
      </c>
      <c r="AR1771" s="17" t="s">
        <v>50</v>
      </c>
      <c r="AS1771" s="17" t="s">
        <v>50</v>
      </c>
      <c r="AT1771" s="17" t="s">
        <v>50</v>
      </c>
      <c r="AU1771" s="17" t="s">
        <v>50</v>
      </c>
      <c r="AV1771" s="18"/>
      <c r="AW1771" s="17" t="s">
        <v>66</v>
      </c>
      <c r="AX1771" s="17"/>
      <c r="AY1771" s="17" t="s">
        <v>66</v>
      </c>
    </row>
    <row r="1772" ht="22.5" hidden="1" customHeight="1">
      <c r="A1772" s="16" t="s">
        <v>17573</v>
      </c>
      <c r="B1772" s="17" t="s">
        <v>17562</v>
      </c>
      <c r="C1772" s="17" t="s">
        <v>43</v>
      </c>
      <c r="D1772" s="17" t="s">
        <v>16334</v>
      </c>
      <c r="E1772" s="17" t="s">
        <v>45</v>
      </c>
      <c r="F1772" s="18">
        <v>1.0</v>
      </c>
      <c r="G1772" s="18"/>
      <c r="H1772" s="18"/>
      <c r="I1772" s="18"/>
      <c r="J1772" s="18"/>
      <c r="K1772" s="18"/>
      <c r="L1772" s="18"/>
      <c r="M1772" s="17" t="s">
        <v>50</v>
      </c>
      <c r="N1772" s="17" t="s">
        <v>45</v>
      </c>
      <c r="O1772" s="17" t="s">
        <v>176</v>
      </c>
      <c r="P1772" s="17" t="s">
        <v>177</v>
      </c>
      <c r="Q1772" s="17" t="s">
        <v>178</v>
      </c>
      <c r="R1772" s="17" t="s">
        <v>74</v>
      </c>
      <c r="S1772" s="18">
        <v>47.6</v>
      </c>
      <c r="T1772" s="18">
        <v>22.58</v>
      </c>
      <c r="U1772" s="18" t="s">
        <v>51</v>
      </c>
      <c r="V1772" s="17" t="s">
        <v>50</v>
      </c>
      <c r="W1772" s="17" t="s">
        <v>50</v>
      </c>
      <c r="X1772" s="17" t="s">
        <v>50</v>
      </c>
      <c r="Y1772" s="17" t="s">
        <v>50</v>
      </c>
      <c r="Z1772" s="17" t="s">
        <v>50</v>
      </c>
      <c r="AA1772" s="17" t="s">
        <v>50</v>
      </c>
      <c r="AB1772" s="17" t="s">
        <v>50</v>
      </c>
      <c r="AC1772" s="17" t="s">
        <v>50</v>
      </c>
      <c r="AD1772" s="17" t="s">
        <v>50</v>
      </c>
      <c r="AE1772" s="17" t="s">
        <v>50</v>
      </c>
      <c r="AF1772" s="17" t="s">
        <v>50</v>
      </c>
      <c r="AG1772" s="17" t="s">
        <v>50</v>
      </c>
      <c r="AH1772" s="17" t="s">
        <v>50</v>
      </c>
      <c r="AI1772" s="17" t="s">
        <v>50</v>
      </c>
      <c r="AJ1772" s="17" t="s">
        <v>50</v>
      </c>
      <c r="AK1772" s="17" t="s">
        <v>50</v>
      </c>
      <c r="AL1772" s="17" t="s">
        <v>50</v>
      </c>
      <c r="AM1772" s="17" t="s">
        <v>50</v>
      </c>
      <c r="AN1772" s="17" t="s">
        <v>50</v>
      </c>
      <c r="AO1772" s="18" t="s">
        <v>50</v>
      </c>
      <c r="AP1772" s="17" t="s">
        <v>50</v>
      </c>
      <c r="AQ1772" s="17" t="s">
        <v>50</v>
      </c>
      <c r="AR1772" s="17" t="s">
        <v>50</v>
      </c>
      <c r="AS1772" s="17" t="s">
        <v>50</v>
      </c>
      <c r="AT1772" s="17" t="s">
        <v>50</v>
      </c>
      <c r="AU1772" s="17" t="s">
        <v>50</v>
      </c>
      <c r="AV1772" s="18"/>
      <c r="AW1772" s="17" t="s">
        <v>66</v>
      </c>
      <c r="AX1772" s="17"/>
      <c r="AY1772" s="17" t="s">
        <v>66</v>
      </c>
    </row>
    <row r="1773" ht="22.5" hidden="1" customHeight="1">
      <c r="A1773" s="9" t="s">
        <v>17574</v>
      </c>
      <c r="B1773" s="10" t="s">
        <v>17575</v>
      </c>
      <c r="C1773" s="10" t="s">
        <v>43</v>
      </c>
      <c r="D1773" s="10" t="s">
        <v>17505</v>
      </c>
      <c r="E1773" s="10" t="s">
        <v>45</v>
      </c>
      <c r="F1773" s="11">
        <v>1.0</v>
      </c>
      <c r="G1773" s="11">
        <v>79.0</v>
      </c>
      <c r="H1773" s="11">
        <v>7.03</v>
      </c>
      <c r="I1773" s="11">
        <v>-13.43</v>
      </c>
      <c r="J1773" s="11">
        <v>-27.48</v>
      </c>
      <c r="K1773" s="11"/>
      <c r="L1773" s="11">
        <v>45.12</v>
      </c>
      <c r="M1773" s="10" t="s">
        <v>12218</v>
      </c>
      <c r="N1773" s="10" t="s">
        <v>45</v>
      </c>
      <c r="O1773" s="10" t="s">
        <v>461</v>
      </c>
      <c r="P1773" s="10" t="s">
        <v>462</v>
      </c>
      <c r="Q1773" s="10" t="s">
        <v>463</v>
      </c>
      <c r="R1773" s="10" t="s">
        <v>74</v>
      </c>
      <c r="S1773" s="11">
        <v>79.0</v>
      </c>
      <c r="T1773" s="11">
        <v>10.09</v>
      </c>
      <c r="U1773" s="11" t="s">
        <v>51</v>
      </c>
      <c r="V1773" s="10" t="s">
        <v>52</v>
      </c>
      <c r="W1773" s="10" t="s">
        <v>17576</v>
      </c>
      <c r="X1773" s="10" t="s">
        <v>17577</v>
      </c>
      <c r="Y1773" s="10" t="s">
        <v>17578</v>
      </c>
      <c r="Z1773" s="10" t="s">
        <v>50</v>
      </c>
      <c r="AA1773" s="10" t="s">
        <v>50</v>
      </c>
      <c r="AB1773" s="10" t="s">
        <v>17576</v>
      </c>
      <c r="AC1773" s="10" t="s">
        <v>17579</v>
      </c>
      <c r="AD1773" s="10" t="s">
        <v>17580</v>
      </c>
      <c r="AE1773" s="10" t="s">
        <v>13988</v>
      </c>
      <c r="AF1773" s="10" t="s">
        <v>136</v>
      </c>
      <c r="AG1773" s="10" t="s">
        <v>17581</v>
      </c>
      <c r="AH1773" s="10" t="s">
        <v>60</v>
      </c>
      <c r="AI1773" s="10" t="s">
        <v>13406</v>
      </c>
      <c r="AJ1773" s="10" t="s">
        <v>17582</v>
      </c>
      <c r="AK1773" s="10" t="s">
        <v>17583</v>
      </c>
      <c r="AL1773" s="10" t="s">
        <v>64</v>
      </c>
      <c r="AM1773" s="10" t="s">
        <v>17584</v>
      </c>
      <c r="AN1773" s="10" t="s">
        <v>50</v>
      </c>
      <c r="AO1773" s="11" t="s">
        <v>50</v>
      </c>
      <c r="AP1773" s="10" t="s">
        <v>50</v>
      </c>
      <c r="AQ1773" s="10" t="s">
        <v>50</v>
      </c>
      <c r="AR1773" s="10" t="s">
        <v>50</v>
      </c>
      <c r="AS1773" s="10" t="s">
        <v>50</v>
      </c>
      <c r="AT1773" s="10" t="s">
        <v>50</v>
      </c>
      <c r="AU1773" s="10" t="s">
        <v>50</v>
      </c>
      <c r="AV1773" s="11"/>
      <c r="AW1773" s="10" t="s">
        <v>66</v>
      </c>
      <c r="AX1773" s="10"/>
      <c r="AY1773" s="10" t="s">
        <v>66</v>
      </c>
    </row>
    <row r="1774" ht="22.5" hidden="1" customHeight="1">
      <c r="A1774" s="9" t="s">
        <v>17585</v>
      </c>
      <c r="B1774" s="10" t="s">
        <v>17586</v>
      </c>
      <c r="C1774" s="10" t="s">
        <v>43</v>
      </c>
      <c r="D1774" s="10" t="s">
        <v>17551</v>
      </c>
      <c r="E1774" s="10" t="s">
        <v>45</v>
      </c>
      <c r="F1774" s="11">
        <v>1.0</v>
      </c>
      <c r="G1774" s="11">
        <v>79.0</v>
      </c>
      <c r="H1774" s="11"/>
      <c r="I1774" s="11">
        <v>-13.43</v>
      </c>
      <c r="J1774" s="11">
        <v>-20.45</v>
      </c>
      <c r="K1774" s="11"/>
      <c r="L1774" s="11">
        <v>45.12</v>
      </c>
      <c r="M1774" s="10" t="s">
        <v>12218</v>
      </c>
      <c r="N1774" s="10" t="s">
        <v>45</v>
      </c>
      <c r="O1774" s="10" t="s">
        <v>461</v>
      </c>
      <c r="P1774" s="10" t="s">
        <v>462</v>
      </c>
      <c r="Q1774" s="10" t="s">
        <v>463</v>
      </c>
      <c r="R1774" s="10" t="s">
        <v>74</v>
      </c>
      <c r="S1774" s="11">
        <v>79.0</v>
      </c>
      <c r="T1774" s="11">
        <v>10.09</v>
      </c>
      <c r="U1774" s="11" t="s">
        <v>51</v>
      </c>
      <c r="V1774" s="10" t="s">
        <v>52</v>
      </c>
      <c r="W1774" s="10" t="s">
        <v>17587</v>
      </c>
      <c r="X1774" s="10" t="s">
        <v>17588</v>
      </c>
      <c r="Y1774" s="10" t="s">
        <v>17589</v>
      </c>
      <c r="Z1774" s="10" t="s">
        <v>50</v>
      </c>
      <c r="AA1774" s="10" t="s">
        <v>50</v>
      </c>
      <c r="AB1774" s="10" t="s">
        <v>17587</v>
      </c>
      <c r="AC1774" s="10" t="s">
        <v>17590</v>
      </c>
      <c r="AD1774" s="10" t="s">
        <v>17591</v>
      </c>
      <c r="AE1774" s="10" t="s">
        <v>296</v>
      </c>
      <c r="AF1774" s="10" t="s">
        <v>58</v>
      </c>
      <c r="AG1774" s="10" t="s">
        <v>17592</v>
      </c>
      <c r="AH1774" s="10" t="s">
        <v>60</v>
      </c>
      <c r="AI1774" s="10" t="s">
        <v>13406</v>
      </c>
      <c r="AJ1774" s="10" t="s">
        <v>17593</v>
      </c>
      <c r="AK1774" s="10" t="s">
        <v>17594</v>
      </c>
      <c r="AL1774" s="10" t="s">
        <v>64</v>
      </c>
      <c r="AM1774" s="10" t="s">
        <v>17595</v>
      </c>
      <c r="AN1774" s="10" t="s">
        <v>50</v>
      </c>
      <c r="AO1774" s="11" t="s">
        <v>50</v>
      </c>
      <c r="AP1774" s="10" t="s">
        <v>50</v>
      </c>
      <c r="AQ1774" s="10" t="s">
        <v>50</v>
      </c>
      <c r="AR1774" s="10" t="s">
        <v>50</v>
      </c>
      <c r="AS1774" s="10" t="s">
        <v>50</v>
      </c>
      <c r="AT1774" s="10" t="s">
        <v>50</v>
      </c>
      <c r="AU1774" s="10" t="s">
        <v>50</v>
      </c>
      <c r="AV1774" s="11"/>
      <c r="AW1774" s="10" t="s">
        <v>66</v>
      </c>
      <c r="AX1774" s="10"/>
      <c r="AY1774" s="10" t="s">
        <v>66</v>
      </c>
    </row>
    <row r="1775" ht="22.5" hidden="1" customHeight="1">
      <c r="A1775" s="9" t="s">
        <v>17596</v>
      </c>
      <c r="B1775" s="10" t="s">
        <v>17597</v>
      </c>
      <c r="C1775" s="10" t="s">
        <v>43</v>
      </c>
      <c r="D1775" s="10" t="s">
        <v>14945</v>
      </c>
      <c r="E1775" s="10" t="s">
        <v>66</v>
      </c>
      <c r="F1775" s="11">
        <v>1.0</v>
      </c>
      <c r="G1775" s="11">
        <v>100.0</v>
      </c>
      <c r="H1775" s="11"/>
      <c r="I1775" s="11">
        <v>-17.0</v>
      </c>
      <c r="J1775" s="11">
        <v>-19.95</v>
      </c>
      <c r="K1775" s="11"/>
      <c r="L1775" s="11">
        <v>63.05</v>
      </c>
      <c r="M1775" s="10" t="s">
        <v>12218</v>
      </c>
      <c r="N1775" s="10" t="s">
        <v>45</v>
      </c>
      <c r="O1775" s="10" t="s">
        <v>143</v>
      </c>
      <c r="P1775" s="10" t="s">
        <v>144</v>
      </c>
      <c r="Q1775" s="10" t="s">
        <v>145</v>
      </c>
      <c r="R1775" s="10" t="s">
        <v>74</v>
      </c>
      <c r="S1775" s="11">
        <v>100.0</v>
      </c>
      <c r="T1775" s="11">
        <v>33.38</v>
      </c>
      <c r="U1775" s="11" t="s">
        <v>51</v>
      </c>
      <c r="V1775" s="10" t="s">
        <v>52</v>
      </c>
      <c r="W1775" s="10" t="s">
        <v>17598</v>
      </c>
      <c r="X1775" s="10" t="s">
        <v>17599</v>
      </c>
      <c r="Y1775" s="10" t="s">
        <v>17600</v>
      </c>
      <c r="Z1775" s="10" t="s">
        <v>50</v>
      </c>
      <c r="AA1775" s="10" t="s">
        <v>50</v>
      </c>
      <c r="AB1775" s="10" t="s">
        <v>17598</v>
      </c>
      <c r="AC1775" s="10" t="s">
        <v>17601</v>
      </c>
      <c r="AD1775" s="10" t="s">
        <v>17602</v>
      </c>
      <c r="AE1775" s="10" t="s">
        <v>17603</v>
      </c>
      <c r="AF1775" s="10" t="s">
        <v>284</v>
      </c>
      <c r="AG1775" s="10" t="s">
        <v>17604</v>
      </c>
      <c r="AH1775" s="10" t="s">
        <v>60</v>
      </c>
      <c r="AI1775" s="10" t="s">
        <v>13406</v>
      </c>
      <c r="AJ1775" s="10" t="s">
        <v>17500</v>
      </c>
      <c r="AK1775" s="10" t="s">
        <v>17605</v>
      </c>
      <c r="AL1775" s="10" t="s">
        <v>64</v>
      </c>
      <c r="AM1775" s="10" t="s">
        <v>17606</v>
      </c>
      <c r="AN1775" s="10" t="s">
        <v>50</v>
      </c>
      <c r="AO1775" s="11" t="s">
        <v>50</v>
      </c>
      <c r="AP1775" s="10" t="s">
        <v>50</v>
      </c>
      <c r="AQ1775" s="10" t="s">
        <v>50</v>
      </c>
      <c r="AR1775" s="10" t="s">
        <v>50</v>
      </c>
      <c r="AS1775" s="10" t="s">
        <v>50</v>
      </c>
      <c r="AT1775" s="10" t="s">
        <v>50</v>
      </c>
      <c r="AU1775" s="10" t="s">
        <v>50</v>
      </c>
      <c r="AV1775" s="11"/>
      <c r="AW1775" s="10" t="s">
        <v>66</v>
      </c>
      <c r="AX1775" s="10"/>
      <c r="AY1775" s="10" t="s">
        <v>66</v>
      </c>
    </row>
    <row r="1776" ht="22.5" hidden="1" customHeight="1">
      <c r="A1776" s="9" t="s">
        <v>17607</v>
      </c>
      <c r="B1776" s="10" t="s">
        <v>17608</v>
      </c>
      <c r="C1776" s="10" t="s">
        <v>43</v>
      </c>
      <c r="D1776" s="10" t="s">
        <v>14923</v>
      </c>
      <c r="E1776" s="10" t="s">
        <v>66</v>
      </c>
      <c r="F1776" s="11">
        <v>1.0</v>
      </c>
      <c r="G1776" s="11">
        <v>105.0</v>
      </c>
      <c r="H1776" s="11">
        <v>8.75</v>
      </c>
      <c r="I1776" s="11">
        <v>-19.95</v>
      </c>
      <c r="J1776" s="11">
        <v>-28.7</v>
      </c>
      <c r="K1776" s="11"/>
      <c r="L1776" s="11">
        <v>65.1</v>
      </c>
      <c r="M1776" s="10" t="s">
        <v>12218</v>
      </c>
      <c r="N1776" s="10" t="s">
        <v>50</v>
      </c>
      <c r="O1776" s="10" t="s">
        <v>100</v>
      </c>
      <c r="P1776" s="10" t="s">
        <v>101</v>
      </c>
      <c r="Q1776" s="10" t="s">
        <v>102</v>
      </c>
      <c r="R1776" s="10" t="s">
        <v>50</v>
      </c>
      <c r="S1776" s="11">
        <v>105.0</v>
      </c>
      <c r="T1776" s="11">
        <v>38.61</v>
      </c>
      <c r="U1776" s="11" t="s">
        <v>51</v>
      </c>
      <c r="V1776" s="10" t="s">
        <v>52</v>
      </c>
      <c r="W1776" s="10" t="s">
        <v>17609</v>
      </c>
      <c r="X1776" s="10" t="s">
        <v>17610</v>
      </c>
      <c r="Y1776" s="10" t="s">
        <v>17611</v>
      </c>
      <c r="Z1776" s="10" t="s">
        <v>50</v>
      </c>
      <c r="AA1776" s="10" t="s">
        <v>50</v>
      </c>
      <c r="AB1776" s="10" t="s">
        <v>17609</v>
      </c>
      <c r="AC1776" s="10" t="s">
        <v>17612</v>
      </c>
      <c r="AD1776" s="10" t="s">
        <v>17613</v>
      </c>
      <c r="AE1776" s="10" t="s">
        <v>17614</v>
      </c>
      <c r="AF1776" s="10" t="s">
        <v>1417</v>
      </c>
      <c r="AG1776" s="10" t="s">
        <v>17615</v>
      </c>
      <c r="AH1776" s="10" t="s">
        <v>60</v>
      </c>
      <c r="AI1776" s="10" t="s">
        <v>13406</v>
      </c>
      <c r="AJ1776" s="10" t="s">
        <v>17616</v>
      </c>
      <c r="AK1776" s="10" t="s">
        <v>17617</v>
      </c>
      <c r="AL1776" s="10" t="s">
        <v>64</v>
      </c>
      <c r="AM1776" s="10" t="s">
        <v>17618</v>
      </c>
      <c r="AN1776" s="10" t="s">
        <v>50</v>
      </c>
      <c r="AO1776" s="11" t="s">
        <v>50</v>
      </c>
      <c r="AP1776" s="10" t="s">
        <v>50</v>
      </c>
      <c r="AQ1776" s="10" t="s">
        <v>50</v>
      </c>
      <c r="AR1776" s="10" t="s">
        <v>50</v>
      </c>
      <c r="AS1776" s="10" t="s">
        <v>50</v>
      </c>
      <c r="AT1776" s="10" t="s">
        <v>50</v>
      </c>
      <c r="AU1776" s="10" t="s">
        <v>50</v>
      </c>
      <c r="AV1776" s="11"/>
      <c r="AW1776" s="10" t="s">
        <v>66</v>
      </c>
      <c r="AX1776" s="10"/>
      <c r="AY1776" s="10" t="s">
        <v>66</v>
      </c>
    </row>
    <row r="1777" ht="22.5" hidden="1" customHeight="1">
      <c r="A1777" s="9" t="s">
        <v>17619</v>
      </c>
      <c r="B1777" s="10" t="s">
        <v>17620</v>
      </c>
      <c r="C1777" s="10" t="s">
        <v>43</v>
      </c>
      <c r="D1777" s="10" t="s">
        <v>13175</v>
      </c>
      <c r="E1777" s="10" t="s">
        <v>66</v>
      </c>
      <c r="F1777" s="11">
        <v>1.0</v>
      </c>
      <c r="G1777" s="11">
        <v>79.35</v>
      </c>
      <c r="H1777" s="11">
        <v>16.7</v>
      </c>
      <c r="I1777" s="11">
        <v>-15.08</v>
      </c>
      <c r="J1777" s="11">
        <v>-36.65</v>
      </c>
      <c r="K1777" s="11"/>
      <c r="L1777" s="11">
        <v>44.32</v>
      </c>
      <c r="M1777" s="10" t="s">
        <v>12218</v>
      </c>
      <c r="N1777" s="10" t="s">
        <v>50</v>
      </c>
      <c r="O1777" s="10" t="s">
        <v>47</v>
      </c>
      <c r="P1777" s="10" t="s">
        <v>48</v>
      </c>
      <c r="Q1777" s="10" t="s">
        <v>49</v>
      </c>
      <c r="R1777" s="10" t="s">
        <v>50</v>
      </c>
      <c r="S1777" s="11">
        <v>79.35</v>
      </c>
      <c r="T1777" s="11">
        <v>12.45</v>
      </c>
      <c r="U1777" s="11" t="s">
        <v>51</v>
      </c>
      <c r="V1777" s="10" t="s">
        <v>52</v>
      </c>
      <c r="W1777" s="10" t="s">
        <v>17621</v>
      </c>
      <c r="X1777" s="10" t="s">
        <v>17622</v>
      </c>
      <c r="Y1777" s="10" t="s">
        <v>17623</v>
      </c>
      <c r="Z1777" s="10" t="s">
        <v>50</v>
      </c>
      <c r="AA1777" s="10" t="s">
        <v>50</v>
      </c>
      <c r="AB1777" s="10" t="s">
        <v>17621</v>
      </c>
      <c r="AC1777" s="10" t="s">
        <v>17624</v>
      </c>
      <c r="AD1777" s="10" t="s">
        <v>17625</v>
      </c>
      <c r="AE1777" s="10" t="s">
        <v>17626</v>
      </c>
      <c r="AF1777" s="10" t="s">
        <v>169</v>
      </c>
      <c r="AG1777" s="10" t="s">
        <v>17627</v>
      </c>
      <c r="AH1777" s="10" t="s">
        <v>60</v>
      </c>
      <c r="AI1777" s="10" t="s">
        <v>13406</v>
      </c>
      <c r="AJ1777" s="10" t="s">
        <v>17628</v>
      </c>
      <c r="AK1777" s="10" t="s">
        <v>17629</v>
      </c>
      <c r="AL1777" s="10" t="s">
        <v>64</v>
      </c>
      <c r="AM1777" s="10" t="s">
        <v>17630</v>
      </c>
      <c r="AN1777" s="10" t="s">
        <v>50</v>
      </c>
      <c r="AO1777" s="11" t="s">
        <v>50</v>
      </c>
      <c r="AP1777" s="10" t="s">
        <v>50</v>
      </c>
      <c r="AQ1777" s="10" t="s">
        <v>50</v>
      </c>
      <c r="AR1777" s="10" t="s">
        <v>50</v>
      </c>
      <c r="AS1777" s="10" t="s">
        <v>50</v>
      </c>
      <c r="AT1777" s="10" t="s">
        <v>50</v>
      </c>
      <c r="AU1777" s="10" t="s">
        <v>50</v>
      </c>
      <c r="AV1777" s="11"/>
      <c r="AW1777" s="10" t="s">
        <v>66</v>
      </c>
      <c r="AX1777" s="10"/>
      <c r="AY1777" s="10" t="s">
        <v>66</v>
      </c>
    </row>
    <row r="1778" ht="22.5" hidden="1" customHeight="1">
      <c r="A1778" s="9" t="s">
        <v>17631</v>
      </c>
      <c r="B1778" s="10" t="s">
        <v>17632</v>
      </c>
      <c r="C1778" s="10" t="s">
        <v>43</v>
      </c>
      <c r="D1778" s="10" t="s">
        <v>17551</v>
      </c>
      <c r="E1778" s="10" t="s">
        <v>66</v>
      </c>
      <c r="F1778" s="11">
        <v>1.0</v>
      </c>
      <c r="G1778" s="11">
        <v>47.6</v>
      </c>
      <c r="H1778" s="11">
        <v>14.9</v>
      </c>
      <c r="I1778" s="11">
        <v>-14.09</v>
      </c>
      <c r="J1778" s="11">
        <v>-14.9</v>
      </c>
      <c r="K1778" s="11"/>
      <c r="L1778" s="11">
        <v>33.51</v>
      </c>
      <c r="M1778" s="10" t="s">
        <v>12218</v>
      </c>
      <c r="N1778" s="10" t="s">
        <v>45</v>
      </c>
      <c r="O1778" s="10" t="s">
        <v>176</v>
      </c>
      <c r="P1778" s="10" t="s">
        <v>177</v>
      </c>
      <c r="Q1778" s="10" t="s">
        <v>178</v>
      </c>
      <c r="R1778" s="10" t="s">
        <v>74</v>
      </c>
      <c r="S1778" s="11">
        <v>47.6</v>
      </c>
      <c r="T1778" s="11">
        <v>22.58</v>
      </c>
      <c r="U1778" s="11" t="s">
        <v>51</v>
      </c>
      <c r="V1778" s="10" t="s">
        <v>52</v>
      </c>
      <c r="W1778" s="10" t="s">
        <v>17633</v>
      </c>
      <c r="X1778" s="10" t="s">
        <v>17634</v>
      </c>
      <c r="Y1778" s="10" t="s">
        <v>17635</v>
      </c>
      <c r="Z1778" s="10" t="s">
        <v>50</v>
      </c>
      <c r="AA1778" s="10" t="s">
        <v>50</v>
      </c>
      <c r="AB1778" s="10" t="s">
        <v>17633</v>
      </c>
      <c r="AC1778" s="10" t="s">
        <v>17636</v>
      </c>
      <c r="AD1778" s="10" t="s">
        <v>17637</v>
      </c>
      <c r="AE1778" s="10" t="s">
        <v>12879</v>
      </c>
      <c r="AF1778" s="10" t="s">
        <v>58</v>
      </c>
      <c r="AG1778" s="10" t="s">
        <v>17638</v>
      </c>
      <c r="AH1778" s="10" t="s">
        <v>60</v>
      </c>
      <c r="AI1778" s="10" t="s">
        <v>13406</v>
      </c>
      <c r="AJ1778" s="10" t="s">
        <v>17639</v>
      </c>
      <c r="AK1778" s="10" t="s">
        <v>17640</v>
      </c>
      <c r="AL1778" s="10" t="s">
        <v>64</v>
      </c>
      <c r="AM1778" s="10" t="s">
        <v>17641</v>
      </c>
      <c r="AN1778" s="10" t="s">
        <v>50</v>
      </c>
      <c r="AO1778" s="11" t="s">
        <v>50</v>
      </c>
      <c r="AP1778" s="10" t="s">
        <v>50</v>
      </c>
      <c r="AQ1778" s="10" t="s">
        <v>50</v>
      </c>
      <c r="AR1778" s="10" t="s">
        <v>50</v>
      </c>
      <c r="AS1778" s="10" t="s">
        <v>50</v>
      </c>
      <c r="AT1778" s="10" t="s">
        <v>50</v>
      </c>
      <c r="AU1778" s="10" t="s">
        <v>50</v>
      </c>
      <c r="AV1778" s="11"/>
      <c r="AW1778" s="10" t="s">
        <v>66</v>
      </c>
      <c r="AX1778" s="10"/>
      <c r="AY1778" s="10" t="s">
        <v>66</v>
      </c>
    </row>
    <row r="1779" ht="22.5" hidden="1" customHeight="1">
      <c r="A1779" s="9" t="s">
        <v>17642</v>
      </c>
      <c r="B1779" s="10" t="s">
        <v>17643</v>
      </c>
      <c r="C1779" s="10" t="s">
        <v>43</v>
      </c>
      <c r="D1779" s="10" t="s">
        <v>17505</v>
      </c>
      <c r="E1779" s="10" t="s">
        <v>66</v>
      </c>
      <c r="F1779" s="11">
        <v>1.0</v>
      </c>
      <c r="G1779" s="11">
        <v>79.2</v>
      </c>
      <c r="H1779" s="11"/>
      <c r="I1779" s="11">
        <v>-13.46</v>
      </c>
      <c r="J1779" s="11">
        <v>-20.45</v>
      </c>
      <c r="K1779" s="11"/>
      <c r="L1779" s="11">
        <v>45.29</v>
      </c>
      <c r="M1779" s="10" t="s">
        <v>12218</v>
      </c>
      <c r="N1779" s="10" t="s">
        <v>50</v>
      </c>
      <c r="O1779" s="10" t="s">
        <v>892</v>
      </c>
      <c r="P1779" s="10" t="s">
        <v>893</v>
      </c>
      <c r="Q1779" s="10" t="s">
        <v>894</v>
      </c>
      <c r="R1779" s="10" t="s">
        <v>74</v>
      </c>
      <c r="S1779" s="11">
        <v>79.2</v>
      </c>
      <c r="T1779" s="11">
        <v>2.97</v>
      </c>
      <c r="U1779" s="11" t="s">
        <v>51</v>
      </c>
      <c r="V1779" s="10" t="s">
        <v>52</v>
      </c>
      <c r="W1779" s="10" t="s">
        <v>17644</v>
      </c>
      <c r="X1779" s="10" t="s">
        <v>17645</v>
      </c>
      <c r="Y1779" s="10" t="s">
        <v>17646</v>
      </c>
      <c r="Z1779" s="10" t="s">
        <v>50</v>
      </c>
      <c r="AA1779" s="10" t="s">
        <v>50</v>
      </c>
      <c r="AB1779" s="10" t="s">
        <v>17644</v>
      </c>
      <c r="AC1779" s="10" t="s">
        <v>17647</v>
      </c>
      <c r="AD1779" s="10" t="s">
        <v>17648</v>
      </c>
      <c r="AE1779" s="10" t="s">
        <v>17649</v>
      </c>
      <c r="AF1779" s="10" t="s">
        <v>323</v>
      </c>
      <c r="AG1779" s="10" t="s">
        <v>17650</v>
      </c>
      <c r="AH1779" s="10" t="s">
        <v>60</v>
      </c>
      <c r="AI1779" s="10" t="s">
        <v>13406</v>
      </c>
      <c r="AJ1779" s="10" t="s">
        <v>17651</v>
      </c>
      <c r="AK1779" s="10" t="s">
        <v>17652</v>
      </c>
      <c r="AL1779" s="10" t="s">
        <v>64</v>
      </c>
      <c r="AM1779" s="10" t="s">
        <v>17653</v>
      </c>
      <c r="AN1779" s="10" t="s">
        <v>50</v>
      </c>
      <c r="AO1779" s="11" t="s">
        <v>50</v>
      </c>
      <c r="AP1779" s="10" t="s">
        <v>50</v>
      </c>
      <c r="AQ1779" s="10" t="s">
        <v>50</v>
      </c>
      <c r="AR1779" s="10" t="s">
        <v>50</v>
      </c>
      <c r="AS1779" s="10" t="s">
        <v>50</v>
      </c>
      <c r="AT1779" s="10" t="s">
        <v>50</v>
      </c>
      <c r="AU1779" s="10" t="s">
        <v>50</v>
      </c>
      <c r="AV1779" s="11"/>
      <c r="AW1779" s="10" t="s">
        <v>66</v>
      </c>
      <c r="AX1779" s="10"/>
      <c r="AY1779" s="10" t="s">
        <v>66</v>
      </c>
    </row>
    <row r="1780" ht="22.5" hidden="1" customHeight="1">
      <c r="A1780" s="9" t="s">
        <v>17654</v>
      </c>
      <c r="B1780" s="10" t="s">
        <v>17655</v>
      </c>
      <c r="C1780" s="10" t="s">
        <v>43</v>
      </c>
      <c r="D1780" s="10" t="s">
        <v>16334</v>
      </c>
      <c r="E1780" s="10" t="s">
        <v>66</v>
      </c>
      <c r="F1780" s="11">
        <v>1.0</v>
      </c>
      <c r="G1780" s="11">
        <v>79.35</v>
      </c>
      <c r="H1780" s="11"/>
      <c r="I1780" s="11">
        <v>-15.08</v>
      </c>
      <c r="J1780" s="11">
        <v>-19.95</v>
      </c>
      <c r="K1780" s="11"/>
      <c r="L1780" s="11">
        <v>44.32</v>
      </c>
      <c r="M1780" s="10" t="s">
        <v>12218</v>
      </c>
      <c r="N1780" s="10" t="s">
        <v>45</v>
      </c>
      <c r="O1780" s="10" t="s">
        <v>47</v>
      </c>
      <c r="P1780" s="10" t="s">
        <v>48</v>
      </c>
      <c r="Q1780" s="10" t="s">
        <v>49</v>
      </c>
      <c r="R1780" s="10" t="s">
        <v>50</v>
      </c>
      <c r="S1780" s="11">
        <v>79.35</v>
      </c>
      <c r="T1780" s="11">
        <v>12.45</v>
      </c>
      <c r="U1780" s="11" t="s">
        <v>51</v>
      </c>
      <c r="V1780" s="10" t="s">
        <v>52</v>
      </c>
      <c r="W1780" s="10" t="s">
        <v>17656</v>
      </c>
      <c r="X1780" s="10" t="s">
        <v>17657</v>
      </c>
      <c r="Y1780" s="10" t="s">
        <v>17658</v>
      </c>
      <c r="Z1780" s="10" t="s">
        <v>50</v>
      </c>
      <c r="AA1780" s="10" t="s">
        <v>50</v>
      </c>
      <c r="AB1780" s="10" t="s">
        <v>17656</v>
      </c>
      <c r="AC1780" s="10" t="s">
        <v>17659</v>
      </c>
      <c r="AD1780" s="10" t="s">
        <v>17660</v>
      </c>
      <c r="AE1780" s="10" t="s">
        <v>17661</v>
      </c>
      <c r="AF1780" s="10" t="s">
        <v>214</v>
      </c>
      <c r="AG1780" s="10" t="s">
        <v>17662</v>
      </c>
      <c r="AH1780" s="10" t="s">
        <v>60</v>
      </c>
      <c r="AI1780" s="10" t="s">
        <v>13406</v>
      </c>
      <c r="AJ1780" s="10" t="s">
        <v>17500</v>
      </c>
      <c r="AK1780" s="10" t="s">
        <v>17663</v>
      </c>
      <c r="AL1780" s="10" t="s">
        <v>64</v>
      </c>
      <c r="AM1780" s="10" t="s">
        <v>17664</v>
      </c>
      <c r="AN1780" s="10" t="s">
        <v>50</v>
      </c>
      <c r="AO1780" s="11" t="s">
        <v>50</v>
      </c>
      <c r="AP1780" s="10" t="s">
        <v>50</v>
      </c>
      <c r="AQ1780" s="10" t="s">
        <v>50</v>
      </c>
      <c r="AR1780" s="10" t="s">
        <v>50</v>
      </c>
      <c r="AS1780" s="10" t="s">
        <v>50</v>
      </c>
      <c r="AT1780" s="10" t="s">
        <v>50</v>
      </c>
      <c r="AU1780" s="10" t="s">
        <v>50</v>
      </c>
      <c r="AV1780" s="11"/>
      <c r="AW1780" s="10" t="s">
        <v>66</v>
      </c>
      <c r="AX1780" s="10"/>
      <c r="AY1780" s="10" t="s">
        <v>66</v>
      </c>
    </row>
    <row r="1781" ht="22.5" hidden="1" customHeight="1">
      <c r="A1781" s="9" t="s">
        <v>17665</v>
      </c>
      <c r="B1781" s="10" t="s">
        <v>17666</v>
      </c>
      <c r="C1781" s="10" t="s">
        <v>43</v>
      </c>
      <c r="D1781" s="10" t="s">
        <v>16334</v>
      </c>
      <c r="E1781" s="10" t="s">
        <v>66</v>
      </c>
      <c r="F1781" s="11">
        <v>1.0</v>
      </c>
      <c r="G1781" s="11">
        <v>100.0</v>
      </c>
      <c r="H1781" s="11"/>
      <c r="I1781" s="11">
        <v>-17.0</v>
      </c>
      <c r="J1781" s="11">
        <v>-19.95</v>
      </c>
      <c r="K1781" s="11"/>
      <c r="L1781" s="11">
        <v>63.05</v>
      </c>
      <c r="M1781" s="10" t="s">
        <v>12218</v>
      </c>
      <c r="N1781" s="10" t="s">
        <v>45</v>
      </c>
      <c r="O1781" s="10" t="s">
        <v>143</v>
      </c>
      <c r="P1781" s="10" t="s">
        <v>144</v>
      </c>
      <c r="Q1781" s="10" t="s">
        <v>145</v>
      </c>
      <c r="R1781" s="10" t="s">
        <v>74</v>
      </c>
      <c r="S1781" s="11">
        <v>100.0</v>
      </c>
      <c r="T1781" s="11">
        <v>33.38</v>
      </c>
      <c r="U1781" s="11" t="s">
        <v>51</v>
      </c>
      <c r="V1781" s="10" t="s">
        <v>52</v>
      </c>
      <c r="W1781" s="10" t="s">
        <v>17667</v>
      </c>
      <c r="X1781" s="10" t="s">
        <v>17668</v>
      </c>
      <c r="Y1781" s="10" t="s">
        <v>17669</v>
      </c>
      <c r="Z1781" s="10" t="s">
        <v>50</v>
      </c>
      <c r="AA1781" s="10" t="s">
        <v>50</v>
      </c>
      <c r="AB1781" s="10" t="s">
        <v>17667</v>
      </c>
      <c r="AC1781" s="10" t="s">
        <v>17670</v>
      </c>
      <c r="AD1781" s="10" t="s">
        <v>17671</v>
      </c>
      <c r="AE1781" s="10" t="s">
        <v>1291</v>
      </c>
      <c r="AF1781" s="10" t="s">
        <v>201</v>
      </c>
      <c r="AG1781" s="10" t="s">
        <v>17672</v>
      </c>
      <c r="AH1781" s="10" t="s">
        <v>60</v>
      </c>
      <c r="AI1781" s="10" t="s">
        <v>13406</v>
      </c>
      <c r="AJ1781" s="10" t="s">
        <v>17673</v>
      </c>
      <c r="AK1781" s="10" t="s">
        <v>17674</v>
      </c>
      <c r="AL1781" s="10" t="s">
        <v>64</v>
      </c>
      <c r="AM1781" s="10" t="s">
        <v>17675</v>
      </c>
      <c r="AN1781" s="10" t="s">
        <v>50</v>
      </c>
      <c r="AO1781" s="11" t="s">
        <v>50</v>
      </c>
      <c r="AP1781" s="10" t="s">
        <v>50</v>
      </c>
      <c r="AQ1781" s="10" t="s">
        <v>50</v>
      </c>
      <c r="AR1781" s="10" t="s">
        <v>50</v>
      </c>
      <c r="AS1781" s="10" t="s">
        <v>50</v>
      </c>
      <c r="AT1781" s="10" t="s">
        <v>50</v>
      </c>
      <c r="AU1781" s="10" t="s">
        <v>50</v>
      </c>
      <c r="AV1781" s="11"/>
      <c r="AW1781" s="10" t="s">
        <v>66</v>
      </c>
      <c r="AX1781" s="10"/>
      <c r="AY1781" s="10" t="s">
        <v>66</v>
      </c>
    </row>
    <row r="1782" ht="22.5" hidden="1" customHeight="1">
      <c r="A1782" s="9" t="s">
        <v>17676</v>
      </c>
      <c r="B1782" s="10" t="s">
        <v>17677</v>
      </c>
      <c r="C1782" s="10" t="s">
        <v>43</v>
      </c>
      <c r="D1782" s="10" t="s">
        <v>17551</v>
      </c>
      <c r="E1782" s="10" t="s">
        <v>66</v>
      </c>
      <c r="F1782" s="11">
        <v>1.0</v>
      </c>
      <c r="G1782" s="11">
        <v>79.35</v>
      </c>
      <c r="H1782" s="11"/>
      <c r="I1782" s="11">
        <v>-15.08</v>
      </c>
      <c r="J1782" s="11">
        <v>-19.95</v>
      </c>
      <c r="K1782" s="11"/>
      <c r="L1782" s="11">
        <v>44.32</v>
      </c>
      <c r="M1782" s="10" t="s">
        <v>12218</v>
      </c>
      <c r="N1782" s="10" t="s">
        <v>45</v>
      </c>
      <c r="O1782" s="10" t="s">
        <v>47</v>
      </c>
      <c r="P1782" s="10" t="s">
        <v>48</v>
      </c>
      <c r="Q1782" s="10" t="s">
        <v>49</v>
      </c>
      <c r="R1782" s="10" t="s">
        <v>50</v>
      </c>
      <c r="S1782" s="11">
        <v>79.35</v>
      </c>
      <c r="T1782" s="11">
        <v>12.45</v>
      </c>
      <c r="U1782" s="11" t="s">
        <v>51</v>
      </c>
      <c r="V1782" s="10" t="s">
        <v>52</v>
      </c>
      <c r="W1782" s="10" t="s">
        <v>17678</v>
      </c>
      <c r="X1782" s="10" t="s">
        <v>17679</v>
      </c>
      <c r="Y1782" s="10" t="s">
        <v>17680</v>
      </c>
      <c r="Z1782" s="10" t="s">
        <v>50</v>
      </c>
      <c r="AA1782" s="10" t="s">
        <v>50</v>
      </c>
      <c r="AB1782" s="10" t="s">
        <v>17678</v>
      </c>
      <c r="AC1782" s="10" t="s">
        <v>17681</v>
      </c>
      <c r="AD1782" s="10" t="s">
        <v>17682</v>
      </c>
      <c r="AE1782" s="10" t="s">
        <v>17683</v>
      </c>
      <c r="AF1782" s="10" t="s">
        <v>58</v>
      </c>
      <c r="AG1782" s="10" t="s">
        <v>17684</v>
      </c>
      <c r="AH1782" s="10" t="s">
        <v>60</v>
      </c>
      <c r="AI1782" s="10" t="s">
        <v>13406</v>
      </c>
      <c r="AJ1782" s="10" t="s">
        <v>17685</v>
      </c>
      <c r="AK1782" s="10" t="s">
        <v>17686</v>
      </c>
      <c r="AL1782" s="10" t="s">
        <v>64</v>
      </c>
      <c r="AM1782" s="10" t="s">
        <v>17687</v>
      </c>
      <c r="AN1782" s="10" t="s">
        <v>17688</v>
      </c>
      <c r="AO1782" s="11" t="s">
        <v>50</v>
      </c>
      <c r="AP1782" s="10" t="s">
        <v>50</v>
      </c>
      <c r="AQ1782" s="10" t="s">
        <v>50</v>
      </c>
      <c r="AR1782" s="10" t="s">
        <v>50</v>
      </c>
      <c r="AS1782" s="10" t="s">
        <v>50</v>
      </c>
      <c r="AT1782" s="10" t="s">
        <v>50</v>
      </c>
      <c r="AU1782" s="10" t="s">
        <v>50</v>
      </c>
      <c r="AV1782" s="11"/>
      <c r="AW1782" s="10" t="s">
        <v>66</v>
      </c>
      <c r="AX1782" s="10"/>
      <c r="AY1782" s="10" t="s">
        <v>66</v>
      </c>
    </row>
    <row r="1783" ht="22.5" hidden="1" customHeight="1">
      <c r="A1783" s="9" t="s">
        <v>17689</v>
      </c>
      <c r="B1783" s="10" t="s">
        <v>17690</v>
      </c>
      <c r="C1783" s="10" t="s">
        <v>43</v>
      </c>
      <c r="D1783" s="10" t="s">
        <v>17551</v>
      </c>
      <c r="E1783" s="10" t="s">
        <v>66</v>
      </c>
      <c r="F1783" s="11">
        <v>1.0</v>
      </c>
      <c r="G1783" s="11">
        <v>46.0</v>
      </c>
      <c r="H1783" s="11">
        <v>14.63</v>
      </c>
      <c r="I1783" s="11">
        <v>-13.82</v>
      </c>
      <c r="J1783" s="11">
        <v>-14.63</v>
      </c>
      <c r="K1783" s="11"/>
      <c r="L1783" s="11">
        <v>32.18</v>
      </c>
      <c r="M1783" s="10" t="s">
        <v>12218</v>
      </c>
      <c r="N1783" s="10" t="s">
        <v>50</v>
      </c>
      <c r="O1783" s="10" t="s">
        <v>71</v>
      </c>
      <c r="P1783" s="10" t="s">
        <v>72</v>
      </c>
      <c r="Q1783" s="10" t="s">
        <v>73</v>
      </c>
      <c r="R1783" s="10" t="s">
        <v>74</v>
      </c>
      <c r="S1783" s="11">
        <v>46.0</v>
      </c>
      <c r="T1783" s="11">
        <v>4.58</v>
      </c>
      <c r="U1783" s="11" t="s">
        <v>51</v>
      </c>
      <c r="V1783" s="10" t="s">
        <v>52</v>
      </c>
      <c r="W1783" s="10" t="s">
        <v>17691</v>
      </c>
      <c r="X1783" s="10" t="s">
        <v>17692</v>
      </c>
      <c r="Y1783" s="10" t="s">
        <v>17693</v>
      </c>
      <c r="Z1783" s="10" t="s">
        <v>50</v>
      </c>
      <c r="AA1783" s="10" t="s">
        <v>50</v>
      </c>
      <c r="AB1783" s="10" t="s">
        <v>17691</v>
      </c>
      <c r="AC1783" s="10" t="s">
        <v>17694</v>
      </c>
      <c r="AD1783" s="10" t="s">
        <v>17695</v>
      </c>
      <c r="AE1783" s="10" t="s">
        <v>58</v>
      </c>
      <c r="AF1783" s="10" t="s">
        <v>58</v>
      </c>
      <c r="AG1783" s="10" t="s">
        <v>17696</v>
      </c>
      <c r="AH1783" s="10" t="s">
        <v>60</v>
      </c>
      <c r="AI1783" s="10" t="s">
        <v>13406</v>
      </c>
      <c r="AJ1783" s="10" t="s">
        <v>17697</v>
      </c>
      <c r="AK1783" s="10" t="s">
        <v>17698</v>
      </c>
      <c r="AL1783" s="10" t="s">
        <v>64</v>
      </c>
      <c r="AM1783" s="10" t="s">
        <v>17699</v>
      </c>
      <c r="AN1783" s="10" t="s">
        <v>50</v>
      </c>
      <c r="AO1783" s="11" t="s">
        <v>50</v>
      </c>
      <c r="AP1783" s="10" t="s">
        <v>50</v>
      </c>
      <c r="AQ1783" s="10" t="s">
        <v>50</v>
      </c>
      <c r="AR1783" s="10" t="s">
        <v>50</v>
      </c>
      <c r="AS1783" s="10" t="s">
        <v>50</v>
      </c>
      <c r="AT1783" s="10" t="s">
        <v>50</v>
      </c>
      <c r="AU1783" s="10" t="s">
        <v>50</v>
      </c>
      <c r="AV1783" s="11"/>
      <c r="AW1783" s="10" t="s">
        <v>66</v>
      </c>
      <c r="AX1783" s="10"/>
      <c r="AY1783" s="10" t="s">
        <v>66</v>
      </c>
    </row>
  </sheetData>
  <autoFilter ref="$A$1:$AY$1783">
    <filterColumn colId="16">
      <filters>
        <filter val="1 - Orlist Plus | Fórmula Ultra Concentrada 120mg C/ 60 Caps"/>
      </filters>
    </filterColumn>
    <filterColumn colId="0">
      <filters blank="1">
        <filter val="2000009972591090"/>
        <filter val="2000009774378240"/>
        <filter val="2000006649818969"/>
        <filter val="2000009776001984"/>
        <filter val="2000009737461242"/>
        <filter val="2000009844058478"/>
        <filter val="2000006712191619"/>
        <filter val="2000009812962498"/>
        <filter val="2000009979320750"/>
        <filter val="2000009818065766"/>
        <filter val="2000009770610396"/>
        <filter val="2000009905673496"/>
        <filter val="2000009735163058"/>
        <filter val="2000006635175909"/>
        <filter val="2000009894655732"/>
        <filter val="2000009823667102"/>
        <filter val="2000009935425318"/>
        <filter val="2000009912831654"/>
        <filter val="2000009964584574"/>
        <filter val="2000006661317967"/>
        <filter val="2000009829179490"/>
        <filter val="2000009769738446"/>
        <filter val="2000009732359534"/>
        <filter val="2000009944165132"/>
        <filter val="2000009857849568"/>
        <filter val="2000009906028500"/>
        <filter val="2000009962744016"/>
        <filter val="2000009807427006"/>
        <filter val="2000006616594435"/>
        <filter val="2000006556209221"/>
        <filter val="2000009889964268"/>
        <filter val="2000006694788367"/>
        <filter val="2000009852888704"/>
        <filter val="2000006660680803"/>
        <filter val="2000009723124340"/>
        <filter val="2000009772642014"/>
        <filter val="2000009946535910"/>
        <filter val="2000006671988783"/>
        <filter val="2000009892737612"/>
        <filter val="2000009847527192"/>
        <filter val="2000009740538026"/>
        <filter val="2000006731131003"/>
        <filter val="2000009851789546"/>
        <filter val="2000009996527242"/>
        <filter val="2000006593565667"/>
        <filter val="2000009731633836"/>
        <filter val="2000009923533650"/>
        <filter val="2000006586846825"/>
        <filter val="2000009994864438"/>
        <filter val="2000009806605440"/>
        <filter val="2000006612196765"/>
        <filter val="2000009930899736"/>
        <filter val="2000009981194038"/>
        <filter val="2000009864772036"/>
        <filter val="2000009824649126"/>
        <filter val="2000009755039712"/>
        <filter val="2000006607771331"/>
        <filter val="2000006642071215"/>
        <filter val="2000009867984410"/>
        <filter val="2000006571717341"/>
        <filter val="2000009945881888"/>
        <filter val="2000009910095374"/>
        <filter val="2000006574106897"/>
        <filter val="2000009791645032"/>
        <filter val="2000006594782063"/>
        <filter val="2000009746429576"/>
        <filter val="2000009987278098"/>
        <filter val="2000009812286430"/>
        <filter val="2000009889633612"/>
        <filter val="2000009814390448"/>
        <filter val="2000009891542270"/>
        <filter val="2000009842103086"/>
        <filter val="2000009732561094"/>
        <filter val="2000006695991469"/>
        <filter val="2000006686583269"/>
        <filter val="2000009738613098"/>
        <filter val="2000006646482247"/>
        <filter val="2000006691203125"/>
        <filter val="2000006560443625"/>
        <filter val="2000009970841814"/>
        <filter val="2000006671027329"/>
        <filter val="2000009784113568"/>
        <filter val="2000009727646256"/>
        <filter val="2000009901299392"/>
        <filter val="2000006683049041"/>
        <filter val="2000009741121378"/>
        <filter val="2000009797730028"/>
        <filter val="2000006696487287"/>
        <filter val="2000009884575624"/>
        <filter val="2000006556122449"/>
        <filter val="2000009795167946"/>
        <filter val="2000006604998987"/>
        <filter val="2000009897480588"/>
        <filter val="2000009936075736"/>
        <filter val="2000009967314576"/>
        <filter val="2000006688783841"/>
        <filter val="2000006719497703"/>
        <filter val="2000006607915285"/>
        <filter val="2000006733144431"/>
        <filter val="2000009858710070"/>
        <filter val="2000009829481696"/>
        <filter val="2000006740862195"/>
        <filter val="2000006715430887"/>
        <filter val="2000006672552013"/>
        <filter val="2000009858450238"/>
        <filter val="2000009830789940"/>
        <filter val="2000009903470616"/>
        <filter val="2000006641687973"/>
        <filter val="2000009904710274"/>
        <filter val="2000009945521916"/>
        <filter val="2000010012686402"/>
        <filter val="2000009969844808"/>
        <filter val="2000009835689782"/>
        <filter val="2000009754354096"/>
        <filter val="2000009848420198"/>
        <filter val="2000009715916384"/>
        <filter val="2000006572214645"/>
        <filter val="2000006656243705"/>
        <filter val="2000010010787020"/>
        <filter val="2000009797634622"/>
        <filter val="2000009743015726"/>
        <filter val="2000009721263632"/>
        <filter val="2000006704162459"/>
        <filter val="2000006568152215"/>
        <filter val="2000009990708772"/>
        <filter val="2000009945631134"/>
        <filter val="2000009981318834"/>
        <filter val="2000006702347221"/>
        <filter val="2000009721845144"/>
        <filter val="2000009861919186"/>
        <filter val="2000009920320840"/>
        <filter val="2000009897319698"/>
        <filter val="2000009907806378"/>
        <filter val="2000006688364527"/>
        <filter val="2000009938109352"/>
        <filter val="2000009798734650"/>
        <filter val="2000009925576086"/>
        <filter val="2000009984708202"/>
        <filter val="2000009748345044"/>
        <filter val="2000009780791082"/>
        <filter val="2000006648244409"/>
        <filter val="2000009802881082"/>
        <filter val="2000009965142402"/>
        <filter val="2000009765260284"/>
        <filter val="2000006702941247"/>
        <filter val="2000009838902788"/>
        <filter val="2000006637431007"/>
        <filter val="2000009858277206"/>
        <filter val="2000006635199523"/>
        <filter val="2000006692451075"/>
        <filter val="2000009876357566"/>
        <filter val="2000009816219428"/>
        <filter val="2000009858757632"/>
        <filter val="2000006737210165"/>
        <filter val="2000006602501405"/>
        <filter val="2000009795410458"/>
        <filter val="2000009725205566"/>
        <filter val="2000006720580863"/>
        <filter val="2000009801069354"/>
        <filter val="2000006586254231"/>
        <filter val="2000009874179286"/>
        <filter val="2000009902553748"/>
        <filter val="2000009803766390"/>
        <filter val="2000009721209724"/>
        <filter val="2000009759449376"/>
        <filter val="2000009754641526"/>
        <filter val="2000009967350658"/>
        <filter val="2000010005910730"/>
        <filter val="2000009804287154"/>
        <filter val="2000009951740412"/>
        <filter val="2000009781048060"/>
        <filter val="2000009711537820"/>
        <filter val="2000009869099564"/>
        <filter val="2000006669301419"/>
        <filter val="2000009865548950"/>
        <filter val="2000009840345776"/>
        <filter val="2000010001929140"/>
        <filter val="2000009765952148"/>
        <filter val="2000006607155079"/>
        <filter val="2000009790314576"/>
        <filter val="2000006701432565"/>
        <filter val="2000009918498532"/>
        <filter val="2000009859140046"/>
        <filter val="2000006602136895"/>
        <filter val="2000009827867702"/>
        <filter val="2000006600640385"/>
        <filter val="2000009842752288"/>
        <filter val="2000009983488216"/>
        <filter val="2000006738848735"/>
        <filter val="2000009752817886"/>
        <filter val="2000009772143058"/>
        <filter val="2000009722397080"/>
        <filter val="2000009900052744"/>
        <filter val="2000009967580490"/>
        <filter val="2000009806961900"/>
        <filter val="2000009742646344"/>
        <filter val="2000006602744989"/>
        <filter val="2000009960398102"/>
        <filter val="2000009710449372"/>
        <filter val="2000009780822646"/>
        <filter val="2000006667752621"/>
        <filter val="2000009802654630"/>
        <filter val="2000009848143724"/>
        <filter val="2000006734446387"/>
        <filter val="2000006597149299"/>
        <filter val="2000009889997950"/>
        <filter val="2000009867303690"/>
        <filter val="2000009771442514"/>
        <filter val="2000009762825776"/>
        <filter val="2000009972563030"/>
        <filter val="2000009842340108"/>
        <filter val="2000009931815946"/>
        <filter val="2000009780524982"/>
        <filter val="2000006703464391"/>
        <filter val="2000009910703626"/>
        <filter val="2000006571681369"/>
        <filter val="2000009950151976"/>
        <filter val="2000009722242688"/>
        <filter val="2000009837587336"/>
        <filter val="2000006686842237"/>
        <filter val="2000009966995910"/>
        <filter val="2000006718979229"/>
        <filter val="2000009761945214"/>
        <filter val="2000006679426531"/>
        <filter val="2000009893508940"/>
        <filter val="2000009807104892"/>
        <filter val="2000009793673138"/>
        <filter val="2000009826700672"/>
        <filter val="2000006591103545"/>
        <filter val="2000006698011279"/>
        <filter val="2000009821412628"/>
        <filter val="2000009800125386"/>
        <filter val="2000006575906951"/>
        <filter val="2000006710313615"/>
        <filter val="2000009911385714"/>
        <filter val="2000009726089876"/>
        <filter val="2000009978154166"/>
        <filter val="2000009832653380"/>
        <filter val="2000009718423556"/>
        <filter val="2000009719473586"/>
        <filter val="2000006677908819"/>
        <filter val="2000009944657972"/>
        <filter val="2000009837955906"/>
        <filter val="2000009860374008"/>
        <filter val="2000006657167795"/>
        <filter val="2000006607468229"/>
        <filter val="2000009785549412"/>
        <filter val="2000009913592990"/>
        <filter val="2000009913762758"/>
        <filter val="2000006678340751"/>
        <filter val="2000009879966970"/>
        <filter val="2000009818095582"/>
        <filter val="2000009807245288"/>
        <filter val="2000009979553612"/>
        <filter val="2000006616996225"/>
        <filter val="2000009819973196"/>
        <filter val="2000009967841598"/>
        <filter val="2000006587924245"/>
        <filter val="2000009873082380"/>
        <filter val="2000009775141668"/>
        <filter val="2000009974002180"/>
        <filter val="2000006594014463"/>
        <filter val="2000006643683671"/>
        <filter val="2000006694407801"/>
        <filter val="2000009948202818"/>
        <filter val="2000010007938804"/>
        <filter val="2000006660240755"/>
        <filter val="2000009825572888"/>
        <filter val="2000006631542469"/>
        <filter val="2000006703846563"/>
        <filter val="2000006560606679"/>
        <filter val="2000009905744806"/>
        <filter val="2000006640137835"/>
        <filter val="2000006611701055"/>
        <filter val="2000009715573704"/>
        <filter val="2000006607756223"/>
        <filter val="2000010004258034"/>
        <filter val="2000006726523173"/>
        <filter val="2000009990501140"/>
        <filter val="2000009855144214"/>
        <filter val="2000009747608058"/>
        <filter val="2000006652572461"/>
        <filter val="2000006602726251"/>
        <filter val="2000006634055845"/>
        <filter val="2000009964335434"/>
        <filter val="2000009790372818"/>
        <filter val="2000009931974802"/>
        <filter val="2000006674276399"/>
        <filter val="2000009924145420"/>
        <filter val="2000009919829040"/>
        <filter val="2000009878701794"/>
        <filter val="2000009855416878"/>
        <filter val="2000006647571273"/>
        <filter val="2000009754448994"/>
        <filter val="2000006565521259"/>
        <filter val="2000009970670328"/>
        <filter val="2000006671107885"/>
        <filter val="2000009790220234"/>
        <filter val="2000009807612336"/>
        <filter val="2000009847963456"/>
        <filter val="2000009828653430"/>
        <filter val="2000009857781098"/>
        <filter val="2000009834442312"/>
        <filter val="2000009891666964"/>
        <filter val="2000009890212780"/>
        <filter val="2000006691603107"/>
        <filter val="2000006594746059"/>
        <filter val="2000009951129882"/>
        <filter val="2000006559152999"/>
        <filter val="2000006684322125"/>
        <filter val="2000009828202980"/>
        <filter val="2000006630961161"/>
        <filter val="2000009937000490"/>
        <filter val="2000009899947194"/>
        <filter val="2000009935909148"/>
        <filter val="2000009821771450"/>
        <filter val="2000009806813968"/>
        <filter val="2000010000208826"/>
        <filter val="2000009944862544"/>
        <filter val="2000006734323381"/>
        <filter val="2000009886790204"/>
        <filter val="2000009777648172"/>
        <filter val="2000006689237025"/>
        <filter val="2000006702529117"/>
        <filter val="2000006605237871"/>
        <filter val="2000009778231598"/>
        <filter val="2000009904836798"/>
        <filter val="2000009855837950"/>
        <filter val="2000009768003828"/>
        <filter val="2000006684675053"/>
        <filter val="2000009885578258"/>
        <filter val="2000009855965004"/>
        <filter val="2000009825071650"/>
        <filter val="2000009809353098"/>
        <filter val="2000009754454444"/>
        <filter val="2000006714207469"/>
        <filter val="2000009721229238"/>
        <filter val="2000010011671460"/>
        <filter val="2000009750822140"/>
        <filter val="2000006621463445"/>
        <filter val="2000009978019946"/>
        <filter val="2000009982169884"/>
        <filter val="2000009809029934"/>
        <filter val="2000009837588184"/>
        <filter val="2000006717560903"/>
        <filter val="2000006738207151"/>
        <filter val="2000009947961890"/>
        <filter val="2000009861302462"/>
        <filter val="2000009763184652"/>
        <filter val="2000009789952636"/>
        <filter val="2000009810681504"/>
        <filter val="2000009712159422"/>
        <filter val="2000006610030907"/>
        <filter val="2000009809471158"/>
        <filter val="2000009795302700"/>
        <filter val="2000009966551618"/>
        <filter val="2000009815232450"/>
        <filter val="2000009836774606"/>
        <filter val="2000009905148692"/>
        <filter val="2000010002724432"/>
        <filter val="2000009971261814"/>
        <filter val="2000006572836269"/>
        <filter val="2000009718458056"/>
        <filter val="2000009911883520"/>
        <filter val="2000009735222012"/>
        <filter val="2000009731939530"/>
        <filter val="2000006635377447"/>
        <filter val="2000009938487892"/>
        <filter val="2000009978646654"/>
        <filter val="2000009927758670"/>
        <filter val="2000009977904420"/>
        <filter val="2000009802207060"/>
        <filter val="2000009946476734"/>
        <filter val="2000009822732502"/>
        <filter val="2000009741552908"/>
        <filter val="2000009899412482"/>
        <filter val="2000009749582450"/>
        <filter val="2000009819374276"/>
        <filter val="2000009910417042"/>
        <filter val="2000009811318680"/>
        <filter val="2000009796396846"/>
        <filter val="2000006689458083"/>
        <filter val="2000009728159166"/>
        <filter val="2000009727304474"/>
        <filter val="2000009925554762"/>
        <filter val="2000006644827755"/>
        <filter val="2000009803547648"/>
        <filter val="2000006659767885"/>
        <filter val="2000009748426484"/>
        <filter val="2000009792901038"/>
        <filter val="2000009868488408"/>
        <filter val="2000006656798277"/>
        <filter val="2000009766836234"/>
        <filter val="2000006741373511"/>
        <filter val="2000009718482176"/>
        <filter val="2000009932089034"/>
        <filter val="2000009746823600"/>
        <filter val="2000009750123290"/>
        <filter val="2000010000199560"/>
        <filter val="2000006603707535"/>
        <filter val="2000009859928448"/>
        <filter val="2000009846241844"/>
        <filter val="2000009750884854"/>
        <filter val="2000009877927614"/>
        <filter val="2000009728552800"/>
        <filter val="2000009842620204"/>
        <filter val="2000009911264262"/>
        <filter val="2000006589665311"/>
        <filter val="2000009720440258"/>
        <filter val="2000009902816912"/>
        <filter val="2000006651545887"/>
        <filter val="2000009944766096"/>
        <filter val="2000009997695986"/>
        <filter val="2000006736907057"/>
        <filter val="2000006585817947"/>
        <filter val="2000009903849232"/>
        <filter val="2000009733444020"/>
        <filter val="2000009762235846"/>
        <filter val="2000009763055894"/>
        <filter val="2000009946335974"/>
        <filter val="2000006591264475"/>
        <filter val="2000009784422050"/>
        <filter val="2000006596825487"/>
        <filter val="2000006632062783"/>
        <filter val="2000009784422052"/>
        <filter val="2000009729141074"/>
        <filter val="2000006719347719"/>
        <filter val="2000009959818354"/>
        <filter val="2000006616178559"/>
        <filter val="2000009838563718"/>
        <filter val="2000009751153980"/>
        <filter val="2000009726811476"/>
        <filter val="2000006570856455"/>
        <filter val="2000006681062963"/>
        <filter val="2000009999749386"/>
        <filter val="2000009938823956"/>
        <filter val="2000009969512120"/>
        <filter val="2000006579687677"/>
        <filter val="2000009974867070"/>
        <filter val="2000009823475688"/>
        <filter val="2000009853953360"/>
        <filter val="2000009783798924"/>
        <filter val="2000009915336318"/>
        <filter val="2000009750204732"/>
        <filter val="2000006594285355"/>
        <filter val="2000009933137210"/>
        <filter val="2000009820416072"/>
        <filter val="2000009752338228"/>
        <filter val="2000006704100087"/>
        <filter val="2000009782320528"/>
        <filter val="2000009774436394"/>
        <filter val="2000009896342584"/>
        <filter val="2000006689338415"/>
        <filter val="2000009915255012"/>
        <filter val="2000009761546594"/>
        <filter val="2000009751483904"/>
        <filter val="2000009808211564"/>
        <filter val="2000009800877816"/>
        <filter val="2000006669214043"/>
        <filter val="2000006561169217"/>
        <filter val="2000009764908776"/>
        <filter val="2000009774518396"/>
        <filter val="2000009820790960"/>
        <filter val="2000009771753450"/>
        <filter val="2000009994344356"/>
        <filter val="2000009910514466"/>
        <filter val="2000009761408508"/>
        <filter val="2000009843223014"/>
        <filter val="2000006585220143"/>
        <filter val="2000009930757768"/>
        <filter val="2000009807969934"/>
        <filter val="2000009823298884"/>
        <filter val="2000009792883084"/>
        <filter val="2000009968868048"/>
        <filter val="2000009973998368"/>
        <filter val="2000009860194292"/>
        <filter val="2000006616530481"/>
        <filter val="2000006632410009"/>
        <filter val="2000010004745890"/>
        <filter val="2000009791852382"/>
        <filter val="2000009730336824"/>
        <filter val="2000009730336822"/>
        <filter val="2000009741350040"/>
        <filter val="2000009825750058"/>
        <filter val="2000009967650598"/>
        <filter val="2000009799325388"/>
        <filter val="2000009754020154"/>
        <filter val="2000009920103034"/>
        <filter val="2000009840054826"/>
        <filter val="2000009938020618"/>
        <filter val="2000006627701293"/>
        <filter val="2000010000777494"/>
        <filter val="2000006586035419"/>
        <filter val="2000009926139988"/>
        <filter val="2000009944970024"/>
        <filter val="2000009903154426"/>
        <filter val="2000009877382930"/>
        <filter val="2000006620889445"/>
        <filter val="2000006715542367"/>
        <filter val="2000009792456228"/>
        <filter val="2000009901222182"/>
        <filter val="2000009742631456"/>
        <filter val="2000009899420016"/>
        <filter val="2000009831661738"/>
        <filter val="2000009845549230"/>
        <filter val="2000006644615053"/>
        <filter val="2000009890005266"/>
        <filter val="2000006577550645"/>
        <filter val="2000009747850454"/>
        <filter val="2000009959570116"/>
        <filter val="2000009789919194"/>
        <filter val="2000009959570114"/>
        <filter val="2000006595069853"/>
        <filter val="2000009941541254"/>
        <filter val="2000009756101060"/>
        <filter val="2000006714907673"/>
        <filter val="2000009837957134"/>
        <filter val="2000009916289554"/>
        <filter val="2000006578373833"/>
        <filter val="2000010002614114"/>
        <filter val="2000009955456070"/>
        <filter val="2000009896621332"/>
        <filter val="2000009826365368"/>
        <filter val="2000006632450867"/>
        <filter val="2000009770196412"/>
        <filter val="2000009744844944"/>
        <filter val="2000009822976028"/>
        <filter val="2000009923299314"/>
        <filter val="2000009859908360"/>
        <filter val="2000009723830214"/>
        <filter val="2000009728226966"/>
        <filter val="2000006690638359"/>
        <filter val="2000009756122040"/>
        <filter val="2000006689629963"/>
        <filter val="2000006577092523"/>
        <filter val="2000009779202308"/>
        <filter val="2000009990400476"/>
        <filter val="2000006649705349"/>
        <filter val="2000009845572002"/>
        <filter val="2000009996650978"/>
        <filter val="2000009838982622"/>
        <filter val="2000009811538128"/>
        <filter val="2000009999538720"/>
        <filter val="2000009871030498"/>
        <filter val="2000009967698972"/>
        <filter val="2000010001712478"/>
        <filter val="2000006648679443"/>
        <filter val="2000009720826122"/>
        <filter val="2000006580110683"/>
        <filter val="2000009789987388"/>
        <filter val="2000009733657716"/>
        <filter val="2000009909644518"/>
        <filter val="2000009900360210"/>
        <filter val="2000009792104588"/>
        <filter val="2000009794128982"/>
        <filter val="2000009737472946"/>
        <filter val="2000006724349775"/>
        <filter val="2000006643472575"/>
        <filter val="2000009845539476"/>
        <filter val="2000009764042164"/>
        <filter val="2000009945912522"/>
        <filter val="2000010005375482"/>
        <filter val="2000009750155342"/>
        <filter val="2000009758198080"/>
        <filter val="2000009799210944"/>
        <filter val="2000009869003730"/>
        <filter val="2000009822084016"/>
        <filter val="2000006644181459"/>
        <filter val="2000009789908554"/>
        <filter val="2000006566487459"/>
        <filter val="2000009807637096"/>
        <filter val="2000010001693798"/>
        <filter val="2000006588284259"/>
        <filter val="2000009870934890"/>
        <filter val="2000009773374938"/>
        <filter val="2000009781930888"/>
        <filter val="2000009886413052"/>
        <filter val="2000010008450756"/>
        <filter val="2000009910633820"/>
        <filter val="2000006560499875"/>
        <filter val="2000009800682952"/>
        <filter val="2000009959555378"/>
        <filter val="2000009792680102"/>
        <filter val="2000009799138778"/>
        <filter val="2000006653311333"/>
        <filter val="2000009939602800"/>
        <filter val="2000009765053748"/>
        <filter val="2000009855839846"/>
        <filter val="2000009959555380"/>
        <filter val="2000009798015904"/>
        <filter val="2000009859186346"/>
        <filter val="2000009806163482"/>
        <filter val="2000006629943321"/>
        <filter val="2000009967932296"/>
        <filter val="2000009896360472"/>
        <filter val="2000009778682560"/>
        <filter val="2000009976629352"/>
        <filter val="2000009729528716"/>
        <filter val="2000006560106861"/>
        <filter val="2000006691087609"/>
        <filter val="2000009904110008"/>
        <filter val="2000009953861240"/>
        <filter val="2000009973580060"/>
        <filter val="2000006700013175"/>
        <filter val="2000009884797146"/>
        <filter val="2000009941353828"/>
        <filter val="2000006592732805"/>
        <filter val="2000006591074027"/>
        <filter val="2000009777861550"/>
        <filter val="2000009864459992"/>
        <filter val="2000006678368381"/>
        <filter val="2000009712348126"/>
        <filter val="2000006559031391"/>
        <filter val="2000009937201364"/>
        <filter val="2000009713063302"/>
        <filter val="2000009959952426"/>
        <filter val="2000009738611490"/>
        <filter val="2000009712969542"/>
        <filter val="2000009728900920"/>
        <filter val="2000009801974132"/>
        <filter val="2000006626472359"/>
        <filter val="2000009949335560"/>
        <filter val="2000009945453106"/>
        <filter val="2000009721538518"/>
        <filter val="2000009814383296"/>
        <filter val="2000009897937258"/>
        <filter val="2000006713869803"/>
        <filter val="2000009730822088"/>
        <filter val="2000009760726328"/>
        <filter val="2000009919082204"/>
        <filter val="2000006733103103"/>
        <filter val="2000006567181685"/>
        <filter val="2000009776638460"/>
        <filter val="2000009829325676"/>
        <filter val="2000009771623806"/>
        <filter val="2000009828860328"/>
        <filter val="2000009727651238"/>
        <filter val="2000009766040878"/>
        <filter val="2000006681462683"/>
        <filter val="2000009765510096"/>
        <filter val="2000006678257967"/>
        <filter val="2000009722920112"/>
        <filter val="2000006614557013"/>
        <filter val="2000009953009596"/>
        <filter val="2000009844229282"/>
        <filter val="2000006567774141"/>
        <filter val="2000009922854448"/>
        <filter val="2000009776107416"/>
        <filter val="2000009999920758"/>
        <filter val="2000006682847219"/>
        <filter val="2000006671015835"/>
        <filter val="2000009902548820"/>
        <filter val="2000009727417456"/>
        <filter val="2000006626263139"/>
        <filter val="2000009876888510"/>
        <filter val="2000009824894192"/>
        <filter val="2000010001155128"/>
        <filter val="2000009798123232"/>
        <filter val="2000009820632020"/>
        <filter val="2000009748598318"/>
        <filter val="2000009946922770"/>
        <filter val="2000006564896977"/>
        <filter val="2000009941120654"/>
        <filter val="2000006646074529"/>
        <filter val="2000006609060893"/>
        <filter val="2000009992325144"/>
        <filter val="2000009912041376"/>
        <filter val="2000009788013834"/>
        <filter val="2000009824668854"/>
        <filter val="2000009725579018"/>
        <filter val="2000009963227138"/>
        <filter val="2000009725579016"/>
        <filter val="2000009801744856"/>
        <filter val="2000009966834304"/>
        <filter val="2000009821363108"/>
        <filter val="2000006713593499"/>
        <filter val="2000009939674454"/>
        <filter val="2000009908655294"/>
        <filter val="2000006699322723"/>
        <filter val="2000006671738701"/>
        <filter val="2000009900514634"/>
        <filter val="2000009833373650"/>
        <filter val="2000009750611280"/>
        <filter val="2000009838009480"/>
        <filter val="2000006652041999"/>
        <filter val="2000009943938138"/>
        <filter val="2000009948011492"/>
        <filter val="2000009776134032"/>
        <filter val="2000009868049204"/>
        <filter val="2000009879302594"/>
        <filter val="2000009846127880"/>
        <filter val="2000009758816552"/>
        <filter val="2000009821362512"/>
        <filter val="2000009821362510"/>
        <filter val="2000009721566824"/>
        <filter val="2000009961726198"/>
        <filter val="2000009953665742"/>
        <filter val="2000009775841374"/>
        <filter val="2000009920517000"/>
        <filter val="2000006587607209"/>
        <filter val="2000006716874623"/>
        <filter val="2000010004314926"/>
        <filter val="2000009920275072"/>
        <filter val="2000009917878514"/>
        <filter val="2000009772462678"/>
        <filter val="2000009797654868"/>
        <filter val="2000009794256186"/>
        <filter val="2000006683366509"/>
        <filter val="2000009957144638"/>
        <filter val="2000009891522016"/>
        <filter val="2000009778543196"/>
        <filter val="2000009864981694"/>
        <filter val="2000006727200739"/>
        <filter val="2000006712108557"/>
        <filter val="2000009847247968"/>
        <filter val="2000010006442030"/>
        <filter val="2000006661213519"/>
        <filter val="2000009957518018"/>
        <filter val="2000009750212084"/>
        <filter val="2000006638486601"/>
        <filter val="2000006697886525"/>
        <filter val="2000009937756668"/>
        <filter val="2000006573351435"/>
        <filter val="2000006657687023"/>
        <filter val="2000009993683022"/>
        <filter val="2000009926812734"/>
        <filter val="2000009930524048"/>
        <filter val="2000009803125842"/>
        <filter val="2000009718737762"/>
        <filter val="2000009918310842"/>
        <filter val="2000009946783882"/>
        <filter val="2000009772702874"/>
        <filter val="2000009720545682"/>
        <filter val="2000006620410351"/>
        <filter val="2000006584411359"/>
        <filter val="2000009770417124"/>
        <filter val="2000006613358123"/>
        <filter val="2000009790983598"/>
        <filter val="2000006602624549"/>
        <filter val="2000009836029966"/>
        <filter val="2000009817323734"/>
        <filter val="2000009775853796"/>
        <filter val="2000009817139226"/>
        <filter val="2000006680703551"/>
        <filter val="2000006561444151"/>
        <filter val="2000009840977250"/>
        <filter val="2000006561493167"/>
        <filter val="2000009814484632"/>
        <filter val="2000009769990040"/>
        <filter val="2000006667938259"/>
        <filter val="2000009914018732"/>
        <filter val="2000009819317184"/>
        <filter val="2000006598566735"/>
        <filter val="2000009720260552"/>
        <filter val="2000009967559272"/>
        <filter val="2000006567775409"/>
        <filter val="2000009764900992"/>
        <filter val="2000009715610932"/>
        <filter val="2000006740632507"/>
        <filter val="2000010000545534"/>
        <filter val="2000006733154875"/>
        <filter val="2000009909795076"/>
        <filter val="2000006569498343"/>
        <filter val="2000009928513438"/>
        <filter val="2000009793710482"/>
        <filter val="2000009851397272"/>
        <filter val="2000009932857766"/>
        <filter val="2000006566265053"/>
        <filter val="2000006623683761"/>
        <filter val="2000006578747939"/>
        <filter val="2000006563384913"/>
        <filter val="2000009961262770"/>
        <filter val="2000009717101724"/>
        <filter val="2000009817457388"/>
        <filter val="2000009975409800"/>
        <filter val="2000009928101332"/>
        <filter val="2000009960396102"/>
        <filter val="2000009785586654"/>
        <filter val="2000009807638414"/>
        <filter val="2000006712032873"/>
        <filter val="2000009870975544"/>
        <filter val="2000009853621582"/>
        <filter val="2000009750687730"/>
        <filter val="2000009825001828"/>
        <filter val="2000006617038461"/>
        <filter val="2000006555980049"/>
        <filter val="2000009925578030"/>
        <filter val="2000009929613038"/>
        <filter val="2000006652858559"/>
        <filter val="2000006611997433"/>
        <filter val="2000009895309106"/>
        <filter val="2000006684395305"/>
        <filter val="2000009910232478"/>
        <filter val="2000009968469094"/>
        <filter val="2000006585686371"/>
        <filter val="2000009957492636"/>
        <filter val="2000009773523500"/>
        <filter val="2000009722098724"/>
        <filter val="2000010001128736"/>
        <filter val="2000009806333030"/>
        <filter val="2000009762150950"/>
        <filter val="2000009907265190"/>
        <filter val="2000009820590874"/>
        <filter val="2000009986876020"/>
        <filter val="2000009842933390"/>
        <filter val="2000009857838252"/>
        <filter val="2000009833858772"/>
        <filter val="2000009740070072"/>
        <filter val="2000009739592030"/>
        <filter val="2000009870910576"/>
        <filter val="2000009840322828"/>
        <filter val="2000009754571312"/>
        <filter val="2000009930826978"/>
        <filter val="2000009775926438"/>
        <filter val="2000009933718170"/>
        <filter val="2000006690552789"/>
        <filter val="2000006642247419"/>
        <filter val="2000009817788338"/>
        <filter val="2000009821345570"/>
        <filter val="2000006692471721"/>
        <filter val="2000009821345572"/>
        <filter val="2000009925567380"/>
        <filter val="2000009936707008"/>
        <filter val="2000009977906328"/>
        <filter val="2000009804144858"/>
        <filter val="2000009766959244"/>
        <filter val="2000009806792706"/>
        <filter val="2000009859185562"/>
        <filter val="2000006590847131"/>
        <filter val="2000009734364792"/>
        <filter val="2000006718845313"/>
        <filter val="2000009757933968"/>
        <filter val="2000009931965774"/>
        <filter val="2000009912777390"/>
        <filter val="2000009842328186"/>
        <filter val="2000009803751908"/>
        <filter val="2000010001632730"/>
        <filter val="2000006562229643"/>
        <filter val="2000009881519384"/>
        <filter val="2000009832380512"/>
        <filter val="2000009806769960"/>
        <filter val="2000006629326249"/>
        <filter val="2000006611597263"/>
        <filter val="2000009993486974"/>
        <filter val="2000009952817030"/>
        <filter val="2000009800645404"/>
        <filter val="2000009848608350"/>
        <filter val="2000006591893237"/>
        <filter val="2000006721956917"/>
        <filter val="2000009867731696"/>
        <filter val="2000006669445141"/>
        <filter val="2000009747609618"/>
        <filter val="2000009767689058"/>
        <filter val="2000009831754500"/>
        <filter val="2000009785027588"/>
        <filter val="2000009827147992"/>
        <filter val="2000009848226834"/>
        <filter val="2000009810048640"/>
        <filter val="2000009993389314"/>
        <filter val="2000009867129608"/>
        <filter val="2000006699442425"/>
        <filter val="2000009917444608"/>
        <filter val="2000006592044379"/>
        <filter val="2000009970858070"/>
        <filter val="2000006584749831"/>
        <filter val="2000009935941518"/>
        <filter val="2000009859789212"/>
        <filter val="2000009910794638"/>
        <filter val="2000006581130221"/>
        <filter val="2000009857371338"/>
        <filter val="2000009880134270"/>
        <filter val="2000009916104488"/>
        <filter val="2000009982464528"/>
        <filter val="2000009734723180"/>
        <filter val="2000006576606281"/>
        <filter val="2000006613975777"/>
        <filter val="2000006559703601"/>
        <filter val="2000009712919320"/>
        <filter val="2000006598386355"/>
        <filter val="2000006578942211"/>
        <filter val="2000009721282574"/>
        <filter val="2000009832057000"/>
        <filter val="2000006593136861"/>
        <filter val="2000009934746484"/>
        <filter val="2000009719071446"/>
        <filter val="2000009817809312"/>
        <filter val="2000009792809916"/>
        <filter val="2000006612728561"/>
        <filter val="2000009784407858"/>
        <filter val="2000009990254890"/>
        <filter val="2000009987551120"/>
        <filter val="2000006664665119"/>
        <filter val="2000009789932330"/>
        <filter val="2000009720161276"/>
        <filter val="2000009815192238"/>
        <filter val="2000009800484508"/>
        <filter val="2000009770811488"/>
        <filter val="2000009718606850"/>
        <filter val="2000006614743909"/>
        <filter val="2000009790120574"/>
        <filter val="2000009713487380"/>
        <filter val="2000006730737377"/>
        <filter val="2000009791880100"/>
        <filter val="2000009980863356"/>
        <filter val="2000009916449178"/>
        <filter val="2000009860225782"/>
        <filter val="2000009835268434"/>
        <filter val="2000009758076392"/>
        <filter val="2000006618309595"/>
        <filter val="2000009968161372"/>
        <filter val="2000006607819291"/>
        <filter val="2000009788070796"/>
        <filter val="2000006591995339"/>
        <filter val="2000009767676112"/>
        <filter val="2000009750360324"/>
        <filter val="2000009759698282"/>
        <filter val="2000009960387276"/>
        <filter val="2000009734595992"/>
        <filter val="2000009851494322"/>
        <filter val="2000010012329750"/>
        <filter val="2000006671202375"/>
        <filter val="2000009831812928"/>
        <filter val="2000009924774232"/>
        <filter val="2000006673417427"/>
        <filter val="2000006590932399"/>
        <filter val="2000009781869484"/>
        <filter val="2000009773549366"/>
        <filter val="2000009977680336"/>
        <filter val="2000010005928202"/>
        <filter val="2000006601316429"/>
        <filter val="2000009763899594"/>
        <filter val="2000009763899596"/>
        <filter val="2000006677426595"/>
        <filter val="2000009783364294"/>
        <filter val="2000006595347189"/>
        <filter val="2000009814514920"/>
        <filter val="2000006576815597"/>
        <filter val="2000006707827377"/>
        <filter val="2000009742935724"/>
        <filter val="2000009723645302"/>
        <filter val="2000006708361547"/>
        <filter val="2000006606315527"/>
        <filter val="2000006600897545"/>
        <filter val="2000006672321165"/>
        <filter val="2000009832077902"/>
        <filter val="2000009712339514"/>
        <filter val="2000006565758455"/>
        <filter val="2000009918037536"/>
        <filter val="2000009825489942"/>
        <filter val="2000009825091418"/>
        <filter val="2000009994215530"/>
        <filter val="2000009828483814"/>
        <filter val="2000009927347262"/>
        <filter val="2000009818615044"/>
        <filter val="2000009878763850"/>
        <filter val="2000006676310907"/>
        <filter val="2000009806773286"/>
        <filter val="2000009763522856"/>
        <filter val="2000009841492728"/>
        <filter val="2000009748580064"/>
        <filter val="2000009838210254"/>
        <filter val="2000006599279629"/>
        <filter val="2000006604665623"/>
        <filter val="2000009769989838"/>
        <filter val="2000009784298122"/>
        <filter val="2000009773965156"/>
        <filter val="2000006616474367"/>
        <filter val="2000009920452804"/>
        <filter val="2000010013294446"/>
        <filter val="2000009809039562"/>
        <filter val="2000009919596692"/>
        <filter val="2000006632030161"/>
        <filter val="2000006720463017"/>
        <filter val="2000009887718096"/>
        <filter val="2000009795975936"/>
        <filter val="2000006576064369"/>
        <filter val="2000006617418063"/>
        <filter val="2000009797684656"/>
        <filter val="2000009784115446"/>
        <filter val="2000009972240700"/>
        <filter val="2000009957469046"/>
        <filter val="2000009748201494"/>
        <filter val="2000009777010162"/>
        <filter val="2000006563231677"/>
        <filter val="2000009858995342"/>
        <filter val="2000009953536968"/>
        <filter val="2000009940692726"/>
        <filter val="2000009842670396"/>
        <filter val="2000006712706415"/>
        <filter val="2000009748927630"/>
        <filter val="2000009783774280"/>
        <filter val="2000009765026018"/>
        <filter val="2000009930470976"/>
        <filter val="2000009998155814"/>
        <filter val="2000006713081233"/>
        <filter val="2000009919707990"/>
        <filter val="2000006584691429"/>
        <filter val="2000009743346588"/>
        <filter val="2000006632811365"/>
        <filter val="2000006613015681"/>
        <filter val="2000009934771842"/>
        <filter val="2000009773706710"/>
        <filter val="2000006650399003"/>
        <filter val="2000009810131264"/>
        <filter val="2000006610818015"/>
        <filter val="2000006690483319"/>
        <filter val="2000009785553268"/>
        <filter val="2000006683195433"/>
        <filter val="2000006620119663"/>
        <filter val="2000006724258627"/>
        <filter val="2000009924994768"/>
        <filter val="2000009718445962"/>
        <filter val="2000009855424266"/>
        <filter val="2000009861188146"/>
        <filter val="2000006575482119"/>
        <filter val="2000006564650335"/>
        <filter val="2000009974338196"/>
        <filter val="2000006610128267"/>
        <filter val="2000006707061575"/>
        <filter val="2000009737786256"/>
        <filter val="2000009772623976"/>
        <filter val="2000006737274379"/>
        <filter val="2000009718485174"/>
        <filter val="2000009878152410"/>
        <filter val="2000009743521344"/>
        <filter val="2000006715563755"/>
        <filter val="2000009724776188"/>
        <filter val="2000009879549636"/>
        <filter val="2000006659153307"/>
        <filter val="2000009791732574"/>
        <filter val="2000009820994886"/>
        <filter val="2000009840014870"/>
        <filter val="2000009778222422"/>
        <filter val="2000009820812826"/>
        <filter val="2000009817829348"/>
        <filter val="2000009955806704"/>
        <filter val="2000009756448760"/>
        <filter val="2000009766782542"/>
        <filter val="2000009750325950"/>
        <filter val="2000009835118402"/>
        <filter val="2000010002087978"/>
        <filter val="2000006715782543"/>
        <filter val="2000009997057666"/>
        <filter val="2000009747366314"/>
        <filter val="2000009908535810"/>
        <filter val="2000009719211430"/>
        <filter val="2000006559792611"/>
        <filter val="2000006734316115"/>
        <filter val="2000009747436686"/>
        <filter val="2000009814194214"/>
        <filter val="2000009924433146"/>
        <filter val="2000009758199648"/>
        <filter val="2000009810037692"/>
        <filter val="2000009969506514"/>
        <filter val="2000006585381113"/>
        <filter val="2000009828964250"/>
        <filter val="2000009715209956"/>
        <filter val="2000009979697694"/>
        <filter val="2000006712410809"/>
        <filter val="2000006694470419"/>
        <filter val="2000009965061462"/>
        <filter val="2000009878679868"/>
        <filter val="2000009946041940"/>
        <filter val="2000009966098198"/>
        <filter val="2000006612199725"/>
        <filter val="2000009727080702"/>
        <filter val="2000009758288148"/>
        <filter val="2000009835207802"/>
        <filter val="2000009750187954"/>
        <filter val="2000009727545420"/>
        <filter val="2000010006815962"/>
        <filter val="2000006699568197"/>
        <filter val="2000006596556749"/>
        <filter val="2000009854780552"/>
        <filter val="2000009849651086"/>
        <filter val="2000009981219132"/>
        <filter val="2000006632123885"/>
        <filter val="2000006585991773"/>
        <filter val="2000009807690254"/>
        <filter val="2000009879602506"/>
        <filter val="2000009911824124"/>
        <filter val="2000009785447188"/>
        <filter val="2000009818388806"/>
        <filter val="2000009905286524"/>
        <filter val="2000009855815116"/>
        <filter val="2000009726096648"/>
        <filter val="2000009943124066"/>
        <filter val="2000009750907810"/>
        <filter val="2000009754250874"/>
        <filter val="2000009923871926"/>
        <filter val="2000006639570879"/>
        <filter val="2000009901639070"/>
        <filter val="2000009855153692"/>
        <filter val="2000006620893353"/>
        <filter val="2000009999510612"/>
        <filter val="2000009798736316"/>
        <filter val="2000006563707281"/>
        <filter val="2000006669331411"/>
        <filter val="2000006571171671"/>
        <filter val="2000006641663205"/>
        <filter val="2000009798736314"/>
        <filter val="2000009799361226"/>
        <filter val="2000009867323628"/>
        <filter val="2000009744272330"/>
        <filter val="2000009851081974"/>
        <filter val="2000009966641838"/>
        <filter val="2000006693298927"/>
        <filter val="2000009899022378"/>
        <filter val="2000009726151122"/>
        <filter val="2000009725893556"/>
        <filter val="2000009958675636"/>
        <filter val="2000009855503298"/>
        <filter val="2000009770016012"/>
        <filter val="2000009894926382"/>
        <filter val="2000009876475778"/>
        <filter val="2000009950726196"/>
        <filter val="2000006558389395"/>
        <filter val="2000009919779126"/>
        <filter val="2000009866847092"/>
        <filter val="2000009884715902"/>
        <filter val="2000009796687814"/>
        <filter val="2000009800475322"/>
        <filter val="2000009800475320"/>
        <filter val="2000009729128206"/>
        <filter val="2000006641189089"/>
        <filter val="2000006702350389"/>
        <filter val="2000009877367980"/>
        <filter val="2000009754960850"/>
        <filter val="2000009795287228"/>
        <filter val="2000009817799168"/>
        <filter val="2000009788246746"/>
        <filter val="2000009854778678"/>
        <filter val="2000009729139344"/>
        <filter val="2000009795639218"/>
        <filter val="2000006693294547"/>
        <filter val="2000009900503236"/>
        <filter val="2000006656304445"/>
        <filter val="2000009770761236"/>
        <filter val="2000009753070110"/>
        <filter val="2000006629741863"/>
        <filter val="2000009735298716"/>
        <filter val="2000009885787696"/>
        <filter val="2000010000821750"/>
        <filter val="2000009838495772"/>
        <filter val="2000009920877756"/>
        <filter val="2000006570255147"/>
        <filter val="2000009836237290"/>
        <filter val="2000006696897957"/>
        <filter val="2000009836715698"/>
        <filter val="2000009845266484"/>
        <filter val="2000009922025706"/>
        <filter val="2000009831847432"/>
        <filter val="2000006556192673"/>
        <filter val="2000009891844854"/>
        <filter val="2000006709858517"/>
        <filter val="2000009842122778"/>
        <filter val="2000009858108750"/>
        <filter val="2000009777787300"/>
        <filter val="2000009749124050"/>
        <filter val="2000009715785180"/>
        <filter val="2000006724910963"/>
        <filter val="2000006703379267"/>
        <filter val="2000009980162546"/>
        <filter val="2000009921073804"/>
        <filter val="2000006571044601"/>
        <filter val="2000009719988944"/>
        <filter val="2000009719988942"/>
        <filter val="2000009844923064"/>
        <filter val="2000009983463888"/>
        <filter val="2000009852394562"/>
        <filter val="2000006637155883"/>
        <filter val="2000009964189864"/>
        <filter val="2000009980149124"/>
        <filter val="2000006728379877"/>
        <filter val="2000006666086509"/>
        <filter val="2000009788963932"/>
        <filter val="2000009948622006"/>
        <filter val="2000006679215437"/>
        <filter val="2000006740880969"/>
        <filter val="2000009821459012"/>
        <filter val="2000009773927542"/>
        <filter val="2000006722847699"/>
        <filter val="2000009931393338"/>
        <filter val="2000006740210063"/>
        <filter val="2000010008963740"/>
        <filter val="2000009768691796"/>
        <filter val="2000009722972780"/>
        <filter val="2000009857966486"/>
        <filter val="2000009832124232"/>
        <filter val="2000009759522878"/>
        <filter val="2000006622573573"/>
        <filter val="2000009716005126"/>
        <filter val="2000006685374353"/>
        <filter val="2000009849318850"/>
        <filter val="2000006697702715"/>
        <filter val="2000009970479534"/>
        <filter val="2000009833852056"/>
        <filter val="2000009777150926"/>
        <filter val="2000009820739070"/>
        <filter val="2000009963967104"/>
        <filter val="2000009790984720"/>
        <filter val="2000006584024489"/>
        <filter val="2000009902550576"/>
        <filter val="2000006638987339"/>
        <filter val="2000009793829012"/>
        <filter val="2000009749090328"/>
        <filter val="2000006695550961"/>
        <filter val="2000006566237473"/>
        <filter val="2000009776109390"/>
        <filter val="2000009792576920"/>
        <filter val="2000009999176584"/>
        <filter val="2000006589870379"/>
        <filter val="2000009969673314"/>
        <filter val="2000006698953327"/>
        <filter val="2000009930789992"/>
        <filter val="2000006670160837"/>
        <filter val="2000006627346905"/>
        <filter val="2000009920852898"/>
        <filter val="2000006597614587"/>
        <filter val="2000009773300536"/>
        <filter val="2000009832540378"/>
        <filter val="2000009920758994"/>
        <filter val="2000009798350536"/>
        <filter val="2000006583421201"/>
        <filter val="2000009836031952"/>
        <filter val="2000009981326750"/>
        <filter val="2000009977185854"/>
        <filter val="2000009744268212"/>
        <filter val="2000009867844062"/>
        <filter val="2000009810705806"/>
        <filter val="2000009929580856"/>
        <filter val="2000006710057781"/>
        <filter val="2000009776109388"/>
        <filter val="2000009878914158"/>
        <filter val="2000009876752116"/>
        <filter val="2000009904342516"/>
        <filter val="2000009948029992"/>
        <filter val="2000009802529950"/>
        <filter val="2000009790820690"/>
        <filter val="2000006560239695"/>
        <filter val="2000009788168932"/>
        <filter val="2000009866863946"/>
        <filter val="2000009856933676"/>
        <filter val="2000006705770155"/>
        <filter val="2000009974955528"/>
        <filter val="2000009762394942"/>
        <filter val="2000009970530076"/>
        <filter val="2000009883114178"/>
        <filter val="2000009866838622"/>
        <filter val="2000006724454631"/>
        <filter val="2000006723414651"/>
        <filter val="2000006603450679"/>
        <filter val="2000009821310882"/>
        <filter val="2000006619162079"/>
        <filter val="2000009833831544"/>
        <filter val="2000009722309548"/>
        <filter val="2000009756445338"/>
        <filter val="2000009916078856"/>
        <filter val="2000006734084655"/>
        <filter val="2000009955531966"/>
        <filter val="2000009916078854"/>
        <filter val="2000009850387346"/>
        <filter val="2000006632804531"/>
        <filter val="2000009969971614"/>
        <filter val="2000009781139544"/>
        <filter val="2000009926446098"/>
        <filter val="2000009966867822"/>
        <filter val="2000009903120476"/>
        <filter val="2000006574857837"/>
        <filter val="2000009928679656"/>
        <filter val="2000009966556750"/>
        <filter val="2000006718477819"/>
        <filter val="2000009908898032"/>
        <filter val="2000006630095343"/>
        <filter val="2000009865899590"/>
        <filter val="2000009854131458"/>
        <filter val="2000009776880958"/>
        <filter val="2000009827922868"/>
        <filter val="2000009781370616"/>
        <filter val="2000009790440016"/>
        <filter val="2000009881162290"/>
        <filter val="2000009790705748"/>
        <filter val="2000009803948902"/>
        <filter val="2000009831990080"/>
        <filter val="2000006607804905"/>
        <filter val="2000009924476676"/>
        <filter val="2000006653477097"/>
        <filter val="2000006689731305"/>
        <filter val="2000006634674105"/>
        <filter val="2000006630178605"/>
        <filter val="2000009904398156"/>
        <filter val="2000009945707952"/>
        <filter val="2000009902884774"/>
        <filter val="2000009781629240"/>
        <filter val="2000009978843382"/>
        <filter val="2000009910955874"/>
        <filter val="2000009778672962"/>
        <filter val="2000009762497742"/>
        <filter val="2000009828296482"/>
        <filter val="2000006563639847"/>
        <filter val="2000009911386948"/>
        <filter val="2000006693142715"/>
        <filter val="2000009767921996"/>
        <filter val="2000009921244858"/>
        <filter val="2000009744280362"/>
        <filter val="2000006684856335"/>
        <filter val="2000009828469670"/>
        <filter val="2000006614878643"/>
        <filter val="2000006692387419"/>
        <filter val="2000009773198464"/>
        <filter val="2000009746246900"/>
        <filter val="2000006578074401"/>
        <filter val="2000009764355780"/>
        <filter val="2000009918970988"/>
        <filter val="2000009875084478"/>
        <filter val="2000009958930492"/>
        <filter val="2000009789918136"/>
        <filter val="2000009941798268"/>
        <filter val="2000009863982054"/>
        <filter val="2000006670475413"/>
        <filter val="2000009919615754"/>
        <filter val="2000009920520036"/>
        <filter val="2000009864800016"/>
        <filter val="2000006590651641"/>
        <filter val="2000006583105545"/>
        <filter val="2000006636309415"/>
        <filter val="2000009850286740"/>
        <filter val="2000009929221682"/>
        <filter val="2000006684623589"/>
        <filter val="2000009782224208"/>
        <filter val="2000009849701846"/>
        <filter val="2000009794296584"/>
        <filter val="2000006603168747"/>
        <filter val="2000009713516638"/>
        <filter val="2000009950916190"/>
        <filter val="2000009902489834"/>
        <filter val="2000009923253714"/>
        <filter val="2000009834976566"/>
        <filter val="2000009750808596"/>
        <filter val="2000009898121174"/>
        <filter val="2000006603473715"/>
        <filter val="2000009768738506"/>
        <filter val="2000009772487344"/>
        <filter val="2000009748396028"/>
        <filter val="2000009806610684"/>
        <filter val="2000006615046221"/>
        <filter val="2000009785657266"/>
        <filter val="2000009921352170"/>
        <filter val="2000009973993320"/>
        <filter val="2000006625775287"/>
        <filter val="2000006557320939"/>
        <filter val="2000009851147484"/>
        <filter val="2000009712262920"/>
        <filter val="2000009777616066"/>
        <filter val="2000006585886287"/>
        <filter val="2000009750683948"/>
        <filter val="2000009978980030"/>
        <filter val="2000009807785950"/>
        <filter val="2000009809040462"/>
        <filter val="2000009732996222"/>
        <filter val="2000009866404642"/>
        <filter val="2000009722091422"/>
        <filter val="2000006608175877"/>
        <filter val="2000009748502078"/>
        <filter val="2000006711728951"/>
        <filter val="2000006680232353"/>
        <filter val="2000009883549456"/>
        <filter val="2000009733404258"/>
        <filter val="2000009901544696"/>
        <filter val="2000009934915910"/>
        <filter val="2000006690529095"/>
        <filter val="2000009978033194"/>
        <filter val="2000006574500115"/>
        <filter val="2000006724395861"/>
        <filter val="2000009819227622"/>
        <filter val="2000009731317886"/>
        <filter val="2000006561316753"/>
        <filter val="2000010009921460"/>
        <filter val="2000009938303044"/>
        <filter val="2000006715300829"/>
        <filter val="2000009750788506"/>
        <filter val="2000009724702652"/>
        <filter val="2000009838961078"/>
        <filter val="2000006739381547"/>
        <filter val="2000006609853401"/>
        <filter val="2000009727907392"/>
        <filter val="2000006635813437"/>
        <filter val="2000006617278557"/>
        <filter val="2000009907847776"/>
        <filter val="2000009761863254"/>
        <filter val="2000009745417416"/>
        <filter val="2000009763186596"/>
        <filter val="2000009857553462"/>
        <filter val="2000006621361755"/>
        <filter val="2000009807833212"/>
        <filter val="2000009913662928"/>
        <filter val="2000009791423916"/>
        <filter val="2000009720233032"/>
        <filter val="2000009741438384"/>
        <filter val="2000009715217920"/>
        <filter val="2000006639459463"/>
        <filter val="2000009720779584"/>
        <filter val="2000006590040493"/>
        <filter val="2000009930513198"/>
        <filter val="2000009784415178"/>
        <filter val="2000009783008282"/>
        <filter val="2000009986108688"/>
        <filter val="2000009847767608"/>
        <filter val="2000009838112188"/>
        <filter val="2000009780484184"/>
        <filter val="2000009896405136"/>
        <filter val="2000009807112538"/>
        <filter val="2000009929360156"/>
        <filter val="2000010003539484"/>
        <filter val="2000009979782328"/>
        <filter val="2000009867715332"/>
        <filter val="2000006587823983"/>
        <filter val="2000009880352772"/>
        <filter val="2000009747023916"/>
        <filter val="2000009906472108"/>
        <filter val="2000010012686278"/>
        <filter val="2000006583474503"/>
        <filter val="2000010005551556"/>
        <filter val="2000010011595448"/>
        <filter val="2000009774862688"/>
        <filter val="2000009870899448"/>
        <filter val="2000009722999480"/>
        <filter val="2000006659186311"/>
        <filter val="2000009870914688"/>
        <filter val="2000009928543908"/>
        <filter val="2000009788607820"/>
      </filters>
    </filterColumn>
  </autoFilter>
  <dataValidations>
    <dataValidation type="decimal" allowBlank="1" sqref="G2:L1783 S2:T1783">
      <formula1>-2.147483648E9</formula1>
      <formula2>2.147483647E9</formula2>
    </dataValidation>
  </dataValidations>
  <hyperlinks>
    <hyperlink r:id="rId1" location="source=excel" ref="A2"/>
    <hyperlink r:id="rId2" location="source=excel" ref="A3"/>
    <hyperlink r:id="rId3" location="source=excel" ref="A4"/>
    <hyperlink r:id="rId4" location="source=excel" ref="A5"/>
    <hyperlink r:id="rId5" location="source=excel" ref="A6"/>
    <hyperlink r:id="rId6" location="source=excel" ref="A7"/>
    <hyperlink r:id="rId7" location="source=excel" ref="A8"/>
    <hyperlink r:id="rId8" location="source=excel" ref="A9"/>
    <hyperlink r:id="rId9" location="source=excel" ref="A10"/>
    <hyperlink r:id="rId10" location="source=excel" ref="A11"/>
    <hyperlink r:id="rId11" location="source=excel" ref="A12"/>
    <hyperlink r:id="rId12" location="source=excel" ref="A13"/>
    <hyperlink r:id="rId13" location="source=excel" ref="A14"/>
    <hyperlink r:id="rId14" location="source=excel" ref="A15"/>
    <hyperlink r:id="rId15" location="source=excel" ref="A16"/>
    <hyperlink r:id="rId16" location="source=excel" ref="A17"/>
    <hyperlink r:id="rId17" location="source=excel" ref="A18"/>
    <hyperlink r:id="rId18" location="source=excel" ref="A19"/>
    <hyperlink r:id="rId19" location="source=excel" ref="A20"/>
    <hyperlink r:id="rId20" location="source=excel" ref="A21"/>
    <hyperlink r:id="rId21" location="source=excel" ref="A22"/>
    <hyperlink r:id="rId22" location="source=excel" ref="A23"/>
    <hyperlink r:id="rId23" location="source=excel" ref="A24"/>
    <hyperlink r:id="rId24" location="source=excel" ref="A25"/>
    <hyperlink r:id="rId25" location="source=excel" ref="A26"/>
    <hyperlink r:id="rId26" location="source=excel" ref="A27"/>
    <hyperlink r:id="rId27" location="source=excel" ref="A28"/>
    <hyperlink r:id="rId28" location="source=excel" ref="A29"/>
    <hyperlink r:id="rId29" location="source=excel" ref="A30"/>
    <hyperlink r:id="rId30" location="source=excel" ref="A31"/>
    <hyperlink r:id="rId31" location="source=excel" ref="A32"/>
    <hyperlink r:id="rId32" location="source=excel" ref="A33"/>
    <hyperlink r:id="rId33" location="source=excel" ref="A34"/>
    <hyperlink r:id="rId34" location="source=excel" ref="A35"/>
    <hyperlink r:id="rId35" location="source=excel" ref="A36"/>
    <hyperlink r:id="rId36" location="source=excel" ref="A37"/>
    <hyperlink r:id="rId37" location="source=excel" ref="A38"/>
    <hyperlink r:id="rId38" location="source=excel" ref="A39"/>
    <hyperlink r:id="rId39" location="source=excel" ref="A40"/>
    <hyperlink r:id="rId40" location="source=excel" ref="A41"/>
    <hyperlink r:id="rId41" location="source=excel" ref="A42"/>
    <hyperlink r:id="rId42" location="source=excel" ref="A43"/>
    <hyperlink r:id="rId43" location="source=excel" ref="A44"/>
    <hyperlink r:id="rId44" location="source=excel" ref="A45"/>
    <hyperlink r:id="rId45" location="source=excel" ref="A46"/>
    <hyperlink r:id="rId46" location="source=excel" ref="A47"/>
    <hyperlink r:id="rId47" location="source=excel" ref="A48"/>
    <hyperlink r:id="rId48" location="source=excel" ref="A49"/>
    <hyperlink r:id="rId49" location="source=excel" ref="A50"/>
    <hyperlink r:id="rId50" location="source=excel" ref="A51"/>
    <hyperlink r:id="rId51" location="source=excel" ref="A52"/>
    <hyperlink r:id="rId52" location="source=excel" ref="A53"/>
    <hyperlink r:id="rId53" location="source=excel" ref="A54"/>
    <hyperlink r:id="rId54" location="source=excel" ref="A55"/>
    <hyperlink r:id="rId55" location="source=excel" ref="A56"/>
    <hyperlink r:id="rId56" location="source=excel" ref="A57"/>
    <hyperlink r:id="rId57" location="source=excel" ref="A58"/>
    <hyperlink r:id="rId58" location="source=excel" ref="A59"/>
    <hyperlink r:id="rId59" location="source=excel" ref="A60"/>
    <hyperlink r:id="rId60" location="source=excel" ref="A61"/>
    <hyperlink r:id="rId61" location="source=excel" ref="A62"/>
    <hyperlink r:id="rId62" location="source=excel" ref="A63"/>
    <hyperlink r:id="rId63" location="source=excel" ref="A64"/>
    <hyperlink r:id="rId64" location="source=excel" ref="A65"/>
    <hyperlink r:id="rId65" location="source=excel" ref="A66"/>
    <hyperlink r:id="rId66" location="source=excel" ref="A67"/>
    <hyperlink r:id="rId67" location="source=excel" ref="A68"/>
    <hyperlink r:id="rId68" location="source=excel" ref="A69"/>
    <hyperlink r:id="rId69" location="source=excel" ref="A70"/>
    <hyperlink r:id="rId70" location="source=excel" ref="A71"/>
    <hyperlink r:id="rId71" location="source=excel" ref="A72"/>
    <hyperlink r:id="rId72" location="source=excel" ref="A73"/>
    <hyperlink r:id="rId73" location="source=excel" ref="A74"/>
    <hyperlink r:id="rId74" location="source=excel" ref="A75"/>
    <hyperlink r:id="rId75" location="source=excel" ref="A76"/>
    <hyperlink r:id="rId76" location="source=excel" ref="A77"/>
    <hyperlink r:id="rId77" location="source=excel" ref="A78"/>
    <hyperlink r:id="rId78" location="source=excel" ref="A79"/>
    <hyperlink r:id="rId79" location="source=excel" ref="A80"/>
    <hyperlink r:id="rId80" location="source=excel" ref="A81"/>
    <hyperlink r:id="rId81" location="source=excel" ref="A82"/>
    <hyperlink r:id="rId82" location="source=excel" ref="A83"/>
    <hyperlink r:id="rId83" location="source=excel" ref="A84"/>
    <hyperlink r:id="rId84" location="source=excel" ref="A85"/>
    <hyperlink r:id="rId85" location="source=excel" ref="A86"/>
    <hyperlink r:id="rId86" location="source=excel" ref="A87"/>
    <hyperlink r:id="rId87" location="source=excel" ref="A88"/>
    <hyperlink r:id="rId88" location="source=excel" ref="A89"/>
    <hyperlink r:id="rId89" location="source=excel" ref="A90"/>
    <hyperlink r:id="rId90" location="source=excel" ref="A91"/>
    <hyperlink r:id="rId91" location="source=excel" ref="A92"/>
    <hyperlink r:id="rId92" location="source=excel" ref="A93"/>
    <hyperlink r:id="rId93" location="source=excel" ref="A94"/>
    <hyperlink r:id="rId94" location="source=excel" ref="A95"/>
    <hyperlink r:id="rId95" location="source=excel" ref="A96"/>
    <hyperlink r:id="rId96" location="source=excel" ref="A97"/>
    <hyperlink r:id="rId97" location="source=excel" ref="A98"/>
    <hyperlink r:id="rId98" location="source=excel" ref="A99"/>
    <hyperlink r:id="rId99" location="source=excel" ref="A100"/>
    <hyperlink r:id="rId100" location="source=excel" ref="A101"/>
    <hyperlink r:id="rId101" location="source=excel" ref="A102"/>
    <hyperlink r:id="rId102" location="source=excel" ref="A103"/>
    <hyperlink r:id="rId103" location="source=excel" ref="A104"/>
    <hyperlink r:id="rId104" location="source=excel" ref="A105"/>
    <hyperlink r:id="rId105" location="source=excel" ref="A106"/>
    <hyperlink r:id="rId106" location="source=excel" ref="A107"/>
    <hyperlink r:id="rId107" location="source=excel" ref="A108"/>
    <hyperlink r:id="rId108" location="source=excel" ref="A109"/>
    <hyperlink r:id="rId109" location="source=excel" ref="A110"/>
    <hyperlink r:id="rId110" location="source=excel" ref="A111"/>
    <hyperlink r:id="rId111" location="source=excel" ref="A112"/>
    <hyperlink r:id="rId112" location="source=excel" ref="A113"/>
    <hyperlink r:id="rId113" location="source=excel" ref="A114"/>
    <hyperlink r:id="rId114" location="source=excel" ref="A115"/>
    <hyperlink r:id="rId115" location="source=excel" ref="A116"/>
    <hyperlink r:id="rId116" ref="AW116"/>
    <hyperlink r:id="rId117" location="source=excel" ref="A117"/>
    <hyperlink r:id="rId118" location="source=excel" ref="A118"/>
    <hyperlink r:id="rId119" location="source=excel" ref="A119"/>
    <hyperlink r:id="rId120" location="source=excel" ref="A120"/>
    <hyperlink r:id="rId121" location="source=excel" ref="A121"/>
    <hyperlink r:id="rId122" location="source=excel" ref="A122"/>
    <hyperlink r:id="rId123" location="source=excel" ref="A123"/>
    <hyperlink r:id="rId124" location="source=excel" ref="A124"/>
    <hyperlink r:id="rId125" location="source=excel" ref="A125"/>
    <hyperlink r:id="rId126" location="source=excel" ref="A126"/>
    <hyperlink r:id="rId127" location="source=excel" ref="A127"/>
    <hyperlink r:id="rId128" location="source=excel" ref="A128"/>
    <hyperlink r:id="rId129" location="source=excel" ref="A129"/>
    <hyperlink r:id="rId130" location="source=excel" ref="A130"/>
    <hyperlink r:id="rId131" location="source=excel" ref="A131"/>
    <hyperlink r:id="rId132" location="source=excel" ref="A132"/>
    <hyperlink r:id="rId133" location="source=excel" ref="A133"/>
    <hyperlink r:id="rId134" location="source=excel" ref="A134"/>
    <hyperlink r:id="rId135" location="source=excel" ref="A135"/>
    <hyperlink r:id="rId136" location="source=excel" ref="A136"/>
    <hyperlink r:id="rId137" location="source=excel" ref="A137"/>
    <hyperlink r:id="rId138" location="source=excel" ref="A138"/>
    <hyperlink r:id="rId139" location="source=excel" ref="A139"/>
    <hyperlink r:id="rId140" location="source=excel" ref="A140"/>
    <hyperlink r:id="rId141" location="source=excel" ref="A141"/>
    <hyperlink r:id="rId142" location="source=excel" ref="A142"/>
    <hyperlink r:id="rId143" location="source=excel" ref="A143"/>
    <hyperlink r:id="rId144" location="source=excel" ref="A144"/>
    <hyperlink r:id="rId145" location="source=excel" ref="A145"/>
    <hyperlink r:id="rId146" location="source=excel" ref="A146"/>
    <hyperlink r:id="rId147" location="source=excel" ref="A147"/>
    <hyperlink r:id="rId148" location="source=excel" ref="A148"/>
    <hyperlink r:id="rId149" location="source=excel" ref="A149"/>
    <hyperlink r:id="rId150" location="source=excel" ref="A150"/>
    <hyperlink r:id="rId151" location="source=excel" ref="A151"/>
    <hyperlink r:id="rId152" location="source=excel" ref="A152"/>
    <hyperlink r:id="rId153" location="source=excel" ref="A153"/>
    <hyperlink r:id="rId154" location="source=excel" ref="A154"/>
    <hyperlink r:id="rId155" location="source=excel" ref="A155"/>
    <hyperlink r:id="rId156" location="source=excel" ref="A156"/>
    <hyperlink r:id="rId157" location="source=excel" ref="A157"/>
    <hyperlink r:id="rId158" location="source=excel" ref="A158"/>
    <hyperlink r:id="rId159" location="source=excel" ref="A159"/>
    <hyperlink r:id="rId160" location="source=excel" ref="A160"/>
    <hyperlink r:id="rId161" location="source=excel" ref="A161"/>
    <hyperlink r:id="rId162" location="source=excel" ref="A162"/>
    <hyperlink r:id="rId163" location="source=excel" ref="A163"/>
    <hyperlink r:id="rId164" location="source=excel" ref="A164"/>
    <hyperlink r:id="rId165" location="source=excel" ref="A165"/>
    <hyperlink r:id="rId166" location="source=excel" ref="A166"/>
    <hyperlink r:id="rId167" location="source=excel" ref="A167"/>
    <hyperlink r:id="rId168" location="source=excel" ref="A168"/>
    <hyperlink r:id="rId169" location="source=excel" ref="A169"/>
    <hyperlink r:id="rId170" location="source=excel" ref="A170"/>
    <hyperlink r:id="rId171" location="source=excel" ref="A171"/>
    <hyperlink r:id="rId172" location="source=excel" ref="A172"/>
    <hyperlink r:id="rId173" location="source=excel" ref="A173"/>
    <hyperlink r:id="rId174" location="source=excel" ref="A174"/>
    <hyperlink r:id="rId175" location="source=excel" ref="A175"/>
    <hyperlink r:id="rId176" location="source=excel" ref="A176"/>
    <hyperlink r:id="rId177" location="source=excel" ref="A177"/>
    <hyperlink r:id="rId178" location="source=excel" ref="A178"/>
    <hyperlink r:id="rId179" location="source=excel" ref="A179"/>
    <hyperlink r:id="rId180" location="source=excel" ref="A180"/>
    <hyperlink r:id="rId181" location="source=excel" ref="A181"/>
    <hyperlink r:id="rId182" location="source=excel" ref="A182"/>
    <hyperlink r:id="rId183" location="source=excel" ref="A183"/>
    <hyperlink r:id="rId184" location="source=excel" ref="A184"/>
    <hyperlink r:id="rId185" location="source=excel" ref="A185"/>
    <hyperlink r:id="rId186" location="source=excel" ref="A186"/>
    <hyperlink r:id="rId187" location="source=excel" ref="A187"/>
    <hyperlink r:id="rId188" location="source=excel" ref="A188"/>
    <hyperlink r:id="rId189" location="source=excel" ref="A189"/>
    <hyperlink r:id="rId190" location="source=excel" ref="A190"/>
    <hyperlink r:id="rId191" location="source=excel" ref="A191"/>
    <hyperlink r:id="rId192" location="source=excel" ref="A192"/>
    <hyperlink r:id="rId193" location="source=excel" ref="A193"/>
    <hyperlink r:id="rId194" location="source=excel" ref="A194"/>
    <hyperlink r:id="rId195" location="source=excel" ref="A195"/>
    <hyperlink r:id="rId196" location="source=excel" ref="A196"/>
    <hyperlink r:id="rId197" location="source=excel" ref="A197"/>
    <hyperlink r:id="rId198" location="source=excel" ref="A198"/>
    <hyperlink r:id="rId199" location="source=excel" ref="A199"/>
    <hyperlink r:id="rId200" location="source=excel" ref="A200"/>
    <hyperlink r:id="rId201" location="source=excel" ref="A201"/>
    <hyperlink r:id="rId202" location="source=excel" ref="A202"/>
    <hyperlink r:id="rId203" location="source=excel" ref="A203"/>
    <hyperlink r:id="rId204" location="source=excel" ref="A204"/>
    <hyperlink r:id="rId205" location="source=excel" ref="A205"/>
    <hyperlink r:id="rId206" location="source=excel" ref="A206"/>
    <hyperlink r:id="rId207" location="source=excel" ref="A207"/>
    <hyperlink r:id="rId208" location="source=excel" ref="A208"/>
    <hyperlink r:id="rId209" location="source=excel" ref="A209"/>
    <hyperlink r:id="rId210" location="source=excel" ref="A210"/>
    <hyperlink r:id="rId211" location="source=excel" ref="A211"/>
    <hyperlink r:id="rId212" location="source=excel" ref="A212"/>
    <hyperlink r:id="rId213" location="source=excel" ref="A213"/>
    <hyperlink r:id="rId214" location="source=excel" ref="A214"/>
    <hyperlink r:id="rId215" location="source=excel" ref="A215"/>
    <hyperlink r:id="rId216" location="source=excel" ref="A216"/>
    <hyperlink r:id="rId217" location="source=excel" ref="A217"/>
    <hyperlink r:id="rId218" location="source=excel" ref="A218"/>
    <hyperlink r:id="rId219" location="source=excel" ref="A219"/>
    <hyperlink r:id="rId220" location="source=excel" ref="A220"/>
    <hyperlink r:id="rId221" location="source=excel" ref="A221"/>
    <hyperlink r:id="rId222" location="source=excel" ref="A222"/>
    <hyperlink r:id="rId223" location="source=excel" ref="A223"/>
    <hyperlink r:id="rId224" location="source=excel" ref="A224"/>
    <hyperlink r:id="rId225" location="source=excel" ref="A225"/>
    <hyperlink r:id="rId226" location="source=excel" ref="A226"/>
    <hyperlink r:id="rId227" location="source=excel" ref="A227"/>
    <hyperlink r:id="rId228" location="source=excel" ref="A228"/>
    <hyperlink r:id="rId229" location="source=excel" ref="A229"/>
    <hyperlink r:id="rId230" location="source=excel" ref="A230"/>
    <hyperlink r:id="rId231" location="source=excel" ref="A231"/>
    <hyperlink r:id="rId232" location="source=excel" ref="A232"/>
    <hyperlink r:id="rId233" location="source=excel" ref="A233"/>
    <hyperlink r:id="rId234" location="source=excel" ref="A234"/>
    <hyperlink r:id="rId235" location="source=excel" ref="A235"/>
    <hyperlink r:id="rId236" location="source=excel" ref="A236"/>
    <hyperlink r:id="rId237" location="source=excel" ref="A237"/>
    <hyperlink r:id="rId238" location="source=excel" ref="A238"/>
    <hyperlink r:id="rId239" location="source=excel" ref="A239"/>
    <hyperlink r:id="rId240" location="source=excel" ref="A240"/>
    <hyperlink r:id="rId241" location="source=excel" ref="A241"/>
    <hyperlink r:id="rId242" location="source=excel" ref="A242"/>
    <hyperlink r:id="rId243" location="source=excel" ref="A243"/>
    <hyperlink r:id="rId244" location="source=excel" ref="A244"/>
    <hyperlink r:id="rId245" location="source=excel" ref="A245"/>
    <hyperlink r:id="rId246" location="source=excel" ref="A246"/>
    <hyperlink r:id="rId247" location="source=excel" ref="A247"/>
    <hyperlink r:id="rId248" location="source=excel" ref="A248"/>
    <hyperlink r:id="rId249" location="source=excel" ref="A249"/>
    <hyperlink r:id="rId250" location="source=excel" ref="A250"/>
    <hyperlink r:id="rId251" location="source=excel" ref="A251"/>
    <hyperlink r:id="rId252" location="source=excel" ref="A252"/>
    <hyperlink r:id="rId253" location="source=excel" ref="A253"/>
    <hyperlink r:id="rId254" location="source=excel" ref="A254"/>
    <hyperlink r:id="rId255" location="source=excel" ref="A255"/>
    <hyperlink r:id="rId256" location="source=excel" ref="A256"/>
    <hyperlink r:id="rId257" location="source=excel" ref="A257"/>
    <hyperlink r:id="rId258" location="source=excel" ref="A258"/>
    <hyperlink r:id="rId259" location="source=excel" ref="A259"/>
    <hyperlink r:id="rId260" location="source=excel" ref="A260"/>
    <hyperlink r:id="rId261" location="source=excel" ref="A261"/>
    <hyperlink r:id="rId262" location="source=excel" ref="A262"/>
    <hyperlink r:id="rId263" location="source=excel" ref="A263"/>
    <hyperlink r:id="rId264" location="source=excel" ref="A264"/>
    <hyperlink r:id="rId265" location="source=excel" ref="A265"/>
    <hyperlink r:id="rId266" location="source=excel" ref="A266"/>
    <hyperlink r:id="rId267" location="source=excel" ref="A267"/>
    <hyperlink r:id="rId268" location="source=excel" ref="A268"/>
    <hyperlink r:id="rId269" location="source=excel" ref="A269"/>
    <hyperlink r:id="rId270" location="source=excel" ref="A270"/>
    <hyperlink r:id="rId271" location="source=excel" ref="A271"/>
    <hyperlink r:id="rId272" location="source=excel" ref="A272"/>
    <hyperlink r:id="rId273" location="source=excel" ref="A273"/>
    <hyperlink r:id="rId274" location="source=excel" ref="A274"/>
    <hyperlink r:id="rId275" location="source=excel" ref="A275"/>
    <hyperlink r:id="rId276" location="source=excel" ref="A276"/>
    <hyperlink r:id="rId277" location="source=excel" ref="A277"/>
    <hyperlink r:id="rId278" location="source=excel" ref="A278"/>
    <hyperlink r:id="rId279" location="source=excel" ref="A279"/>
    <hyperlink r:id="rId280" location="source=excel" ref="A280"/>
    <hyperlink r:id="rId281" location="source=excel" ref="A281"/>
    <hyperlink r:id="rId282" location="source=excel" ref="A282"/>
    <hyperlink r:id="rId283" location="source=excel" ref="A283"/>
    <hyperlink r:id="rId284" location="source=excel" ref="A284"/>
    <hyperlink r:id="rId285" location="source=excel" ref="A285"/>
    <hyperlink r:id="rId286" location="source=excel" ref="A286"/>
    <hyperlink r:id="rId287" location="source=excel" ref="A287"/>
    <hyperlink r:id="rId288" location="source=excel" ref="A288"/>
    <hyperlink r:id="rId289" location="source=excel" ref="A289"/>
    <hyperlink r:id="rId290" location="source=excel" ref="A290"/>
    <hyperlink r:id="rId291" location="source=excel" ref="A291"/>
    <hyperlink r:id="rId292" location="source=excel" ref="A292"/>
    <hyperlink r:id="rId293" location="source=excel" ref="A293"/>
    <hyperlink r:id="rId294" location="source=excel" ref="A294"/>
    <hyperlink r:id="rId295" location="source=excel" ref="A295"/>
    <hyperlink r:id="rId296" location="source=excel" ref="A296"/>
    <hyperlink r:id="rId297" location="source=excel" ref="A297"/>
    <hyperlink r:id="rId298" location="source=excel" ref="A298"/>
    <hyperlink r:id="rId299" location="source=excel" ref="A299"/>
    <hyperlink r:id="rId300" location="source=excel" ref="A300"/>
    <hyperlink r:id="rId301" location="source=excel" ref="A301"/>
    <hyperlink r:id="rId302" location="source=excel" ref="A302"/>
    <hyperlink r:id="rId303" location="source=excel" ref="A303"/>
    <hyperlink r:id="rId304" location="source=excel" ref="A304"/>
    <hyperlink r:id="rId305" location="source=excel" ref="A305"/>
    <hyperlink r:id="rId306" location="source=excel" ref="A306"/>
    <hyperlink r:id="rId307" location="source=excel" ref="A307"/>
    <hyperlink r:id="rId308" location="source=excel" ref="A308"/>
    <hyperlink r:id="rId309" location="source=excel" ref="A309"/>
    <hyperlink r:id="rId310" location="source=excel" ref="A310"/>
    <hyperlink r:id="rId311" location="source=excel" ref="A311"/>
    <hyperlink r:id="rId312" location="source=excel" ref="A312"/>
    <hyperlink r:id="rId313" location="source=excel" ref="A313"/>
    <hyperlink r:id="rId314" location="source=excel" ref="A314"/>
    <hyperlink r:id="rId315" location="source=excel" ref="A315"/>
    <hyperlink r:id="rId316" location="source=excel" ref="A316"/>
    <hyperlink r:id="rId317" location="source=excel" ref="A317"/>
    <hyperlink r:id="rId318" location="source=excel" ref="A318"/>
    <hyperlink r:id="rId319" location="source=excel" ref="A319"/>
    <hyperlink r:id="rId320" location="source=excel" ref="A320"/>
    <hyperlink r:id="rId321" location="source=excel" ref="A321"/>
    <hyperlink r:id="rId322" location="source=excel" ref="A322"/>
    <hyperlink r:id="rId323" location="source=excel" ref="A323"/>
    <hyperlink r:id="rId324" location="source=excel" ref="A324"/>
    <hyperlink r:id="rId325" location="source=excel" ref="A325"/>
    <hyperlink r:id="rId326" location="source=excel" ref="A326"/>
    <hyperlink r:id="rId327" location="source=excel" ref="A327"/>
    <hyperlink r:id="rId328" location="source=excel" ref="A328"/>
    <hyperlink r:id="rId329" location="source=excel" ref="A329"/>
    <hyperlink r:id="rId330" location="source=excel" ref="A330"/>
    <hyperlink r:id="rId331" location="source=excel" ref="A331"/>
    <hyperlink r:id="rId332" location="source=excel" ref="A332"/>
    <hyperlink r:id="rId333" location="source=excel" ref="A333"/>
    <hyperlink r:id="rId334" location="source=excel" ref="A334"/>
    <hyperlink r:id="rId335" location="source=excel" ref="A335"/>
    <hyperlink r:id="rId336" location="source=excel" ref="A336"/>
    <hyperlink r:id="rId337" location="source=excel" ref="A337"/>
    <hyperlink r:id="rId338" location="source=excel" ref="A338"/>
    <hyperlink r:id="rId339" location="source=excel" ref="A339"/>
    <hyperlink r:id="rId340" location="source=excel" ref="A340"/>
    <hyperlink r:id="rId341" location="source=excel" ref="A341"/>
    <hyperlink r:id="rId342" location="source=excel" ref="A342"/>
    <hyperlink r:id="rId343" location="source=excel" ref="A343"/>
    <hyperlink r:id="rId344" location="source=excel" ref="A344"/>
    <hyperlink r:id="rId345" location="source=excel" ref="A345"/>
    <hyperlink r:id="rId346" location="source=excel" ref="A346"/>
    <hyperlink r:id="rId347" location="source=excel" ref="A347"/>
    <hyperlink r:id="rId348" location="source=excel" ref="A348"/>
    <hyperlink r:id="rId349" location="source=excel" ref="A349"/>
    <hyperlink r:id="rId350" location="source=excel" ref="A350"/>
    <hyperlink r:id="rId351" location="source=excel" ref="A351"/>
    <hyperlink r:id="rId352" location="source=excel" ref="A352"/>
    <hyperlink r:id="rId353" location="source=excel" ref="A353"/>
    <hyperlink r:id="rId354" location="source=excel" ref="A354"/>
    <hyperlink r:id="rId355" location="source=excel" ref="A355"/>
    <hyperlink r:id="rId356" location="source=excel" ref="A356"/>
    <hyperlink r:id="rId357" location="source=excel" ref="A357"/>
    <hyperlink r:id="rId358" location="source=excel" ref="A358"/>
    <hyperlink r:id="rId359" location="source=excel" ref="A359"/>
    <hyperlink r:id="rId360" location="source=excel" ref="A360"/>
    <hyperlink r:id="rId361" location="source=excel" ref="A361"/>
    <hyperlink r:id="rId362" location="source=excel" ref="A362"/>
    <hyperlink r:id="rId363" location="source=excel" ref="A363"/>
    <hyperlink r:id="rId364" location="source=excel" ref="A364"/>
    <hyperlink r:id="rId365" location="source=excel" ref="A365"/>
    <hyperlink r:id="rId366" location="source=excel" ref="A366"/>
    <hyperlink r:id="rId367" location="source=excel" ref="A367"/>
    <hyperlink r:id="rId368" location="source=excel" ref="A368"/>
    <hyperlink r:id="rId369" location="source=excel" ref="A369"/>
    <hyperlink r:id="rId370" location="source=excel" ref="A370"/>
    <hyperlink r:id="rId371" location="source=excel" ref="A371"/>
    <hyperlink r:id="rId372" location="source=excel" ref="A372"/>
    <hyperlink r:id="rId373" location="source=excel" ref="A373"/>
    <hyperlink r:id="rId374" location="source=excel" ref="A374"/>
    <hyperlink r:id="rId375" location="source=excel" ref="A375"/>
    <hyperlink r:id="rId376" location="source=excel" ref="A376"/>
    <hyperlink r:id="rId377" location="source=excel" ref="A377"/>
    <hyperlink r:id="rId378" location="source=excel" ref="A378"/>
    <hyperlink r:id="rId379" location="source=excel" ref="A379"/>
    <hyperlink r:id="rId380" location="source=excel" ref="A380"/>
    <hyperlink r:id="rId381" location="source=excel" ref="A381"/>
    <hyperlink r:id="rId382" location="source=excel" ref="A382"/>
    <hyperlink r:id="rId383" location="source=excel" ref="A383"/>
    <hyperlink r:id="rId384" location="source=excel" ref="A384"/>
    <hyperlink r:id="rId385" location="source=excel" ref="A385"/>
    <hyperlink r:id="rId386" location="source=excel" ref="A386"/>
    <hyperlink r:id="rId387" location="source=excel" ref="A387"/>
    <hyperlink r:id="rId388" location="source=excel" ref="A388"/>
    <hyperlink r:id="rId389" location="source=excel" ref="A389"/>
    <hyperlink r:id="rId390" location="source=excel" ref="A390"/>
    <hyperlink r:id="rId391" location="source=excel" ref="A391"/>
    <hyperlink r:id="rId392" location="source=excel" ref="A392"/>
    <hyperlink r:id="rId393" location="source=excel" ref="A393"/>
    <hyperlink r:id="rId394" location="source=excel" ref="A394"/>
    <hyperlink r:id="rId395" location="source=excel" ref="A395"/>
    <hyperlink r:id="rId396" location="source=excel" ref="A396"/>
    <hyperlink r:id="rId397" location="source=excel" ref="A397"/>
    <hyperlink r:id="rId398" location="source=excel" ref="A398"/>
    <hyperlink r:id="rId399" location="source=excel" ref="A399"/>
    <hyperlink r:id="rId400" location="source=excel" ref="A400"/>
    <hyperlink r:id="rId401" location="source=excel" ref="A401"/>
    <hyperlink r:id="rId402" location="source=excel" ref="A402"/>
    <hyperlink r:id="rId403" location="source=excel" ref="A403"/>
    <hyperlink r:id="rId404" location="source=excel" ref="A404"/>
    <hyperlink r:id="rId405" location="source=excel" ref="A405"/>
    <hyperlink r:id="rId406" location="source=excel" ref="A406"/>
    <hyperlink r:id="rId407" location="source=excel" ref="A407"/>
    <hyperlink r:id="rId408" location="source=excel" ref="A408"/>
    <hyperlink r:id="rId409" location="source=excel" ref="A409"/>
    <hyperlink r:id="rId410" location="source=excel" ref="A410"/>
    <hyperlink r:id="rId411" location="source=excel" ref="A411"/>
    <hyperlink r:id="rId412" location="source=excel" ref="A412"/>
    <hyperlink r:id="rId413" location="source=excel" ref="A413"/>
    <hyperlink r:id="rId414" location="source=excel" ref="A414"/>
    <hyperlink r:id="rId415" location="source=excel" ref="A415"/>
    <hyperlink r:id="rId416" location="source=excel" ref="A416"/>
    <hyperlink r:id="rId417" location="source=excel" ref="A417"/>
    <hyperlink r:id="rId418" location="source=excel" ref="A418"/>
    <hyperlink r:id="rId419" location="source=excel" ref="A419"/>
    <hyperlink r:id="rId420" location="source=excel" ref="A420"/>
    <hyperlink r:id="rId421" location="source=excel" ref="A421"/>
    <hyperlink r:id="rId422" location="source=excel" ref="A422"/>
    <hyperlink r:id="rId423" location="source=excel" ref="A423"/>
    <hyperlink r:id="rId424" location="source=excel" ref="A424"/>
    <hyperlink r:id="rId425" location="source=excel" ref="A425"/>
    <hyperlink r:id="rId426" location="source=excel" ref="A426"/>
    <hyperlink r:id="rId427" location="source=excel" ref="A427"/>
    <hyperlink r:id="rId428" location="source=excel" ref="A428"/>
    <hyperlink r:id="rId429" location="source=excel" ref="A429"/>
    <hyperlink r:id="rId430" location="source=excel" ref="A430"/>
    <hyperlink r:id="rId431" location="source=excel" ref="A431"/>
    <hyperlink r:id="rId432" location="source=excel" ref="A432"/>
    <hyperlink r:id="rId433" location="source=excel" ref="A433"/>
    <hyperlink r:id="rId434" location="source=excel" ref="A434"/>
    <hyperlink r:id="rId435" location="source=excel" ref="A435"/>
    <hyperlink r:id="rId436" location="source=excel" ref="A436"/>
    <hyperlink r:id="rId437" location="source=excel" ref="A437"/>
    <hyperlink r:id="rId438" location="source=excel" ref="A438"/>
    <hyperlink r:id="rId439" location="source=excel" ref="A439"/>
    <hyperlink r:id="rId440" location="source=excel" ref="A440"/>
    <hyperlink r:id="rId441" location="source=excel" ref="A441"/>
    <hyperlink r:id="rId442" location="source=excel" ref="A442"/>
    <hyperlink r:id="rId443" location="source=excel" ref="A443"/>
    <hyperlink r:id="rId444" location="source=excel" ref="A444"/>
    <hyperlink r:id="rId445" location="source=excel" ref="A445"/>
    <hyperlink r:id="rId446" location="source=excel" ref="A446"/>
    <hyperlink r:id="rId447" location="source=excel" ref="A447"/>
    <hyperlink r:id="rId448" location="source=excel" ref="A448"/>
    <hyperlink r:id="rId449" location="source=excel" ref="A449"/>
    <hyperlink r:id="rId450" location="source=excel" ref="A450"/>
    <hyperlink r:id="rId451" location="source=excel" ref="A451"/>
    <hyperlink r:id="rId452" location="source=excel" ref="A452"/>
    <hyperlink r:id="rId453" location="source=excel" ref="A453"/>
    <hyperlink r:id="rId454" location="source=excel" ref="A454"/>
    <hyperlink r:id="rId455" location="source=excel" ref="A455"/>
    <hyperlink r:id="rId456" location="source=excel" ref="A456"/>
    <hyperlink r:id="rId457" location="source=excel" ref="A457"/>
    <hyperlink r:id="rId458" location="source=excel" ref="A458"/>
    <hyperlink r:id="rId459" location="source=excel" ref="A459"/>
    <hyperlink r:id="rId460" location="source=excel" ref="A460"/>
    <hyperlink r:id="rId461" location="source=excel" ref="A461"/>
    <hyperlink r:id="rId462" location="source=excel" ref="A462"/>
    <hyperlink r:id="rId463" location="source=excel" ref="A463"/>
    <hyperlink r:id="rId464" location="source=excel" ref="A464"/>
    <hyperlink r:id="rId465" location="source=excel" ref="A465"/>
    <hyperlink r:id="rId466" location="source=excel" ref="A466"/>
    <hyperlink r:id="rId467" location="source=excel" ref="A467"/>
    <hyperlink r:id="rId468" location="source=excel" ref="A468"/>
    <hyperlink r:id="rId469" location="source=excel" ref="A469"/>
    <hyperlink r:id="rId470" location="source=excel" ref="A470"/>
    <hyperlink r:id="rId471" location="source=excel" ref="A471"/>
    <hyperlink r:id="rId472" location="source=excel" ref="A472"/>
    <hyperlink r:id="rId473" location="source=excel" ref="A473"/>
    <hyperlink r:id="rId474" location="source=excel" ref="A474"/>
    <hyperlink r:id="rId475" location="source=excel" ref="A475"/>
    <hyperlink r:id="rId476" location="source=excel" ref="A476"/>
    <hyperlink r:id="rId477" location="source=excel" ref="A477"/>
    <hyperlink r:id="rId478" location="source=excel" ref="A478"/>
    <hyperlink r:id="rId479" location="source=excel" ref="A479"/>
    <hyperlink r:id="rId480" location="source=excel" ref="A480"/>
    <hyperlink r:id="rId481" location="source=excel" ref="A481"/>
    <hyperlink r:id="rId482" location="source=excel" ref="A482"/>
    <hyperlink r:id="rId483" location="source=excel" ref="A483"/>
    <hyperlink r:id="rId484" location="source=excel" ref="A484"/>
    <hyperlink r:id="rId485" location="source=excel" ref="A485"/>
    <hyperlink r:id="rId486" location="source=excel" ref="A486"/>
    <hyperlink r:id="rId487" location="source=excel" ref="A487"/>
    <hyperlink r:id="rId488" location="source=excel" ref="A488"/>
    <hyperlink r:id="rId489" location="source=excel" ref="A489"/>
    <hyperlink r:id="rId490" location="source=excel" ref="A490"/>
    <hyperlink r:id="rId491" location="source=excel" ref="A491"/>
    <hyperlink r:id="rId492" location="source=excel" ref="A492"/>
    <hyperlink r:id="rId493" location="source=excel" ref="A493"/>
    <hyperlink r:id="rId494" location="source=excel" ref="A494"/>
    <hyperlink r:id="rId495" location="source=excel" ref="A495"/>
    <hyperlink r:id="rId496" location="source=excel" ref="A496"/>
    <hyperlink r:id="rId497" location="source=excel" ref="A497"/>
    <hyperlink r:id="rId498" location="source=excel" ref="A498"/>
    <hyperlink r:id="rId499" location="source=excel" ref="A499"/>
    <hyperlink r:id="rId500" location="source=excel" ref="A500"/>
    <hyperlink r:id="rId501" location="source=excel" ref="A501"/>
    <hyperlink r:id="rId502" location="source=excel" ref="A502"/>
    <hyperlink r:id="rId503" location="source=excel" ref="A503"/>
    <hyperlink r:id="rId504" location="source=excel" ref="A504"/>
    <hyperlink r:id="rId505" location="source=excel" ref="A505"/>
    <hyperlink r:id="rId506" location="source=excel" ref="A506"/>
    <hyperlink r:id="rId507" location="source=excel" ref="A507"/>
    <hyperlink r:id="rId508" location="source=excel" ref="A508"/>
    <hyperlink r:id="rId509" location="source=excel" ref="A509"/>
    <hyperlink r:id="rId510" location="source=excel" ref="A510"/>
    <hyperlink r:id="rId511" location="source=excel" ref="A511"/>
    <hyperlink r:id="rId512" location="source=excel" ref="A512"/>
    <hyperlink r:id="rId513" location="source=excel" ref="A513"/>
    <hyperlink r:id="rId514" location="source=excel" ref="A514"/>
    <hyperlink r:id="rId515" location="source=excel" ref="A515"/>
    <hyperlink r:id="rId516" location="source=excel" ref="A516"/>
    <hyperlink r:id="rId517" location="source=excel" ref="A517"/>
    <hyperlink r:id="rId518" location="source=excel" ref="A518"/>
    <hyperlink r:id="rId519" location="source=excel" ref="A519"/>
    <hyperlink r:id="rId520" location="source=excel" ref="A520"/>
    <hyperlink r:id="rId521" location="source=excel" ref="A521"/>
    <hyperlink r:id="rId522" location="source=excel" ref="A522"/>
    <hyperlink r:id="rId523" location="source=excel" ref="A523"/>
    <hyperlink r:id="rId524" location="source=excel" ref="A524"/>
    <hyperlink r:id="rId525" location="source=excel" ref="A525"/>
    <hyperlink r:id="rId526" location="source=excel" ref="A526"/>
    <hyperlink r:id="rId527" location="source=excel" ref="A527"/>
    <hyperlink r:id="rId528" location="source=excel" ref="A528"/>
    <hyperlink r:id="rId529" location="source=excel" ref="A529"/>
    <hyperlink r:id="rId530" location="source=excel" ref="A530"/>
    <hyperlink r:id="rId531" location="source=excel" ref="A531"/>
    <hyperlink r:id="rId532" location="source=excel" ref="A532"/>
    <hyperlink r:id="rId533" location="source=excel" ref="A533"/>
    <hyperlink r:id="rId534" location="source=excel" ref="A534"/>
    <hyperlink r:id="rId535" location="source=excel" ref="A535"/>
    <hyperlink r:id="rId536" location="source=excel" ref="A536"/>
    <hyperlink r:id="rId537" location="source=excel" ref="A537"/>
    <hyperlink r:id="rId538" location="source=excel" ref="A538"/>
    <hyperlink r:id="rId539" location="source=excel" ref="A539"/>
    <hyperlink r:id="rId540" location="source=excel" ref="A540"/>
    <hyperlink r:id="rId541" location="source=excel" ref="A541"/>
    <hyperlink r:id="rId542" location="source=excel" ref="A542"/>
    <hyperlink r:id="rId543" location="source=excel" ref="A543"/>
    <hyperlink r:id="rId544" location="source=excel" ref="A544"/>
    <hyperlink r:id="rId545" location="source=excel" ref="A545"/>
    <hyperlink r:id="rId546" location="source=excel" ref="A546"/>
    <hyperlink r:id="rId547" location="source=excel" ref="A547"/>
    <hyperlink r:id="rId548" location="source=excel" ref="A548"/>
    <hyperlink r:id="rId549" location="source=excel" ref="A549"/>
    <hyperlink r:id="rId550" location="source=excel" ref="A550"/>
    <hyperlink r:id="rId551" location="source=excel" ref="A551"/>
    <hyperlink r:id="rId552" location="source=excel" ref="A552"/>
    <hyperlink r:id="rId553" location="source=excel" ref="A553"/>
    <hyperlink r:id="rId554" location="source=excel" ref="A554"/>
    <hyperlink r:id="rId555" location="source=excel" ref="A555"/>
    <hyperlink r:id="rId556" location="source=excel" ref="A556"/>
    <hyperlink r:id="rId557" location="source=excel" ref="A557"/>
    <hyperlink r:id="rId558" location="source=excel" ref="A558"/>
    <hyperlink r:id="rId559" location="source=excel" ref="A559"/>
    <hyperlink r:id="rId560" location="source=excel" ref="A560"/>
    <hyperlink r:id="rId561" location="source=excel" ref="A561"/>
    <hyperlink r:id="rId562" location="source=excel" ref="A562"/>
    <hyperlink r:id="rId563" location="source=excel" ref="A563"/>
    <hyperlink r:id="rId564" location="source=excel" ref="A564"/>
    <hyperlink r:id="rId565" location="source=excel" ref="A565"/>
    <hyperlink r:id="rId566" location="source=excel" ref="A566"/>
    <hyperlink r:id="rId567" location="source=excel" ref="A567"/>
    <hyperlink r:id="rId568" location="source=excel" ref="A568"/>
    <hyperlink r:id="rId569" location="source=excel" ref="A569"/>
    <hyperlink r:id="rId570" location="source=excel" ref="A570"/>
    <hyperlink r:id="rId571" location="source=excel" ref="A571"/>
    <hyperlink r:id="rId572" location="source=excel" ref="A572"/>
    <hyperlink r:id="rId573" location="source=excel" ref="A573"/>
    <hyperlink r:id="rId574" location="source=excel" ref="A574"/>
    <hyperlink r:id="rId575" location="source=excel" ref="A575"/>
    <hyperlink r:id="rId576" location="source=excel" ref="A576"/>
    <hyperlink r:id="rId577" location="source=excel" ref="A577"/>
    <hyperlink r:id="rId578" location="source=excel" ref="A578"/>
    <hyperlink r:id="rId579" location="source=excel" ref="A579"/>
    <hyperlink r:id="rId580" location="source=excel" ref="A580"/>
    <hyperlink r:id="rId581" location="source=excel" ref="A581"/>
    <hyperlink r:id="rId582" location="source=excel" ref="A582"/>
    <hyperlink r:id="rId583" location="source=excel" ref="A583"/>
    <hyperlink r:id="rId584" location="source=excel" ref="A584"/>
    <hyperlink r:id="rId585" location="source=excel" ref="A585"/>
    <hyperlink r:id="rId586" location="source=excel" ref="A586"/>
    <hyperlink r:id="rId587" location="source=excel" ref="A587"/>
    <hyperlink r:id="rId588" location="source=excel" ref="A588"/>
    <hyperlink r:id="rId589" location="source=excel" ref="A589"/>
    <hyperlink r:id="rId590" location="source=excel" ref="A590"/>
    <hyperlink r:id="rId591" location="source=excel" ref="A591"/>
    <hyperlink r:id="rId592" location="source=excel" ref="A592"/>
    <hyperlink r:id="rId593" location="source=excel" ref="A593"/>
    <hyperlink r:id="rId594" location="source=excel" ref="A594"/>
    <hyperlink r:id="rId595" location="source=excel" ref="A595"/>
    <hyperlink r:id="rId596" location="source=excel" ref="A596"/>
    <hyperlink r:id="rId597" location="source=excel" ref="A597"/>
    <hyperlink r:id="rId598" location="source=excel" ref="A598"/>
    <hyperlink r:id="rId599" location="source=excel" ref="A599"/>
    <hyperlink r:id="rId600" location="source=excel" ref="A600"/>
    <hyperlink r:id="rId601" location="source=excel" ref="A601"/>
    <hyperlink r:id="rId602" location="source=excel" ref="A602"/>
    <hyperlink r:id="rId603" location="source=excel" ref="A603"/>
    <hyperlink r:id="rId604" location="source=excel" ref="A604"/>
    <hyperlink r:id="rId605" location="source=excel" ref="A605"/>
    <hyperlink r:id="rId606" location="source=excel" ref="A606"/>
    <hyperlink r:id="rId607" location="source=excel" ref="A607"/>
    <hyperlink r:id="rId608" location="source=excel" ref="A608"/>
    <hyperlink r:id="rId609" location="source=excel" ref="A609"/>
    <hyperlink r:id="rId610" location="source=excel" ref="A610"/>
    <hyperlink r:id="rId611" location="source=excel" ref="A611"/>
    <hyperlink r:id="rId612" location="source=excel" ref="A612"/>
    <hyperlink r:id="rId613" location="source=excel" ref="A613"/>
    <hyperlink r:id="rId614" location="source=excel" ref="A614"/>
    <hyperlink r:id="rId615" location="source=excel" ref="A615"/>
    <hyperlink r:id="rId616" location="source=excel" ref="A616"/>
    <hyperlink r:id="rId617" location="source=excel" ref="A617"/>
    <hyperlink r:id="rId618" location="source=excel" ref="A618"/>
    <hyperlink r:id="rId619" location="source=excel" ref="A619"/>
    <hyperlink r:id="rId620" location="source=excel" ref="A620"/>
    <hyperlink r:id="rId621" location="source=excel" ref="A621"/>
    <hyperlink r:id="rId622" location="source=excel" ref="A622"/>
    <hyperlink r:id="rId623" location="source=excel" ref="A623"/>
    <hyperlink r:id="rId624" location="source=excel" ref="A624"/>
    <hyperlink r:id="rId625" location="source=excel" ref="A625"/>
    <hyperlink r:id="rId626" location="source=excel" ref="A626"/>
    <hyperlink r:id="rId627" location="source=excel" ref="A627"/>
    <hyperlink r:id="rId628" location="source=excel" ref="A628"/>
    <hyperlink r:id="rId629" location="source=excel" ref="A629"/>
    <hyperlink r:id="rId630" location="source=excel" ref="A630"/>
    <hyperlink r:id="rId631" location="source=excel" ref="A631"/>
    <hyperlink r:id="rId632" ref="AW631"/>
    <hyperlink r:id="rId633" location="source=excel" ref="A632"/>
    <hyperlink r:id="rId634" ref="AW632"/>
    <hyperlink r:id="rId635" location="source=excel" ref="A633"/>
    <hyperlink r:id="rId636" location="source=excel" ref="A634"/>
    <hyperlink r:id="rId637" location="source=excel" ref="A635"/>
    <hyperlink r:id="rId638" location="source=excel" ref="A636"/>
    <hyperlink r:id="rId639" location="source=excel" ref="A637"/>
    <hyperlink r:id="rId640" location="source=excel" ref="A638"/>
    <hyperlink r:id="rId641" location="source=excel" ref="A639"/>
    <hyperlink r:id="rId642" location="source=excel" ref="A640"/>
    <hyperlink r:id="rId643" location="source=excel" ref="A641"/>
    <hyperlink r:id="rId644" location="source=excel" ref="A642"/>
    <hyperlink r:id="rId645" location="source=excel" ref="A643"/>
    <hyperlink r:id="rId646" location="source=excel" ref="A644"/>
    <hyperlink r:id="rId647" location="source=excel" ref="A645"/>
    <hyperlink r:id="rId648" location="source=excel" ref="A646"/>
    <hyperlink r:id="rId649" location="source=excel" ref="A647"/>
    <hyperlink r:id="rId650" location="source=excel" ref="A648"/>
    <hyperlink r:id="rId651" location="source=excel" ref="A649"/>
    <hyperlink r:id="rId652" location="source=excel" ref="A650"/>
    <hyperlink r:id="rId653" location="source=excel" ref="A651"/>
    <hyperlink r:id="rId654" location="source=excel" ref="A652"/>
    <hyperlink r:id="rId655" location="source=excel" ref="A653"/>
    <hyperlink r:id="rId656" location="source=excel" ref="A654"/>
    <hyperlink r:id="rId657" location="source=excel" ref="A655"/>
    <hyperlink r:id="rId658" location="source=excel" ref="A656"/>
    <hyperlink r:id="rId659" location="source=excel" ref="A657"/>
    <hyperlink r:id="rId660" location="source=excel" ref="A658"/>
    <hyperlink r:id="rId661" location="source=excel" ref="A659"/>
    <hyperlink r:id="rId662" location="source=excel" ref="A660"/>
    <hyperlink r:id="rId663" location="source=excel" ref="A661"/>
    <hyperlink r:id="rId664" location="source=excel" ref="A662"/>
    <hyperlink r:id="rId665" location="source=excel" ref="A663"/>
    <hyperlink r:id="rId666" location="source=excel" ref="A664"/>
    <hyperlink r:id="rId667" location="source=excel" ref="A665"/>
    <hyperlink r:id="rId668" location="source=excel" ref="A666"/>
    <hyperlink r:id="rId669" location="source=excel" ref="A667"/>
    <hyperlink r:id="rId670" location="source=excel" ref="A668"/>
    <hyperlink r:id="rId671" location="source=excel" ref="A669"/>
    <hyperlink r:id="rId672" location="source=excel" ref="A670"/>
    <hyperlink r:id="rId673" location="source=excel" ref="A671"/>
    <hyperlink r:id="rId674" location="source=excel" ref="A672"/>
    <hyperlink r:id="rId675" location="source=excel" ref="A673"/>
    <hyperlink r:id="rId676" location="source=excel" ref="A674"/>
    <hyperlink r:id="rId677" location="source=excel" ref="A675"/>
    <hyperlink r:id="rId678" location="source=excel" ref="A676"/>
    <hyperlink r:id="rId679" location="source=excel" ref="A677"/>
    <hyperlink r:id="rId680" location="source=excel" ref="A678"/>
    <hyperlink r:id="rId681" location="source=excel" ref="A679"/>
    <hyperlink r:id="rId682" location="source=excel" ref="A680"/>
    <hyperlink r:id="rId683" location="source=excel" ref="A681"/>
    <hyperlink r:id="rId684" location="source=excel" ref="A682"/>
    <hyperlink r:id="rId685" location="source=excel" ref="A683"/>
    <hyperlink r:id="rId686" location="source=excel" ref="A684"/>
    <hyperlink r:id="rId687" location="source=excel" ref="A685"/>
    <hyperlink r:id="rId688" location="source=excel" ref="A686"/>
    <hyperlink r:id="rId689" location="source=excel" ref="A687"/>
    <hyperlink r:id="rId690" location="source=excel" ref="A688"/>
    <hyperlink r:id="rId691" location="source=excel" ref="A689"/>
    <hyperlink r:id="rId692" location="source=excel" ref="A690"/>
    <hyperlink r:id="rId693" location="source=excel" ref="A691"/>
    <hyperlink r:id="rId694" location="source=excel" ref="A692"/>
    <hyperlink r:id="rId695" location="source=excel" ref="A693"/>
    <hyperlink r:id="rId696" location="source=excel" ref="A694"/>
    <hyperlink r:id="rId697" location="source=excel" ref="A695"/>
    <hyperlink r:id="rId698" location="source=excel" ref="A696"/>
    <hyperlink r:id="rId699" location="source=excel" ref="A697"/>
    <hyperlink r:id="rId700" location="source=excel" ref="A698"/>
    <hyperlink r:id="rId701" location="source=excel" ref="A699"/>
    <hyperlink r:id="rId702" location="source=excel" ref="A700"/>
    <hyperlink r:id="rId703" location="source=excel" ref="A701"/>
    <hyperlink r:id="rId704" location="source=excel" ref="A702"/>
    <hyperlink r:id="rId705" location="source=excel" ref="A703"/>
    <hyperlink r:id="rId706" location="source=excel" ref="A704"/>
    <hyperlink r:id="rId707" location="source=excel" ref="A705"/>
    <hyperlink r:id="rId708" location="source=excel" ref="A706"/>
    <hyperlink r:id="rId709" location="source=excel" ref="A707"/>
    <hyperlink r:id="rId710" location="source=excel" ref="A708"/>
    <hyperlink r:id="rId711" location="source=excel" ref="A709"/>
    <hyperlink r:id="rId712" location="source=excel" ref="A710"/>
    <hyperlink r:id="rId713" location="source=excel" ref="A711"/>
    <hyperlink r:id="rId714" location="source=excel" ref="A712"/>
    <hyperlink r:id="rId715" location="source=excel" ref="A713"/>
    <hyperlink r:id="rId716" location="source=excel" ref="A714"/>
    <hyperlink r:id="rId717" location="source=excel" ref="A715"/>
    <hyperlink r:id="rId718" location="source=excel" ref="A716"/>
    <hyperlink r:id="rId719" location="source=excel" ref="A717"/>
    <hyperlink r:id="rId720" location="source=excel" ref="A718"/>
    <hyperlink r:id="rId721" location="source=excel" ref="A719"/>
    <hyperlink r:id="rId722" location="source=excel" ref="A720"/>
    <hyperlink r:id="rId723" location="source=excel" ref="A721"/>
    <hyperlink r:id="rId724" location="source=excel" ref="A722"/>
    <hyperlink r:id="rId725" location="source=excel" ref="A723"/>
    <hyperlink r:id="rId726" location="source=excel" ref="A724"/>
    <hyperlink r:id="rId727" location="source=excel" ref="A725"/>
    <hyperlink r:id="rId728" location="source=excel" ref="A726"/>
    <hyperlink r:id="rId729" location="source=excel" ref="A727"/>
    <hyperlink r:id="rId730" location="source=excel" ref="A728"/>
    <hyperlink r:id="rId731" location="source=excel" ref="A729"/>
    <hyperlink r:id="rId732" location="source=excel" ref="A730"/>
    <hyperlink r:id="rId733" location="source=excel" ref="A731"/>
    <hyperlink r:id="rId734" location="source=excel" ref="A732"/>
    <hyperlink r:id="rId735" location="source=excel" ref="A733"/>
    <hyperlink r:id="rId736" location="source=excel" ref="A734"/>
    <hyperlink r:id="rId737" location="source=excel" ref="A735"/>
    <hyperlink r:id="rId738" location="source=excel" ref="A736"/>
    <hyperlink r:id="rId739" location="source=excel" ref="A737"/>
    <hyperlink r:id="rId740" location="source=excel" ref="A738"/>
    <hyperlink r:id="rId741" location="source=excel" ref="A739"/>
    <hyperlink r:id="rId742" location="source=excel" ref="A740"/>
    <hyperlink r:id="rId743" location="source=excel" ref="A741"/>
    <hyperlink r:id="rId744" location="source=excel" ref="A742"/>
    <hyperlink r:id="rId745" location="source=excel" ref="A743"/>
    <hyperlink r:id="rId746" location="source=excel" ref="A744"/>
    <hyperlink r:id="rId747" location="source=excel" ref="A745"/>
    <hyperlink r:id="rId748" location="source=excel" ref="A746"/>
    <hyperlink r:id="rId749" location="source=excel" ref="A747"/>
    <hyperlink r:id="rId750" location="source=excel" ref="A748"/>
    <hyperlink r:id="rId751" location="source=excel" ref="A749"/>
    <hyperlink r:id="rId752" location="source=excel" ref="A750"/>
    <hyperlink r:id="rId753" location="source=excel" ref="A751"/>
    <hyperlink r:id="rId754" location="source=excel" ref="A752"/>
    <hyperlink r:id="rId755" location="source=excel" ref="A753"/>
    <hyperlink r:id="rId756" location="source=excel" ref="A754"/>
    <hyperlink r:id="rId757" location="source=excel" ref="A755"/>
    <hyperlink r:id="rId758" location="source=excel" ref="A756"/>
    <hyperlink r:id="rId759" location="source=excel" ref="A757"/>
    <hyperlink r:id="rId760" location="source=excel" ref="A758"/>
    <hyperlink r:id="rId761" location="source=excel" ref="A759"/>
    <hyperlink r:id="rId762" location="source=excel" ref="A760"/>
    <hyperlink r:id="rId763" location="source=excel" ref="A761"/>
    <hyperlink r:id="rId764" location="source=excel" ref="A762"/>
    <hyperlink r:id="rId765" location="source=excel" ref="A763"/>
    <hyperlink r:id="rId766" location="source=excel" ref="A764"/>
    <hyperlink r:id="rId767" location="source=excel" ref="A765"/>
    <hyperlink r:id="rId768" location="source=excel" ref="A766"/>
    <hyperlink r:id="rId769" location="source=excel" ref="A767"/>
    <hyperlink r:id="rId770" location="source=excel" ref="A768"/>
    <hyperlink r:id="rId771" location="source=excel" ref="A769"/>
    <hyperlink r:id="rId772" location="source=excel" ref="A770"/>
    <hyperlink r:id="rId773" location="source=excel" ref="A771"/>
    <hyperlink r:id="rId774" location="source=excel" ref="A772"/>
    <hyperlink r:id="rId775" location="source=excel" ref="A773"/>
    <hyperlink r:id="rId776" location="source=excel" ref="A774"/>
    <hyperlink r:id="rId777" location="source=excel" ref="A775"/>
    <hyperlink r:id="rId778" location="source=excel" ref="A776"/>
    <hyperlink r:id="rId779" location="source=excel" ref="A777"/>
    <hyperlink r:id="rId780" location="source=excel" ref="A778"/>
    <hyperlink r:id="rId781" location="source=excel" ref="A779"/>
    <hyperlink r:id="rId782" location="source=excel" ref="A780"/>
    <hyperlink r:id="rId783" location="source=excel" ref="A781"/>
    <hyperlink r:id="rId784" location="source=excel" ref="A782"/>
    <hyperlink r:id="rId785" location="source=excel" ref="A783"/>
    <hyperlink r:id="rId786" location="source=excel" ref="A784"/>
    <hyperlink r:id="rId787" location="source=excel" ref="A785"/>
    <hyperlink r:id="rId788" location="source=excel" ref="A786"/>
    <hyperlink r:id="rId789" location="source=excel" ref="A787"/>
    <hyperlink r:id="rId790" location="source=excel" ref="A788"/>
    <hyperlink r:id="rId791" location="source=excel" ref="A789"/>
    <hyperlink r:id="rId792" location="source=excel" ref="A790"/>
    <hyperlink r:id="rId793" location="source=excel" ref="A791"/>
    <hyperlink r:id="rId794" location="source=excel" ref="A792"/>
    <hyperlink r:id="rId795" location="source=excel" ref="A793"/>
    <hyperlink r:id="rId796" location="source=excel" ref="A794"/>
    <hyperlink r:id="rId797" location="source=excel" ref="A795"/>
    <hyperlink r:id="rId798" location="source=excel" ref="A796"/>
    <hyperlink r:id="rId799" location="source=excel" ref="A797"/>
    <hyperlink r:id="rId800" location="source=excel" ref="A798"/>
    <hyperlink r:id="rId801" location="source=excel" ref="A799"/>
    <hyperlink r:id="rId802" location="source=excel" ref="A800"/>
    <hyperlink r:id="rId803" location="source=excel" ref="A801"/>
    <hyperlink r:id="rId804" location="source=excel" ref="A802"/>
    <hyperlink r:id="rId805" location="source=excel" ref="A803"/>
    <hyperlink r:id="rId806" location="source=excel" ref="A804"/>
    <hyperlink r:id="rId807" location="source=excel" ref="A805"/>
    <hyperlink r:id="rId808" location="source=excel" ref="A806"/>
    <hyperlink r:id="rId809" location="source=excel" ref="A807"/>
    <hyperlink r:id="rId810" location="source=excel" ref="A808"/>
    <hyperlink r:id="rId811" location="source=excel" ref="A809"/>
    <hyperlink r:id="rId812" location="source=excel" ref="A810"/>
    <hyperlink r:id="rId813" location="source=excel" ref="A811"/>
    <hyperlink r:id="rId814" location="source=excel" ref="A812"/>
    <hyperlink r:id="rId815" location="source=excel" ref="A813"/>
    <hyperlink r:id="rId816" location="source=excel" ref="A814"/>
    <hyperlink r:id="rId817" location="source=excel" ref="A815"/>
    <hyperlink r:id="rId818" location="source=excel" ref="A816"/>
    <hyperlink r:id="rId819" location="source=excel" ref="A817"/>
    <hyperlink r:id="rId820" location="source=excel" ref="A818"/>
    <hyperlink r:id="rId821" location="source=excel" ref="A819"/>
    <hyperlink r:id="rId822" location="source=excel" ref="A820"/>
    <hyperlink r:id="rId823" location="source=excel" ref="A821"/>
    <hyperlink r:id="rId824" location="source=excel" ref="A822"/>
    <hyperlink r:id="rId825" location="source=excel" ref="A823"/>
    <hyperlink r:id="rId826" location="source=excel" ref="A824"/>
    <hyperlink r:id="rId827" location="source=excel" ref="A825"/>
    <hyperlink r:id="rId828" location="source=excel" ref="A826"/>
    <hyperlink r:id="rId829" location="source=excel" ref="A827"/>
    <hyperlink r:id="rId830" location="source=excel" ref="A828"/>
    <hyperlink r:id="rId831" location="source=excel" ref="A829"/>
    <hyperlink r:id="rId832" location="source=excel" ref="A830"/>
    <hyperlink r:id="rId833" location="source=excel" ref="A831"/>
    <hyperlink r:id="rId834" location="source=excel" ref="A832"/>
    <hyperlink r:id="rId835" location="source=excel" ref="A833"/>
    <hyperlink r:id="rId836" location="source=excel" ref="A834"/>
    <hyperlink r:id="rId837" location="source=excel" ref="A835"/>
    <hyperlink r:id="rId838" location="source=excel" ref="A836"/>
    <hyperlink r:id="rId839" location="source=excel" ref="A837"/>
    <hyperlink r:id="rId840" location="source=excel" ref="A838"/>
    <hyperlink r:id="rId841" location="source=excel" ref="A839"/>
    <hyperlink r:id="rId842" location="source=excel" ref="A840"/>
    <hyperlink r:id="rId843" location="source=excel" ref="A841"/>
    <hyperlink r:id="rId844" location="source=excel" ref="A842"/>
    <hyperlink r:id="rId845" location="source=excel" ref="A843"/>
    <hyperlink r:id="rId846" location="source=excel" ref="A844"/>
    <hyperlink r:id="rId847" location="source=excel" ref="A845"/>
    <hyperlink r:id="rId848" location="source=excel" ref="A846"/>
    <hyperlink r:id="rId849" location="source=excel" ref="A847"/>
    <hyperlink r:id="rId850" location="source=excel" ref="A848"/>
    <hyperlink r:id="rId851" location="source=excel" ref="A849"/>
    <hyperlink r:id="rId852" location="source=excel" ref="A850"/>
    <hyperlink r:id="rId853" location="source=excel" ref="A851"/>
    <hyperlink r:id="rId854" location="source=excel" ref="A852"/>
    <hyperlink r:id="rId855" location="source=excel" ref="A853"/>
    <hyperlink r:id="rId856" location="source=excel" ref="A854"/>
    <hyperlink r:id="rId857" location="source=excel" ref="A855"/>
    <hyperlink r:id="rId858" location="source=excel" ref="A856"/>
    <hyperlink r:id="rId859" location="source=excel" ref="A857"/>
    <hyperlink r:id="rId860" location="source=excel" ref="A858"/>
    <hyperlink r:id="rId861" location="source=excel" ref="A859"/>
    <hyperlink r:id="rId862" location="source=excel" ref="A860"/>
    <hyperlink r:id="rId863" location="source=excel" ref="A861"/>
    <hyperlink r:id="rId864" location="source=excel" ref="A862"/>
    <hyperlink r:id="rId865" location="source=excel" ref="A863"/>
    <hyperlink r:id="rId866" location="source=excel" ref="A864"/>
    <hyperlink r:id="rId867" location="source=excel" ref="A865"/>
    <hyperlink r:id="rId868" location="source=excel" ref="A866"/>
    <hyperlink r:id="rId869" location="source=excel" ref="A867"/>
    <hyperlink r:id="rId870" location="source=excel" ref="A868"/>
    <hyperlink r:id="rId871" location="source=excel" ref="A869"/>
    <hyperlink r:id="rId872" location="source=excel" ref="A870"/>
    <hyperlink r:id="rId873" location="source=excel" ref="A871"/>
    <hyperlink r:id="rId874" location="source=excel" ref="A872"/>
    <hyperlink r:id="rId875" location="source=excel" ref="A873"/>
    <hyperlink r:id="rId876" location="source=excel" ref="A874"/>
    <hyperlink r:id="rId877" location="source=excel" ref="A875"/>
    <hyperlink r:id="rId878" location="source=excel" ref="A876"/>
    <hyperlink r:id="rId879" location="source=excel" ref="A877"/>
    <hyperlink r:id="rId880" location="source=excel" ref="A878"/>
    <hyperlink r:id="rId881" location="source=excel" ref="A879"/>
    <hyperlink r:id="rId882" location="source=excel" ref="A880"/>
    <hyperlink r:id="rId883" location="source=excel" ref="A881"/>
    <hyperlink r:id="rId884" location="source=excel" ref="A882"/>
    <hyperlink r:id="rId885" location="source=excel" ref="A883"/>
    <hyperlink r:id="rId886" location="source=excel" ref="A884"/>
    <hyperlink r:id="rId887" location="source=excel" ref="A885"/>
    <hyperlink r:id="rId888" location="source=excel" ref="A886"/>
    <hyperlink r:id="rId889" location="source=excel" ref="A887"/>
    <hyperlink r:id="rId890" location="source=excel" ref="A888"/>
    <hyperlink r:id="rId891" location="source=excel" ref="A889"/>
    <hyperlink r:id="rId892" location="source=excel" ref="A890"/>
    <hyperlink r:id="rId893" location="source=excel" ref="A891"/>
    <hyperlink r:id="rId894" location="source=excel" ref="A892"/>
    <hyperlink r:id="rId895" location="source=excel" ref="A893"/>
    <hyperlink r:id="rId896" location="source=excel" ref="A894"/>
    <hyperlink r:id="rId897" location="source=excel" ref="A895"/>
    <hyperlink r:id="rId898" location="source=excel" ref="A896"/>
    <hyperlink r:id="rId899" location="source=excel" ref="A897"/>
    <hyperlink r:id="rId900" location="source=excel" ref="A898"/>
    <hyperlink r:id="rId901" location="source=excel" ref="A899"/>
    <hyperlink r:id="rId902" location="source=excel" ref="A900"/>
    <hyperlink r:id="rId903" location="source=excel" ref="A901"/>
    <hyperlink r:id="rId904" location="source=excel" ref="A902"/>
    <hyperlink r:id="rId905" location="source=excel" ref="A903"/>
    <hyperlink r:id="rId906" location="source=excel" ref="A904"/>
    <hyperlink r:id="rId907" location="source=excel" ref="A905"/>
    <hyperlink r:id="rId908" location="source=excel" ref="A906"/>
    <hyperlink r:id="rId909" location="source=excel" ref="A907"/>
    <hyperlink r:id="rId910" location="source=excel" ref="A908"/>
    <hyperlink r:id="rId911" location="source=excel" ref="A909"/>
    <hyperlink r:id="rId912" location="source=excel" ref="A910"/>
    <hyperlink r:id="rId913" location="source=excel" ref="A911"/>
    <hyperlink r:id="rId914" location="source=excel" ref="A912"/>
    <hyperlink r:id="rId915" location="source=excel" ref="A913"/>
    <hyperlink r:id="rId916" location="source=excel" ref="A914"/>
    <hyperlink r:id="rId917" location="source=excel" ref="A915"/>
    <hyperlink r:id="rId918" location="source=excel" ref="A916"/>
    <hyperlink r:id="rId919" location="source=excel" ref="A917"/>
    <hyperlink r:id="rId920" location="source=excel" ref="A918"/>
    <hyperlink r:id="rId921" location="source=excel" ref="A919"/>
    <hyperlink r:id="rId922" location="source=excel" ref="A920"/>
    <hyperlink r:id="rId923" location="source=excel" ref="A921"/>
    <hyperlink r:id="rId924" location="source=excel" ref="A922"/>
    <hyperlink r:id="rId925" location="source=excel" ref="A923"/>
    <hyperlink r:id="rId926" location="source=excel" ref="A924"/>
    <hyperlink r:id="rId927" location="source=excel" ref="A925"/>
    <hyperlink r:id="rId928" location="source=excel" ref="A926"/>
    <hyperlink r:id="rId929" location="source=excel" ref="A927"/>
    <hyperlink r:id="rId930" location="source=excel" ref="A928"/>
    <hyperlink r:id="rId931" location="source=excel" ref="A929"/>
    <hyperlink r:id="rId932" location="source=excel" ref="A930"/>
    <hyperlink r:id="rId933" location="source=excel" ref="A931"/>
    <hyperlink r:id="rId934" location="source=excel" ref="A932"/>
    <hyperlink r:id="rId935" location="source=excel" ref="A933"/>
    <hyperlink r:id="rId936" location="source=excel" ref="A934"/>
    <hyperlink r:id="rId937" location="source=excel" ref="A935"/>
    <hyperlink r:id="rId938" location="source=excel" ref="A936"/>
    <hyperlink r:id="rId939" location="source=excel" ref="A937"/>
    <hyperlink r:id="rId940" location="source=excel" ref="A938"/>
    <hyperlink r:id="rId941" location="source=excel" ref="A939"/>
    <hyperlink r:id="rId942" location="source=excel" ref="A940"/>
    <hyperlink r:id="rId943" location="source=excel" ref="A941"/>
    <hyperlink r:id="rId944" location="source=excel" ref="A942"/>
    <hyperlink r:id="rId945" location="source=excel" ref="A943"/>
    <hyperlink r:id="rId946" location="source=excel" ref="A944"/>
    <hyperlink r:id="rId947" location="source=excel" ref="A945"/>
    <hyperlink r:id="rId948" location="source=excel" ref="A946"/>
    <hyperlink r:id="rId949" location="source=excel" ref="A947"/>
    <hyperlink r:id="rId950" location="source=excel" ref="A948"/>
    <hyperlink r:id="rId951" location="source=excel" ref="A949"/>
    <hyperlink r:id="rId952" location="source=excel" ref="A950"/>
    <hyperlink r:id="rId953" location="source=excel" ref="A951"/>
    <hyperlink r:id="rId954" location="source=excel" ref="A952"/>
    <hyperlink r:id="rId955" location="source=excel" ref="A953"/>
    <hyperlink r:id="rId956" location="source=excel" ref="A954"/>
    <hyperlink r:id="rId957" location="source=excel" ref="A955"/>
    <hyperlink r:id="rId958" location="source=excel" ref="A956"/>
    <hyperlink r:id="rId959" location="source=excel" ref="A957"/>
    <hyperlink r:id="rId960" location="source=excel" ref="A958"/>
    <hyperlink r:id="rId961" location="source=excel" ref="A959"/>
    <hyperlink r:id="rId962" location="source=excel" ref="A960"/>
    <hyperlink r:id="rId963" location="source=excel" ref="A961"/>
    <hyperlink r:id="rId964" location="source=excel" ref="A962"/>
    <hyperlink r:id="rId965" location="source=excel" ref="A963"/>
    <hyperlink r:id="rId966" location="source=excel" ref="A964"/>
    <hyperlink r:id="rId967" location="source=excel" ref="A965"/>
    <hyperlink r:id="rId968" location="source=excel" ref="A966"/>
    <hyperlink r:id="rId969" location="source=excel" ref="A967"/>
    <hyperlink r:id="rId970" location="source=excel" ref="A968"/>
    <hyperlink r:id="rId971" location="source=excel" ref="A969"/>
    <hyperlink r:id="rId972" location="source=excel" ref="A970"/>
    <hyperlink r:id="rId973" location="source=excel" ref="A971"/>
    <hyperlink r:id="rId974" location="source=excel" ref="A972"/>
    <hyperlink r:id="rId975" location="source=excel" ref="A973"/>
    <hyperlink r:id="rId976" location="source=excel" ref="A974"/>
    <hyperlink r:id="rId977" location="source=excel" ref="A975"/>
    <hyperlink r:id="rId978" location="source=excel" ref="A976"/>
    <hyperlink r:id="rId979" location="source=excel" ref="A977"/>
    <hyperlink r:id="rId980" location="source=excel" ref="A978"/>
    <hyperlink r:id="rId981" location="source=excel" ref="A979"/>
    <hyperlink r:id="rId982" location="source=excel" ref="A980"/>
    <hyperlink r:id="rId983" location="source=excel" ref="A981"/>
    <hyperlink r:id="rId984" location="source=excel" ref="A982"/>
    <hyperlink r:id="rId985" location="source=excel" ref="A983"/>
    <hyperlink r:id="rId986" location="source=excel" ref="A984"/>
    <hyperlink r:id="rId987" location="source=excel" ref="A985"/>
    <hyperlink r:id="rId988" location="source=excel" ref="A986"/>
    <hyperlink r:id="rId989" location="source=excel" ref="A987"/>
    <hyperlink r:id="rId990" location="source=excel" ref="A988"/>
    <hyperlink r:id="rId991" location="source=excel" ref="A989"/>
    <hyperlink r:id="rId992" location="source=excel" ref="A990"/>
    <hyperlink r:id="rId993" location="source=excel" ref="A991"/>
    <hyperlink r:id="rId994" location="source=excel" ref="A992"/>
    <hyperlink r:id="rId995" location="source=excel" ref="A993"/>
    <hyperlink r:id="rId996" location="source=excel" ref="A994"/>
    <hyperlink r:id="rId997" location="source=excel" ref="A995"/>
    <hyperlink r:id="rId998" location="source=excel" ref="A996"/>
    <hyperlink r:id="rId999" location="source=excel" ref="A997"/>
    <hyperlink r:id="rId1000" location="source=excel" ref="A998"/>
    <hyperlink r:id="rId1001" location="source=excel" ref="A999"/>
    <hyperlink r:id="rId1002" location="source=excel" ref="A1000"/>
    <hyperlink r:id="rId1003" location="source=excel" ref="A1001"/>
    <hyperlink r:id="rId1004" location="source=excel" ref="A1002"/>
    <hyperlink r:id="rId1005" location="source=excel" ref="A1003"/>
    <hyperlink r:id="rId1006" location="source=excel" ref="A1004"/>
    <hyperlink r:id="rId1007" location="source=excel" ref="A1005"/>
    <hyperlink r:id="rId1008" location="source=excel" ref="A1006"/>
    <hyperlink r:id="rId1009" location="source=excel" ref="A1007"/>
    <hyperlink r:id="rId1010" location="source=excel" ref="A1008"/>
    <hyperlink r:id="rId1011" location="source=excel" ref="A1009"/>
    <hyperlink r:id="rId1012" location="source=excel" ref="A1010"/>
    <hyperlink r:id="rId1013" location="source=excel" ref="A1011"/>
    <hyperlink r:id="rId1014" location="source=excel" ref="A1012"/>
    <hyperlink r:id="rId1015" location="source=excel" ref="A1013"/>
    <hyperlink r:id="rId1016" location="source=excel" ref="A1014"/>
    <hyperlink r:id="rId1017" location="source=excel" ref="A1015"/>
    <hyperlink r:id="rId1018" location="source=excel" ref="A1016"/>
    <hyperlink r:id="rId1019" location="source=excel" ref="A1017"/>
    <hyperlink r:id="rId1020" location="source=excel" ref="A1018"/>
    <hyperlink r:id="rId1021" location="source=excel" ref="A1019"/>
    <hyperlink r:id="rId1022" location="source=excel" ref="A1020"/>
    <hyperlink r:id="rId1023" location="source=excel" ref="A1021"/>
    <hyperlink r:id="rId1024" location="source=excel" ref="A1022"/>
    <hyperlink r:id="rId1025" location="source=excel" ref="A1023"/>
    <hyperlink r:id="rId1026" location="source=excel" ref="A1024"/>
    <hyperlink r:id="rId1027" location="source=excel" ref="A1025"/>
    <hyperlink r:id="rId1028" location="source=excel" ref="A1026"/>
    <hyperlink r:id="rId1029" location="source=excel" ref="A1027"/>
    <hyperlink r:id="rId1030" location="source=excel" ref="A1028"/>
    <hyperlink r:id="rId1031" location="source=excel" ref="A1029"/>
    <hyperlink r:id="rId1032" location="source=excel" ref="A1030"/>
    <hyperlink r:id="rId1033" location="source=excel" ref="A1031"/>
    <hyperlink r:id="rId1034" location="source=excel" ref="A1032"/>
    <hyperlink r:id="rId1035" location="source=excel" ref="A1033"/>
    <hyperlink r:id="rId1036" location="source=excel" ref="A1034"/>
    <hyperlink r:id="rId1037" location="source=excel" ref="A1035"/>
    <hyperlink r:id="rId1038" location="source=excel" ref="A1036"/>
    <hyperlink r:id="rId1039" location="source=excel" ref="A1037"/>
    <hyperlink r:id="rId1040" location="source=excel" ref="A1038"/>
    <hyperlink r:id="rId1041" location="source=excel" ref="A1039"/>
    <hyperlink r:id="rId1042" location="source=excel" ref="A1040"/>
    <hyperlink r:id="rId1043" location="source=excel" ref="A1041"/>
    <hyperlink r:id="rId1044" location="source=excel" ref="A1042"/>
    <hyperlink r:id="rId1045" location="source=excel" ref="A1043"/>
    <hyperlink r:id="rId1046" location="source=excel" ref="A1044"/>
    <hyperlink r:id="rId1047" location="source=excel" ref="A1045"/>
    <hyperlink r:id="rId1048" location="source=excel" ref="A1046"/>
    <hyperlink r:id="rId1049" location="source=excel" ref="A1047"/>
    <hyperlink r:id="rId1050" location="source=excel" ref="A1048"/>
    <hyperlink r:id="rId1051" location="source=excel" ref="A1049"/>
    <hyperlink r:id="rId1052" location="source=excel" ref="A1050"/>
    <hyperlink r:id="rId1053" location="source=excel" ref="A1051"/>
    <hyperlink r:id="rId1054" location="source=excel" ref="A1052"/>
    <hyperlink r:id="rId1055" location="source=excel" ref="A1053"/>
    <hyperlink r:id="rId1056" location="source=excel" ref="A1054"/>
    <hyperlink r:id="rId1057" location="source=excel" ref="A1055"/>
    <hyperlink r:id="rId1058" location="source=excel" ref="A1056"/>
    <hyperlink r:id="rId1059" location="source=excel" ref="A1057"/>
    <hyperlink r:id="rId1060" location="source=excel" ref="A1058"/>
    <hyperlink r:id="rId1061" location="source=excel" ref="A1059"/>
    <hyperlink r:id="rId1062" location="source=excel" ref="A1060"/>
    <hyperlink r:id="rId1063" location="source=excel" ref="A1061"/>
    <hyperlink r:id="rId1064" location="source=excel" ref="A1062"/>
    <hyperlink r:id="rId1065" location="source=excel" ref="A1063"/>
    <hyperlink r:id="rId1066" location="source=excel" ref="A1064"/>
    <hyperlink r:id="rId1067" location="source=excel" ref="A1065"/>
    <hyperlink r:id="rId1068" location="source=excel" ref="A1066"/>
    <hyperlink r:id="rId1069" location="source=excel" ref="A1067"/>
    <hyperlink r:id="rId1070" location="source=excel" ref="A1068"/>
    <hyperlink r:id="rId1071" location="source=excel" ref="A1069"/>
    <hyperlink r:id="rId1072" location="source=excel" ref="A1070"/>
    <hyperlink r:id="rId1073" location="source=excel" ref="A1071"/>
    <hyperlink r:id="rId1074" location="source=excel" ref="A1072"/>
    <hyperlink r:id="rId1075" location="source=excel" ref="A1073"/>
    <hyperlink r:id="rId1076" location="source=excel" ref="A1074"/>
    <hyperlink r:id="rId1077" location="source=excel" ref="A1075"/>
    <hyperlink r:id="rId1078" location="source=excel" ref="A1076"/>
    <hyperlink r:id="rId1079" location="source=excel" ref="A1077"/>
    <hyperlink r:id="rId1080" location="source=excel" ref="A1078"/>
    <hyperlink r:id="rId1081" location="source=excel" ref="A1079"/>
    <hyperlink r:id="rId1082" location="source=excel" ref="A1080"/>
    <hyperlink r:id="rId1083" location="source=excel" ref="A1081"/>
    <hyperlink r:id="rId1084" location="source=excel" ref="A1082"/>
    <hyperlink r:id="rId1085" location="source=excel" ref="A1083"/>
    <hyperlink r:id="rId1086" location="source=excel" ref="A1084"/>
    <hyperlink r:id="rId1087" location="source=excel" ref="A1085"/>
    <hyperlink r:id="rId1088" location="source=excel" ref="A1086"/>
    <hyperlink r:id="rId1089" location="source=excel" ref="A1087"/>
    <hyperlink r:id="rId1090" location="source=excel" ref="A1088"/>
    <hyperlink r:id="rId1091" location="source=excel" ref="A1089"/>
    <hyperlink r:id="rId1092" location="source=excel" ref="A1090"/>
    <hyperlink r:id="rId1093" location="source=excel" ref="A1091"/>
    <hyperlink r:id="rId1094" location="source=excel" ref="A1092"/>
    <hyperlink r:id="rId1095" location="source=excel" ref="A1093"/>
    <hyperlink r:id="rId1096" location="source=excel" ref="A1094"/>
    <hyperlink r:id="rId1097" location="source=excel" ref="A1095"/>
    <hyperlink r:id="rId1098" location="source=excel" ref="A1096"/>
    <hyperlink r:id="rId1099" location="source=excel" ref="A1097"/>
    <hyperlink r:id="rId1100" location="source=excel" ref="A1098"/>
    <hyperlink r:id="rId1101" location="source=excel" ref="A1099"/>
    <hyperlink r:id="rId1102" location="source=excel" ref="A1100"/>
    <hyperlink r:id="rId1103" location="source=excel" ref="A1101"/>
    <hyperlink r:id="rId1104" location="source=excel" ref="A1102"/>
    <hyperlink r:id="rId1105" location="source=excel" ref="A1103"/>
    <hyperlink r:id="rId1106" location="source=excel" ref="A1104"/>
    <hyperlink r:id="rId1107" location="source=excel" ref="A1105"/>
    <hyperlink r:id="rId1108" location="source=excel" ref="A1106"/>
    <hyperlink r:id="rId1109" location="source=excel" ref="A1107"/>
    <hyperlink r:id="rId1110" location="source=excel" ref="A1108"/>
    <hyperlink r:id="rId1111" location="source=excel" ref="A1109"/>
    <hyperlink r:id="rId1112" location="source=excel" ref="A1110"/>
    <hyperlink r:id="rId1113" location="source=excel" ref="A1111"/>
    <hyperlink r:id="rId1114" location="source=excel" ref="A1112"/>
    <hyperlink r:id="rId1115" location="source=excel" ref="A1113"/>
    <hyperlink r:id="rId1116" location="source=excel" ref="A1114"/>
    <hyperlink r:id="rId1117" location="source=excel" ref="A1115"/>
    <hyperlink r:id="rId1118" location="source=excel" ref="A1116"/>
    <hyperlink r:id="rId1119" location="source=excel" ref="A1117"/>
    <hyperlink r:id="rId1120" location="source=excel" ref="A1118"/>
    <hyperlink r:id="rId1121" location="source=excel" ref="A1119"/>
    <hyperlink r:id="rId1122" location="source=excel" ref="A1120"/>
    <hyperlink r:id="rId1123" location="source=excel" ref="A1121"/>
    <hyperlink r:id="rId1124" location="source=excel" ref="A1122"/>
    <hyperlink r:id="rId1125" location="source=excel" ref="A1123"/>
    <hyperlink r:id="rId1126" location="source=excel" ref="A1124"/>
    <hyperlink r:id="rId1127" location="source=excel" ref="A1125"/>
    <hyperlink r:id="rId1128" location="source=excel" ref="A1126"/>
    <hyperlink r:id="rId1129" location="source=excel" ref="A1127"/>
    <hyperlink r:id="rId1130" location="source=excel" ref="A1128"/>
    <hyperlink r:id="rId1131" location="source=excel" ref="A1129"/>
    <hyperlink r:id="rId1132" location="source=excel" ref="A1130"/>
    <hyperlink r:id="rId1133" location="source=excel" ref="A1131"/>
    <hyperlink r:id="rId1134" location="source=excel" ref="A1132"/>
    <hyperlink r:id="rId1135" location="source=excel" ref="A1133"/>
    <hyperlink r:id="rId1136" location="source=excel" ref="A1134"/>
    <hyperlink r:id="rId1137" location="source=excel" ref="A1135"/>
    <hyperlink r:id="rId1138" location="source=excel" ref="A1136"/>
    <hyperlink r:id="rId1139" location="source=excel" ref="A1137"/>
    <hyperlink r:id="rId1140" location="source=excel" ref="A1138"/>
    <hyperlink r:id="rId1141" location="source=excel" ref="A1139"/>
    <hyperlink r:id="rId1142" location="source=excel" ref="A1140"/>
    <hyperlink r:id="rId1143" location="source=excel" ref="A1141"/>
    <hyperlink r:id="rId1144" location="source=excel" ref="A1142"/>
    <hyperlink r:id="rId1145" location="source=excel" ref="A1143"/>
    <hyperlink r:id="rId1146" location="source=excel" ref="A1144"/>
    <hyperlink r:id="rId1147" location="source=excel" ref="A1145"/>
    <hyperlink r:id="rId1148" location="source=excel" ref="A1146"/>
    <hyperlink r:id="rId1149" location="source=excel" ref="A1147"/>
    <hyperlink r:id="rId1150" location="source=excel" ref="A1148"/>
    <hyperlink r:id="rId1151" location="source=excel" ref="A1149"/>
    <hyperlink r:id="rId1152" location="source=excel" ref="A1150"/>
    <hyperlink r:id="rId1153" location="source=excel" ref="A1151"/>
    <hyperlink r:id="rId1154" location="source=excel" ref="A1152"/>
    <hyperlink r:id="rId1155" location="source=excel" ref="A1153"/>
    <hyperlink r:id="rId1156" location="source=excel" ref="A1154"/>
    <hyperlink r:id="rId1157" location="source=excel" ref="A1155"/>
    <hyperlink r:id="rId1158" location="source=excel" ref="A1156"/>
    <hyperlink r:id="rId1159" location="source=excel" ref="A1157"/>
    <hyperlink r:id="rId1160" location="source=excel" ref="A1158"/>
    <hyperlink r:id="rId1161" location="source=excel" ref="A1159"/>
    <hyperlink r:id="rId1162" location="source=excel" ref="A1160"/>
    <hyperlink r:id="rId1163" location="source=excel" ref="A1161"/>
    <hyperlink r:id="rId1164" location="source=excel" ref="A1162"/>
    <hyperlink r:id="rId1165" location="source=excel" ref="A1163"/>
    <hyperlink r:id="rId1166" location="source=excel" ref="A1164"/>
    <hyperlink r:id="rId1167" location="source=excel" ref="A1165"/>
    <hyperlink r:id="rId1168" location="source=excel" ref="A1166"/>
    <hyperlink r:id="rId1169" location="source=excel" ref="A1167"/>
    <hyperlink r:id="rId1170" location="source=excel" ref="A1168"/>
    <hyperlink r:id="rId1171" location="source=excel" ref="A1169"/>
    <hyperlink r:id="rId1172" location="source=excel" ref="A1170"/>
    <hyperlink r:id="rId1173" location="source=excel" ref="A1171"/>
    <hyperlink r:id="rId1174" location="source=excel" ref="A1172"/>
    <hyperlink r:id="rId1175" location="source=excel" ref="A1173"/>
    <hyperlink r:id="rId1176" location="source=excel" ref="A1174"/>
    <hyperlink r:id="rId1177" location="source=excel" ref="A1175"/>
    <hyperlink r:id="rId1178" location="source=excel" ref="A1176"/>
    <hyperlink r:id="rId1179" location="source=excel" ref="A1177"/>
    <hyperlink r:id="rId1180" location="source=excel" ref="A1178"/>
    <hyperlink r:id="rId1181" location="source=excel" ref="A1179"/>
    <hyperlink r:id="rId1182" ref="AW1179"/>
    <hyperlink r:id="rId1183" location="source=excel" ref="A1180"/>
    <hyperlink r:id="rId1184" location="source=excel" ref="A1181"/>
    <hyperlink r:id="rId1185" location="source=excel" ref="A1182"/>
    <hyperlink r:id="rId1186" location="source=excel" ref="A1183"/>
    <hyperlink r:id="rId1187" location="source=excel" ref="A1184"/>
    <hyperlink r:id="rId1188" location="source=excel" ref="A1185"/>
    <hyperlink r:id="rId1189" location="source=excel" ref="A1186"/>
    <hyperlink r:id="rId1190" location="source=excel" ref="A1187"/>
    <hyperlink r:id="rId1191" location="source=excel" ref="A1188"/>
    <hyperlink r:id="rId1192" location="source=excel" ref="A1189"/>
    <hyperlink r:id="rId1193" location="source=excel" ref="A1190"/>
    <hyperlink r:id="rId1194" location="source=excel" ref="A1191"/>
    <hyperlink r:id="rId1195" location="source=excel" ref="A1192"/>
    <hyperlink r:id="rId1196" location="source=excel" ref="A1193"/>
    <hyperlink r:id="rId1197" location="source=excel" ref="A1194"/>
    <hyperlink r:id="rId1198" location="source=excel" ref="A1195"/>
    <hyperlink r:id="rId1199" location="source=excel" ref="A1196"/>
    <hyperlink r:id="rId1200" location="source=excel" ref="A1197"/>
    <hyperlink r:id="rId1201" location="source=excel" ref="A1198"/>
    <hyperlink r:id="rId1202" location="source=excel" ref="A1199"/>
    <hyperlink r:id="rId1203" location="source=excel" ref="A1200"/>
    <hyperlink r:id="rId1204" location="source=excel" ref="A1201"/>
    <hyperlink r:id="rId1205" location="source=excel" ref="A1202"/>
    <hyperlink r:id="rId1206" location="source=excel" ref="A1203"/>
    <hyperlink r:id="rId1207" location="source=excel" ref="A1204"/>
    <hyperlink r:id="rId1208" location="source=excel" ref="A1205"/>
    <hyperlink r:id="rId1209" location="source=excel" ref="A1206"/>
    <hyperlink r:id="rId1210" location="source=excel" ref="A1207"/>
    <hyperlink r:id="rId1211" location="source=excel" ref="A1208"/>
    <hyperlink r:id="rId1212" location="source=excel" ref="A1209"/>
    <hyperlink r:id="rId1213" location="source=excel" ref="A1210"/>
    <hyperlink r:id="rId1214" location="source=excel" ref="A1211"/>
    <hyperlink r:id="rId1215" location="source=excel" ref="A1212"/>
    <hyperlink r:id="rId1216" location="source=excel" ref="A1213"/>
    <hyperlink r:id="rId1217" location="source=excel" ref="A1214"/>
    <hyperlink r:id="rId1218" location="source=excel" ref="A1215"/>
    <hyperlink r:id="rId1219" location="source=excel" ref="A1216"/>
    <hyperlink r:id="rId1220" location="source=excel" ref="A1217"/>
    <hyperlink r:id="rId1221" location="source=excel" ref="A1218"/>
    <hyperlink r:id="rId1222" location="source=excel" ref="A1219"/>
    <hyperlink r:id="rId1223" location="source=excel" ref="A1220"/>
    <hyperlink r:id="rId1224" location="source=excel" ref="A1221"/>
    <hyperlink r:id="rId1225" location="source=excel" ref="A1222"/>
    <hyperlink r:id="rId1226" location="source=excel" ref="A1223"/>
    <hyperlink r:id="rId1227" location="source=excel" ref="A1224"/>
    <hyperlink r:id="rId1228" location="source=excel" ref="A1225"/>
    <hyperlink r:id="rId1229" location="source=excel" ref="A1226"/>
    <hyperlink r:id="rId1230" location="source=excel" ref="A1227"/>
    <hyperlink r:id="rId1231" location="source=excel" ref="A1228"/>
    <hyperlink r:id="rId1232" location="source=excel" ref="A1229"/>
    <hyperlink r:id="rId1233" location="source=excel" ref="A1230"/>
    <hyperlink r:id="rId1234" location="source=excel" ref="A1231"/>
    <hyperlink r:id="rId1235" location="source=excel" ref="A1232"/>
    <hyperlink r:id="rId1236" location="source=excel" ref="A1233"/>
    <hyperlink r:id="rId1237" location="source=excel" ref="A1234"/>
    <hyperlink r:id="rId1238" location="source=excel" ref="A1235"/>
    <hyperlink r:id="rId1239" location="source=excel" ref="A1236"/>
    <hyperlink r:id="rId1240" location="source=excel" ref="A1237"/>
    <hyperlink r:id="rId1241" location="source=excel" ref="A1238"/>
    <hyperlink r:id="rId1242" location="source=excel" ref="A1239"/>
    <hyperlink r:id="rId1243" location="source=excel" ref="A1240"/>
    <hyperlink r:id="rId1244" location="source=excel" ref="A1241"/>
    <hyperlink r:id="rId1245" location="source=excel" ref="A1242"/>
    <hyperlink r:id="rId1246" location="source=excel" ref="A1243"/>
    <hyperlink r:id="rId1247" location="source=excel" ref="A1244"/>
    <hyperlink r:id="rId1248" location="source=excel" ref="A1245"/>
    <hyperlink r:id="rId1249" location="source=excel" ref="A1246"/>
    <hyperlink r:id="rId1250" location="source=excel" ref="A1247"/>
    <hyperlink r:id="rId1251" location="source=excel" ref="A1248"/>
    <hyperlink r:id="rId1252" location="source=excel" ref="A1249"/>
    <hyperlink r:id="rId1253" location="source=excel" ref="A1250"/>
    <hyperlink r:id="rId1254" location="source=excel" ref="A1251"/>
    <hyperlink r:id="rId1255" location="source=excel" ref="A1252"/>
    <hyperlink r:id="rId1256" location="source=excel" ref="A1253"/>
    <hyperlink r:id="rId1257" location="source=excel" ref="A1254"/>
    <hyperlink r:id="rId1258" location="source=excel" ref="A1255"/>
    <hyperlink r:id="rId1259" location="source=excel" ref="A1256"/>
    <hyperlink r:id="rId1260" location="source=excel" ref="A1257"/>
    <hyperlink r:id="rId1261" location="source=excel" ref="A1258"/>
    <hyperlink r:id="rId1262" location="source=excel" ref="A1259"/>
    <hyperlink r:id="rId1263" location="source=excel" ref="A1260"/>
    <hyperlink r:id="rId1264" location="source=excel" ref="A1261"/>
    <hyperlink r:id="rId1265" location="source=excel" ref="A1262"/>
    <hyperlink r:id="rId1266" location="source=excel" ref="A1263"/>
    <hyperlink r:id="rId1267" location="source=excel" ref="A1264"/>
    <hyperlink r:id="rId1268" location="source=excel" ref="A1265"/>
    <hyperlink r:id="rId1269" location="source=excel" ref="A1266"/>
    <hyperlink r:id="rId1270" location="source=excel" ref="A1267"/>
    <hyperlink r:id="rId1271" location="source=excel" ref="A1268"/>
    <hyperlink r:id="rId1272" location="source=excel" ref="A1269"/>
    <hyperlink r:id="rId1273" location="source=excel" ref="A1270"/>
    <hyperlink r:id="rId1274" location="source=excel" ref="A1271"/>
    <hyperlink r:id="rId1275" location="source=excel" ref="A1272"/>
    <hyperlink r:id="rId1276" location="source=excel" ref="A1273"/>
    <hyperlink r:id="rId1277" location="source=excel" ref="A1274"/>
    <hyperlink r:id="rId1278" location="source=excel" ref="A1275"/>
    <hyperlink r:id="rId1279" location="source=excel" ref="A1276"/>
    <hyperlink r:id="rId1280" location="source=excel" ref="A1277"/>
    <hyperlink r:id="rId1281" location="source=excel" ref="A1278"/>
    <hyperlink r:id="rId1282" location="source=excel" ref="A1279"/>
    <hyperlink r:id="rId1283" location="source=excel" ref="A1280"/>
    <hyperlink r:id="rId1284" location="source=excel" ref="A1281"/>
    <hyperlink r:id="rId1285" location="source=excel" ref="A1282"/>
    <hyperlink r:id="rId1286" location="source=excel" ref="A1283"/>
    <hyperlink r:id="rId1287" location="source=excel" ref="A1284"/>
    <hyperlink r:id="rId1288" location="source=excel" ref="A1285"/>
    <hyperlink r:id="rId1289" location="source=excel" ref="A1286"/>
    <hyperlink r:id="rId1290" location="source=excel" ref="A1287"/>
    <hyperlink r:id="rId1291" location="source=excel" ref="A1288"/>
    <hyperlink r:id="rId1292" location="source=excel" ref="A1289"/>
    <hyperlink r:id="rId1293" location="source=excel" ref="A1290"/>
    <hyperlink r:id="rId1294" location="source=excel" ref="A1291"/>
    <hyperlink r:id="rId1295" location="source=excel" ref="A1292"/>
    <hyperlink r:id="rId1296" location="source=excel" ref="A1293"/>
    <hyperlink r:id="rId1297" location="source=excel" ref="A1294"/>
    <hyperlink r:id="rId1298" location="source=excel" ref="A1295"/>
    <hyperlink r:id="rId1299" location="source=excel" ref="A1296"/>
    <hyperlink r:id="rId1300" location="source=excel" ref="A1297"/>
    <hyperlink r:id="rId1301" location="source=excel" ref="A1298"/>
    <hyperlink r:id="rId1302" location="source=excel" ref="A1299"/>
    <hyperlink r:id="rId1303" location="source=excel" ref="A1300"/>
    <hyperlink r:id="rId1304" location="source=excel" ref="A1301"/>
    <hyperlink r:id="rId1305" location="source=excel" ref="A1302"/>
    <hyperlink r:id="rId1306" location="source=excel" ref="A1303"/>
    <hyperlink r:id="rId1307" location="source=excel" ref="A1304"/>
    <hyperlink r:id="rId1308" location="source=excel" ref="A1305"/>
    <hyperlink r:id="rId1309" location="source=excel" ref="A1306"/>
    <hyperlink r:id="rId1310" location="source=excel" ref="A1307"/>
    <hyperlink r:id="rId1311" location="source=excel" ref="A1308"/>
    <hyperlink r:id="rId1312" location="source=excel" ref="A1309"/>
    <hyperlink r:id="rId1313" location="source=excel" ref="A1310"/>
    <hyperlink r:id="rId1314" location="source=excel" ref="A1311"/>
    <hyperlink r:id="rId1315" location="source=excel" ref="A1312"/>
    <hyperlink r:id="rId1316" location="source=excel" ref="A1313"/>
    <hyperlink r:id="rId1317" location="source=excel" ref="A1314"/>
    <hyperlink r:id="rId1318" location="source=excel" ref="A1315"/>
    <hyperlink r:id="rId1319" location="source=excel" ref="A1316"/>
    <hyperlink r:id="rId1320" location="source=excel" ref="A1317"/>
    <hyperlink r:id="rId1321" location="source=excel" ref="A1318"/>
    <hyperlink r:id="rId1322" location="source=excel" ref="A1319"/>
    <hyperlink r:id="rId1323" location="source=excel" ref="A1320"/>
    <hyperlink r:id="rId1324" location="source=excel" ref="A1321"/>
    <hyperlink r:id="rId1325" location="source=excel" ref="A1322"/>
    <hyperlink r:id="rId1326" location="source=excel" ref="A1323"/>
    <hyperlink r:id="rId1327" location="source=excel" ref="A1324"/>
    <hyperlink r:id="rId1328" location="source=excel" ref="A1325"/>
    <hyperlink r:id="rId1329" location="source=excel" ref="A1326"/>
    <hyperlink r:id="rId1330" location="source=excel" ref="A1327"/>
    <hyperlink r:id="rId1331" location="source=excel" ref="A1328"/>
    <hyperlink r:id="rId1332" location="source=excel" ref="A1329"/>
    <hyperlink r:id="rId1333" location="source=excel" ref="A1330"/>
    <hyperlink r:id="rId1334" location="source=excel" ref="A1331"/>
    <hyperlink r:id="rId1335" location="source=excel" ref="A1332"/>
    <hyperlink r:id="rId1336" location="source=excel" ref="A1333"/>
    <hyperlink r:id="rId1337" location="source=excel" ref="A1334"/>
    <hyperlink r:id="rId1338" location="source=excel" ref="A1335"/>
    <hyperlink r:id="rId1339" location="source=excel" ref="A1336"/>
    <hyperlink r:id="rId1340" location="source=excel" ref="A1337"/>
    <hyperlink r:id="rId1341" location="source=excel" ref="A1338"/>
    <hyperlink r:id="rId1342" location="source=excel" ref="A1339"/>
    <hyperlink r:id="rId1343" location="source=excel" ref="A1340"/>
    <hyperlink r:id="rId1344" location="source=excel" ref="A1341"/>
    <hyperlink r:id="rId1345" location="source=excel" ref="A1342"/>
    <hyperlink r:id="rId1346" location="source=excel" ref="A1343"/>
    <hyperlink r:id="rId1347" location="source=excel" ref="A1344"/>
    <hyperlink r:id="rId1348" location="source=excel" ref="A1345"/>
    <hyperlink r:id="rId1349" location="source=excel" ref="A1346"/>
    <hyperlink r:id="rId1350" location="source=excel" ref="A1347"/>
    <hyperlink r:id="rId1351" location="source=excel" ref="A1348"/>
    <hyperlink r:id="rId1352" location="source=excel" ref="A1349"/>
    <hyperlink r:id="rId1353" location="source=excel" ref="A1350"/>
    <hyperlink r:id="rId1354" location="source=excel" ref="A1351"/>
    <hyperlink r:id="rId1355" location="source=excel" ref="A1352"/>
    <hyperlink r:id="rId1356" location="source=excel" ref="A1353"/>
    <hyperlink r:id="rId1357" location="source=excel" ref="A1354"/>
    <hyperlink r:id="rId1358" location="source=excel" ref="A1355"/>
    <hyperlink r:id="rId1359" location="source=excel" ref="A1356"/>
    <hyperlink r:id="rId1360" location="source=excel" ref="A1357"/>
    <hyperlink r:id="rId1361" location="source=excel" ref="A1358"/>
    <hyperlink r:id="rId1362" location="source=excel" ref="A1359"/>
    <hyperlink r:id="rId1363" location="source=excel" ref="A1360"/>
    <hyperlink r:id="rId1364" location="source=excel" ref="A1361"/>
    <hyperlink r:id="rId1365" location="source=excel" ref="A1362"/>
    <hyperlink r:id="rId1366" location="source=excel" ref="A1363"/>
    <hyperlink r:id="rId1367" location="source=excel" ref="A1364"/>
    <hyperlink r:id="rId1368" location="source=excel" ref="A1365"/>
    <hyperlink r:id="rId1369" location="source=excel" ref="A1366"/>
    <hyperlink r:id="rId1370" location="source=excel" ref="A1367"/>
    <hyperlink r:id="rId1371" location="source=excel" ref="A1368"/>
    <hyperlink r:id="rId1372" location="source=excel" ref="A1369"/>
    <hyperlink r:id="rId1373" location="source=excel" ref="A1370"/>
    <hyperlink r:id="rId1374" location="source=excel" ref="A1371"/>
    <hyperlink r:id="rId1375" location="source=excel" ref="A1372"/>
    <hyperlink r:id="rId1376" location="source=excel" ref="A1373"/>
    <hyperlink r:id="rId1377" location="source=excel" ref="A1374"/>
    <hyperlink r:id="rId1378" location="source=excel" ref="A1375"/>
    <hyperlink r:id="rId1379" location="source=excel" ref="A1376"/>
    <hyperlink r:id="rId1380" location="source=excel" ref="A1377"/>
    <hyperlink r:id="rId1381" location="source=excel" ref="A1378"/>
    <hyperlink r:id="rId1382" location="source=excel" ref="A1379"/>
    <hyperlink r:id="rId1383" location="source=excel" ref="A1380"/>
    <hyperlink r:id="rId1384" location="source=excel" ref="A1381"/>
    <hyperlink r:id="rId1385" location="source=excel" ref="A1382"/>
    <hyperlink r:id="rId1386" location="source=excel" ref="A1383"/>
    <hyperlink r:id="rId1387" location="source=excel" ref="A1384"/>
    <hyperlink r:id="rId1388" location="source=excel" ref="A1385"/>
    <hyperlink r:id="rId1389" location="source=excel" ref="A1386"/>
    <hyperlink r:id="rId1390" location="source=excel" ref="A1387"/>
    <hyperlink r:id="rId1391" location="source=excel" ref="A1388"/>
    <hyperlink r:id="rId1392" location="source=excel" ref="A1389"/>
    <hyperlink r:id="rId1393" location="source=excel" ref="A1390"/>
    <hyperlink r:id="rId1394" location="source=excel" ref="A1391"/>
    <hyperlink r:id="rId1395" location="source=excel" ref="A1392"/>
    <hyperlink r:id="rId1396" location="source=excel" ref="A1393"/>
    <hyperlink r:id="rId1397" location="source=excel" ref="A1394"/>
    <hyperlink r:id="rId1398" location="source=excel" ref="A1395"/>
    <hyperlink r:id="rId1399" location="source=excel" ref="A1396"/>
    <hyperlink r:id="rId1400" location="source=excel" ref="A1397"/>
    <hyperlink r:id="rId1401" location="source=excel" ref="A1398"/>
    <hyperlink r:id="rId1402" location="source=excel" ref="A1399"/>
    <hyperlink r:id="rId1403" location="source=excel" ref="A1400"/>
    <hyperlink r:id="rId1404" location="source=excel" ref="A1401"/>
    <hyperlink r:id="rId1405" location="source=excel" ref="A1402"/>
    <hyperlink r:id="rId1406" location="source=excel" ref="A1403"/>
    <hyperlink r:id="rId1407" location="source=excel" ref="A1404"/>
    <hyperlink r:id="rId1408" location="source=excel" ref="A1405"/>
    <hyperlink r:id="rId1409" location="source=excel" ref="A1406"/>
    <hyperlink r:id="rId1410" location="source=excel" ref="A1407"/>
    <hyperlink r:id="rId1411" location="source=excel" ref="A1408"/>
    <hyperlink r:id="rId1412" location="source=excel" ref="A1409"/>
    <hyperlink r:id="rId1413" location="source=excel" ref="A1410"/>
    <hyperlink r:id="rId1414" location="source=excel" ref="A1411"/>
    <hyperlink r:id="rId1415" location="source=excel" ref="A1412"/>
    <hyperlink r:id="rId1416" location="source=excel" ref="A1413"/>
    <hyperlink r:id="rId1417" location="source=excel" ref="A1414"/>
    <hyperlink r:id="rId1418" location="source=excel" ref="A1415"/>
    <hyperlink r:id="rId1419" location="source=excel" ref="A1416"/>
    <hyperlink r:id="rId1420" location="source=excel" ref="A1417"/>
    <hyperlink r:id="rId1421" location="source=excel" ref="A1418"/>
    <hyperlink r:id="rId1422" location="source=excel" ref="A1419"/>
    <hyperlink r:id="rId1423" location="source=excel" ref="A1420"/>
    <hyperlink r:id="rId1424" location="source=excel" ref="A1421"/>
    <hyperlink r:id="rId1425" location="source=excel" ref="A1422"/>
    <hyperlink r:id="rId1426" location="source=excel" ref="A1423"/>
    <hyperlink r:id="rId1427" location="source=excel" ref="A1424"/>
    <hyperlink r:id="rId1428" location="source=excel" ref="A1425"/>
    <hyperlink r:id="rId1429" location="source=excel" ref="A1426"/>
    <hyperlink r:id="rId1430" location="source=excel" ref="A1427"/>
    <hyperlink r:id="rId1431" location="source=excel" ref="A1428"/>
    <hyperlink r:id="rId1432" location="source=excel" ref="A1429"/>
    <hyperlink r:id="rId1433" location="source=excel" ref="A1430"/>
    <hyperlink r:id="rId1434" location="source=excel" ref="A1431"/>
    <hyperlink r:id="rId1435" location="source=excel" ref="A1432"/>
    <hyperlink r:id="rId1436" location="source=excel" ref="A1433"/>
    <hyperlink r:id="rId1437" location="source=excel" ref="A1434"/>
    <hyperlink r:id="rId1438" location="source=excel" ref="A1435"/>
    <hyperlink r:id="rId1439" location="source=excel" ref="A1436"/>
    <hyperlink r:id="rId1440" location="source=excel" ref="A1437"/>
    <hyperlink r:id="rId1441" location="source=excel" ref="A1438"/>
    <hyperlink r:id="rId1442" location="source=excel" ref="A1439"/>
    <hyperlink r:id="rId1443" location="source=excel" ref="A1440"/>
    <hyperlink r:id="rId1444" location="source=excel" ref="A1441"/>
    <hyperlink r:id="rId1445" location="source=excel" ref="A1442"/>
    <hyperlink r:id="rId1446" location="source=excel" ref="A1443"/>
    <hyperlink r:id="rId1447" location="source=excel" ref="A1444"/>
    <hyperlink r:id="rId1448" location="source=excel" ref="A1445"/>
    <hyperlink r:id="rId1449" location="source=excel" ref="A1446"/>
    <hyperlink r:id="rId1450" location="source=excel" ref="A1447"/>
    <hyperlink r:id="rId1451" location="source=excel" ref="A1448"/>
    <hyperlink r:id="rId1452" location="source=excel" ref="A1449"/>
    <hyperlink r:id="rId1453" location="source=excel" ref="A1450"/>
    <hyperlink r:id="rId1454" location="source=excel" ref="A1451"/>
    <hyperlink r:id="rId1455" location="source=excel" ref="A1452"/>
    <hyperlink r:id="rId1456" location="source=excel" ref="A1453"/>
    <hyperlink r:id="rId1457" location="source=excel" ref="A1454"/>
    <hyperlink r:id="rId1458" location="source=excel" ref="A1455"/>
    <hyperlink r:id="rId1459" location="source=excel" ref="A1456"/>
    <hyperlink r:id="rId1460" location="source=excel" ref="A1457"/>
    <hyperlink r:id="rId1461" location="source=excel" ref="A1458"/>
    <hyperlink r:id="rId1462" location="source=excel" ref="A1459"/>
    <hyperlink r:id="rId1463" location="source=excel" ref="A1460"/>
    <hyperlink r:id="rId1464" location="source=excel" ref="A1461"/>
    <hyperlink r:id="rId1465" location="source=excel" ref="A1462"/>
    <hyperlink r:id="rId1466" location="source=excel" ref="A1463"/>
    <hyperlink r:id="rId1467" location="source=excel" ref="A1464"/>
    <hyperlink r:id="rId1468" location="source=excel" ref="A1465"/>
    <hyperlink r:id="rId1469" location="source=excel" ref="A1466"/>
    <hyperlink r:id="rId1470" location="source=excel" ref="A1467"/>
    <hyperlink r:id="rId1471" location="source=excel" ref="A1468"/>
    <hyperlink r:id="rId1472" location="source=excel" ref="A1469"/>
    <hyperlink r:id="rId1473" location="source=excel" ref="A1470"/>
    <hyperlink r:id="rId1474" location="source=excel" ref="A1471"/>
    <hyperlink r:id="rId1475" location="source=excel" ref="A1472"/>
    <hyperlink r:id="rId1476" location="source=excel" ref="A1473"/>
    <hyperlink r:id="rId1477" location="source=excel" ref="A1474"/>
    <hyperlink r:id="rId1478" location="source=excel" ref="A1475"/>
    <hyperlink r:id="rId1479" location="source=excel" ref="A1476"/>
    <hyperlink r:id="rId1480" location="source=excel" ref="A1477"/>
    <hyperlink r:id="rId1481" location="source=excel" ref="A1478"/>
    <hyperlink r:id="rId1482" location="source=excel" ref="A1479"/>
    <hyperlink r:id="rId1483" location="source=excel" ref="A1480"/>
    <hyperlink r:id="rId1484" location="source=excel" ref="A1481"/>
    <hyperlink r:id="rId1485" location="source=excel" ref="A1482"/>
    <hyperlink r:id="rId1486" location="source=excel" ref="A1483"/>
    <hyperlink r:id="rId1487" location="source=excel" ref="A1484"/>
    <hyperlink r:id="rId1488" location="source=excel" ref="A1485"/>
    <hyperlink r:id="rId1489" location="source=excel" ref="A1486"/>
    <hyperlink r:id="rId1490" location="source=excel" ref="A1487"/>
    <hyperlink r:id="rId1491" location="source=excel" ref="A1488"/>
    <hyperlink r:id="rId1492" location="source=excel" ref="A1489"/>
    <hyperlink r:id="rId1493" location="source=excel" ref="A1490"/>
    <hyperlink r:id="rId1494" location="source=excel" ref="A1491"/>
    <hyperlink r:id="rId1495" location="source=excel" ref="A1492"/>
    <hyperlink r:id="rId1496" location="source=excel" ref="A1493"/>
    <hyperlink r:id="rId1497" location="source=excel" ref="A1494"/>
    <hyperlink r:id="rId1498" location="source=excel" ref="A1495"/>
    <hyperlink r:id="rId1499" location="source=excel" ref="A1496"/>
    <hyperlink r:id="rId1500" location="source=excel" ref="A1497"/>
    <hyperlink r:id="rId1501" location="source=excel" ref="A1498"/>
    <hyperlink r:id="rId1502" location="source=excel" ref="A1499"/>
    <hyperlink r:id="rId1503" location="source=excel" ref="A1500"/>
    <hyperlink r:id="rId1504" location="source=excel" ref="A1501"/>
    <hyperlink r:id="rId1505" location="source=excel" ref="A1502"/>
    <hyperlink r:id="rId1506" location="source=excel" ref="A1503"/>
    <hyperlink r:id="rId1507" location="source=excel" ref="A1504"/>
    <hyperlink r:id="rId1508" location="source=excel" ref="A1505"/>
    <hyperlink r:id="rId1509" location="source=excel" ref="A1506"/>
    <hyperlink r:id="rId1510" location="source=excel" ref="A1507"/>
    <hyperlink r:id="rId1511" location="source=excel" ref="A1508"/>
    <hyperlink r:id="rId1512" location="source=excel" ref="A1509"/>
    <hyperlink r:id="rId1513" location="source=excel" ref="A1510"/>
    <hyperlink r:id="rId1514" location="source=excel" ref="A1511"/>
    <hyperlink r:id="rId1515" location="source=excel" ref="A1512"/>
    <hyperlink r:id="rId1516" location="source=excel" ref="A1513"/>
    <hyperlink r:id="rId1517" location="source=excel" ref="A1514"/>
    <hyperlink r:id="rId1518" location="source=excel" ref="A1515"/>
    <hyperlink r:id="rId1519" location="source=excel" ref="A1516"/>
    <hyperlink r:id="rId1520" location="source=excel" ref="A1517"/>
    <hyperlink r:id="rId1521" location="source=excel" ref="A1518"/>
    <hyperlink r:id="rId1522" location="source=excel" ref="A1519"/>
    <hyperlink r:id="rId1523" location="source=excel" ref="A1520"/>
    <hyperlink r:id="rId1524" location="source=excel" ref="A1521"/>
    <hyperlink r:id="rId1525" location="source=excel" ref="A1522"/>
    <hyperlink r:id="rId1526" location="source=excel" ref="A1523"/>
    <hyperlink r:id="rId1527" location="source=excel" ref="A1524"/>
    <hyperlink r:id="rId1528" location="source=excel" ref="A1525"/>
    <hyperlink r:id="rId1529" location="source=excel" ref="A1526"/>
    <hyperlink r:id="rId1530" location="source=excel" ref="A1527"/>
    <hyperlink r:id="rId1531" location="source=excel" ref="A1528"/>
    <hyperlink r:id="rId1532" location="source=excel" ref="A1529"/>
    <hyperlink r:id="rId1533" location="source=excel" ref="A1530"/>
    <hyperlink r:id="rId1534" location="source=excel" ref="A1531"/>
    <hyperlink r:id="rId1535" location="source=excel" ref="A1532"/>
    <hyperlink r:id="rId1536" location="source=excel" ref="A1533"/>
    <hyperlink r:id="rId1537" location="source=excel" ref="A1534"/>
    <hyperlink r:id="rId1538" location="source=excel" ref="A1535"/>
    <hyperlink r:id="rId1539" location="source=excel" ref="A1536"/>
    <hyperlink r:id="rId1540" location="source=excel" ref="A1537"/>
    <hyperlink r:id="rId1541" location="source=excel" ref="A1538"/>
    <hyperlink r:id="rId1542" location="source=excel" ref="A1539"/>
    <hyperlink r:id="rId1543" location="source=excel" ref="A1540"/>
    <hyperlink r:id="rId1544" location="source=excel" ref="A1541"/>
    <hyperlink r:id="rId1545" location="source=excel" ref="A1542"/>
    <hyperlink r:id="rId1546" location="source=excel" ref="A1543"/>
    <hyperlink r:id="rId1547" location="source=excel" ref="A1544"/>
    <hyperlink r:id="rId1548" location="source=excel" ref="A1545"/>
    <hyperlink r:id="rId1549" location="source=excel" ref="A1546"/>
    <hyperlink r:id="rId1550" location="source=excel" ref="A1547"/>
    <hyperlink r:id="rId1551" location="source=excel" ref="A1548"/>
    <hyperlink r:id="rId1552" location="source=excel" ref="A1549"/>
    <hyperlink r:id="rId1553" ref="AW1549"/>
    <hyperlink r:id="rId1554" location="source=excel" ref="A1550"/>
    <hyperlink r:id="rId1555" location="source=excel" ref="A1551"/>
    <hyperlink r:id="rId1556" location="source=excel" ref="A1552"/>
    <hyperlink r:id="rId1557" location="source=excel" ref="A1553"/>
    <hyperlink r:id="rId1558" location="source=excel" ref="A1554"/>
    <hyperlink r:id="rId1559" location="source=excel" ref="A1555"/>
    <hyperlink r:id="rId1560" location="source=excel" ref="A1556"/>
    <hyperlink r:id="rId1561" location="source=excel" ref="A1557"/>
    <hyperlink r:id="rId1562" location="source=excel" ref="A1558"/>
    <hyperlink r:id="rId1563" location="source=excel" ref="A1559"/>
    <hyperlink r:id="rId1564" location="source=excel" ref="A1560"/>
    <hyperlink r:id="rId1565" location="source=excel" ref="A1561"/>
    <hyperlink r:id="rId1566" location="source=excel" ref="A1562"/>
    <hyperlink r:id="rId1567" location="source=excel" ref="A1563"/>
    <hyperlink r:id="rId1568" location="source=excel" ref="A1564"/>
    <hyperlink r:id="rId1569" location="source=excel" ref="A1565"/>
    <hyperlink r:id="rId1570" location="source=excel" ref="A1566"/>
    <hyperlink r:id="rId1571" location="source=excel" ref="A1567"/>
    <hyperlink r:id="rId1572" location="source=excel" ref="A1568"/>
    <hyperlink r:id="rId1573" location="source=excel" ref="A1569"/>
    <hyperlink r:id="rId1574" location="source=excel" ref="A1570"/>
    <hyperlink r:id="rId1575" location="source=excel" ref="A1571"/>
    <hyperlink r:id="rId1576" location="source=excel" ref="A1572"/>
    <hyperlink r:id="rId1577" location="source=excel" ref="A1573"/>
    <hyperlink r:id="rId1578" location="source=excel" ref="A1574"/>
    <hyperlink r:id="rId1579" location="source=excel" ref="A1575"/>
    <hyperlink r:id="rId1580" location="source=excel" ref="A1576"/>
    <hyperlink r:id="rId1581" location="source=excel" ref="A1577"/>
    <hyperlink r:id="rId1582" location="source=excel" ref="A1578"/>
    <hyperlink r:id="rId1583" location="source=excel" ref="A1579"/>
    <hyperlink r:id="rId1584" location="source=excel" ref="A1580"/>
    <hyperlink r:id="rId1585" location="source=excel" ref="A1581"/>
    <hyperlink r:id="rId1586" location="source=excel" ref="A1582"/>
    <hyperlink r:id="rId1587" location="source=excel" ref="A1583"/>
    <hyperlink r:id="rId1588" location="source=excel" ref="A1584"/>
    <hyperlink r:id="rId1589" location="source=excel" ref="A1585"/>
    <hyperlink r:id="rId1590" location="source=excel" ref="A1586"/>
    <hyperlink r:id="rId1591" location="source=excel" ref="A1587"/>
    <hyperlink r:id="rId1592" location="source=excel" ref="A1588"/>
    <hyperlink r:id="rId1593" location="source=excel" ref="A1589"/>
    <hyperlink r:id="rId1594" location="source=excel" ref="A1590"/>
    <hyperlink r:id="rId1595" location="source=excel" ref="A1591"/>
    <hyperlink r:id="rId1596" location="source=excel" ref="A1592"/>
    <hyperlink r:id="rId1597" location="source=excel" ref="A1593"/>
    <hyperlink r:id="rId1598" location="source=excel" ref="A1594"/>
    <hyperlink r:id="rId1599" location="source=excel" ref="A1595"/>
    <hyperlink r:id="rId1600" location="source=excel" ref="A1596"/>
    <hyperlink r:id="rId1601" location="source=excel" ref="A1597"/>
    <hyperlink r:id="rId1602" location="source=excel" ref="A1598"/>
    <hyperlink r:id="rId1603" location="source=excel" ref="A1599"/>
    <hyperlink r:id="rId1604" location="source=excel" ref="A1600"/>
    <hyperlink r:id="rId1605" location="source=excel" ref="A1601"/>
    <hyperlink r:id="rId1606" location="source=excel" ref="A1602"/>
    <hyperlink r:id="rId1607" location="source=excel" ref="A1603"/>
    <hyperlink r:id="rId1608" location="source=excel" ref="A1604"/>
    <hyperlink r:id="rId1609" location="source=excel" ref="A1605"/>
    <hyperlink r:id="rId1610" location="source=excel" ref="A1606"/>
    <hyperlink r:id="rId1611" location="source=excel" ref="A1607"/>
    <hyperlink r:id="rId1612" location="source=excel" ref="A1608"/>
    <hyperlink r:id="rId1613" location="source=excel" ref="A1609"/>
    <hyperlink r:id="rId1614" location="source=excel" ref="A1610"/>
    <hyperlink r:id="rId1615" location="source=excel" ref="A1611"/>
    <hyperlink r:id="rId1616" location="source=excel" ref="A1612"/>
    <hyperlink r:id="rId1617" location="source=excel" ref="A1613"/>
    <hyperlink r:id="rId1618" location="source=excel" ref="A1614"/>
    <hyperlink r:id="rId1619" location="source=excel" ref="A1615"/>
    <hyperlink r:id="rId1620" location="source=excel" ref="A1616"/>
    <hyperlink r:id="rId1621" location="source=excel" ref="A1617"/>
    <hyperlink r:id="rId1622" location="source=excel" ref="A1618"/>
    <hyperlink r:id="rId1623" location="source=excel" ref="A1619"/>
    <hyperlink r:id="rId1624" location="source=excel" ref="A1620"/>
    <hyperlink r:id="rId1625" location="source=excel" ref="A1621"/>
    <hyperlink r:id="rId1626" location="source=excel" ref="A1622"/>
    <hyperlink r:id="rId1627" location="source=excel" ref="A1623"/>
    <hyperlink r:id="rId1628" location="source=excel" ref="A1624"/>
    <hyperlink r:id="rId1629" location="source=excel" ref="A1625"/>
    <hyperlink r:id="rId1630" location="source=excel" ref="A1626"/>
    <hyperlink r:id="rId1631" location="source=excel" ref="A1627"/>
    <hyperlink r:id="rId1632" location="source=excel" ref="A1628"/>
    <hyperlink r:id="rId1633" location="source=excel" ref="A1629"/>
    <hyperlink r:id="rId1634" location="source=excel" ref="A1630"/>
    <hyperlink r:id="rId1635" location="source=excel" ref="A1631"/>
    <hyperlink r:id="rId1636" location="source=excel" ref="A1632"/>
    <hyperlink r:id="rId1637" location="source=excel" ref="A1633"/>
    <hyperlink r:id="rId1638" location="source=excel" ref="A1634"/>
    <hyperlink r:id="rId1639" location="source=excel" ref="A1635"/>
    <hyperlink r:id="rId1640" location="source=excel" ref="A1636"/>
    <hyperlink r:id="rId1641" location="source=excel" ref="A1637"/>
    <hyperlink r:id="rId1642" location="source=excel" ref="A1638"/>
    <hyperlink r:id="rId1643" location="source=excel" ref="A1639"/>
    <hyperlink r:id="rId1644" location="source=excel" ref="A1640"/>
    <hyperlink r:id="rId1645" location="source=excel" ref="A1641"/>
    <hyperlink r:id="rId1646" location="source=excel" ref="A1642"/>
    <hyperlink r:id="rId1647" location="source=excel" ref="A1643"/>
    <hyperlink r:id="rId1648" location="source=excel" ref="A1644"/>
    <hyperlink r:id="rId1649" location="source=excel" ref="A1645"/>
    <hyperlink r:id="rId1650" location="source=excel" ref="A1646"/>
    <hyperlink r:id="rId1651" location="source=excel" ref="A1647"/>
    <hyperlink r:id="rId1652" location="source=excel" ref="A1648"/>
    <hyperlink r:id="rId1653" location="source=excel" ref="A1649"/>
    <hyperlink r:id="rId1654" location="source=excel" ref="A1650"/>
    <hyperlink r:id="rId1655" location="source=excel" ref="A1651"/>
    <hyperlink r:id="rId1656" location="source=excel" ref="A1652"/>
    <hyperlink r:id="rId1657" location="source=excel" ref="A1653"/>
    <hyperlink r:id="rId1658" location="source=excel" ref="A1654"/>
    <hyperlink r:id="rId1659" location="source=excel" ref="A1655"/>
    <hyperlink r:id="rId1660" location="source=excel" ref="A1656"/>
    <hyperlink r:id="rId1661" location="source=excel" ref="A1657"/>
    <hyperlink r:id="rId1662" location="source=excel" ref="A1658"/>
    <hyperlink r:id="rId1663" location="source=excel" ref="A1659"/>
    <hyperlink r:id="rId1664" location="source=excel" ref="A1660"/>
    <hyperlink r:id="rId1665" location="source=excel" ref="A1661"/>
    <hyperlink r:id="rId1666" location="source=excel" ref="A1662"/>
    <hyperlink r:id="rId1667" location="source=excel" ref="A1663"/>
    <hyperlink r:id="rId1668" location="source=excel" ref="A1664"/>
    <hyperlink r:id="rId1669" location="source=excel" ref="A1665"/>
    <hyperlink r:id="rId1670" location="source=excel" ref="A1666"/>
    <hyperlink r:id="rId1671" location="source=excel" ref="A1668"/>
    <hyperlink r:id="rId1672" location="source=excel" ref="A1669"/>
    <hyperlink r:id="rId1673" location="source=excel" ref="A1670"/>
    <hyperlink r:id="rId1674" location="source=excel" ref="A1671"/>
    <hyperlink r:id="rId1675" location="source=excel" ref="A1672"/>
    <hyperlink r:id="rId1676" location="source=excel" ref="A1673"/>
    <hyperlink r:id="rId1677" location="source=excel" ref="A1674"/>
    <hyperlink r:id="rId1678" location="source=excel" ref="A1675"/>
    <hyperlink r:id="rId1679" location="source=excel" ref="A1676"/>
    <hyperlink r:id="rId1680" location="source=excel" ref="A1677"/>
    <hyperlink r:id="rId1681" location="source=excel" ref="A1678"/>
    <hyperlink r:id="rId1682" location="source=excel" ref="A1679"/>
    <hyperlink r:id="rId1683" location="source=excel" ref="A1680"/>
    <hyperlink r:id="rId1684" location="source=excel" ref="A1681"/>
    <hyperlink r:id="rId1685" location="source=excel" ref="A1682"/>
    <hyperlink r:id="rId1686" location="source=excel" ref="A1683"/>
    <hyperlink r:id="rId1687" location="source=excel" ref="A1684"/>
    <hyperlink r:id="rId1688" location="source=excel" ref="A1685"/>
    <hyperlink r:id="rId1689" location="source=excel" ref="A1686"/>
    <hyperlink r:id="rId1690" location="source=excel" ref="A1687"/>
    <hyperlink r:id="rId1691" location="source=excel" ref="A1688"/>
    <hyperlink r:id="rId1692" location="source=excel" ref="A1689"/>
    <hyperlink r:id="rId1693" location="source=excel" ref="A1690"/>
    <hyperlink r:id="rId1694" location="source=excel" ref="A1691"/>
    <hyperlink r:id="rId1695" location="source=excel" ref="A1692"/>
    <hyperlink r:id="rId1696" location="source=excel" ref="A1693"/>
    <hyperlink r:id="rId1697" location="source=excel" ref="A1694"/>
    <hyperlink r:id="rId1698" location="source=excel" ref="A1695"/>
    <hyperlink r:id="rId1699" location="source=excel" ref="A1696"/>
    <hyperlink r:id="rId1700" location="source=excel" ref="A1697"/>
    <hyperlink r:id="rId1701" location="source=excel" ref="A1698"/>
    <hyperlink r:id="rId1702" location="source=excel" ref="A1699"/>
    <hyperlink r:id="rId1703" location="source=excel" ref="A1700"/>
    <hyperlink r:id="rId1704" location="source=excel" ref="A1701"/>
    <hyperlink r:id="rId1705" location="source=excel" ref="A1702"/>
    <hyperlink r:id="rId1706" location="source=excel" ref="A1703"/>
    <hyperlink r:id="rId1707" location="source=excel" ref="A1704"/>
    <hyperlink r:id="rId1708" location="source=excel" ref="A1705"/>
    <hyperlink r:id="rId1709" location="source=excel" ref="A1706"/>
    <hyperlink r:id="rId1710" location="source=excel" ref="A1707"/>
    <hyperlink r:id="rId1711" location="source=excel" ref="A1708"/>
    <hyperlink r:id="rId1712" location="source=excel" ref="A1709"/>
    <hyperlink r:id="rId1713" location="source=excel" ref="A1710"/>
    <hyperlink r:id="rId1714" location="source=excel" ref="A1711"/>
    <hyperlink r:id="rId1715" location="source=excel" ref="A1712"/>
    <hyperlink r:id="rId1716" location="source=excel" ref="A1713"/>
    <hyperlink r:id="rId1717" location="source=excel" ref="A1714"/>
    <hyperlink r:id="rId1718" location="source=excel" ref="A1715"/>
    <hyperlink r:id="rId1719" location="source=excel" ref="A1716"/>
    <hyperlink r:id="rId1720" location="source=excel" ref="A1717"/>
    <hyperlink r:id="rId1721" location="source=excel" ref="A1718"/>
    <hyperlink r:id="rId1722" location="source=excel" ref="A1719"/>
    <hyperlink r:id="rId1723" location="source=excel" ref="A1720"/>
    <hyperlink r:id="rId1724" location="source=excel" ref="A1721"/>
    <hyperlink r:id="rId1725" location="source=excel" ref="A1722"/>
    <hyperlink r:id="rId1726" location="source=excel" ref="A1723"/>
    <hyperlink r:id="rId1727" location="source=excel" ref="A1724"/>
    <hyperlink r:id="rId1728" location="source=excel" ref="A1725"/>
    <hyperlink r:id="rId1729" location="source=excel" ref="A1726"/>
    <hyperlink r:id="rId1730" location="source=excel" ref="A1727"/>
    <hyperlink r:id="rId1731" location="source=excel" ref="A1728"/>
    <hyperlink r:id="rId1732" location="source=excel" ref="A1729"/>
    <hyperlink r:id="rId1733" location="source=excel" ref="A1730"/>
    <hyperlink r:id="rId1734" location="source=excel" ref="A1731"/>
    <hyperlink r:id="rId1735" location="source=excel" ref="A1732"/>
    <hyperlink r:id="rId1736" location="source=excel" ref="A1733"/>
    <hyperlink r:id="rId1737" location="source=excel" ref="A1734"/>
    <hyperlink r:id="rId1738" location="source=excel" ref="A1735"/>
    <hyperlink r:id="rId1739" location="source=excel" ref="A1736"/>
    <hyperlink r:id="rId1740" location="source=excel" ref="A1737"/>
    <hyperlink r:id="rId1741" location="source=excel" ref="A1738"/>
    <hyperlink r:id="rId1742" location="source=excel" ref="A1739"/>
    <hyperlink r:id="rId1743" location="source=excel" ref="A1740"/>
    <hyperlink r:id="rId1744" location="source=excel" ref="A1741"/>
    <hyperlink r:id="rId1745" location="source=excel" ref="A1742"/>
    <hyperlink r:id="rId1746" location="source=excel" ref="A1743"/>
    <hyperlink r:id="rId1747" location="source=excel" ref="A1744"/>
    <hyperlink r:id="rId1748" location="source=excel" ref="A1745"/>
    <hyperlink r:id="rId1749" location="source=excel" ref="A1746"/>
    <hyperlink r:id="rId1750" location="source=excel" ref="A1747"/>
    <hyperlink r:id="rId1751" location="source=excel" ref="A1748"/>
    <hyperlink r:id="rId1752" location="source=excel" ref="A1749"/>
    <hyperlink r:id="rId1753" location="source=excel" ref="A1750"/>
    <hyperlink r:id="rId1754" location="source=excel" ref="A1751"/>
    <hyperlink r:id="rId1755" location="source=excel" ref="A1752"/>
    <hyperlink r:id="rId1756" location="source=excel" ref="A1753"/>
    <hyperlink r:id="rId1757" location="source=excel" ref="A1754"/>
    <hyperlink r:id="rId1758" location="source=excel" ref="A1755"/>
    <hyperlink r:id="rId1759" location="source=excel" ref="A1756"/>
    <hyperlink r:id="rId1760" location="source=excel" ref="A1757"/>
    <hyperlink r:id="rId1761" location="source=excel" ref="A1758"/>
    <hyperlink r:id="rId1762" location="source=excel" ref="A1759"/>
    <hyperlink r:id="rId1763" location="source=excel" ref="A1760"/>
    <hyperlink r:id="rId1764" location="source=excel" ref="A1761"/>
    <hyperlink r:id="rId1765" location="source=excel" ref="A1762"/>
    <hyperlink r:id="rId1766" location="source=excel" ref="A1763"/>
    <hyperlink r:id="rId1767" location="source=excel" ref="A1764"/>
    <hyperlink r:id="rId1768" location="source=excel" ref="A1765"/>
    <hyperlink r:id="rId1769" location="source=excel" ref="A1766"/>
    <hyperlink r:id="rId1770" location="source=excel" ref="A1767"/>
    <hyperlink r:id="rId1771" location="source=excel" ref="A1768"/>
    <hyperlink r:id="rId1772" location="source=excel" ref="A1769"/>
    <hyperlink r:id="rId1773" location="source=excel" ref="A1770"/>
    <hyperlink r:id="rId1774" location="source=excel" ref="A1771"/>
    <hyperlink r:id="rId1775" location="source=excel" ref="A1772"/>
    <hyperlink r:id="rId1776" location="source=excel" ref="A1773"/>
    <hyperlink r:id="rId1777" location="source=excel" ref="A1774"/>
    <hyperlink r:id="rId1778" location="source=excel" ref="A1775"/>
    <hyperlink r:id="rId1779" location="source=excel" ref="A1776"/>
    <hyperlink r:id="rId1780" location="source=excel" ref="A1777"/>
    <hyperlink r:id="rId1781" location="source=excel" ref="A1778"/>
    <hyperlink r:id="rId1782" location="source=excel" ref="A1779"/>
    <hyperlink r:id="rId1783" location="source=excel" ref="A1780"/>
    <hyperlink r:id="rId1784" location="source=excel" ref="A1781"/>
    <hyperlink r:id="rId1785" location="source=excel" ref="A1782"/>
    <hyperlink r:id="rId1786" location="source=excel" ref="A1783"/>
  </hyperlinks>
  <printOptions/>
  <pageMargins bottom="0.75" footer="0.0" header="0.0" left="0.7" right="0.7" top="0.75"/>
  <pageSetup orientation="landscape"/>
  <drawing r:id="rId178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8" width="13.29"/>
    <col customWidth="1" min="9" max="26" width="8.71"/>
  </cols>
  <sheetData>
    <row r="1">
      <c r="A1" s="1" t="s">
        <v>17700</v>
      </c>
      <c r="B1" s="1" t="s">
        <v>17701</v>
      </c>
      <c r="C1" s="1" t="s">
        <v>17702</v>
      </c>
      <c r="D1" s="1" t="s">
        <v>17703</v>
      </c>
      <c r="E1" s="1" t="s">
        <v>17704</v>
      </c>
      <c r="F1" s="1" t="s">
        <v>17705</v>
      </c>
      <c r="G1" s="1" t="s">
        <v>17706</v>
      </c>
      <c r="H1" s="1" t="s">
        <v>17707</v>
      </c>
      <c r="I1" s="1" t="s">
        <v>17708</v>
      </c>
    </row>
    <row r="2">
      <c r="A2" s="22">
        <v>144102.6</v>
      </c>
      <c r="B2" s="22">
        <v>81136.0</v>
      </c>
      <c r="C2" s="22">
        <f>A2*0.135</f>
        <v>19453.851</v>
      </c>
      <c r="D2" s="22">
        <f>24966.6+23122+99</f>
        <v>48187.6</v>
      </c>
      <c r="E2" s="22">
        <v>14134.16</v>
      </c>
      <c r="F2" s="22">
        <f>SUM('Vendas BR'!T2:T1783)</f>
        <v>50721.43</v>
      </c>
      <c r="G2" s="22">
        <f>D2+E2</f>
        <v>62321.76</v>
      </c>
      <c r="H2" s="22">
        <f>A2-C2-F2-G2</f>
        <v>11605.559</v>
      </c>
      <c r="I2" s="23">
        <f>((A2-(C2+F2+G2))/A2*100)/100</f>
        <v>0.08053677727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2024-12-15T22:47:02Z</dcterms:created>
  <dc:creator>Apache POI</dc:creator>
</cp:coreProperties>
</file>